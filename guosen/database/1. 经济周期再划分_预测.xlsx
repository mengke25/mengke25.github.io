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ustomProperty2.bin" ContentType="application/vnd.openxmlformats-officedocument.spreadsheetml.customProperty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ustomProperty3.bin" ContentType="application/vnd.openxmlformats-officedocument.spreadsheetml.customProperty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ustomProperty4.bin" ContentType="application/vnd.openxmlformats-officedocument.spreadsheetml.customProperty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ustomProperty5.bin" ContentType="application/vnd.openxmlformats-officedocument.spreadsheetml.customProperty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ustomProperty6.bin" ContentType="application/vnd.openxmlformats-officedocument.spreadsheetml.customProperty"/>
  <Override PartName="/xl/customProperty7.bin" ContentType="application/vnd.openxmlformats-officedocument.spreadsheetml.customProperty"/>
  <Override PartName="/xl/comments2.xml" ContentType="application/vnd.openxmlformats-officedocument.spreadsheetml.comments+xml"/>
  <Override PartName="/xl/customProperty8.bin" ContentType="application/vnd.openxmlformats-officedocument.spreadsheetml.customProperty"/>
  <Override PartName="/xl/drawings/drawing6.xml" ContentType="application/vnd.openxmlformats-officedocument.drawing+xml"/>
  <Override PartName="/xl/comments3.xml" ContentType="application/vnd.openxmlformats-officedocument.spreadsheetml.comments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ustomProperty9.bin" ContentType="application/vnd.openxmlformats-officedocument.spreadsheetml.customProperty"/>
  <Override PartName="/xl/drawings/drawing7.xml" ContentType="application/vnd.openxmlformats-officedocument.drawing+xml"/>
  <Override PartName="/xl/comments4.xml" ContentType="application/vnd.openxmlformats-officedocument.spreadsheetml.comments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ustomProperty10.bin" ContentType="application/vnd.openxmlformats-officedocument.spreadsheetml.customProperty"/>
  <Override PartName="/xl/drawings/drawing8.xml" ContentType="application/vnd.openxmlformats-officedocument.drawing+xml"/>
  <Override PartName="/xl/charts/chart14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theme/themeOverride1.xml" ContentType="application/vnd.openxmlformats-officedocument.themeOverride+xml"/>
  <Override PartName="/xl/charts/chart15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theme/themeOverride2.xml" ContentType="application/vnd.openxmlformats-officedocument.themeOverride+xml"/>
  <Override PartName="/xl/charts/chart16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theme/themeOverride3.xml" ContentType="application/vnd.openxmlformats-officedocument.themeOverride+xml"/>
  <Override PartName="/xl/charts/chart17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theme/themeOverride4.xml" ContentType="application/vnd.openxmlformats-officedocument.themeOverride+xml"/>
  <Override PartName="/xl/customProperty11.bin" ContentType="application/vnd.openxmlformats-officedocument.spreadsheetml.customProperty"/>
  <Override PartName="/xl/drawings/drawing9.xml" ContentType="application/vnd.openxmlformats-officedocument.drawing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ustomProperty12.bin" ContentType="application/vnd.openxmlformats-officedocument.spreadsheetml.customProperty"/>
  <Override PartName="/xl/drawings/drawing10.xml" ContentType="application/vnd.openxmlformats-officedocument.drawing+xml"/>
  <Override PartName="/xl/comments5.xml" ContentType="application/vnd.openxmlformats-officedocument.spreadsheetml.comments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D:\py_proj\temp_script\aiseries\"/>
    </mc:Choice>
  </mc:AlternateContent>
  <xr:revisionPtr revIDLastSave="0" documentId="13_ncr:1_{80491F34-358B-4BFC-831D-77515A4CCF7E}" xr6:coauthVersionLast="47" xr6:coauthVersionMax="47" xr10:uidLastSave="{00000000-0000-0000-0000-000000000000}"/>
  <bookViews>
    <workbookView xWindow="-103" yWindow="-103" windowWidth="24892" windowHeight="14914" firstSheet="1" activeTab="2" xr2:uid="{00000000-000D-0000-FFFF-FFFF00000000}"/>
  </bookViews>
  <sheets>
    <sheet name="周期整合及其行业风格表现汇总" sheetId="6" r:id="rId1"/>
    <sheet name="流程图" sheetId="8" r:id="rId2"/>
    <sheet name="框架指示的股债胜率（综合）" sheetId="1" r:id="rId3"/>
    <sheet name="主要指标对比" sheetId="15" r:id="rId4"/>
    <sheet name="周期整合计算" sheetId="4" r:id="rId5"/>
    <sheet name="货币信用周期收益计算" sheetId="2" r:id="rId6"/>
    <sheet name="股债表现与四个维度" sheetId="14" r:id="rId7"/>
    <sheet name="货币信用框架5-货币政策目标+信用脉冲" sheetId="9" r:id="rId8"/>
    <sheet name="信贷库存框架1-票据+贷款余额" sheetId="10" r:id="rId9"/>
    <sheet name="财政货币框架1&amp;2底稿" sheetId="11" r:id="rId10"/>
    <sheet name="美林时钟" sheetId="12" r:id="rId11"/>
    <sheet name="库存与产能周期2" sheetId="13" r:id="rId12"/>
  </sheets>
  <externalReferences>
    <externalReference r:id="rId13"/>
    <externalReference r:id="rId14"/>
  </externalReferences>
  <definedNames>
    <definedName name="______ger2" hidden="1">{#N/A,#N/A,FALSE,"B061196P";#N/A,#N/A,FALSE,"B061196";#N/A,#N/A,FALSE,"Relatório1";#N/A,#N/A,FALSE,"Relatório2";#N/A,#N/A,FALSE,"Relatório3";#N/A,#N/A,FALSE,"Relatório4 ";#N/A,#N/A,FALSE,"Relatório5";#N/A,#N/A,FALSE,"Relatório6";#N/A,#N/A,FALSE,"Relatório7";#N/A,#N/A,FALSE,"Relatório8"}</definedName>
    <definedName name="_xlnm._FilterDatabase" localSheetId="5" hidden="1">货币信用周期收益计算!$H$1:$L$287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J5" i="1" a="1"/>
  <c r="J5" i="1" s="1"/>
  <c r="K5" i="1" a="1"/>
  <c r="K5" i="1" s="1"/>
  <c r="L5" i="1" a="1"/>
  <c r="L5" i="1" s="1"/>
  <c r="M5" i="1" a="1"/>
  <c r="M5" i="1" s="1"/>
  <c r="N5" i="1" a="1"/>
  <c r="N5" i="1" s="1"/>
  <c r="O5" i="1" a="1"/>
  <c r="O5" i="1" s="1"/>
  <c r="P5" i="1" a="1"/>
  <c r="P5" i="1" s="1"/>
  <c r="Q5" i="1" a="1"/>
  <c r="Q5" i="1" s="1"/>
  <c r="R5" i="1" a="1"/>
  <c r="R5" i="1" s="1"/>
  <c r="S5" i="1" a="1"/>
  <c r="S5" i="1" s="1"/>
  <c r="J6" i="1" a="1"/>
  <c r="J6" i="1" s="1"/>
  <c r="K6" i="1" a="1"/>
  <c r="K6" i="1" s="1"/>
  <c r="L6" i="1" a="1"/>
  <c r="L6" i="1" s="1"/>
  <c r="M6" i="1" a="1"/>
  <c r="M6" i="1" s="1"/>
  <c r="N6" i="1" a="1"/>
  <c r="N6" i="1" s="1"/>
  <c r="O6" i="1" a="1"/>
  <c r="O6" i="1" s="1"/>
  <c r="P6" i="1" a="1"/>
  <c r="P6" i="1" s="1"/>
  <c r="Q6" i="1" a="1"/>
  <c r="Q6" i="1" s="1"/>
  <c r="R6" i="1" a="1"/>
  <c r="R6" i="1" s="1"/>
  <c r="S6" i="1" a="1"/>
  <c r="S6" i="1" s="1"/>
  <c r="D6" i="14"/>
  <c r="E6" i="14"/>
  <c r="D7" i="14"/>
  <c r="E7" i="14"/>
  <c r="G6" i="14"/>
  <c r="H6" i="14"/>
  <c r="I6" i="14"/>
  <c r="J6" i="14"/>
  <c r="P6" i="14"/>
  <c r="G7" i="14"/>
  <c r="Q7" i="14" s="1"/>
  <c r="H7" i="14"/>
  <c r="I7" i="14"/>
  <c r="J7" i="14"/>
  <c r="P7" i="14"/>
  <c r="G8" i="14"/>
  <c r="H8" i="14"/>
  <c r="I8" i="14"/>
  <c r="J8" i="14"/>
  <c r="P8" i="14"/>
  <c r="M7" i="1" s="1" a="1"/>
  <c r="M7" i="1" s="1"/>
  <c r="G9" i="14"/>
  <c r="H9" i="14"/>
  <c r="I9" i="14"/>
  <c r="J9" i="14"/>
  <c r="P9" i="14"/>
  <c r="G10" i="14"/>
  <c r="H10" i="14"/>
  <c r="I10" i="14"/>
  <c r="S10" i="14" s="1"/>
  <c r="K9" i="1" s="1" a="1"/>
  <c r="K9" i="1" s="1"/>
  <c r="J10" i="14"/>
  <c r="T10" i="14" s="1"/>
  <c r="S9" i="1" s="1" a="1"/>
  <c r="S9" i="1" s="1"/>
  <c r="P10" i="14"/>
  <c r="M9" i="1" s="1" a="1"/>
  <c r="M9" i="1" s="1"/>
  <c r="Q10" i="14"/>
  <c r="Q9" i="1" s="1" a="1"/>
  <c r="Q9" i="1" s="1"/>
  <c r="R10" i="14"/>
  <c r="O9" i="1" s="1" a="1"/>
  <c r="O9" i="1" s="1"/>
  <c r="G11" i="14"/>
  <c r="H11" i="14"/>
  <c r="I11" i="14"/>
  <c r="J11" i="14"/>
  <c r="T9" i="14" s="1"/>
  <c r="S8" i="1" s="1" a="1"/>
  <c r="S8" i="1" s="1"/>
  <c r="P11" i="14"/>
  <c r="G12" i="14"/>
  <c r="Q12" i="14" s="1"/>
  <c r="Q11" i="1" s="1" a="1"/>
  <c r="Q11" i="1" s="1"/>
  <c r="H12" i="14"/>
  <c r="R12" i="14" s="1"/>
  <c r="O11" i="1" s="1" a="1"/>
  <c r="O11" i="1" s="1"/>
  <c r="I12" i="14"/>
  <c r="S9" i="14" s="1"/>
  <c r="K8" i="1" s="1" a="1"/>
  <c r="K8" i="1" s="1"/>
  <c r="J12" i="14"/>
  <c r="P12" i="14"/>
  <c r="G13" i="14"/>
  <c r="H13" i="14"/>
  <c r="I13" i="14"/>
  <c r="J13" i="14"/>
  <c r="P13" i="14"/>
  <c r="Q13" i="14"/>
  <c r="R13" i="14"/>
  <c r="S13" i="14"/>
  <c r="K12" i="1" s="1" a="1"/>
  <c r="K12" i="1" s="1"/>
  <c r="T13" i="14"/>
  <c r="G14" i="14"/>
  <c r="H14" i="14"/>
  <c r="I14" i="14"/>
  <c r="S14" i="14" s="1"/>
  <c r="K13" i="1" s="1" a="1"/>
  <c r="K13" i="1" s="1"/>
  <c r="J14" i="14"/>
  <c r="P14" i="14"/>
  <c r="G15" i="14"/>
  <c r="H15" i="14"/>
  <c r="I15" i="14"/>
  <c r="J15" i="14"/>
  <c r="P15" i="14"/>
  <c r="M14" i="1" s="1" a="1"/>
  <c r="M14" i="1" s="1"/>
  <c r="Q15" i="14"/>
  <c r="Q14" i="1" s="1" a="1"/>
  <c r="Q14" i="1" s="1"/>
  <c r="R15" i="14"/>
  <c r="O14" i="1" s="1" a="1"/>
  <c r="O14" i="1" s="1"/>
  <c r="S15" i="14"/>
  <c r="K14" i="1" s="1" a="1"/>
  <c r="K14" i="1" s="1"/>
  <c r="T15" i="14"/>
  <c r="G16" i="14"/>
  <c r="H16" i="14"/>
  <c r="I16" i="14"/>
  <c r="J16" i="14"/>
  <c r="P16" i="14"/>
  <c r="Q16" i="14"/>
  <c r="Q15" i="1" s="1" a="1"/>
  <c r="Q15" i="1" s="1"/>
  <c r="G17" i="14"/>
  <c r="Q17" i="14" s="1"/>
  <c r="Q16" i="1" s="1" a="1"/>
  <c r="Q16" i="1" s="1"/>
  <c r="H17" i="14"/>
  <c r="R17" i="14" s="1"/>
  <c r="O16" i="1" s="1" a="1"/>
  <c r="O16" i="1" s="1"/>
  <c r="I17" i="14"/>
  <c r="S17" i="14" s="1"/>
  <c r="K16" i="1" s="1" a="1"/>
  <c r="K16" i="1" s="1"/>
  <c r="J17" i="14"/>
  <c r="T17" i="14" s="1"/>
  <c r="S16" i="1" s="1" a="1"/>
  <c r="S16" i="1" s="1"/>
  <c r="P17" i="14"/>
  <c r="M16" i="1" s="1" a="1"/>
  <c r="M16" i="1" s="1"/>
  <c r="G18" i="14"/>
  <c r="H18" i="14"/>
  <c r="R16" i="14" s="1"/>
  <c r="O15" i="1" s="1" a="1"/>
  <c r="O15" i="1" s="1"/>
  <c r="I18" i="14"/>
  <c r="J18" i="14"/>
  <c r="P18" i="14"/>
  <c r="Q18" i="14"/>
  <c r="R18" i="14"/>
  <c r="S18" i="14"/>
  <c r="T18" i="14"/>
  <c r="D8" i="14"/>
  <c r="E8" i="14"/>
  <c r="D9" i="14"/>
  <c r="E9" i="14"/>
  <c r="D10" i="14"/>
  <c r="E10" i="14"/>
  <c r="D11" i="14"/>
  <c r="E11" i="14"/>
  <c r="D12" i="14"/>
  <c r="E12" i="14"/>
  <c r="D13" i="14"/>
  <c r="E13" i="14"/>
  <c r="D14" i="14"/>
  <c r="E14" i="14"/>
  <c r="D15" i="14"/>
  <c r="E15" i="14"/>
  <c r="D16" i="14"/>
  <c r="E16" i="14"/>
  <c r="D17" i="14"/>
  <c r="E17" i="14"/>
  <c r="D18" i="14"/>
  <c r="E18" i="14"/>
  <c r="D19" i="14"/>
  <c r="E19" i="14"/>
  <c r="D20" i="14"/>
  <c r="E20" i="14"/>
  <c r="D21" i="14"/>
  <c r="E21" i="14"/>
  <c r="D22" i="14"/>
  <c r="E22" i="14"/>
  <c r="D23" i="14"/>
  <c r="E23" i="14"/>
  <c r="D24" i="14"/>
  <c r="E24" i="14"/>
  <c r="D25" i="14"/>
  <c r="E25" i="14"/>
  <c r="D26" i="14"/>
  <c r="E26" i="14"/>
  <c r="D27" i="14"/>
  <c r="E27" i="14"/>
  <c r="D28" i="14"/>
  <c r="E28" i="14"/>
  <c r="F6" i="14"/>
  <c r="F7" i="14"/>
  <c r="F8" i="14"/>
  <c r="F9" i="14"/>
  <c r="F10" i="14"/>
  <c r="F11" i="14"/>
  <c r="F12" i="14"/>
  <c r="F13" i="14"/>
  <c r="F14" i="14"/>
  <c r="F15" i="14"/>
  <c r="F16" i="14"/>
  <c r="F17" i="14"/>
  <c r="F18" i="14"/>
  <c r="F19" i="14"/>
  <c r="M8" i="1" a="1"/>
  <c r="M8" i="1" s="1"/>
  <c r="M10" i="1" a="1"/>
  <c r="M10" i="1" s="1"/>
  <c r="M11" i="1" a="1"/>
  <c r="M11" i="1" s="1"/>
  <c r="M12" i="1" a="1"/>
  <c r="M12" i="1" s="1"/>
  <c r="O12" i="1" a="1"/>
  <c r="O12" i="1" s="1"/>
  <c r="Q12" i="1" a="1"/>
  <c r="Q12" i="1" s="1"/>
  <c r="S12" i="1" a="1"/>
  <c r="S12" i="1" s="1"/>
  <c r="M13" i="1" a="1"/>
  <c r="M13" i="1" s="1"/>
  <c r="S14" i="1" a="1"/>
  <c r="S14" i="1" s="1"/>
  <c r="M15" i="1" a="1"/>
  <c r="M15" i="1" s="1"/>
  <c r="X17" i="1"/>
  <c r="X18" i="1"/>
  <c r="X19" i="1"/>
  <c r="X20" i="1"/>
  <c r="X21" i="1"/>
  <c r="X22" i="1"/>
  <c r="X23" i="1"/>
  <c r="X24" i="1"/>
  <c r="X25" i="1"/>
  <c r="X26" i="1"/>
  <c r="Q4" i="13"/>
  <c r="Q5" i="13"/>
  <c r="Q6" i="13"/>
  <c r="Q7" i="13"/>
  <c r="Q8" i="13"/>
  <c r="Q9" i="13"/>
  <c r="Q10" i="13"/>
  <c r="Q11" i="13"/>
  <c r="Q12" i="13"/>
  <c r="Q13" i="13"/>
  <c r="Q14" i="13"/>
  <c r="Q15" i="13"/>
  <c r="Q16" i="13"/>
  <c r="Q17" i="13"/>
  <c r="Q18" i="13"/>
  <c r="Q19" i="13"/>
  <c r="Q20" i="13"/>
  <c r="Q21" i="13"/>
  <c r="Q22" i="13"/>
  <c r="O290" i="12"/>
  <c r="N280" i="12"/>
  <c r="O280" i="12"/>
  <c r="P280" i="12"/>
  <c r="Q280" i="12"/>
  <c r="N281" i="12"/>
  <c r="O281" i="12"/>
  <c r="P281" i="12"/>
  <c r="Q281" i="12"/>
  <c r="N282" i="12"/>
  <c r="O282" i="12"/>
  <c r="P282" i="12"/>
  <c r="Q282" i="12"/>
  <c r="N283" i="12"/>
  <c r="O283" i="12"/>
  <c r="P283" i="12"/>
  <c r="Q283" i="12"/>
  <c r="N284" i="12"/>
  <c r="O284" i="12"/>
  <c r="P284" i="12"/>
  <c r="Q284" i="12"/>
  <c r="N285" i="12"/>
  <c r="R285" i="12" s="1"/>
  <c r="O285" i="12"/>
  <c r="P285" i="12"/>
  <c r="Q285" i="12"/>
  <c r="N286" i="12"/>
  <c r="O286" i="12"/>
  <c r="R286" i="12" s="1"/>
  <c r="P286" i="12"/>
  <c r="Q286" i="12"/>
  <c r="N287" i="12"/>
  <c r="R287" i="12" s="1"/>
  <c r="O287" i="12"/>
  <c r="P287" i="12"/>
  <c r="Q287" i="12"/>
  <c r="N288" i="12"/>
  <c r="R288" i="12" s="1"/>
  <c r="O288" i="12"/>
  <c r="P288" i="12"/>
  <c r="Q288" i="12"/>
  <c r="N289" i="12"/>
  <c r="O289" i="12"/>
  <c r="P289" i="12"/>
  <c r="Q289" i="12"/>
  <c r="N290" i="12"/>
  <c r="R290" i="12" s="1"/>
  <c r="P290" i="12"/>
  <c r="Q290" i="12"/>
  <c r="N291" i="12"/>
  <c r="O291" i="12"/>
  <c r="P291" i="12"/>
  <c r="Q291" i="12"/>
  <c r="N292" i="12"/>
  <c r="O292" i="12"/>
  <c r="P292" i="12"/>
  <c r="R292" i="12" s="1"/>
  <c r="Q292" i="12"/>
  <c r="N293" i="12"/>
  <c r="R293" i="12" s="1"/>
  <c r="O293" i="12"/>
  <c r="P293" i="12"/>
  <c r="Q293" i="12"/>
  <c r="N294" i="12"/>
  <c r="O294" i="12"/>
  <c r="P294" i="12"/>
  <c r="Q294" i="12"/>
  <c r="N295" i="12"/>
  <c r="O295" i="12"/>
  <c r="P295" i="12"/>
  <c r="Q295" i="12"/>
  <c r="U280" i="12"/>
  <c r="W292" i="12"/>
  <c r="R283" i="12"/>
  <c r="S283" i="12"/>
  <c r="W283" i="12" s="1"/>
  <c r="T283" i="12"/>
  <c r="U283" i="12"/>
  <c r="V283" i="12"/>
  <c r="X283" i="12"/>
  <c r="Y283" i="12"/>
  <c r="S284" i="12"/>
  <c r="T284" i="12"/>
  <c r="W284" i="12" s="1"/>
  <c r="U284" i="12"/>
  <c r="V284" i="12"/>
  <c r="X284" i="12"/>
  <c r="Y284" i="12"/>
  <c r="S285" i="12"/>
  <c r="T285" i="12"/>
  <c r="U285" i="12"/>
  <c r="V285" i="12"/>
  <c r="W285" i="12"/>
  <c r="X285" i="12"/>
  <c r="AB285" i="12" s="1"/>
  <c r="Y285" i="12"/>
  <c r="Z285" i="12"/>
  <c r="AA285" i="12"/>
  <c r="S286" i="12"/>
  <c r="T286" i="12"/>
  <c r="U286" i="12"/>
  <c r="V286" i="12"/>
  <c r="X286" i="12"/>
  <c r="Y286" i="12"/>
  <c r="Z286" i="12"/>
  <c r="AB286" i="12" s="1"/>
  <c r="AA286" i="12"/>
  <c r="S287" i="12"/>
  <c r="T287" i="12"/>
  <c r="U287" i="12"/>
  <c r="V287" i="12"/>
  <c r="W287" i="12"/>
  <c r="X287" i="12"/>
  <c r="AB287" i="12" s="1"/>
  <c r="Y287" i="12"/>
  <c r="Z287" i="12"/>
  <c r="AA287" i="12"/>
  <c r="S288" i="12"/>
  <c r="W288" i="12" s="1"/>
  <c r="T288" i="12"/>
  <c r="U288" i="12"/>
  <c r="V288" i="12"/>
  <c r="X288" i="12"/>
  <c r="AB288" i="12" s="1"/>
  <c r="Y288" i="12"/>
  <c r="Z288" i="12"/>
  <c r="AA288" i="12"/>
  <c r="S289" i="12"/>
  <c r="T289" i="12"/>
  <c r="W289" i="12" s="1"/>
  <c r="U289" i="12"/>
  <c r="V289" i="12"/>
  <c r="X289" i="12"/>
  <c r="Y289" i="12"/>
  <c r="Z289" i="12"/>
  <c r="AA289" i="12"/>
  <c r="S290" i="12"/>
  <c r="T290" i="12"/>
  <c r="U290" i="12"/>
  <c r="V290" i="12"/>
  <c r="X290" i="12"/>
  <c r="AB290" i="12" s="1"/>
  <c r="Y290" i="12"/>
  <c r="Z290" i="12"/>
  <c r="AA290" i="12"/>
  <c r="S291" i="12"/>
  <c r="T291" i="12"/>
  <c r="U291" i="12"/>
  <c r="V291" i="12"/>
  <c r="X291" i="12"/>
  <c r="Y291" i="12"/>
  <c r="Z291" i="12"/>
  <c r="AB291" i="12" s="1"/>
  <c r="AA291" i="12"/>
  <c r="S292" i="12"/>
  <c r="T292" i="12"/>
  <c r="U292" i="12"/>
  <c r="V292" i="12"/>
  <c r="X292" i="12"/>
  <c r="Y292" i="12"/>
  <c r="Z292" i="12"/>
  <c r="AA292" i="12"/>
  <c r="AB292" i="12"/>
  <c r="S293" i="12"/>
  <c r="T293" i="12"/>
  <c r="U293" i="12"/>
  <c r="V293" i="12"/>
  <c r="X293" i="12"/>
  <c r="Y293" i="12"/>
  <c r="Z293" i="12"/>
  <c r="AA293" i="12"/>
  <c r="AB293" i="12"/>
  <c r="S294" i="12"/>
  <c r="W294" i="12" s="1"/>
  <c r="T294" i="12"/>
  <c r="U294" i="12"/>
  <c r="V294" i="12"/>
  <c r="X294" i="12"/>
  <c r="Y294" i="12"/>
  <c r="Z294" i="12"/>
  <c r="AA294" i="12"/>
  <c r="S295" i="12"/>
  <c r="T295" i="12"/>
  <c r="U295" i="12"/>
  <c r="V295" i="12"/>
  <c r="W295" i="12"/>
  <c r="X295" i="12"/>
  <c r="AB295" i="12" s="1"/>
  <c r="Y295" i="12"/>
  <c r="Z295" i="12"/>
  <c r="AA295" i="12"/>
  <c r="R28" i="2"/>
  <c r="R29" i="2"/>
  <c r="R30" i="2"/>
  <c r="R27" i="2"/>
  <c r="X21" i="2"/>
  <c r="Y21" i="2"/>
  <c r="Z21" i="2"/>
  <c r="AA21" i="2"/>
  <c r="AB21" i="2"/>
  <c r="AC21" i="2"/>
  <c r="AD21" i="2"/>
  <c r="AE21" i="2"/>
  <c r="AF21" i="2"/>
  <c r="AG21" i="2"/>
  <c r="AH21" i="2"/>
  <c r="AI21" i="2"/>
  <c r="AJ21" i="2"/>
  <c r="AK21" i="2"/>
  <c r="AL21" i="2"/>
  <c r="AM21" i="2"/>
  <c r="AN21" i="2"/>
  <c r="AO21" i="2"/>
  <c r="AP21" i="2"/>
  <c r="AQ21" i="2"/>
  <c r="AR21" i="2"/>
  <c r="AS21" i="2"/>
  <c r="AT21" i="2"/>
  <c r="AU21" i="2"/>
  <c r="AV21" i="2"/>
  <c r="AW21" i="2"/>
  <c r="AX21" i="2"/>
  <c r="AY21" i="2"/>
  <c r="AZ21" i="2"/>
  <c r="BA21" i="2"/>
  <c r="BB21" i="2"/>
  <c r="BC21" i="2"/>
  <c r="BD21" i="2"/>
  <c r="BE21" i="2"/>
  <c r="BF21" i="2"/>
  <c r="BG21" i="2"/>
  <c r="BH21" i="2"/>
  <c r="BI21" i="2"/>
  <c r="BJ21" i="2"/>
  <c r="BK21" i="2"/>
  <c r="BL21" i="2"/>
  <c r="BM21" i="2"/>
  <c r="BN21" i="2"/>
  <c r="BO21" i="2"/>
  <c r="BP21" i="2"/>
  <c r="BQ21" i="2"/>
  <c r="BR21" i="2"/>
  <c r="BS21" i="2"/>
  <c r="BT21" i="2"/>
  <c r="X22" i="2"/>
  <c r="Y22" i="2"/>
  <c r="Z22" i="2"/>
  <c r="AA22" i="2"/>
  <c r="AB22" i="2"/>
  <c r="AC22" i="2"/>
  <c r="AD22" i="2"/>
  <c r="AE22" i="2"/>
  <c r="AF22" i="2"/>
  <c r="AG22" i="2"/>
  <c r="AH22" i="2"/>
  <c r="AI22" i="2"/>
  <c r="AJ22" i="2"/>
  <c r="AK22" i="2"/>
  <c r="AL22" i="2"/>
  <c r="AM22" i="2"/>
  <c r="AN22" i="2"/>
  <c r="AO22" i="2"/>
  <c r="AP22" i="2"/>
  <c r="AQ22" i="2"/>
  <c r="AR22" i="2"/>
  <c r="AS22" i="2"/>
  <c r="AT22" i="2"/>
  <c r="AU22" i="2"/>
  <c r="AV22" i="2"/>
  <c r="AW22" i="2"/>
  <c r="AX22" i="2"/>
  <c r="AY22" i="2"/>
  <c r="AZ22" i="2"/>
  <c r="BA22" i="2"/>
  <c r="BB22" i="2"/>
  <c r="BC22" i="2"/>
  <c r="BD22" i="2"/>
  <c r="BE22" i="2"/>
  <c r="BF22" i="2"/>
  <c r="BG22" i="2"/>
  <c r="BH22" i="2"/>
  <c r="BI22" i="2"/>
  <c r="BJ22" i="2"/>
  <c r="BK22" i="2"/>
  <c r="BL22" i="2"/>
  <c r="BM22" i="2"/>
  <c r="BN22" i="2"/>
  <c r="BO22" i="2"/>
  <c r="BP22" i="2"/>
  <c r="BQ22" i="2"/>
  <c r="BR22" i="2"/>
  <c r="BS22" i="2"/>
  <c r="BT22" i="2"/>
  <c r="X23" i="2"/>
  <c r="Y23" i="2"/>
  <c r="Z23" i="2"/>
  <c r="AA23" i="2"/>
  <c r="AB23" i="2"/>
  <c r="AC23" i="2"/>
  <c r="AD23" i="2"/>
  <c r="AE23" i="2"/>
  <c r="AF23" i="2"/>
  <c r="AG23" i="2"/>
  <c r="AH23" i="2"/>
  <c r="AI23" i="2"/>
  <c r="AJ23" i="2"/>
  <c r="AK23" i="2"/>
  <c r="AL23" i="2"/>
  <c r="AM23" i="2"/>
  <c r="AN23" i="2"/>
  <c r="AO23" i="2"/>
  <c r="AP23" i="2"/>
  <c r="AQ23" i="2"/>
  <c r="AR23" i="2"/>
  <c r="AS23" i="2"/>
  <c r="AT23" i="2"/>
  <c r="AU23" i="2"/>
  <c r="AV23" i="2"/>
  <c r="AW23" i="2"/>
  <c r="AX23" i="2"/>
  <c r="AY23" i="2"/>
  <c r="AZ23" i="2"/>
  <c r="BA23" i="2"/>
  <c r="BB23" i="2"/>
  <c r="BC23" i="2"/>
  <c r="BD23" i="2"/>
  <c r="BE23" i="2"/>
  <c r="BF23" i="2"/>
  <c r="BG23" i="2"/>
  <c r="BH23" i="2"/>
  <c r="BI23" i="2"/>
  <c r="BJ23" i="2"/>
  <c r="BK23" i="2"/>
  <c r="BL23" i="2"/>
  <c r="BM23" i="2"/>
  <c r="BN23" i="2"/>
  <c r="BO23" i="2"/>
  <c r="BP23" i="2"/>
  <c r="BQ23" i="2"/>
  <c r="BR23" i="2"/>
  <c r="BS23" i="2"/>
  <c r="BT23" i="2"/>
  <c r="X24" i="2"/>
  <c r="Y24" i="2"/>
  <c r="Z24" i="2"/>
  <c r="AA24" i="2"/>
  <c r="AB24" i="2"/>
  <c r="AC24" i="2"/>
  <c r="AD24" i="2"/>
  <c r="AE24" i="2"/>
  <c r="AF24" i="2"/>
  <c r="AG24" i="2"/>
  <c r="AH24" i="2"/>
  <c r="AI24" i="2"/>
  <c r="AJ24" i="2"/>
  <c r="AK24" i="2"/>
  <c r="AL24" i="2"/>
  <c r="AM24" i="2"/>
  <c r="AN24" i="2"/>
  <c r="AO24" i="2"/>
  <c r="AP24" i="2"/>
  <c r="AQ24" i="2"/>
  <c r="AR24" i="2"/>
  <c r="AS24" i="2"/>
  <c r="AT24" i="2"/>
  <c r="AU24" i="2"/>
  <c r="AV24" i="2"/>
  <c r="AW24" i="2"/>
  <c r="AX24" i="2"/>
  <c r="AY24" i="2"/>
  <c r="AZ24" i="2"/>
  <c r="BA24" i="2"/>
  <c r="BB24" i="2"/>
  <c r="BC24" i="2"/>
  <c r="BD24" i="2"/>
  <c r="BE24" i="2"/>
  <c r="BF24" i="2"/>
  <c r="BG24" i="2"/>
  <c r="BH24" i="2"/>
  <c r="BI24" i="2"/>
  <c r="BJ24" i="2"/>
  <c r="BK24" i="2"/>
  <c r="BL24" i="2"/>
  <c r="BM24" i="2"/>
  <c r="BN24" i="2"/>
  <c r="BO24" i="2"/>
  <c r="BP24" i="2"/>
  <c r="BQ24" i="2"/>
  <c r="BR24" i="2"/>
  <c r="BS24" i="2"/>
  <c r="BT24" i="2"/>
  <c r="W21" i="2"/>
  <c r="W22" i="2"/>
  <c r="W23" i="2"/>
  <c r="W24" i="2"/>
  <c r="V23" i="2"/>
  <c r="V24" i="2"/>
  <c r="V21" i="2"/>
  <c r="V22" i="2"/>
  <c r="R22" i="2"/>
  <c r="R24" i="2"/>
  <c r="R21" i="2"/>
  <c r="R23" i="2"/>
  <c r="B2" i="2"/>
  <c r="B3" i="2"/>
  <c r="B4" i="2"/>
  <c r="B5" i="2"/>
  <c r="B6" i="2"/>
  <c r="B7" i="2"/>
  <c r="B8" i="2"/>
  <c r="B9" i="2"/>
  <c r="L50" i="15"/>
  <c r="L51" i="15"/>
  <c r="L52" i="15"/>
  <c r="L53" i="15"/>
  <c r="L54" i="15"/>
  <c r="L55" i="15"/>
  <c r="L56" i="15"/>
  <c r="L57" i="15"/>
  <c r="W32" i="1"/>
  <c r="H37" i="14"/>
  <c r="Y112" i="11"/>
  <c r="Y113" i="11"/>
  <c r="X114" i="11"/>
  <c r="X118" i="11"/>
  <c r="T103" i="11"/>
  <c r="Y103" i="11" s="1"/>
  <c r="T104" i="11"/>
  <c r="Y104" i="11" s="1"/>
  <c r="T105" i="11"/>
  <c r="Y105" i="11" s="1"/>
  <c r="T106" i="11"/>
  <c r="Y106" i="11" s="1"/>
  <c r="T107" i="11"/>
  <c r="Y107" i="11" s="1"/>
  <c r="T108" i="11"/>
  <c r="T109" i="11"/>
  <c r="Y109" i="11" s="1"/>
  <c r="T110" i="11"/>
  <c r="Y110" i="11" s="1"/>
  <c r="T111" i="11"/>
  <c r="Y111" i="11" s="1"/>
  <c r="T112" i="11"/>
  <c r="Z112" i="11" s="1"/>
  <c r="T113" i="11"/>
  <c r="T114" i="11"/>
  <c r="Y114" i="11" s="1"/>
  <c r="T115" i="11"/>
  <c r="Y115" i="11" s="1"/>
  <c r="T116" i="11"/>
  <c r="Y116" i="11" s="1"/>
  <c r="T117" i="11"/>
  <c r="Y117" i="11" s="1"/>
  <c r="T118" i="11"/>
  <c r="T119" i="11"/>
  <c r="Y119" i="11" s="1"/>
  <c r="T120" i="11"/>
  <c r="Y120" i="11" s="1"/>
  <c r="T121" i="11"/>
  <c r="Y121" i="11" s="1"/>
  <c r="T122" i="11"/>
  <c r="Y122" i="11" s="1"/>
  <c r="T102" i="11"/>
  <c r="Y102" i="11" s="1"/>
  <c r="W122" i="11"/>
  <c r="W121" i="11"/>
  <c r="W120" i="11"/>
  <c r="W119" i="11"/>
  <c r="W118" i="11"/>
  <c r="W117" i="11"/>
  <c r="W116" i="11"/>
  <c r="W115" i="11"/>
  <c r="W114" i="11"/>
  <c r="W113" i="11"/>
  <c r="W112" i="11"/>
  <c r="W111" i="11"/>
  <c r="W110" i="11"/>
  <c r="W109" i="11"/>
  <c r="W108" i="11"/>
  <c r="W107" i="11"/>
  <c r="W106" i="11"/>
  <c r="W105" i="11"/>
  <c r="W104" i="11"/>
  <c r="W103" i="11"/>
  <c r="W102" i="11"/>
  <c r="AA102" i="11" s="1"/>
  <c r="V102" i="11"/>
  <c r="X102" i="11" s="1"/>
  <c r="V103" i="11"/>
  <c r="X103" i="11" s="1"/>
  <c r="V104" i="11"/>
  <c r="X104" i="11" s="1"/>
  <c r="V105" i="11"/>
  <c r="X105" i="11" s="1"/>
  <c r="V106" i="11"/>
  <c r="X106" i="11" s="1"/>
  <c r="V107" i="11"/>
  <c r="X107" i="11" s="1"/>
  <c r="V109" i="11"/>
  <c r="X109" i="11" s="1"/>
  <c r="V110" i="11"/>
  <c r="X110" i="11" s="1"/>
  <c r="V111" i="11"/>
  <c r="X111" i="11" s="1"/>
  <c r="V112" i="11"/>
  <c r="X112" i="11" s="1"/>
  <c r="V113" i="11"/>
  <c r="X113" i="11" s="1"/>
  <c r="V114" i="11"/>
  <c r="V115" i="11"/>
  <c r="X115" i="11" s="1"/>
  <c r="V116" i="11"/>
  <c r="X116" i="11" s="1"/>
  <c r="V117" i="11"/>
  <c r="V118" i="11"/>
  <c r="V119" i="11"/>
  <c r="X119" i="11" s="1"/>
  <c r="V120" i="11"/>
  <c r="X120" i="11" s="1"/>
  <c r="V121" i="11"/>
  <c r="X121" i="11" s="1"/>
  <c r="V122" i="11"/>
  <c r="X122" i="11" s="1"/>
  <c r="V108" i="11"/>
  <c r="X108" i="11" s="1"/>
  <c r="H16" i="9"/>
  <c r="L16" i="9" s="1"/>
  <c r="I16" i="9"/>
  <c r="J16" i="9"/>
  <c r="K16" i="9"/>
  <c r="H17" i="9"/>
  <c r="L17" i="9" s="1"/>
  <c r="I17" i="9"/>
  <c r="J17" i="9"/>
  <c r="K17" i="9"/>
  <c r="H18" i="9"/>
  <c r="L18" i="9" s="1"/>
  <c r="F20" i="14" s="1"/>
  <c r="I18" i="9"/>
  <c r="J18" i="9"/>
  <c r="K18" i="9"/>
  <c r="H19" i="9"/>
  <c r="L19" i="9" s="1"/>
  <c r="F21" i="14" s="1"/>
  <c r="I19" i="9"/>
  <c r="J19" i="9"/>
  <c r="K19" i="9"/>
  <c r="H20" i="9"/>
  <c r="L20" i="9" s="1"/>
  <c r="F22" i="14" s="1"/>
  <c r="I20" i="9"/>
  <c r="J20" i="9"/>
  <c r="K20" i="9"/>
  <c r="H21" i="9"/>
  <c r="L21" i="9" s="1"/>
  <c r="F23" i="14" s="1"/>
  <c r="I21" i="9"/>
  <c r="J21" i="9"/>
  <c r="K21" i="9"/>
  <c r="H22" i="9"/>
  <c r="L22" i="9" s="1"/>
  <c r="F24" i="14" s="1"/>
  <c r="I22" i="9"/>
  <c r="J22" i="9"/>
  <c r="K22" i="9"/>
  <c r="H23" i="9"/>
  <c r="L23" i="9" s="1"/>
  <c r="F25" i="14" s="1"/>
  <c r="I23" i="9"/>
  <c r="J23" i="9"/>
  <c r="K23" i="9"/>
  <c r="H24" i="9"/>
  <c r="L24" i="9" s="1"/>
  <c r="F26" i="14" s="1"/>
  <c r="I24" i="9"/>
  <c r="J24" i="9"/>
  <c r="K24" i="9"/>
  <c r="H25" i="9"/>
  <c r="L25" i="9" s="1"/>
  <c r="F27" i="14" s="1"/>
  <c r="I25" i="9"/>
  <c r="J25" i="9"/>
  <c r="K25" i="9"/>
  <c r="H26" i="9"/>
  <c r="L26" i="9" s="1"/>
  <c r="F28" i="14" s="1"/>
  <c r="I26" i="9"/>
  <c r="J26" i="9"/>
  <c r="K26" i="9"/>
  <c r="H27" i="9"/>
  <c r="L27" i="9" s="1"/>
  <c r="F29" i="14" s="1"/>
  <c r="I27" i="9"/>
  <c r="J27" i="9"/>
  <c r="K27" i="9"/>
  <c r="I266" i="12"/>
  <c r="I268" i="12"/>
  <c r="I269" i="12"/>
  <c r="I270" i="12"/>
  <c r="I271" i="12"/>
  <c r="I272" i="12"/>
  <c r="I273" i="12"/>
  <c r="I274" i="12"/>
  <c r="I277" i="12"/>
  <c r="I278" i="12"/>
  <c r="I279" i="12"/>
  <c r="I280" i="12"/>
  <c r="I281" i="12"/>
  <c r="I282" i="12"/>
  <c r="I283" i="12"/>
  <c r="I284" i="12"/>
  <c r="I267" i="12"/>
  <c r="K267" i="12"/>
  <c r="K268" i="12"/>
  <c r="K269" i="12"/>
  <c r="K270" i="12"/>
  <c r="K271" i="12"/>
  <c r="K272" i="12"/>
  <c r="K273" i="12"/>
  <c r="K274" i="12"/>
  <c r="K275" i="12"/>
  <c r="K276" i="12"/>
  <c r="K277" i="12"/>
  <c r="K278" i="12"/>
  <c r="K279" i="12"/>
  <c r="K280" i="12"/>
  <c r="K281" i="12"/>
  <c r="K282" i="12"/>
  <c r="K283" i="12"/>
  <c r="K284" i="12"/>
  <c r="K266" i="12"/>
  <c r="G269" i="12"/>
  <c r="G270" i="12"/>
  <c r="G271" i="12"/>
  <c r="G272" i="12"/>
  <c r="G273" i="12"/>
  <c r="G274" i="12"/>
  <c r="G275" i="12"/>
  <c r="G276" i="12"/>
  <c r="G277" i="12"/>
  <c r="G279" i="12"/>
  <c r="G280" i="12"/>
  <c r="G281" i="12"/>
  <c r="G282" i="12"/>
  <c r="G283" i="12"/>
  <c r="G284" i="12"/>
  <c r="G266" i="12"/>
  <c r="P27" i="13"/>
  <c r="P28" i="13"/>
  <c r="P32" i="13"/>
  <c r="P33" i="13"/>
  <c r="F24" i="13"/>
  <c r="F25" i="13"/>
  <c r="K25" i="13" s="1"/>
  <c r="F26" i="13"/>
  <c r="K26" i="13" s="1"/>
  <c r="F27" i="13"/>
  <c r="F28" i="13"/>
  <c r="F29" i="13"/>
  <c r="K29" i="13" s="1"/>
  <c r="F30" i="13"/>
  <c r="K30" i="13" s="1"/>
  <c r="F31" i="13"/>
  <c r="F32" i="13"/>
  <c r="K32" i="13" s="1"/>
  <c r="F33" i="13"/>
  <c r="K33" i="13" s="1"/>
  <c r="F34" i="13"/>
  <c r="F35" i="13"/>
  <c r="F36" i="13"/>
  <c r="F37" i="13"/>
  <c r="F38" i="13"/>
  <c r="F39" i="13"/>
  <c r="L24" i="13"/>
  <c r="L25" i="13"/>
  <c r="L26" i="13"/>
  <c r="L27" i="13"/>
  <c r="L28" i="13"/>
  <c r="L29" i="13"/>
  <c r="L30" i="13"/>
  <c r="L31" i="13"/>
  <c r="L32" i="13"/>
  <c r="L33" i="13"/>
  <c r="N24" i="13"/>
  <c r="P24" i="13" s="1"/>
  <c r="N25" i="13"/>
  <c r="P25" i="13" s="1"/>
  <c r="N26" i="13"/>
  <c r="P26" i="13" s="1"/>
  <c r="N27" i="13"/>
  <c r="N28" i="13"/>
  <c r="N29" i="13"/>
  <c r="P29" i="13" s="1"/>
  <c r="N30" i="13"/>
  <c r="P30" i="13" s="1"/>
  <c r="N31" i="13"/>
  <c r="P31" i="13" s="1"/>
  <c r="H24" i="13"/>
  <c r="J24" i="13" s="1"/>
  <c r="H25" i="13"/>
  <c r="J25" i="13" s="1"/>
  <c r="H26" i="13"/>
  <c r="J26" i="13" s="1"/>
  <c r="H27" i="13"/>
  <c r="J27" i="13" s="1"/>
  <c r="H28" i="13"/>
  <c r="J28" i="13" s="1"/>
  <c r="H29" i="13"/>
  <c r="H30" i="13"/>
  <c r="J30" i="13" s="1"/>
  <c r="H31" i="13"/>
  <c r="J31" i="13" s="1"/>
  <c r="H32" i="13"/>
  <c r="H33" i="13"/>
  <c r="H34" i="13"/>
  <c r="H35" i="13"/>
  <c r="H36" i="13"/>
  <c r="H37" i="13"/>
  <c r="H38" i="13"/>
  <c r="H39" i="13"/>
  <c r="B16" i="9"/>
  <c r="B17" i="9"/>
  <c r="B18" i="9"/>
  <c r="B19" i="9"/>
  <c r="B20" i="9"/>
  <c r="B21" i="9"/>
  <c r="B22" i="9"/>
  <c r="B23" i="9"/>
  <c r="B24" i="9"/>
  <c r="B25" i="9"/>
  <c r="B26" i="9"/>
  <c r="AH8" i="2"/>
  <c r="AL8" i="2"/>
  <c r="AX8" i="2"/>
  <c r="AW8" i="2"/>
  <c r="V3" i="2"/>
  <c r="BK8" i="2"/>
  <c r="AC8" i="2"/>
  <c r="BI11" i="2"/>
  <c r="BE8" i="2"/>
  <c r="BD8" i="2"/>
  <c r="Y8" i="2"/>
  <c r="AK8" i="2"/>
  <c r="AZ8" i="2"/>
  <c r="BF8" i="2"/>
  <c r="BP8" i="2"/>
  <c r="BH8" i="2"/>
  <c r="V7" i="2"/>
  <c r="V19" i="2"/>
  <c r="BJ8" i="2"/>
  <c r="V6" i="2"/>
  <c r="AP8" i="2"/>
  <c r="O2" i="9"/>
  <c r="AV8" i="2"/>
  <c r="AN8" i="2"/>
  <c r="BI8" i="2"/>
  <c r="BN8" i="2"/>
  <c r="BR8" i="2"/>
  <c r="BG8" i="2"/>
  <c r="BS8" i="2"/>
  <c r="BA8" i="2"/>
  <c r="BL8" i="2"/>
  <c r="BO8" i="2"/>
  <c r="W8" i="2"/>
  <c r="AB8" i="2"/>
  <c r="V8" i="2"/>
  <c r="AU8" i="2"/>
  <c r="BQ8" i="2"/>
  <c r="AO8" i="2"/>
  <c r="AM8" i="2"/>
  <c r="AG8" i="2"/>
  <c r="AY8" i="2"/>
  <c r="X8" i="2"/>
  <c r="AE8" i="2"/>
  <c r="V9" i="2"/>
  <c r="BT8" i="2"/>
  <c r="Z8" i="2"/>
  <c r="AJ8" i="2"/>
  <c r="AD8" i="2"/>
  <c r="AQ8" i="2"/>
  <c r="BC8" i="2"/>
  <c r="AI8" i="2"/>
  <c r="AF8" i="2"/>
  <c r="BB8" i="2"/>
  <c r="AA8" i="2"/>
  <c r="AS8" i="2"/>
  <c r="AR8" i="2"/>
  <c r="AT8" i="2"/>
  <c r="BM8" i="2"/>
  <c r="T6" i="1" l="1"/>
  <c r="V6" i="1" s="1"/>
  <c r="U6" i="1"/>
  <c r="T5" i="1"/>
  <c r="U5" i="1"/>
  <c r="T8" i="14"/>
  <c r="S7" i="1" s="1" a="1"/>
  <c r="S7" i="1" s="1"/>
  <c r="Q6" i="14"/>
  <c r="T16" i="14"/>
  <c r="S15" i="1" s="1" a="1"/>
  <c r="S15" i="1" s="1"/>
  <c r="R11" i="14"/>
  <c r="O10" i="1" s="1" a="1"/>
  <c r="O10" i="1" s="1"/>
  <c r="S8" i="14"/>
  <c r="K7" i="1" s="1" a="1"/>
  <c r="K7" i="1" s="1"/>
  <c r="S6" i="14"/>
  <c r="S11" i="14"/>
  <c r="K10" i="1" s="1" a="1"/>
  <c r="K10" i="1" s="1"/>
  <c r="S16" i="14"/>
  <c r="K15" i="1" s="1" a="1"/>
  <c r="K15" i="1" s="1"/>
  <c r="Q11" i="14"/>
  <c r="Q10" i="1" s="1" a="1"/>
  <c r="Q10" i="1" s="1"/>
  <c r="Q8" i="14"/>
  <c r="Q7" i="1" s="1" a="1"/>
  <c r="Q7" i="1" s="1"/>
  <c r="R14" i="14"/>
  <c r="O13" i="1" s="1" a="1"/>
  <c r="O13" i="1" s="1"/>
  <c r="T7" i="14"/>
  <c r="R8" i="14"/>
  <c r="O7" i="1" s="1" a="1"/>
  <c r="O7" i="1" s="1"/>
  <c r="Q9" i="14"/>
  <c r="Q8" i="1" s="1" a="1"/>
  <c r="Q8" i="1" s="1"/>
  <c r="Q14" i="14"/>
  <c r="Q13" i="1" s="1" a="1"/>
  <c r="Q13" i="1" s="1"/>
  <c r="O9" i="14"/>
  <c r="R8" i="1" s="1" a="1"/>
  <c r="R8" i="1" s="1"/>
  <c r="S7" i="14"/>
  <c r="T11" i="14"/>
  <c r="S10" i="1" s="1" a="1"/>
  <c r="S10" i="1" s="1"/>
  <c r="R6" i="14"/>
  <c r="T12" i="14"/>
  <c r="S11" i="1" s="1" a="1"/>
  <c r="S11" i="1" s="1"/>
  <c r="R7" i="14"/>
  <c r="S12" i="14"/>
  <c r="K11" i="1" s="1" a="1"/>
  <c r="K11" i="1" s="1"/>
  <c r="T14" i="14"/>
  <c r="S13" i="1" s="1" a="1"/>
  <c r="S13" i="1" s="1"/>
  <c r="R9" i="14"/>
  <c r="O8" i="1" s="1" a="1"/>
  <c r="O8" i="1" s="1"/>
  <c r="T6" i="14"/>
  <c r="W291" i="12"/>
  <c r="W286" i="12"/>
  <c r="Z108" i="11"/>
  <c r="W293" i="12"/>
  <c r="R291" i="12"/>
  <c r="I32" i="13"/>
  <c r="R295" i="12"/>
  <c r="R289" i="12"/>
  <c r="AB294" i="12"/>
  <c r="AB289" i="12"/>
  <c r="R284" i="12"/>
  <c r="Z118" i="11"/>
  <c r="W290" i="12"/>
  <c r="R294" i="12"/>
  <c r="I27" i="13"/>
  <c r="AA122" i="11"/>
  <c r="Z113" i="11"/>
  <c r="AA114" i="11"/>
  <c r="H26" i="14" s="1"/>
  <c r="I29" i="13"/>
  <c r="Y118" i="11"/>
  <c r="AA118" i="11" s="1"/>
  <c r="H22" i="14" s="1"/>
  <c r="Z102" i="11"/>
  <c r="AA105" i="11"/>
  <c r="H35" i="14" s="1"/>
  <c r="AA103" i="11"/>
  <c r="AA104" i="11"/>
  <c r="H36" i="14" s="1"/>
  <c r="I26" i="13"/>
  <c r="O26" i="13" s="1"/>
  <c r="Q26" i="13" s="1"/>
  <c r="J22" i="14" s="1"/>
  <c r="I25" i="13"/>
  <c r="O25" i="13" s="1"/>
  <c r="Q25" i="13" s="1"/>
  <c r="J21" i="14" s="1"/>
  <c r="I24" i="13"/>
  <c r="Z117" i="11"/>
  <c r="Y108" i="11"/>
  <c r="AA108" i="11" s="1"/>
  <c r="H32" i="14" s="1"/>
  <c r="AA116" i="11"/>
  <c r="H24" i="14" s="1"/>
  <c r="AA112" i="11"/>
  <c r="H28" i="14" s="1"/>
  <c r="K24" i="13"/>
  <c r="Z122" i="11"/>
  <c r="Z121" i="11"/>
  <c r="Z114" i="11"/>
  <c r="AA119" i="11"/>
  <c r="H21" i="14" s="1"/>
  <c r="Z120" i="11"/>
  <c r="AA107" i="11"/>
  <c r="H33" i="14" s="1"/>
  <c r="AA120" i="11"/>
  <c r="H20" i="14" s="1"/>
  <c r="I33" i="13"/>
  <c r="J32" i="13"/>
  <c r="O32" i="13" s="1"/>
  <c r="Q32" i="13" s="1"/>
  <c r="J28" i="14" s="1"/>
  <c r="Z104" i="11"/>
  <c r="D5" i="2"/>
  <c r="C5" i="2" s="1"/>
  <c r="F7" i="2"/>
  <c r="D6" i="2"/>
  <c r="C6" i="2" s="1"/>
  <c r="D3" i="2"/>
  <c r="C3" i="2" s="1"/>
  <c r="F8" i="2"/>
  <c r="E8" i="2" s="1"/>
  <c r="F6" i="2"/>
  <c r="E6" i="2" s="1"/>
  <c r="D2" i="2"/>
  <c r="C2" i="2" s="1"/>
  <c r="F5" i="2"/>
  <c r="E5" i="2" s="1"/>
  <c r="AA106" i="11"/>
  <c r="H34" i="14" s="1"/>
  <c r="AA115" i="11"/>
  <c r="H25" i="14" s="1"/>
  <c r="I30" i="13"/>
  <c r="O30" i="13" s="1"/>
  <c r="Q30" i="13" s="1"/>
  <c r="J26" i="14" s="1"/>
  <c r="K27" i="13"/>
  <c r="J29" i="13"/>
  <c r="AA113" i="11"/>
  <c r="H27" i="14" s="1"/>
  <c r="AA121" i="11"/>
  <c r="H19" i="14" s="1"/>
  <c r="Z109" i="11"/>
  <c r="AA109" i="11" s="1"/>
  <c r="H31" i="14" s="1"/>
  <c r="Z107" i="11"/>
  <c r="X117" i="11"/>
  <c r="Z116" i="11"/>
  <c r="Z103" i="11"/>
  <c r="J33" i="13"/>
  <c r="Z115" i="11"/>
  <c r="Z110" i="11"/>
  <c r="AA110" i="11" s="1"/>
  <c r="H30" i="14" s="1"/>
  <c r="I31" i="13"/>
  <c r="Z111" i="11"/>
  <c r="AA111" i="11" s="1"/>
  <c r="H29" i="14" s="1"/>
  <c r="Z106" i="11"/>
  <c r="AA117" i="11"/>
  <c r="H23" i="14" s="1"/>
  <c r="Z105" i="11"/>
  <c r="Z119" i="11"/>
  <c r="D4" i="2"/>
  <c r="C4" i="2" s="1"/>
  <c r="F3" i="2"/>
  <c r="E3" i="2" s="1"/>
  <c r="D9" i="2"/>
  <c r="C9" i="2" s="1"/>
  <c r="F4" i="2"/>
  <c r="E4" i="2" s="1"/>
  <c r="D8" i="2"/>
  <c r="D7" i="2"/>
  <c r="C7" i="2" s="1"/>
  <c r="F2" i="2"/>
  <c r="E2" i="2" s="1"/>
  <c r="K31" i="13"/>
  <c r="B27" i="9"/>
  <c r="B30" i="9"/>
  <c r="P274" i="12"/>
  <c r="N274" i="12"/>
  <c r="O274" i="12"/>
  <c r="S274" i="12"/>
  <c r="T274" i="12"/>
  <c r="U274" i="12"/>
  <c r="V274" i="12"/>
  <c r="X274" i="12"/>
  <c r="Y274" i="12"/>
  <c r="O275" i="12"/>
  <c r="I275" i="12"/>
  <c r="N275" i="12"/>
  <c r="V275" i="12"/>
  <c r="P276" i="12"/>
  <c r="N276" i="12"/>
  <c r="Q276" i="12"/>
  <c r="T276" i="12"/>
  <c r="V276" i="12"/>
  <c r="AA276" i="12"/>
  <c r="Q277" i="12"/>
  <c r="V277" i="12"/>
  <c r="N277" i="12"/>
  <c r="O277" i="12"/>
  <c r="P277" i="12"/>
  <c r="S277" i="12"/>
  <c r="T277" i="12"/>
  <c r="U277" i="12"/>
  <c r="X277" i="12"/>
  <c r="Y277" i="12"/>
  <c r="F278" i="12"/>
  <c r="G278" i="12" s="1"/>
  <c r="U279" i="12"/>
  <c r="S279" i="12"/>
  <c r="N279" i="12"/>
  <c r="O279" i="12"/>
  <c r="P279" i="12"/>
  <c r="Q279" i="12"/>
  <c r="V279" i="12"/>
  <c r="Y279" i="12"/>
  <c r="V280" i="12"/>
  <c r="S280" i="12"/>
  <c r="T280" i="12"/>
  <c r="X280" i="12"/>
  <c r="Y280" i="12"/>
  <c r="S281" i="12"/>
  <c r="T281" i="12"/>
  <c r="U281" i="12"/>
  <c r="V281" i="12"/>
  <c r="Y281" i="12"/>
  <c r="U282" i="12"/>
  <c r="V282" i="12"/>
  <c r="E284" i="12"/>
  <c r="E274" i="12"/>
  <c r="E275" i="12"/>
  <c r="E276" i="12"/>
  <c r="E277" i="12"/>
  <c r="E278" i="12"/>
  <c r="E279" i="12"/>
  <c r="E280" i="12"/>
  <c r="L280" i="12" s="1"/>
  <c r="E281" i="12"/>
  <c r="E282" i="12"/>
  <c r="E283" i="12"/>
  <c r="K20" i="10"/>
  <c r="K21" i="10"/>
  <c r="K22" i="10"/>
  <c r="K23" i="10"/>
  <c r="K24" i="10"/>
  <c r="K25" i="10"/>
  <c r="K26" i="10"/>
  <c r="K27" i="10"/>
  <c r="K28" i="10"/>
  <c r="K29" i="10"/>
  <c r="G20" i="10"/>
  <c r="G21" i="10"/>
  <c r="G22" i="10"/>
  <c r="G23" i="10"/>
  <c r="G24" i="10"/>
  <c r="G25" i="10"/>
  <c r="I25" i="10" s="1"/>
  <c r="G26" i="10"/>
  <c r="G27" i="10"/>
  <c r="I27" i="10" s="1"/>
  <c r="G28" i="10"/>
  <c r="I28" i="10" s="1"/>
  <c r="G29" i="10"/>
  <c r="G30" i="10"/>
  <c r="G31" i="10"/>
  <c r="G32" i="10"/>
  <c r="G33" i="10"/>
  <c r="G34" i="10"/>
  <c r="G35" i="10"/>
  <c r="E20" i="10"/>
  <c r="J20" i="10" s="1"/>
  <c r="E21" i="10"/>
  <c r="J21" i="10" s="1"/>
  <c r="E22" i="10"/>
  <c r="J22" i="10" s="1"/>
  <c r="E23" i="10"/>
  <c r="J23" i="10" s="1"/>
  <c r="E24" i="10"/>
  <c r="J24" i="10" s="1"/>
  <c r="E25" i="10"/>
  <c r="J25" i="10" s="1"/>
  <c r="E26" i="10"/>
  <c r="J26" i="10" s="1"/>
  <c r="E27" i="10"/>
  <c r="E28" i="10"/>
  <c r="E29" i="10"/>
  <c r="J29" i="10" s="1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4" i="10"/>
  <c r="B35" i="10"/>
  <c r="B36" i="10"/>
  <c r="B33" i="10"/>
  <c r="E14" i="11"/>
  <c r="H28" i="9"/>
  <c r="L28" i="9" s="1"/>
  <c r="F30" i="14" s="1"/>
  <c r="I28" i="9"/>
  <c r="J28" i="9"/>
  <c r="K28" i="9"/>
  <c r="H29" i="9"/>
  <c r="L29" i="9" s="1"/>
  <c r="F31" i="14" s="1"/>
  <c r="I29" i="9"/>
  <c r="J29" i="9"/>
  <c r="K29" i="9"/>
  <c r="H30" i="9"/>
  <c r="L30" i="9" s="1"/>
  <c r="F32" i="14" s="1"/>
  <c r="I30" i="9"/>
  <c r="J30" i="9"/>
  <c r="K30" i="9"/>
  <c r="H31" i="9"/>
  <c r="L31" i="9" s="1"/>
  <c r="F33" i="14" s="1"/>
  <c r="I31" i="9"/>
  <c r="J31" i="9"/>
  <c r="K31" i="9"/>
  <c r="H32" i="9"/>
  <c r="L32" i="9" s="1"/>
  <c r="F34" i="14" s="1"/>
  <c r="I32" i="9"/>
  <c r="J32" i="9"/>
  <c r="K32" i="9"/>
  <c r="H33" i="9"/>
  <c r="I33" i="9"/>
  <c r="J33" i="9"/>
  <c r="K33" i="9"/>
  <c r="L33" i="9"/>
  <c r="F35" i="14" s="1"/>
  <c r="H34" i="9"/>
  <c r="L34" i="9" s="1"/>
  <c r="F36" i="14" s="1"/>
  <c r="I34" i="9"/>
  <c r="J34" i="9"/>
  <c r="K34" i="9"/>
  <c r="U281" i="9"/>
  <c r="U282" i="9"/>
  <c r="U283" i="9"/>
  <c r="U284" i="9"/>
  <c r="U285" i="9"/>
  <c r="U286" i="9"/>
  <c r="U287" i="9"/>
  <c r="T253" i="9"/>
  <c r="I34" i="13"/>
  <c r="J34" i="13"/>
  <c r="K34" i="13"/>
  <c r="L34" i="13"/>
  <c r="P34" i="13"/>
  <c r="I35" i="13"/>
  <c r="J35" i="13"/>
  <c r="K35" i="13"/>
  <c r="L35" i="13"/>
  <c r="P35" i="13"/>
  <c r="I36" i="13"/>
  <c r="J36" i="13"/>
  <c r="K36" i="13"/>
  <c r="L36" i="13"/>
  <c r="P36" i="13"/>
  <c r="I37" i="13"/>
  <c r="J37" i="13"/>
  <c r="K37" i="13"/>
  <c r="L37" i="13"/>
  <c r="P37" i="13"/>
  <c r="I38" i="13"/>
  <c r="J38" i="13"/>
  <c r="K38" i="13"/>
  <c r="L38" i="13"/>
  <c r="P38" i="13"/>
  <c r="I39" i="13"/>
  <c r="J39" i="13"/>
  <c r="K39" i="13"/>
  <c r="L39" i="13"/>
  <c r="P39" i="13"/>
  <c r="I40" i="13"/>
  <c r="J40" i="13"/>
  <c r="K40" i="13"/>
  <c r="L40" i="13"/>
  <c r="P40" i="13"/>
  <c r="E13" i="11"/>
  <c r="B13" i="2"/>
  <c r="B10" i="2"/>
  <c r="Y268" i="12"/>
  <c r="Z270" i="12"/>
  <c r="AA270" i="12"/>
  <c r="Z271" i="12"/>
  <c r="AA271" i="12"/>
  <c r="Z272" i="12"/>
  <c r="AA272" i="12"/>
  <c r="P265" i="12"/>
  <c r="V267" i="12"/>
  <c r="S269" i="12"/>
  <c r="T269" i="12"/>
  <c r="U269" i="12"/>
  <c r="V269" i="12"/>
  <c r="S270" i="12"/>
  <c r="T270" i="12"/>
  <c r="U270" i="12"/>
  <c r="V270" i="12"/>
  <c r="S271" i="12"/>
  <c r="T271" i="12"/>
  <c r="U271" i="12"/>
  <c r="V271" i="12"/>
  <c r="S272" i="12"/>
  <c r="T272" i="12"/>
  <c r="U272" i="12"/>
  <c r="V272" i="12"/>
  <c r="S273" i="12"/>
  <c r="T273" i="12"/>
  <c r="U273" i="12"/>
  <c r="V273" i="12"/>
  <c r="N269" i="12"/>
  <c r="O269" i="12"/>
  <c r="P269" i="12"/>
  <c r="Q269" i="12"/>
  <c r="N270" i="12"/>
  <c r="R270" i="12" s="1"/>
  <c r="O270" i="12"/>
  <c r="P270" i="12"/>
  <c r="Q270" i="12"/>
  <c r="N271" i="12"/>
  <c r="R271" i="12" s="1"/>
  <c r="O271" i="12"/>
  <c r="P271" i="12"/>
  <c r="Q271" i="12"/>
  <c r="N272" i="12"/>
  <c r="R272" i="12" s="1"/>
  <c r="O272" i="12"/>
  <c r="P272" i="12"/>
  <c r="Q272" i="12"/>
  <c r="N273" i="12"/>
  <c r="O273" i="12"/>
  <c r="P273" i="12"/>
  <c r="Q273" i="12"/>
  <c r="E267" i="12"/>
  <c r="F267" i="12"/>
  <c r="G267" i="12" s="1"/>
  <c r="F268" i="12"/>
  <c r="G268" i="12" s="1"/>
  <c r="E268" i="12"/>
  <c r="E269" i="12"/>
  <c r="E270" i="12"/>
  <c r="L270" i="12" s="1"/>
  <c r="X270" i="12" s="1"/>
  <c r="AB270" i="12" s="1"/>
  <c r="E271" i="12"/>
  <c r="E272" i="12"/>
  <c r="L272" i="12" s="1"/>
  <c r="E273" i="12"/>
  <c r="L273" i="12" s="1"/>
  <c r="X273" i="12" s="1"/>
  <c r="W33" i="1"/>
  <c r="X30" i="1"/>
  <c r="X31" i="1"/>
  <c r="X27" i="1"/>
  <c r="X28" i="1"/>
  <c r="X29" i="1"/>
  <c r="X32" i="1"/>
  <c r="X33" i="1"/>
  <c r="X34" i="1"/>
  <c r="X35" i="1"/>
  <c r="W31" i="1"/>
  <c r="W34" i="1"/>
  <c r="W35" i="1"/>
  <c r="W36" i="1"/>
  <c r="W39" i="1"/>
  <c r="Q381" i="13"/>
  <c r="Q380" i="13"/>
  <c r="Q379" i="13"/>
  <c r="Q378" i="13"/>
  <c r="Q377" i="13"/>
  <c r="Q376" i="13"/>
  <c r="Q375" i="13"/>
  <c r="Q374" i="13"/>
  <c r="Q373" i="13"/>
  <c r="Q372" i="13"/>
  <c r="B372" i="13"/>
  <c r="Q371" i="13"/>
  <c r="B371" i="13"/>
  <c r="Q370" i="13"/>
  <c r="B370" i="13"/>
  <c r="Q369" i="13"/>
  <c r="B369" i="13"/>
  <c r="Q368" i="13"/>
  <c r="B368" i="13"/>
  <c r="Q367" i="13"/>
  <c r="B367" i="13"/>
  <c r="Q366" i="13"/>
  <c r="B366" i="13"/>
  <c r="Q365" i="13"/>
  <c r="B365" i="13"/>
  <c r="Q364" i="13"/>
  <c r="B364" i="13"/>
  <c r="Q363" i="13"/>
  <c r="B363" i="13"/>
  <c r="Q362" i="13"/>
  <c r="B362" i="13"/>
  <c r="Q361" i="13"/>
  <c r="B361" i="13"/>
  <c r="Q360" i="13"/>
  <c r="B360" i="13"/>
  <c r="Q359" i="13"/>
  <c r="B359" i="13"/>
  <c r="Q358" i="13"/>
  <c r="B358" i="13"/>
  <c r="Q357" i="13"/>
  <c r="B357" i="13"/>
  <c r="Q356" i="13"/>
  <c r="B356" i="13"/>
  <c r="Q355" i="13"/>
  <c r="B355" i="13"/>
  <c r="Q354" i="13"/>
  <c r="B354" i="13"/>
  <c r="Q353" i="13"/>
  <c r="B353" i="13"/>
  <c r="Q352" i="13"/>
  <c r="B352" i="13"/>
  <c r="Q351" i="13"/>
  <c r="B351" i="13"/>
  <c r="Q350" i="13"/>
  <c r="B350" i="13"/>
  <c r="Q349" i="13"/>
  <c r="B349" i="13"/>
  <c r="Q348" i="13"/>
  <c r="B348" i="13"/>
  <c r="Q347" i="13"/>
  <c r="B347" i="13"/>
  <c r="Q346" i="13"/>
  <c r="B346" i="13"/>
  <c r="Q345" i="13"/>
  <c r="B345" i="13"/>
  <c r="Q344" i="13"/>
  <c r="B344" i="13"/>
  <c r="Q343" i="13"/>
  <c r="B343" i="13"/>
  <c r="Q342" i="13"/>
  <c r="B342" i="13"/>
  <c r="Q341" i="13"/>
  <c r="B341" i="13"/>
  <c r="Q340" i="13"/>
  <c r="B340" i="13"/>
  <c r="Q339" i="13"/>
  <c r="B339" i="13"/>
  <c r="Q338" i="13"/>
  <c r="B338" i="13"/>
  <c r="Q337" i="13"/>
  <c r="B337" i="13"/>
  <c r="Q336" i="13"/>
  <c r="B336" i="13"/>
  <c r="Q335" i="13"/>
  <c r="B335" i="13"/>
  <c r="Q334" i="13"/>
  <c r="B334" i="13"/>
  <c r="Q333" i="13"/>
  <c r="B333" i="13"/>
  <c r="Q332" i="13"/>
  <c r="B332" i="13"/>
  <c r="Q331" i="13"/>
  <c r="B331" i="13"/>
  <c r="Q330" i="13"/>
  <c r="B330" i="13"/>
  <c r="Q329" i="13"/>
  <c r="B329" i="13"/>
  <c r="P328" i="13"/>
  <c r="L328" i="13"/>
  <c r="K328" i="13"/>
  <c r="J328" i="13"/>
  <c r="I328" i="13"/>
  <c r="B328" i="13"/>
  <c r="P327" i="13"/>
  <c r="L327" i="13"/>
  <c r="K327" i="13"/>
  <c r="J327" i="13"/>
  <c r="I327" i="13"/>
  <c r="B327" i="13"/>
  <c r="P326" i="13"/>
  <c r="L326" i="13"/>
  <c r="K326" i="13"/>
  <c r="J326" i="13"/>
  <c r="I326" i="13"/>
  <c r="B326" i="13"/>
  <c r="P325" i="13"/>
  <c r="L325" i="13"/>
  <c r="K325" i="13"/>
  <c r="J325" i="13"/>
  <c r="I325" i="13"/>
  <c r="B325" i="13"/>
  <c r="P324" i="13"/>
  <c r="L324" i="13"/>
  <c r="K324" i="13"/>
  <c r="J324" i="13"/>
  <c r="I324" i="13"/>
  <c r="B324" i="13"/>
  <c r="P323" i="13"/>
  <c r="L323" i="13"/>
  <c r="K323" i="13"/>
  <c r="J323" i="13"/>
  <c r="I323" i="13"/>
  <c r="B323" i="13"/>
  <c r="P322" i="13"/>
  <c r="L322" i="13"/>
  <c r="K322" i="13"/>
  <c r="J322" i="13"/>
  <c r="I322" i="13"/>
  <c r="B322" i="13"/>
  <c r="P321" i="13"/>
  <c r="L321" i="13"/>
  <c r="K321" i="13"/>
  <c r="J321" i="13"/>
  <c r="I321" i="13"/>
  <c r="B321" i="13"/>
  <c r="P320" i="13"/>
  <c r="L320" i="13"/>
  <c r="K320" i="13"/>
  <c r="J320" i="13"/>
  <c r="I320" i="13"/>
  <c r="B320" i="13"/>
  <c r="P319" i="13"/>
  <c r="L319" i="13"/>
  <c r="K319" i="13"/>
  <c r="J319" i="13"/>
  <c r="I319" i="13"/>
  <c r="B319" i="13"/>
  <c r="P318" i="13"/>
  <c r="L318" i="13"/>
  <c r="K318" i="13"/>
  <c r="J318" i="13"/>
  <c r="I318" i="13"/>
  <c r="B318" i="13"/>
  <c r="P317" i="13"/>
  <c r="L317" i="13"/>
  <c r="K317" i="13"/>
  <c r="J317" i="13"/>
  <c r="I317" i="13"/>
  <c r="B317" i="13"/>
  <c r="P316" i="13"/>
  <c r="L316" i="13"/>
  <c r="K316" i="13"/>
  <c r="J316" i="13"/>
  <c r="I316" i="13"/>
  <c r="B316" i="13"/>
  <c r="P315" i="13"/>
  <c r="L315" i="13"/>
  <c r="K315" i="13"/>
  <c r="J315" i="13"/>
  <c r="I315" i="13"/>
  <c r="B315" i="13"/>
  <c r="P314" i="13"/>
  <c r="L314" i="13"/>
  <c r="K314" i="13"/>
  <c r="J314" i="13"/>
  <c r="I314" i="13"/>
  <c r="B314" i="13"/>
  <c r="P313" i="13"/>
  <c r="L313" i="13"/>
  <c r="K313" i="13"/>
  <c r="J313" i="13"/>
  <c r="I313" i="13"/>
  <c r="B313" i="13"/>
  <c r="P312" i="13"/>
  <c r="L312" i="13"/>
  <c r="K312" i="13"/>
  <c r="J312" i="13"/>
  <c r="I312" i="13"/>
  <c r="B312" i="13"/>
  <c r="P311" i="13"/>
  <c r="L311" i="13"/>
  <c r="K311" i="13"/>
  <c r="J311" i="13"/>
  <c r="I311" i="13"/>
  <c r="B311" i="13"/>
  <c r="P310" i="13"/>
  <c r="L310" i="13"/>
  <c r="K310" i="13"/>
  <c r="J310" i="13"/>
  <c r="I310" i="13"/>
  <c r="B310" i="13"/>
  <c r="P309" i="13"/>
  <c r="L309" i="13"/>
  <c r="K309" i="13"/>
  <c r="J309" i="13"/>
  <c r="I309" i="13"/>
  <c r="B309" i="13"/>
  <c r="P308" i="13"/>
  <c r="L308" i="13"/>
  <c r="K308" i="13"/>
  <c r="J308" i="13"/>
  <c r="I308" i="13"/>
  <c r="B308" i="13"/>
  <c r="P307" i="13"/>
  <c r="L307" i="13"/>
  <c r="K307" i="13"/>
  <c r="J307" i="13"/>
  <c r="I307" i="13"/>
  <c r="B307" i="13"/>
  <c r="P306" i="13"/>
  <c r="L306" i="13"/>
  <c r="K306" i="13"/>
  <c r="J306" i="13"/>
  <c r="I306" i="13"/>
  <c r="B306" i="13"/>
  <c r="P305" i="13"/>
  <c r="L305" i="13"/>
  <c r="K305" i="13"/>
  <c r="J305" i="13"/>
  <c r="I305" i="13"/>
  <c r="B305" i="13"/>
  <c r="P304" i="13"/>
  <c r="L304" i="13"/>
  <c r="K304" i="13"/>
  <c r="J304" i="13"/>
  <c r="I304" i="13"/>
  <c r="B304" i="13"/>
  <c r="P303" i="13"/>
  <c r="L303" i="13"/>
  <c r="K303" i="13"/>
  <c r="J303" i="13"/>
  <c r="I303" i="13"/>
  <c r="B303" i="13"/>
  <c r="P302" i="13"/>
  <c r="L302" i="13"/>
  <c r="K302" i="13"/>
  <c r="J302" i="13"/>
  <c r="I302" i="13"/>
  <c r="B302" i="13"/>
  <c r="P301" i="13"/>
  <c r="L301" i="13"/>
  <c r="K301" i="13"/>
  <c r="J301" i="13"/>
  <c r="I301" i="13"/>
  <c r="B301" i="13"/>
  <c r="P300" i="13"/>
  <c r="L300" i="13"/>
  <c r="K300" i="13"/>
  <c r="J300" i="13"/>
  <c r="I300" i="13"/>
  <c r="B300" i="13"/>
  <c r="P299" i="13"/>
  <c r="L299" i="13"/>
  <c r="K299" i="13"/>
  <c r="J299" i="13"/>
  <c r="I299" i="13"/>
  <c r="B299" i="13"/>
  <c r="P298" i="13"/>
  <c r="L298" i="13"/>
  <c r="K298" i="13"/>
  <c r="J298" i="13"/>
  <c r="I298" i="13"/>
  <c r="B298" i="13"/>
  <c r="P297" i="13"/>
  <c r="L297" i="13"/>
  <c r="K297" i="13"/>
  <c r="J297" i="13"/>
  <c r="I297" i="13"/>
  <c r="B297" i="13"/>
  <c r="P296" i="13"/>
  <c r="L296" i="13"/>
  <c r="K296" i="13"/>
  <c r="J296" i="13"/>
  <c r="I296" i="13"/>
  <c r="B296" i="13"/>
  <c r="P295" i="13"/>
  <c r="L295" i="13"/>
  <c r="K295" i="13"/>
  <c r="J295" i="13"/>
  <c r="I295" i="13"/>
  <c r="B295" i="13"/>
  <c r="P294" i="13"/>
  <c r="L294" i="13"/>
  <c r="K294" i="13"/>
  <c r="J294" i="13"/>
  <c r="I294" i="13"/>
  <c r="B294" i="13"/>
  <c r="P293" i="13"/>
  <c r="L293" i="13"/>
  <c r="K293" i="13"/>
  <c r="J293" i="13"/>
  <c r="I293" i="13"/>
  <c r="B293" i="13"/>
  <c r="P292" i="13"/>
  <c r="L292" i="13"/>
  <c r="K292" i="13"/>
  <c r="J292" i="13"/>
  <c r="I292" i="13"/>
  <c r="B292" i="13"/>
  <c r="P291" i="13"/>
  <c r="L291" i="13"/>
  <c r="K291" i="13"/>
  <c r="J291" i="13"/>
  <c r="I291" i="13"/>
  <c r="B291" i="13"/>
  <c r="P290" i="13"/>
  <c r="L290" i="13"/>
  <c r="K290" i="13"/>
  <c r="J290" i="13"/>
  <c r="I290" i="13"/>
  <c r="B290" i="13"/>
  <c r="P289" i="13"/>
  <c r="L289" i="13"/>
  <c r="K289" i="13"/>
  <c r="J289" i="13"/>
  <c r="I289" i="13"/>
  <c r="B289" i="13"/>
  <c r="P288" i="13"/>
  <c r="L288" i="13"/>
  <c r="K288" i="13"/>
  <c r="J288" i="13"/>
  <c r="I288" i="13"/>
  <c r="B288" i="13"/>
  <c r="P287" i="13"/>
  <c r="L287" i="13"/>
  <c r="K287" i="13"/>
  <c r="J287" i="13"/>
  <c r="I287" i="13"/>
  <c r="B287" i="13"/>
  <c r="P286" i="13"/>
  <c r="L286" i="13"/>
  <c r="K286" i="13"/>
  <c r="J286" i="13"/>
  <c r="I286" i="13"/>
  <c r="B286" i="13"/>
  <c r="P285" i="13"/>
  <c r="L285" i="13"/>
  <c r="K285" i="13"/>
  <c r="J285" i="13"/>
  <c r="I285" i="13"/>
  <c r="B285" i="13"/>
  <c r="P284" i="13"/>
  <c r="L284" i="13"/>
  <c r="K284" i="13"/>
  <c r="J284" i="13"/>
  <c r="I284" i="13"/>
  <c r="B284" i="13"/>
  <c r="P283" i="13"/>
  <c r="L283" i="13"/>
  <c r="K283" i="13"/>
  <c r="J283" i="13"/>
  <c r="I283" i="13"/>
  <c r="B283" i="13"/>
  <c r="P282" i="13"/>
  <c r="L282" i="13"/>
  <c r="K282" i="13"/>
  <c r="J282" i="13"/>
  <c r="I282" i="13"/>
  <c r="B282" i="13"/>
  <c r="P281" i="13"/>
  <c r="L281" i="13"/>
  <c r="K281" i="13"/>
  <c r="J281" i="13"/>
  <c r="I281" i="13"/>
  <c r="B281" i="13"/>
  <c r="P280" i="13"/>
  <c r="L280" i="13"/>
  <c r="K280" i="13"/>
  <c r="J280" i="13"/>
  <c r="I280" i="13"/>
  <c r="B280" i="13"/>
  <c r="P279" i="13"/>
  <c r="L279" i="13"/>
  <c r="K279" i="13"/>
  <c r="J279" i="13"/>
  <c r="I279" i="13"/>
  <c r="B279" i="13"/>
  <c r="P278" i="13"/>
  <c r="L278" i="13"/>
  <c r="K278" i="13"/>
  <c r="J278" i="13"/>
  <c r="I278" i="13"/>
  <c r="B278" i="13"/>
  <c r="P277" i="13"/>
  <c r="L277" i="13"/>
  <c r="K277" i="13"/>
  <c r="J277" i="13"/>
  <c r="I277" i="13"/>
  <c r="B277" i="13"/>
  <c r="P276" i="13"/>
  <c r="L276" i="13"/>
  <c r="K276" i="13"/>
  <c r="J276" i="13"/>
  <c r="I276" i="13"/>
  <c r="B276" i="13"/>
  <c r="P275" i="13"/>
  <c r="L275" i="13"/>
  <c r="K275" i="13"/>
  <c r="J275" i="13"/>
  <c r="I275" i="13"/>
  <c r="B275" i="13"/>
  <c r="P274" i="13"/>
  <c r="L274" i="13"/>
  <c r="K274" i="13"/>
  <c r="J274" i="13"/>
  <c r="I274" i="13"/>
  <c r="B274" i="13"/>
  <c r="P273" i="13"/>
  <c r="L273" i="13"/>
  <c r="K273" i="13"/>
  <c r="J273" i="13"/>
  <c r="I273" i="13"/>
  <c r="P272" i="13"/>
  <c r="L272" i="13"/>
  <c r="K272" i="13"/>
  <c r="J272" i="13"/>
  <c r="I272" i="13"/>
  <c r="P271" i="13"/>
  <c r="L271" i="13"/>
  <c r="K271" i="13"/>
  <c r="J271" i="13"/>
  <c r="I271" i="13"/>
  <c r="P270" i="13"/>
  <c r="L270" i="13"/>
  <c r="K270" i="13"/>
  <c r="J270" i="13"/>
  <c r="I270" i="13"/>
  <c r="P269" i="13"/>
  <c r="L269" i="13"/>
  <c r="K269" i="13"/>
  <c r="J269" i="13"/>
  <c r="I269" i="13"/>
  <c r="P268" i="13"/>
  <c r="L268" i="13"/>
  <c r="K268" i="13"/>
  <c r="J268" i="13"/>
  <c r="I268" i="13"/>
  <c r="P267" i="13"/>
  <c r="L267" i="13"/>
  <c r="K267" i="13"/>
  <c r="J267" i="13"/>
  <c r="I267" i="13"/>
  <c r="P266" i="13"/>
  <c r="L266" i="13"/>
  <c r="K266" i="13"/>
  <c r="J266" i="13"/>
  <c r="I266" i="13"/>
  <c r="P265" i="13"/>
  <c r="L265" i="13"/>
  <c r="K265" i="13"/>
  <c r="J265" i="13"/>
  <c r="I265" i="13"/>
  <c r="P264" i="13"/>
  <c r="L264" i="13"/>
  <c r="K264" i="13"/>
  <c r="J264" i="13"/>
  <c r="I264" i="13"/>
  <c r="P263" i="13"/>
  <c r="L263" i="13"/>
  <c r="K263" i="13"/>
  <c r="J263" i="13"/>
  <c r="I263" i="13"/>
  <c r="P262" i="13"/>
  <c r="L262" i="13"/>
  <c r="K262" i="13"/>
  <c r="J262" i="13"/>
  <c r="I262" i="13"/>
  <c r="P261" i="13"/>
  <c r="L261" i="13"/>
  <c r="K261" i="13"/>
  <c r="J261" i="13"/>
  <c r="I261" i="13"/>
  <c r="P260" i="13"/>
  <c r="L260" i="13"/>
  <c r="K260" i="13"/>
  <c r="J260" i="13"/>
  <c r="I260" i="13"/>
  <c r="P259" i="13"/>
  <c r="L259" i="13"/>
  <c r="K259" i="13"/>
  <c r="J259" i="13"/>
  <c r="I259" i="13"/>
  <c r="P258" i="13"/>
  <c r="L258" i="13"/>
  <c r="K258" i="13"/>
  <c r="J258" i="13"/>
  <c r="I258" i="13"/>
  <c r="P257" i="13"/>
  <c r="L257" i="13"/>
  <c r="K257" i="13"/>
  <c r="J257" i="13"/>
  <c r="I257" i="13"/>
  <c r="P256" i="13"/>
  <c r="L256" i="13"/>
  <c r="K256" i="13"/>
  <c r="J256" i="13"/>
  <c r="I256" i="13"/>
  <c r="P255" i="13"/>
  <c r="L255" i="13"/>
  <c r="K255" i="13"/>
  <c r="J255" i="13"/>
  <c r="I255" i="13"/>
  <c r="P254" i="13"/>
  <c r="L254" i="13"/>
  <c r="K254" i="13"/>
  <c r="J254" i="13"/>
  <c r="I254" i="13"/>
  <c r="P253" i="13"/>
  <c r="L253" i="13"/>
  <c r="K253" i="13"/>
  <c r="J253" i="13"/>
  <c r="I253" i="13"/>
  <c r="P252" i="13"/>
  <c r="L252" i="13"/>
  <c r="K252" i="13"/>
  <c r="J252" i="13"/>
  <c r="I252" i="13"/>
  <c r="P251" i="13"/>
  <c r="L251" i="13"/>
  <c r="K251" i="13"/>
  <c r="J251" i="13"/>
  <c r="I251" i="13"/>
  <c r="P250" i="13"/>
  <c r="L250" i="13"/>
  <c r="K250" i="13"/>
  <c r="J250" i="13"/>
  <c r="I250" i="13"/>
  <c r="P249" i="13"/>
  <c r="L249" i="13"/>
  <c r="K249" i="13"/>
  <c r="J249" i="13"/>
  <c r="I249" i="13"/>
  <c r="P248" i="13"/>
  <c r="L248" i="13"/>
  <c r="K248" i="13"/>
  <c r="J248" i="13"/>
  <c r="I248" i="13"/>
  <c r="P247" i="13"/>
  <c r="L247" i="13"/>
  <c r="K247" i="13"/>
  <c r="J247" i="13"/>
  <c r="I247" i="13"/>
  <c r="P246" i="13"/>
  <c r="L246" i="13"/>
  <c r="K246" i="13"/>
  <c r="J246" i="13"/>
  <c r="I246" i="13"/>
  <c r="P245" i="13"/>
  <c r="L245" i="13"/>
  <c r="K245" i="13"/>
  <c r="J245" i="13"/>
  <c r="I245" i="13"/>
  <c r="P244" i="13"/>
  <c r="L244" i="13"/>
  <c r="K244" i="13"/>
  <c r="J244" i="13"/>
  <c r="I244" i="13"/>
  <c r="P243" i="13"/>
  <c r="L243" i="13"/>
  <c r="K243" i="13"/>
  <c r="J243" i="13"/>
  <c r="I243" i="13"/>
  <c r="P242" i="13"/>
  <c r="L242" i="13"/>
  <c r="K242" i="13"/>
  <c r="J242" i="13"/>
  <c r="I242" i="13"/>
  <c r="P241" i="13"/>
  <c r="L241" i="13"/>
  <c r="K241" i="13"/>
  <c r="J241" i="13"/>
  <c r="I241" i="13"/>
  <c r="P240" i="13"/>
  <c r="L240" i="13"/>
  <c r="K240" i="13"/>
  <c r="J240" i="13"/>
  <c r="I240" i="13"/>
  <c r="P239" i="13"/>
  <c r="L239" i="13"/>
  <c r="K239" i="13"/>
  <c r="J239" i="13"/>
  <c r="I239" i="13"/>
  <c r="P238" i="13"/>
  <c r="L238" i="13"/>
  <c r="K238" i="13"/>
  <c r="J238" i="13"/>
  <c r="I238" i="13"/>
  <c r="P237" i="13"/>
  <c r="L237" i="13"/>
  <c r="K237" i="13"/>
  <c r="J237" i="13"/>
  <c r="I237" i="13"/>
  <c r="P236" i="13"/>
  <c r="L236" i="13"/>
  <c r="K236" i="13"/>
  <c r="J236" i="13"/>
  <c r="I236" i="13"/>
  <c r="P235" i="13"/>
  <c r="L235" i="13"/>
  <c r="K235" i="13"/>
  <c r="J235" i="13"/>
  <c r="I235" i="13"/>
  <c r="P234" i="13"/>
  <c r="L234" i="13"/>
  <c r="K234" i="13"/>
  <c r="J234" i="13"/>
  <c r="I234" i="13"/>
  <c r="P233" i="13"/>
  <c r="L233" i="13"/>
  <c r="K233" i="13"/>
  <c r="J233" i="13"/>
  <c r="I233" i="13"/>
  <c r="P232" i="13"/>
  <c r="L232" i="13"/>
  <c r="K232" i="13"/>
  <c r="J232" i="13"/>
  <c r="I232" i="13"/>
  <c r="P231" i="13"/>
  <c r="L231" i="13"/>
  <c r="K231" i="13"/>
  <c r="J231" i="13"/>
  <c r="I231" i="13"/>
  <c r="P230" i="13"/>
  <c r="L230" i="13"/>
  <c r="K230" i="13"/>
  <c r="J230" i="13"/>
  <c r="I230" i="13"/>
  <c r="O230" i="13" s="1"/>
  <c r="P229" i="13"/>
  <c r="L229" i="13"/>
  <c r="K229" i="13"/>
  <c r="J229" i="13"/>
  <c r="I229" i="13"/>
  <c r="O229" i="13" s="1"/>
  <c r="P228" i="13"/>
  <c r="L228" i="13"/>
  <c r="K228" i="13"/>
  <c r="J228" i="13"/>
  <c r="I228" i="13"/>
  <c r="O228" i="13" s="1"/>
  <c r="P227" i="13"/>
  <c r="L227" i="13"/>
  <c r="K227" i="13"/>
  <c r="J227" i="13"/>
  <c r="I227" i="13"/>
  <c r="P226" i="13"/>
  <c r="L226" i="13"/>
  <c r="K226" i="13"/>
  <c r="J226" i="13"/>
  <c r="I226" i="13"/>
  <c r="P225" i="13"/>
  <c r="L225" i="13"/>
  <c r="K225" i="13"/>
  <c r="J225" i="13"/>
  <c r="I225" i="13"/>
  <c r="P224" i="13"/>
  <c r="L224" i="13"/>
  <c r="K224" i="13"/>
  <c r="J224" i="13"/>
  <c r="I224" i="13"/>
  <c r="P223" i="13"/>
  <c r="L223" i="13"/>
  <c r="K223" i="13"/>
  <c r="J223" i="13"/>
  <c r="I223" i="13"/>
  <c r="P222" i="13"/>
  <c r="L222" i="13"/>
  <c r="K222" i="13"/>
  <c r="J222" i="13"/>
  <c r="I222" i="13"/>
  <c r="P221" i="13"/>
  <c r="L221" i="13"/>
  <c r="K221" i="13"/>
  <c r="J221" i="13"/>
  <c r="I221" i="13"/>
  <c r="P220" i="13"/>
  <c r="L220" i="13"/>
  <c r="K220" i="13"/>
  <c r="J220" i="13"/>
  <c r="I220" i="13"/>
  <c r="P219" i="13"/>
  <c r="L219" i="13"/>
  <c r="K219" i="13"/>
  <c r="J219" i="13"/>
  <c r="I219" i="13"/>
  <c r="P218" i="13"/>
  <c r="L218" i="13"/>
  <c r="K218" i="13"/>
  <c r="J218" i="13"/>
  <c r="I218" i="13"/>
  <c r="P217" i="13"/>
  <c r="L217" i="13"/>
  <c r="K217" i="13"/>
  <c r="J217" i="13"/>
  <c r="I217" i="13"/>
  <c r="P216" i="13"/>
  <c r="L216" i="13"/>
  <c r="K216" i="13"/>
  <c r="J216" i="13"/>
  <c r="I216" i="13"/>
  <c r="P215" i="13"/>
  <c r="L215" i="13"/>
  <c r="K215" i="13"/>
  <c r="J215" i="13"/>
  <c r="I215" i="13"/>
  <c r="P214" i="13"/>
  <c r="L214" i="13"/>
  <c r="K214" i="13"/>
  <c r="J214" i="13"/>
  <c r="I214" i="13"/>
  <c r="P213" i="13"/>
  <c r="L213" i="13"/>
  <c r="K213" i="13"/>
  <c r="J213" i="13"/>
  <c r="I213" i="13"/>
  <c r="P212" i="13"/>
  <c r="L212" i="13"/>
  <c r="K212" i="13"/>
  <c r="J212" i="13"/>
  <c r="I212" i="13"/>
  <c r="P211" i="13"/>
  <c r="L211" i="13"/>
  <c r="K211" i="13"/>
  <c r="J211" i="13"/>
  <c r="I211" i="13"/>
  <c r="P210" i="13"/>
  <c r="L210" i="13"/>
  <c r="K210" i="13"/>
  <c r="J210" i="13"/>
  <c r="I210" i="13"/>
  <c r="P209" i="13"/>
  <c r="L209" i="13"/>
  <c r="K209" i="13"/>
  <c r="J209" i="13"/>
  <c r="I209" i="13"/>
  <c r="P208" i="13"/>
  <c r="L208" i="13"/>
  <c r="K208" i="13"/>
  <c r="J208" i="13"/>
  <c r="I208" i="13"/>
  <c r="P207" i="13"/>
  <c r="L207" i="13"/>
  <c r="K207" i="13"/>
  <c r="J207" i="13"/>
  <c r="I207" i="13"/>
  <c r="P206" i="13"/>
  <c r="L206" i="13"/>
  <c r="K206" i="13"/>
  <c r="J206" i="13"/>
  <c r="I206" i="13"/>
  <c r="P205" i="13"/>
  <c r="L205" i="13"/>
  <c r="K205" i="13"/>
  <c r="J205" i="13"/>
  <c r="I205" i="13"/>
  <c r="P204" i="13"/>
  <c r="L204" i="13"/>
  <c r="K204" i="13"/>
  <c r="J204" i="13"/>
  <c r="I204" i="13"/>
  <c r="P203" i="13"/>
  <c r="L203" i="13"/>
  <c r="K203" i="13"/>
  <c r="J203" i="13"/>
  <c r="I203" i="13"/>
  <c r="P202" i="13"/>
  <c r="L202" i="13"/>
  <c r="K202" i="13"/>
  <c r="J202" i="13"/>
  <c r="I202" i="13"/>
  <c r="P201" i="13"/>
  <c r="L201" i="13"/>
  <c r="K201" i="13"/>
  <c r="J201" i="13"/>
  <c r="I201" i="13"/>
  <c r="P200" i="13"/>
  <c r="L200" i="13"/>
  <c r="K200" i="13"/>
  <c r="J200" i="13"/>
  <c r="I200" i="13"/>
  <c r="P199" i="13"/>
  <c r="L199" i="13"/>
  <c r="K199" i="13"/>
  <c r="J199" i="13"/>
  <c r="I199" i="13"/>
  <c r="P198" i="13"/>
  <c r="L198" i="13"/>
  <c r="K198" i="13"/>
  <c r="J198" i="13"/>
  <c r="I198" i="13"/>
  <c r="P197" i="13"/>
  <c r="L197" i="13"/>
  <c r="K197" i="13"/>
  <c r="J197" i="13"/>
  <c r="I197" i="13"/>
  <c r="P196" i="13"/>
  <c r="L196" i="13"/>
  <c r="K196" i="13"/>
  <c r="J196" i="13"/>
  <c r="I196" i="13"/>
  <c r="P195" i="13"/>
  <c r="L195" i="13"/>
  <c r="K195" i="13"/>
  <c r="J195" i="13"/>
  <c r="I195" i="13"/>
  <c r="P194" i="13"/>
  <c r="L194" i="13"/>
  <c r="K194" i="13"/>
  <c r="J194" i="13"/>
  <c r="I194" i="13"/>
  <c r="P193" i="13"/>
  <c r="L193" i="13"/>
  <c r="K193" i="13"/>
  <c r="J193" i="13"/>
  <c r="I193" i="13"/>
  <c r="O193" i="13" s="1"/>
  <c r="P192" i="13"/>
  <c r="L192" i="13"/>
  <c r="K192" i="13"/>
  <c r="J192" i="13"/>
  <c r="I192" i="13"/>
  <c r="O192" i="13" s="1"/>
  <c r="P191" i="13"/>
  <c r="L191" i="13"/>
  <c r="K191" i="13"/>
  <c r="J191" i="13"/>
  <c r="I191" i="13"/>
  <c r="O191" i="13" s="1"/>
  <c r="P190" i="13"/>
  <c r="L190" i="13"/>
  <c r="K190" i="13"/>
  <c r="J190" i="13"/>
  <c r="I190" i="13"/>
  <c r="O190" i="13" s="1"/>
  <c r="P189" i="13"/>
  <c r="L189" i="13"/>
  <c r="K189" i="13"/>
  <c r="J189" i="13"/>
  <c r="I189" i="13"/>
  <c r="O189" i="13" s="1"/>
  <c r="P188" i="13"/>
  <c r="L188" i="13"/>
  <c r="K188" i="13"/>
  <c r="J188" i="13"/>
  <c r="I188" i="13"/>
  <c r="O188" i="13" s="1"/>
  <c r="P187" i="13"/>
  <c r="L187" i="13"/>
  <c r="K187" i="13"/>
  <c r="J187" i="13"/>
  <c r="I187" i="13"/>
  <c r="O187" i="13" s="1"/>
  <c r="P186" i="13"/>
  <c r="L186" i="13"/>
  <c r="K186" i="13"/>
  <c r="J186" i="13"/>
  <c r="I186" i="13"/>
  <c r="O186" i="13" s="1"/>
  <c r="P185" i="13"/>
  <c r="L185" i="13"/>
  <c r="K185" i="13"/>
  <c r="J185" i="13"/>
  <c r="I185" i="13"/>
  <c r="O185" i="13" s="1"/>
  <c r="P184" i="13"/>
  <c r="L184" i="13"/>
  <c r="K184" i="13"/>
  <c r="J184" i="13"/>
  <c r="I184" i="13"/>
  <c r="O184" i="13" s="1"/>
  <c r="P183" i="13"/>
  <c r="L183" i="13"/>
  <c r="K183" i="13"/>
  <c r="J183" i="13"/>
  <c r="I183" i="13"/>
  <c r="O183" i="13" s="1"/>
  <c r="P182" i="13"/>
  <c r="L182" i="13"/>
  <c r="K182" i="13"/>
  <c r="J182" i="13"/>
  <c r="I182" i="13"/>
  <c r="O182" i="13" s="1"/>
  <c r="P181" i="13"/>
  <c r="L181" i="13"/>
  <c r="K181" i="13"/>
  <c r="J181" i="13"/>
  <c r="I181" i="13"/>
  <c r="P180" i="13"/>
  <c r="L180" i="13"/>
  <c r="K180" i="13"/>
  <c r="J180" i="13"/>
  <c r="I180" i="13"/>
  <c r="P179" i="13"/>
  <c r="L179" i="13"/>
  <c r="K179" i="13"/>
  <c r="J179" i="13"/>
  <c r="I179" i="13"/>
  <c r="P178" i="13"/>
  <c r="L178" i="13"/>
  <c r="K178" i="13"/>
  <c r="J178" i="13"/>
  <c r="I178" i="13"/>
  <c r="P177" i="13"/>
  <c r="L177" i="13"/>
  <c r="K177" i="13"/>
  <c r="J177" i="13"/>
  <c r="I177" i="13"/>
  <c r="P176" i="13"/>
  <c r="L176" i="13"/>
  <c r="K176" i="13"/>
  <c r="J176" i="13"/>
  <c r="I176" i="13"/>
  <c r="P175" i="13"/>
  <c r="L175" i="13"/>
  <c r="K175" i="13"/>
  <c r="J175" i="13"/>
  <c r="I175" i="13"/>
  <c r="P174" i="13"/>
  <c r="L174" i="13"/>
  <c r="K174" i="13"/>
  <c r="J174" i="13"/>
  <c r="I174" i="13"/>
  <c r="P173" i="13"/>
  <c r="L173" i="13"/>
  <c r="K173" i="13"/>
  <c r="J173" i="13"/>
  <c r="I173" i="13"/>
  <c r="P172" i="13"/>
  <c r="L172" i="13"/>
  <c r="K172" i="13"/>
  <c r="J172" i="13"/>
  <c r="I172" i="13"/>
  <c r="P171" i="13"/>
  <c r="L171" i="13"/>
  <c r="K171" i="13"/>
  <c r="J171" i="13"/>
  <c r="I171" i="13"/>
  <c r="P170" i="13"/>
  <c r="L170" i="13"/>
  <c r="K170" i="13"/>
  <c r="J170" i="13"/>
  <c r="I170" i="13"/>
  <c r="P169" i="13"/>
  <c r="L169" i="13"/>
  <c r="K169" i="13"/>
  <c r="J169" i="13"/>
  <c r="I169" i="13"/>
  <c r="P168" i="13"/>
  <c r="L168" i="13"/>
  <c r="K168" i="13"/>
  <c r="J168" i="13"/>
  <c r="I168" i="13"/>
  <c r="P167" i="13"/>
  <c r="L167" i="13"/>
  <c r="K167" i="13"/>
  <c r="J167" i="13"/>
  <c r="I167" i="13"/>
  <c r="P166" i="13"/>
  <c r="L166" i="13"/>
  <c r="K166" i="13"/>
  <c r="J166" i="13"/>
  <c r="I166" i="13"/>
  <c r="P165" i="13"/>
  <c r="L165" i="13"/>
  <c r="K165" i="13"/>
  <c r="J165" i="13"/>
  <c r="I165" i="13"/>
  <c r="P164" i="13"/>
  <c r="L164" i="13"/>
  <c r="K164" i="13"/>
  <c r="J164" i="13"/>
  <c r="I164" i="13"/>
  <c r="P163" i="13"/>
  <c r="L163" i="13"/>
  <c r="K163" i="13"/>
  <c r="J163" i="13"/>
  <c r="I163" i="13"/>
  <c r="P162" i="13"/>
  <c r="L162" i="13"/>
  <c r="K162" i="13"/>
  <c r="J162" i="13"/>
  <c r="I162" i="13"/>
  <c r="P161" i="13"/>
  <c r="L161" i="13"/>
  <c r="K161" i="13"/>
  <c r="J161" i="13"/>
  <c r="I161" i="13"/>
  <c r="P160" i="13"/>
  <c r="L160" i="13"/>
  <c r="K160" i="13"/>
  <c r="J160" i="13"/>
  <c r="I160" i="13"/>
  <c r="P159" i="13"/>
  <c r="L159" i="13"/>
  <c r="K159" i="13"/>
  <c r="J159" i="13"/>
  <c r="I159" i="13"/>
  <c r="P158" i="13"/>
  <c r="L158" i="13"/>
  <c r="K158" i="13"/>
  <c r="J158" i="13"/>
  <c r="I158" i="13"/>
  <c r="O158" i="13" s="1"/>
  <c r="P157" i="13"/>
  <c r="L157" i="13"/>
  <c r="K157" i="13"/>
  <c r="J157" i="13"/>
  <c r="I157" i="13"/>
  <c r="O157" i="13" s="1"/>
  <c r="P156" i="13"/>
  <c r="L156" i="13"/>
  <c r="K156" i="13"/>
  <c r="J156" i="13"/>
  <c r="I156" i="13"/>
  <c r="O156" i="13" s="1"/>
  <c r="P155" i="13"/>
  <c r="L155" i="13"/>
  <c r="K155" i="13"/>
  <c r="J155" i="13"/>
  <c r="I155" i="13"/>
  <c r="O155" i="13" s="1"/>
  <c r="P154" i="13"/>
  <c r="L154" i="13"/>
  <c r="K154" i="13"/>
  <c r="J154" i="13"/>
  <c r="I154" i="13"/>
  <c r="O154" i="13" s="1"/>
  <c r="P153" i="13"/>
  <c r="L153" i="13"/>
  <c r="K153" i="13"/>
  <c r="J153" i="13"/>
  <c r="I153" i="13"/>
  <c r="O153" i="13" s="1"/>
  <c r="P152" i="13"/>
  <c r="L152" i="13"/>
  <c r="K152" i="13"/>
  <c r="J152" i="13"/>
  <c r="I152" i="13"/>
  <c r="O152" i="13" s="1"/>
  <c r="P151" i="13"/>
  <c r="L151" i="13"/>
  <c r="K151" i="13"/>
  <c r="J151" i="13"/>
  <c r="I151" i="13"/>
  <c r="O151" i="13" s="1"/>
  <c r="P150" i="13"/>
  <c r="L150" i="13"/>
  <c r="K150" i="13"/>
  <c r="J150" i="13"/>
  <c r="I150" i="13"/>
  <c r="O150" i="13" s="1"/>
  <c r="P149" i="13"/>
  <c r="L149" i="13"/>
  <c r="K149" i="13"/>
  <c r="J149" i="13"/>
  <c r="I149" i="13"/>
  <c r="O149" i="13" s="1"/>
  <c r="P148" i="13"/>
  <c r="L148" i="13"/>
  <c r="K148" i="13"/>
  <c r="J148" i="13"/>
  <c r="I148" i="13"/>
  <c r="O148" i="13" s="1"/>
  <c r="P147" i="13"/>
  <c r="L147" i="13"/>
  <c r="K147" i="13"/>
  <c r="J147" i="13"/>
  <c r="I147" i="13"/>
  <c r="O147" i="13" s="1"/>
  <c r="P146" i="13"/>
  <c r="L146" i="13"/>
  <c r="K146" i="13"/>
  <c r="J146" i="13"/>
  <c r="I146" i="13"/>
  <c r="O146" i="13" s="1"/>
  <c r="P145" i="13"/>
  <c r="L145" i="13"/>
  <c r="K145" i="13"/>
  <c r="J145" i="13"/>
  <c r="I145" i="13"/>
  <c r="O145" i="13" s="1"/>
  <c r="P144" i="13"/>
  <c r="L144" i="13"/>
  <c r="K144" i="13"/>
  <c r="J144" i="13"/>
  <c r="I144" i="13"/>
  <c r="O144" i="13" s="1"/>
  <c r="P143" i="13"/>
  <c r="L143" i="13"/>
  <c r="K143" i="13"/>
  <c r="J143" i="13"/>
  <c r="I143" i="13"/>
  <c r="O143" i="13" s="1"/>
  <c r="P142" i="13"/>
  <c r="L142" i="13"/>
  <c r="K142" i="13"/>
  <c r="J142" i="13"/>
  <c r="I142" i="13"/>
  <c r="O142" i="13" s="1"/>
  <c r="P141" i="13"/>
  <c r="L141" i="13"/>
  <c r="K141" i="13"/>
  <c r="J141" i="13"/>
  <c r="I141" i="13"/>
  <c r="O141" i="13" s="1"/>
  <c r="P140" i="13"/>
  <c r="L140" i="13"/>
  <c r="K140" i="13"/>
  <c r="J140" i="13"/>
  <c r="I140" i="13"/>
  <c r="P139" i="13"/>
  <c r="L139" i="13"/>
  <c r="K139" i="13"/>
  <c r="J139" i="13"/>
  <c r="I139" i="13"/>
  <c r="P138" i="13"/>
  <c r="L138" i="13"/>
  <c r="K138" i="13"/>
  <c r="J138" i="13"/>
  <c r="I138" i="13"/>
  <c r="P137" i="13"/>
  <c r="L137" i="13"/>
  <c r="K137" i="13"/>
  <c r="J137" i="13"/>
  <c r="I137" i="13"/>
  <c r="P136" i="13"/>
  <c r="L136" i="13"/>
  <c r="K136" i="13"/>
  <c r="J136" i="13"/>
  <c r="I136" i="13"/>
  <c r="P135" i="13"/>
  <c r="L135" i="13"/>
  <c r="K135" i="13"/>
  <c r="J135" i="13"/>
  <c r="I135" i="13"/>
  <c r="P134" i="13"/>
  <c r="L134" i="13"/>
  <c r="K134" i="13"/>
  <c r="J134" i="13"/>
  <c r="I134" i="13"/>
  <c r="P133" i="13"/>
  <c r="L133" i="13"/>
  <c r="K133" i="13"/>
  <c r="J133" i="13"/>
  <c r="I133" i="13"/>
  <c r="P132" i="13"/>
  <c r="L132" i="13"/>
  <c r="K132" i="13"/>
  <c r="J132" i="13"/>
  <c r="I132" i="13"/>
  <c r="P131" i="13"/>
  <c r="L131" i="13"/>
  <c r="K131" i="13"/>
  <c r="J131" i="13"/>
  <c r="I131" i="13"/>
  <c r="P130" i="13"/>
  <c r="L130" i="13"/>
  <c r="K130" i="13"/>
  <c r="J130" i="13"/>
  <c r="I130" i="13"/>
  <c r="P129" i="13"/>
  <c r="L129" i="13"/>
  <c r="K129" i="13"/>
  <c r="J129" i="13"/>
  <c r="I129" i="13"/>
  <c r="P128" i="13"/>
  <c r="L128" i="13"/>
  <c r="K128" i="13"/>
  <c r="J128" i="13"/>
  <c r="I128" i="13"/>
  <c r="P127" i="13"/>
  <c r="L127" i="13"/>
  <c r="K127" i="13"/>
  <c r="J127" i="13"/>
  <c r="I127" i="13"/>
  <c r="P126" i="13"/>
  <c r="L126" i="13"/>
  <c r="K126" i="13"/>
  <c r="J126" i="13"/>
  <c r="I126" i="13"/>
  <c r="P125" i="13"/>
  <c r="L125" i="13"/>
  <c r="K125" i="13"/>
  <c r="J125" i="13"/>
  <c r="I125" i="13"/>
  <c r="P124" i="13"/>
  <c r="L124" i="13"/>
  <c r="K124" i="13"/>
  <c r="J124" i="13"/>
  <c r="I124" i="13"/>
  <c r="P123" i="13"/>
  <c r="L123" i="13"/>
  <c r="K123" i="13"/>
  <c r="J123" i="13"/>
  <c r="I123" i="13"/>
  <c r="P122" i="13"/>
  <c r="L122" i="13"/>
  <c r="K122" i="13"/>
  <c r="J122" i="13"/>
  <c r="I122" i="13"/>
  <c r="P121" i="13"/>
  <c r="L121" i="13"/>
  <c r="K121" i="13"/>
  <c r="J121" i="13"/>
  <c r="I121" i="13"/>
  <c r="O121" i="13" s="1"/>
  <c r="P120" i="13"/>
  <c r="L120" i="13"/>
  <c r="K120" i="13"/>
  <c r="J120" i="13"/>
  <c r="I120" i="13"/>
  <c r="O120" i="13" s="1"/>
  <c r="P119" i="13"/>
  <c r="L119" i="13"/>
  <c r="K119" i="13"/>
  <c r="J119" i="13"/>
  <c r="I119" i="13"/>
  <c r="O119" i="13" s="1"/>
  <c r="P118" i="13"/>
  <c r="L118" i="13"/>
  <c r="K118" i="13"/>
  <c r="J118" i="13"/>
  <c r="I118" i="13"/>
  <c r="O118" i="13" s="1"/>
  <c r="P117" i="13"/>
  <c r="L117" i="13"/>
  <c r="K117" i="13"/>
  <c r="J117" i="13"/>
  <c r="I117" i="13"/>
  <c r="O117" i="13" s="1"/>
  <c r="P116" i="13"/>
  <c r="L116" i="13"/>
  <c r="K116" i="13"/>
  <c r="J116" i="13"/>
  <c r="I116" i="13"/>
  <c r="O116" i="13" s="1"/>
  <c r="P115" i="13"/>
  <c r="L115" i="13"/>
  <c r="K115" i="13"/>
  <c r="J115" i="13"/>
  <c r="I115" i="13"/>
  <c r="O115" i="13" s="1"/>
  <c r="P114" i="13"/>
  <c r="L114" i="13"/>
  <c r="K114" i="13"/>
  <c r="J114" i="13"/>
  <c r="I114" i="13"/>
  <c r="O114" i="13" s="1"/>
  <c r="P113" i="13"/>
  <c r="L113" i="13"/>
  <c r="K113" i="13"/>
  <c r="J113" i="13"/>
  <c r="I113" i="13"/>
  <c r="O113" i="13" s="1"/>
  <c r="P112" i="13"/>
  <c r="L112" i="13"/>
  <c r="K112" i="13"/>
  <c r="J112" i="13"/>
  <c r="I112" i="13"/>
  <c r="O112" i="13" s="1"/>
  <c r="P111" i="13"/>
  <c r="L111" i="13"/>
  <c r="K111" i="13"/>
  <c r="J111" i="13"/>
  <c r="I111" i="13"/>
  <c r="O111" i="13" s="1"/>
  <c r="P110" i="13"/>
  <c r="L110" i="13"/>
  <c r="K110" i="13"/>
  <c r="J110" i="13"/>
  <c r="I110" i="13"/>
  <c r="O110" i="13" s="1"/>
  <c r="P109" i="13"/>
  <c r="L109" i="13"/>
  <c r="K109" i="13"/>
  <c r="J109" i="13"/>
  <c r="I109" i="13"/>
  <c r="O109" i="13" s="1"/>
  <c r="P108" i="13"/>
  <c r="L108" i="13"/>
  <c r="K108" i="13"/>
  <c r="J108" i="13"/>
  <c r="I108" i="13"/>
  <c r="O108" i="13" s="1"/>
  <c r="P107" i="13"/>
  <c r="L107" i="13"/>
  <c r="K107" i="13"/>
  <c r="J107" i="13"/>
  <c r="I107" i="13"/>
  <c r="O107" i="13" s="1"/>
  <c r="P106" i="13"/>
  <c r="L106" i="13"/>
  <c r="K106" i="13"/>
  <c r="J106" i="13"/>
  <c r="I106" i="13"/>
  <c r="O106" i="13" s="1"/>
  <c r="P105" i="13"/>
  <c r="L105" i="13"/>
  <c r="K105" i="13"/>
  <c r="J105" i="13"/>
  <c r="I105" i="13"/>
  <c r="O105" i="13" s="1"/>
  <c r="P104" i="13"/>
  <c r="L104" i="13"/>
  <c r="K104" i="13"/>
  <c r="J104" i="13"/>
  <c r="I104" i="13"/>
  <c r="O104" i="13" s="1"/>
  <c r="P103" i="13"/>
  <c r="L103" i="13"/>
  <c r="K103" i="13"/>
  <c r="J103" i="13"/>
  <c r="I103" i="13"/>
  <c r="O103" i="13" s="1"/>
  <c r="P102" i="13"/>
  <c r="L102" i="13"/>
  <c r="K102" i="13"/>
  <c r="J102" i="13"/>
  <c r="I102" i="13"/>
  <c r="O102" i="13" s="1"/>
  <c r="P101" i="13"/>
  <c r="L101" i="13"/>
  <c r="K101" i="13"/>
  <c r="J101" i="13"/>
  <c r="I101" i="13"/>
  <c r="O101" i="13" s="1"/>
  <c r="P100" i="13"/>
  <c r="L100" i="13"/>
  <c r="K100" i="13"/>
  <c r="J100" i="13"/>
  <c r="I100" i="13"/>
  <c r="O100" i="13" s="1"/>
  <c r="P99" i="13"/>
  <c r="L99" i="13"/>
  <c r="K99" i="13"/>
  <c r="J99" i="13"/>
  <c r="I99" i="13"/>
  <c r="O99" i="13" s="1"/>
  <c r="P98" i="13"/>
  <c r="L98" i="13"/>
  <c r="K98" i="13"/>
  <c r="J98" i="13"/>
  <c r="I98" i="13"/>
  <c r="O98" i="13" s="1"/>
  <c r="P97" i="13"/>
  <c r="L97" i="13"/>
  <c r="K97" i="13"/>
  <c r="J97" i="13"/>
  <c r="I97" i="13"/>
  <c r="O97" i="13" s="1"/>
  <c r="P96" i="13"/>
  <c r="L96" i="13"/>
  <c r="K96" i="13"/>
  <c r="J96" i="13"/>
  <c r="I96" i="13"/>
  <c r="O96" i="13" s="1"/>
  <c r="P95" i="13"/>
  <c r="L95" i="13"/>
  <c r="K95" i="13"/>
  <c r="J95" i="13"/>
  <c r="I95" i="13"/>
  <c r="P94" i="13"/>
  <c r="L94" i="13"/>
  <c r="K94" i="13"/>
  <c r="J94" i="13"/>
  <c r="I94" i="13"/>
  <c r="P93" i="13"/>
  <c r="L93" i="13"/>
  <c r="K93" i="13"/>
  <c r="J93" i="13"/>
  <c r="I93" i="13"/>
  <c r="P92" i="13"/>
  <c r="L92" i="13"/>
  <c r="K92" i="13"/>
  <c r="J92" i="13"/>
  <c r="I92" i="13"/>
  <c r="P91" i="13"/>
  <c r="L91" i="13"/>
  <c r="K91" i="13"/>
  <c r="J91" i="13"/>
  <c r="I91" i="13"/>
  <c r="P90" i="13"/>
  <c r="L90" i="13"/>
  <c r="K90" i="13"/>
  <c r="J90" i="13"/>
  <c r="I90" i="13"/>
  <c r="P89" i="13"/>
  <c r="L89" i="13"/>
  <c r="K89" i="13"/>
  <c r="J89" i="13"/>
  <c r="I89" i="13"/>
  <c r="P88" i="13"/>
  <c r="L88" i="13"/>
  <c r="K88" i="13"/>
  <c r="J88" i="13"/>
  <c r="I88" i="13"/>
  <c r="P87" i="13"/>
  <c r="L87" i="13"/>
  <c r="K87" i="13"/>
  <c r="J87" i="13"/>
  <c r="I87" i="13"/>
  <c r="P86" i="13"/>
  <c r="L86" i="13"/>
  <c r="K86" i="13"/>
  <c r="J86" i="13"/>
  <c r="I86" i="13"/>
  <c r="P85" i="13"/>
  <c r="L85" i="13"/>
  <c r="K85" i="13"/>
  <c r="J85" i="13"/>
  <c r="I85" i="13"/>
  <c r="P84" i="13"/>
  <c r="L84" i="13"/>
  <c r="K84" i="13"/>
  <c r="J84" i="13"/>
  <c r="I84" i="13"/>
  <c r="P83" i="13"/>
  <c r="L83" i="13"/>
  <c r="K83" i="13"/>
  <c r="J83" i="13"/>
  <c r="I83" i="13"/>
  <c r="P82" i="13"/>
  <c r="L82" i="13"/>
  <c r="K82" i="13"/>
  <c r="J82" i="13"/>
  <c r="I82" i="13"/>
  <c r="P81" i="13"/>
  <c r="L81" i="13"/>
  <c r="K81" i="13"/>
  <c r="J81" i="13"/>
  <c r="I81" i="13"/>
  <c r="P80" i="13"/>
  <c r="L80" i="13"/>
  <c r="K80" i="13"/>
  <c r="J80" i="13"/>
  <c r="I80" i="13"/>
  <c r="P79" i="13"/>
  <c r="L79" i="13"/>
  <c r="K79" i="13"/>
  <c r="J79" i="13"/>
  <c r="I79" i="13"/>
  <c r="P78" i="13"/>
  <c r="L78" i="13"/>
  <c r="K78" i="13"/>
  <c r="J78" i="13"/>
  <c r="I78" i="13"/>
  <c r="P77" i="13"/>
  <c r="L77" i="13"/>
  <c r="K77" i="13"/>
  <c r="J77" i="13"/>
  <c r="I77" i="13"/>
  <c r="P76" i="13"/>
  <c r="L76" i="13"/>
  <c r="K76" i="13"/>
  <c r="J76" i="13"/>
  <c r="I76" i="13"/>
  <c r="P75" i="13"/>
  <c r="L75" i="13"/>
  <c r="K75" i="13"/>
  <c r="J75" i="13"/>
  <c r="I75" i="13"/>
  <c r="P74" i="13"/>
  <c r="L74" i="13"/>
  <c r="K74" i="13"/>
  <c r="J74" i="13"/>
  <c r="I74" i="13"/>
  <c r="P73" i="13"/>
  <c r="L73" i="13"/>
  <c r="K73" i="13"/>
  <c r="J73" i="13"/>
  <c r="I73" i="13"/>
  <c r="P72" i="13"/>
  <c r="L72" i="13"/>
  <c r="K72" i="13"/>
  <c r="J72" i="13"/>
  <c r="I72" i="13"/>
  <c r="P71" i="13"/>
  <c r="L71" i="13"/>
  <c r="K71" i="13"/>
  <c r="J71" i="13"/>
  <c r="I71" i="13"/>
  <c r="P70" i="13"/>
  <c r="L70" i="13"/>
  <c r="K70" i="13"/>
  <c r="J70" i="13"/>
  <c r="I70" i="13"/>
  <c r="P69" i="13"/>
  <c r="L69" i="13"/>
  <c r="K69" i="13"/>
  <c r="J69" i="13"/>
  <c r="I69" i="13"/>
  <c r="P68" i="13"/>
  <c r="L68" i="13"/>
  <c r="K68" i="13"/>
  <c r="J68" i="13"/>
  <c r="I68" i="13"/>
  <c r="P67" i="13"/>
  <c r="L67" i="13"/>
  <c r="K67" i="13"/>
  <c r="J67" i="13"/>
  <c r="I67" i="13"/>
  <c r="P66" i="13"/>
  <c r="L66" i="13"/>
  <c r="K66" i="13"/>
  <c r="J66" i="13"/>
  <c r="I66" i="13"/>
  <c r="O66" i="13" s="1"/>
  <c r="P65" i="13"/>
  <c r="L65" i="13"/>
  <c r="K65" i="13"/>
  <c r="J65" i="13"/>
  <c r="I65" i="13"/>
  <c r="O65" i="13" s="1"/>
  <c r="P64" i="13"/>
  <c r="L64" i="13"/>
  <c r="K64" i="13"/>
  <c r="J64" i="13"/>
  <c r="I64" i="13"/>
  <c r="O64" i="13" s="1"/>
  <c r="P63" i="13"/>
  <c r="L63" i="13"/>
  <c r="K63" i="13"/>
  <c r="J63" i="13"/>
  <c r="I63" i="13"/>
  <c r="O63" i="13" s="1"/>
  <c r="P62" i="13"/>
  <c r="L62" i="13"/>
  <c r="K62" i="13"/>
  <c r="J62" i="13"/>
  <c r="I62" i="13"/>
  <c r="O62" i="13" s="1"/>
  <c r="P61" i="13"/>
  <c r="L61" i="13"/>
  <c r="K61" i="13"/>
  <c r="J61" i="13"/>
  <c r="I61" i="13"/>
  <c r="O61" i="13" s="1"/>
  <c r="P60" i="13"/>
  <c r="L60" i="13"/>
  <c r="K60" i="13"/>
  <c r="J60" i="13"/>
  <c r="I60" i="13"/>
  <c r="O60" i="13" s="1"/>
  <c r="P59" i="13"/>
  <c r="L59" i="13"/>
  <c r="K59" i="13"/>
  <c r="J59" i="13"/>
  <c r="I59" i="13"/>
  <c r="O59" i="13" s="1"/>
  <c r="P58" i="13"/>
  <c r="L58" i="13"/>
  <c r="K58" i="13"/>
  <c r="J58" i="13"/>
  <c r="I58" i="13"/>
  <c r="P57" i="13"/>
  <c r="L57" i="13"/>
  <c r="K57" i="13"/>
  <c r="J57" i="13"/>
  <c r="I57" i="13"/>
  <c r="P56" i="13"/>
  <c r="L56" i="13"/>
  <c r="K56" i="13"/>
  <c r="J56" i="13"/>
  <c r="I56" i="13"/>
  <c r="P55" i="13"/>
  <c r="L55" i="13"/>
  <c r="K55" i="13"/>
  <c r="J55" i="13"/>
  <c r="I55" i="13"/>
  <c r="P54" i="13"/>
  <c r="L54" i="13"/>
  <c r="K54" i="13"/>
  <c r="J54" i="13"/>
  <c r="I54" i="13"/>
  <c r="P53" i="13"/>
  <c r="L53" i="13"/>
  <c r="K53" i="13"/>
  <c r="J53" i="13"/>
  <c r="I53" i="13"/>
  <c r="P52" i="13"/>
  <c r="L52" i="13"/>
  <c r="K52" i="13"/>
  <c r="J52" i="13"/>
  <c r="I52" i="13"/>
  <c r="P51" i="13"/>
  <c r="L51" i="13"/>
  <c r="K51" i="13"/>
  <c r="J51" i="13"/>
  <c r="I51" i="13"/>
  <c r="P50" i="13"/>
  <c r="L50" i="13"/>
  <c r="K50" i="13"/>
  <c r="J50" i="13"/>
  <c r="I50" i="13"/>
  <c r="P49" i="13"/>
  <c r="L49" i="13"/>
  <c r="K49" i="13"/>
  <c r="J49" i="13"/>
  <c r="I49" i="13"/>
  <c r="P48" i="13"/>
  <c r="L48" i="13"/>
  <c r="K48" i="13"/>
  <c r="J48" i="13"/>
  <c r="I48" i="13"/>
  <c r="P47" i="13"/>
  <c r="L47" i="13"/>
  <c r="K47" i="13"/>
  <c r="J47" i="13"/>
  <c r="I47" i="13"/>
  <c r="P46" i="13"/>
  <c r="L46" i="13"/>
  <c r="K46" i="13"/>
  <c r="J46" i="13"/>
  <c r="I46" i="13"/>
  <c r="P45" i="13"/>
  <c r="L45" i="13"/>
  <c r="K45" i="13"/>
  <c r="J45" i="13"/>
  <c r="I45" i="13"/>
  <c r="P44" i="13"/>
  <c r="L44" i="13"/>
  <c r="K44" i="13"/>
  <c r="J44" i="13"/>
  <c r="I44" i="13"/>
  <c r="P43" i="13"/>
  <c r="L43" i="13"/>
  <c r="K43" i="13"/>
  <c r="J43" i="13"/>
  <c r="I43" i="13"/>
  <c r="P42" i="13"/>
  <c r="L42" i="13"/>
  <c r="K42" i="13"/>
  <c r="J42" i="13"/>
  <c r="I42" i="13"/>
  <c r="P41" i="13"/>
  <c r="L41" i="13"/>
  <c r="K41" i="13"/>
  <c r="J41" i="13"/>
  <c r="I41" i="13"/>
  <c r="AA266" i="12"/>
  <c r="Z266" i="12"/>
  <c r="Y266" i="12"/>
  <c r="X266" i="12"/>
  <c r="V266" i="12"/>
  <c r="U266" i="12"/>
  <c r="T266" i="12"/>
  <c r="S266" i="12"/>
  <c r="Q266" i="12"/>
  <c r="P266" i="12"/>
  <c r="O266" i="12"/>
  <c r="N266" i="12"/>
  <c r="M266" i="12"/>
  <c r="E266" i="12"/>
  <c r="AA265" i="12"/>
  <c r="Z265" i="12"/>
  <c r="Y265" i="12"/>
  <c r="X265" i="12"/>
  <c r="V265" i="12"/>
  <c r="U265" i="12"/>
  <c r="T265" i="12"/>
  <c r="S265" i="12"/>
  <c r="Q265" i="12"/>
  <c r="O265" i="12"/>
  <c r="N265" i="12"/>
  <c r="M265" i="12"/>
  <c r="K265" i="12"/>
  <c r="I265" i="12"/>
  <c r="G265" i="12"/>
  <c r="E265" i="12"/>
  <c r="AA264" i="12"/>
  <c r="Z264" i="12"/>
  <c r="Y264" i="12"/>
  <c r="X264" i="12"/>
  <c r="V264" i="12"/>
  <c r="U264" i="12"/>
  <c r="T264" i="12"/>
  <c r="S264" i="12"/>
  <c r="Q264" i="12"/>
  <c r="P264" i="12"/>
  <c r="O264" i="12"/>
  <c r="N264" i="12"/>
  <c r="M264" i="12"/>
  <c r="K264" i="12"/>
  <c r="I264" i="12"/>
  <c r="G264" i="12"/>
  <c r="E264" i="12"/>
  <c r="AA263" i="12"/>
  <c r="Z263" i="12"/>
  <c r="Y263" i="12"/>
  <c r="X263" i="12"/>
  <c r="V263" i="12"/>
  <c r="U263" i="12"/>
  <c r="T263" i="12"/>
  <c r="S263" i="12"/>
  <c r="Q263" i="12"/>
  <c r="P263" i="12"/>
  <c r="O263" i="12"/>
  <c r="N263" i="12"/>
  <c r="M263" i="12"/>
  <c r="K263" i="12"/>
  <c r="I263" i="12"/>
  <c r="G263" i="12"/>
  <c r="E263" i="12"/>
  <c r="AA262" i="12"/>
  <c r="Z262" i="12"/>
  <c r="Y262" i="12"/>
  <c r="X262" i="12"/>
  <c r="V262" i="12"/>
  <c r="U262" i="12"/>
  <c r="T262" i="12"/>
  <c r="S262" i="12"/>
  <c r="Q262" i="12"/>
  <c r="P262" i="12"/>
  <c r="O262" i="12"/>
  <c r="N262" i="12"/>
  <c r="M262" i="12"/>
  <c r="K262" i="12"/>
  <c r="I262" i="12"/>
  <c r="G262" i="12"/>
  <c r="E262" i="12"/>
  <c r="AA261" i="12"/>
  <c r="Z261" i="12"/>
  <c r="Y261" i="12"/>
  <c r="X261" i="12"/>
  <c r="V261" i="12"/>
  <c r="U261" i="12"/>
  <c r="T261" i="12"/>
  <c r="S261" i="12"/>
  <c r="Q261" i="12"/>
  <c r="P261" i="12"/>
  <c r="O261" i="12"/>
  <c r="N261" i="12"/>
  <c r="R261" i="12" s="1"/>
  <c r="M261" i="12"/>
  <c r="K261" i="12"/>
  <c r="I261" i="12"/>
  <c r="G261" i="12"/>
  <c r="E261" i="12"/>
  <c r="AA260" i="12"/>
  <c r="Z260" i="12"/>
  <c r="Y260" i="12"/>
  <c r="X260" i="12"/>
  <c r="V260" i="12"/>
  <c r="U260" i="12"/>
  <c r="T260" i="12"/>
  <c r="S260" i="12"/>
  <c r="W260" i="12" s="1"/>
  <c r="I44" i="14" s="1"/>
  <c r="Q260" i="12"/>
  <c r="P260" i="12"/>
  <c r="O260" i="12"/>
  <c r="N260" i="12"/>
  <c r="R260" i="12" s="1"/>
  <c r="M260" i="12"/>
  <c r="K260" i="12"/>
  <c r="I260" i="12"/>
  <c r="G260" i="12"/>
  <c r="E260" i="12"/>
  <c r="AA259" i="12"/>
  <c r="Z259" i="12"/>
  <c r="Y259" i="12"/>
  <c r="X259" i="12"/>
  <c r="V259" i="12"/>
  <c r="U259" i="12"/>
  <c r="T259" i="12"/>
  <c r="S259" i="12"/>
  <c r="Q259" i="12"/>
  <c r="P259" i="12"/>
  <c r="O259" i="12"/>
  <c r="N259" i="12"/>
  <c r="R259" i="12" s="1"/>
  <c r="M259" i="12"/>
  <c r="K259" i="12"/>
  <c r="I259" i="12"/>
  <c r="G259" i="12"/>
  <c r="E259" i="12"/>
  <c r="AA258" i="12"/>
  <c r="Z258" i="12"/>
  <c r="Y258" i="12"/>
  <c r="X258" i="12"/>
  <c r="V258" i="12"/>
  <c r="U258" i="12"/>
  <c r="T258" i="12"/>
  <c r="S258" i="12"/>
  <c r="Q258" i="12"/>
  <c r="P258" i="12"/>
  <c r="O258" i="12"/>
  <c r="N258" i="12"/>
  <c r="R258" i="12" s="1"/>
  <c r="M258" i="12"/>
  <c r="K258" i="12"/>
  <c r="I258" i="12"/>
  <c r="G258" i="12"/>
  <c r="E258" i="12"/>
  <c r="AA257" i="12"/>
  <c r="Z257" i="12"/>
  <c r="Y257" i="12"/>
  <c r="X257" i="12"/>
  <c r="V257" i="12"/>
  <c r="U257" i="12"/>
  <c r="T257" i="12"/>
  <c r="S257" i="12"/>
  <c r="Q257" i="12"/>
  <c r="P257" i="12"/>
  <c r="O257" i="12"/>
  <c r="N257" i="12"/>
  <c r="R257" i="12" s="1"/>
  <c r="M257" i="12"/>
  <c r="K257" i="12"/>
  <c r="I257" i="12"/>
  <c r="G257" i="12"/>
  <c r="E257" i="12"/>
  <c r="AA256" i="12"/>
  <c r="Z256" i="12"/>
  <c r="Y256" i="12"/>
  <c r="X256" i="12"/>
  <c r="AB256" i="12" s="1"/>
  <c r="V256" i="12"/>
  <c r="U256" i="12"/>
  <c r="T256" i="12"/>
  <c r="S256" i="12"/>
  <c r="W256" i="12" s="1"/>
  <c r="I48" i="14" s="1"/>
  <c r="Q256" i="12"/>
  <c r="P256" i="12"/>
  <c r="O256" i="12"/>
  <c r="N256" i="12"/>
  <c r="R256" i="12" s="1"/>
  <c r="M256" i="12"/>
  <c r="K256" i="12"/>
  <c r="I256" i="12"/>
  <c r="G256" i="12"/>
  <c r="E256" i="12"/>
  <c r="AA255" i="12"/>
  <c r="Z255" i="12"/>
  <c r="Y255" i="12"/>
  <c r="X255" i="12"/>
  <c r="AB255" i="12" s="1"/>
  <c r="V255" i="12"/>
  <c r="U255" i="12"/>
  <c r="T255" i="12"/>
  <c r="S255" i="12"/>
  <c r="W255" i="12" s="1"/>
  <c r="I49" i="14" s="1"/>
  <c r="Q255" i="12"/>
  <c r="P255" i="12"/>
  <c r="O255" i="12"/>
  <c r="N255" i="12"/>
  <c r="R255" i="12" s="1"/>
  <c r="M255" i="12"/>
  <c r="K255" i="12"/>
  <c r="I255" i="12"/>
  <c r="G255" i="12"/>
  <c r="E255" i="12"/>
  <c r="AA254" i="12"/>
  <c r="Z254" i="12"/>
  <c r="Y254" i="12"/>
  <c r="X254" i="12"/>
  <c r="AB254" i="12" s="1"/>
  <c r="V254" i="12"/>
  <c r="U254" i="12"/>
  <c r="T254" i="12"/>
  <c r="S254" i="12"/>
  <c r="W254" i="12" s="1"/>
  <c r="Q254" i="12"/>
  <c r="P254" i="12"/>
  <c r="O254" i="12"/>
  <c r="N254" i="12"/>
  <c r="R254" i="12" s="1"/>
  <c r="M254" i="12"/>
  <c r="K254" i="12"/>
  <c r="I254" i="12"/>
  <c r="G254" i="12"/>
  <c r="E254" i="12"/>
  <c r="AA253" i="12"/>
  <c r="Z253" i="12"/>
  <c r="Y253" i="12"/>
  <c r="X253" i="12"/>
  <c r="AB253" i="12" s="1"/>
  <c r="V253" i="12"/>
  <c r="U253" i="12"/>
  <c r="T253" i="12"/>
  <c r="S253" i="12"/>
  <c r="W253" i="12" s="1"/>
  <c r="Q253" i="12"/>
  <c r="P253" i="12"/>
  <c r="O253" i="12"/>
  <c r="N253" i="12"/>
  <c r="R253" i="12" s="1"/>
  <c r="M253" i="12"/>
  <c r="K253" i="12"/>
  <c r="I253" i="12"/>
  <c r="G253" i="12"/>
  <c r="E253" i="12"/>
  <c r="AA252" i="12"/>
  <c r="Z252" i="12"/>
  <c r="Y252" i="12"/>
  <c r="X252" i="12"/>
  <c r="AB252" i="12" s="1"/>
  <c r="V252" i="12"/>
  <c r="U252" i="12"/>
  <c r="T252" i="12"/>
  <c r="S252" i="12"/>
  <c r="W252" i="12" s="1"/>
  <c r="I52" i="14" s="1"/>
  <c r="Q252" i="12"/>
  <c r="P252" i="12"/>
  <c r="O252" i="12"/>
  <c r="N252" i="12"/>
  <c r="R252" i="12" s="1"/>
  <c r="M252" i="12"/>
  <c r="K252" i="12"/>
  <c r="I252" i="12"/>
  <c r="G252" i="12"/>
  <c r="E252" i="12"/>
  <c r="AA251" i="12"/>
  <c r="Z251" i="12"/>
  <c r="Y251" i="12"/>
  <c r="X251" i="12"/>
  <c r="V251" i="12"/>
  <c r="U251" i="12"/>
  <c r="T251" i="12"/>
  <c r="S251" i="12"/>
  <c r="Q251" i="12"/>
  <c r="P251" i="12"/>
  <c r="O251" i="12"/>
  <c r="N251" i="12"/>
  <c r="M251" i="12"/>
  <c r="K251" i="12"/>
  <c r="I251" i="12"/>
  <c r="G251" i="12"/>
  <c r="E251" i="12"/>
  <c r="AA250" i="12"/>
  <c r="Z250" i="12"/>
  <c r="Y250" i="12"/>
  <c r="X250" i="12"/>
  <c r="V250" i="12"/>
  <c r="U250" i="12"/>
  <c r="T250" i="12"/>
  <c r="S250" i="12"/>
  <c r="Q250" i="12"/>
  <c r="P250" i="12"/>
  <c r="O250" i="12"/>
  <c r="N250" i="12"/>
  <c r="M250" i="12"/>
  <c r="K250" i="12"/>
  <c r="I250" i="12"/>
  <c r="G250" i="12"/>
  <c r="E250" i="12"/>
  <c r="AA249" i="12"/>
  <c r="Z249" i="12"/>
  <c r="Y249" i="12"/>
  <c r="X249" i="12"/>
  <c r="V249" i="12"/>
  <c r="U249" i="12"/>
  <c r="T249" i="12"/>
  <c r="S249" i="12"/>
  <c r="Q249" i="12"/>
  <c r="P249" i="12"/>
  <c r="O249" i="12"/>
  <c r="N249" i="12"/>
  <c r="M249" i="12"/>
  <c r="K249" i="12"/>
  <c r="I249" i="12"/>
  <c r="G249" i="12"/>
  <c r="E249" i="12"/>
  <c r="AA248" i="12"/>
  <c r="Z248" i="12"/>
  <c r="Y248" i="12"/>
  <c r="X248" i="12"/>
  <c r="AB248" i="12" s="1"/>
  <c r="V248" i="12"/>
  <c r="U248" i="12"/>
  <c r="T248" i="12"/>
  <c r="S248" i="12"/>
  <c r="W248" i="12" s="1"/>
  <c r="I57" i="14" s="1"/>
  <c r="Q248" i="12"/>
  <c r="P248" i="12"/>
  <c r="O248" i="12"/>
  <c r="N248" i="12"/>
  <c r="M248" i="12"/>
  <c r="K248" i="12"/>
  <c r="I248" i="12"/>
  <c r="G248" i="12"/>
  <c r="E248" i="12"/>
  <c r="AA247" i="12"/>
  <c r="Z247" i="12"/>
  <c r="Y247" i="12"/>
  <c r="X247" i="12"/>
  <c r="AB247" i="12" s="1"/>
  <c r="V247" i="12"/>
  <c r="U247" i="12"/>
  <c r="T247" i="12"/>
  <c r="S247" i="12"/>
  <c r="W247" i="12" s="1"/>
  <c r="Q247" i="12"/>
  <c r="P247" i="12"/>
  <c r="O247" i="12"/>
  <c r="N247" i="12"/>
  <c r="M247" i="12"/>
  <c r="K247" i="12"/>
  <c r="I247" i="12"/>
  <c r="G247" i="12"/>
  <c r="E247" i="12"/>
  <c r="AA246" i="12"/>
  <c r="Z246" i="12"/>
  <c r="Y246" i="12"/>
  <c r="X246" i="12"/>
  <c r="AB246" i="12" s="1"/>
  <c r="V246" i="12"/>
  <c r="U246" i="12"/>
  <c r="T246" i="12"/>
  <c r="S246" i="12"/>
  <c r="W246" i="12" s="1"/>
  <c r="I59" i="14" s="1"/>
  <c r="Q246" i="12"/>
  <c r="P246" i="12"/>
  <c r="O246" i="12"/>
  <c r="N246" i="12"/>
  <c r="M246" i="12"/>
  <c r="K246" i="12"/>
  <c r="I246" i="12"/>
  <c r="G246" i="12"/>
  <c r="E246" i="12"/>
  <c r="AA245" i="12"/>
  <c r="Z245" i="12"/>
  <c r="Y245" i="12"/>
  <c r="X245" i="12"/>
  <c r="AB245" i="12" s="1"/>
  <c r="V245" i="12"/>
  <c r="U245" i="12"/>
  <c r="T245" i="12"/>
  <c r="S245" i="12"/>
  <c r="W245" i="12" s="1"/>
  <c r="Q245" i="12"/>
  <c r="P245" i="12"/>
  <c r="O245" i="12"/>
  <c r="N245" i="12"/>
  <c r="M245" i="12"/>
  <c r="K245" i="12"/>
  <c r="I245" i="12"/>
  <c r="G245" i="12"/>
  <c r="E245" i="12"/>
  <c r="AA244" i="12"/>
  <c r="Z244" i="12"/>
  <c r="Y244" i="12"/>
  <c r="X244" i="12"/>
  <c r="V244" i="12"/>
  <c r="U244" i="12"/>
  <c r="T244" i="12"/>
  <c r="S244" i="12"/>
  <c r="Q244" i="12"/>
  <c r="P244" i="12"/>
  <c r="O244" i="12"/>
  <c r="N244" i="12"/>
  <c r="M244" i="12"/>
  <c r="K244" i="12"/>
  <c r="I244" i="12"/>
  <c r="G244" i="12"/>
  <c r="E244" i="12"/>
  <c r="AA243" i="12"/>
  <c r="Z243" i="12"/>
  <c r="Y243" i="12"/>
  <c r="X243" i="12"/>
  <c r="V243" i="12"/>
  <c r="U243" i="12"/>
  <c r="T243" i="12"/>
  <c r="S243" i="12"/>
  <c r="Q243" i="12"/>
  <c r="P243" i="12"/>
  <c r="O243" i="12"/>
  <c r="N243" i="12"/>
  <c r="M243" i="12"/>
  <c r="K243" i="12"/>
  <c r="I243" i="12"/>
  <c r="G243" i="12"/>
  <c r="E243" i="12"/>
  <c r="AA242" i="12"/>
  <c r="Z242" i="12"/>
  <c r="Y242" i="12"/>
  <c r="X242" i="12"/>
  <c r="V242" i="12"/>
  <c r="U242" i="12"/>
  <c r="T242" i="12"/>
  <c r="S242" i="12"/>
  <c r="Q242" i="12"/>
  <c r="P242" i="12"/>
  <c r="O242" i="12"/>
  <c r="N242" i="12"/>
  <c r="M242" i="12"/>
  <c r="K242" i="12"/>
  <c r="I242" i="12"/>
  <c r="G242" i="12"/>
  <c r="E242" i="12"/>
  <c r="AA241" i="12"/>
  <c r="Z241" i="12"/>
  <c r="Y241" i="12"/>
  <c r="X241" i="12"/>
  <c r="AB241" i="12" s="1"/>
  <c r="V241" i="12"/>
  <c r="U241" i="12"/>
  <c r="T241" i="12"/>
  <c r="S241" i="12"/>
  <c r="W241" i="12" s="1"/>
  <c r="I64" i="14" s="1"/>
  <c r="R241" i="12"/>
  <c r="Q241" i="12"/>
  <c r="P241" i="12"/>
  <c r="O241" i="12"/>
  <c r="N241" i="12"/>
  <c r="M241" i="12"/>
  <c r="K241" i="12"/>
  <c r="I241" i="12"/>
  <c r="G241" i="12"/>
  <c r="E241" i="12"/>
  <c r="AA240" i="12"/>
  <c r="Z240" i="12"/>
  <c r="Y240" i="12"/>
  <c r="X240" i="12"/>
  <c r="AB240" i="12" s="1"/>
  <c r="V240" i="12"/>
  <c r="U240" i="12"/>
  <c r="T240" i="12"/>
  <c r="S240" i="12"/>
  <c r="W240" i="12" s="1"/>
  <c r="Q240" i="12"/>
  <c r="P240" i="12"/>
  <c r="O240" i="12"/>
  <c r="N240" i="12"/>
  <c r="M240" i="12"/>
  <c r="K240" i="12"/>
  <c r="I240" i="12"/>
  <c r="G240" i="12"/>
  <c r="E240" i="12"/>
  <c r="AA239" i="12"/>
  <c r="Z239" i="12"/>
  <c r="Y239" i="12"/>
  <c r="X239" i="12"/>
  <c r="V239" i="12"/>
  <c r="U239" i="12"/>
  <c r="T239" i="12"/>
  <c r="S239" i="12"/>
  <c r="W239" i="12" s="1"/>
  <c r="Q239" i="12"/>
  <c r="P239" i="12"/>
  <c r="O239" i="12"/>
  <c r="N239" i="12"/>
  <c r="M239" i="12"/>
  <c r="K239" i="12"/>
  <c r="I239" i="12"/>
  <c r="G239" i="12"/>
  <c r="E239" i="12"/>
  <c r="AA238" i="12"/>
  <c r="Z238" i="12"/>
  <c r="Y238" i="12"/>
  <c r="X238" i="12"/>
  <c r="W238" i="12"/>
  <c r="I68" i="14" s="1"/>
  <c r="V238" i="12"/>
  <c r="U238" i="12"/>
  <c r="T238" i="12"/>
  <c r="S238" i="12"/>
  <c r="Q238" i="12"/>
  <c r="P238" i="12"/>
  <c r="O238" i="12"/>
  <c r="N238" i="12"/>
  <c r="M238" i="12"/>
  <c r="K238" i="12"/>
  <c r="I238" i="12"/>
  <c r="G238" i="12"/>
  <c r="E238" i="12"/>
  <c r="AA237" i="12"/>
  <c r="Z237" i="12"/>
  <c r="Y237" i="12"/>
  <c r="X237" i="12"/>
  <c r="V237" i="12"/>
  <c r="U237" i="12"/>
  <c r="T237" i="12"/>
  <c r="S237" i="12"/>
  <c r="Q237" i="12"/>
  <c r="P237" i="12"/>
  <c r="O237" i="12"/>
  <c r="N237" i="12"/>
  <c r="M237" i="12"/>
  <c r="K237" i="12"/>
  <c r="I237" i="12"/>
  <c r="G237" i="12"/>
  <c r="E237" i="12"/>
  <c r="AA236" i="12"/>
  <c r="Z236" i="12"/>
  <c r="Y236" i="12"/>
  <c r="X236" i="12"/>
  <c r="V236" i="12"/>
  <c r="U236" i="12"/>
  <c r="T236" i="12"/>
  <c r="S236" i="12"/>
  <c r="Q236" i="12"/>
  <c r="P236" i="12"/>
  <c r="O236" i="12"/>
  <c r="N236" i="12"/>
  <c r="M236" i="12"/>
  <c r="K236" i="12"/>
  <c r="I236" i="12"/>
  <c r="G236" i="12"/>
  <c r="E236" i="12"/>
  <c r="AA235" i="12"/>
  <c r="Z235" i="12"/>
  <c r="Y235" i="12"/>
  <c r="X235" i="12"/>
  <c r="V235" i="12"/>
  <c r="U235" i="12"/>
  <c r="T235" i="12"/>
  <c r="S235" i="12"/>
  <c r="Q235" i="12"/>
  <c r="P235" i="12"/>
  <c r="O235" i="12"/>
  <c r="N235" i="12"/>
  <c r="M235" i="12"/>
  <c r="K235" i="12"/>
  <c r="I235" i="12"/>
  <c r="G235" i="12"/>
  <c r="E235" i="12"/>
  <c r="AA234" i="12"/>
  <c r="Z234" i="12"/>
  <c r="Y234" i="12"/>
  <c r="X234" i="12"/>
  <c r="AB234" i="12" s="1"/>
  <c r="V234" i="12"/>
  <c r="U234" i="12"/>
  <c r="T234" i="12"/>
  <c r="S234" i="12"/>
  <c r="Q234" i="12"/>
  <c r="P234" i="12"/>
  <c r="O234" i="12"/>
  <c r="N234" i="12"/>
  <c r="M234" i="12"/>
  <c r="K234" i="12"/>
  <c r="I234" i="12"/>
  <c r="G234" i="12"/>
  <c r="E234" i="12"/>
  <c r="AA233" i="12"/>
  <c r="Z233" i="12"/>
  <c r="Y233" i="12"/>
  <c r="X233" i="12"/>
  <c r="V233" i="12"/>
  <c r="U233" i="12"/>
  <c r="T233" i="12"/>
  <c r="S233" i="12"/>
  <c r="Q233" i="12"/>
  <c r="P233" i="12"/>
  <c r="O233" i="12"/>
  <c r="N233" i="12"/>
  <c r="M233" i="12"/>
  <c r="K233" i="12"/>
  <c r="I233" i="12"/>
  <c r="G233" i="12"/>
  <c r="E233" i="12"/>
  <c r="AA232" i="12"/>
  <c r="Z232" i="12"/>
  <c r="Y232" i="12"/>
  <c r="X232" i="12"/>
  <c r="V232" i="12"/>
  <c r="U232" i="12"/>
  <c r="T232" i="12"/>
  <c r="S232" i="12"/>
  <c r="Q232" i="12"/>
  <c r="P232" i="12"/>
  <c r="O232" i="12"/>
  <c r="N232" i="12"/>
  <c r="M232" i="12"/>
  <c r="K232" i="12"/>
  <c r="I232" i="12"/>
  <c r="G232" i="12"/>
  <c r="E232" i="12"/>
  <c r="AA231" i="12"/>
  <c r="Z231" i="12"/>
  <c r="Y231" i="12"/>
  <c r="X231" i="12"/>
  <c r="V231" i="12"/>
  <c r="U231" i="12"/>
  <c r="T231" i="12"/>
  <c r="S231" i="12"/>
  <c r="Q231" i="12"/>
  <c r="P231" i="12"/>
  <c r="O231" i="12"/>
  <c r="N231" i="12"/>
  <c r="M231" i="12"/>
  <c r="K231" i="12"/>
  <c r="I231" i="12"/>
  <c r="G231" i="12"/>
  <c r="E231" i="12"/>
  <c r="AA230" i="12"/>
  <c r="Z230" i="12"/>
  <c r="Y230" i="12"/>
  <c r="X230" i="12"/>
  <c r="V230" i="12"/>
  <c r="U230" i="12"/>
  <c r="T230" i="12"/>
  <c r="S230" i="12"/>
  <c r="Q230" i="12"/>
  <c r="P230" i="12"/>
  <c r="O230" i="12"/>
  <c r="N230" i="12"/>
  <c r="M230" i="12"/>
  <c r="K230" i="12"/>
  <c r="I230" i="12"/>
  <c r="G230" i="12"/>
  <c r="E230" i="12"/>
  <c r="AA229" i="12"/>
  <c r="Z229" i="12"/>
  <c r="Y229" i="12"/>
  <c r="X229" i="12"/>
  <c r="V229" i="12"/>
  <c r="U229" i="12"/>
  <c r="T229" i="12"/>
  <c r="S229" i="12"/>
  <c r="Q229" i="12"/>
  <c r="P229" i="12"/>
  <c r="O229" i="12"/>
  <c r="N229" i="12"/>
  <c r="M229" i="12"/>
  <c r="K229" i="12"/>
  <c r="I229" i="12"/>
  <c r="G229" i="12"/>
  <c r="E229" i="12"/>
  <c r="AA228" i="12"/>
  <c r="Z228" i="12"/>
  <c r="Y228" i="12"/>
  <c r="X228" i="12"/>
  <c r="AB228" i="12" s="1"/>
  <c r="V228" i="12"/>
  <c r="U228" i="12"/>
  <c r="T228" i="12"/>
  <c r="S228" i="12"/>
  <c r="Q228" i="12"/>
  <c r="P228" i="12"/>
  <c r="O228" i="12"/>
  <c r="N228" i="12"/>
  <c r="R228" i="12" s="1"/>
  <c r="M228" i="12"/>
  <c r="K228" i="12"/>
  <c r="I228" i="12"/>
  <c r="G228" i="12"/>
  <c r="E228" i="12"/>
  <c r="AA227" i="12"/>
  <c r="Z227" i="12"/>
  <c r="Y227" i="12"/>
  <c r="X227" i="12"/>
  <c r="AB227" i="12" s="1"/>
  <c r="V227" i="12"/>
  <c r="U227" i="12"/>
  <c r="T227" i="12"/>
  <c r="S227" i="12"/>
  <c r="Q227" i="12"/>
  <c r="P227" i="12"/>
  <c r="O227" i="12"/>
  <c r="N227" i="12"/>
  <c r="R227" i="12" s="1"/>
  <c r="M227" i="12"/>
  <c r="K227" i="12"/>
  <c r="I227" i="12"/>
  <c r="G227" i="12"/>
  <c r="E227" i="12"/>
  <c r="AA226" i="12"/>
  <c r="Z226" i="12"/>
  <c r="Y226" i="12"/>
  <c r="X226" i="12"/>
  <c r="AB226" i="12" s="1"/>
  <c r="V226" i="12"/>
  <c r="U226" i="12"/>
  <c r="T226" i="12"/>
  <c r="S226" i="12"/>
  <c r="Q226" i="12"/>
  <c r="P226" i="12"/>
  <c r="O226" i="12"/>
  <c r="N226" i="12"/>
  <c r="R226" i="12" s="1"/>
  <c r="M226" i="12"/>
  <c r="K226" i="12"/>
  <c r="I226" i="12"/>
  <c r="G226" i="12"/>
  <c r="E226" i="12"/>
  <c r="AA225" i="12"/>
  <c r="Z225" i="12"/>
  <c r="Y225" i="12"/>
  <c r="X225" i="12"/>
  <c r="AB225" i="12" s="1"/>
  <c r="V225" i="12"/>
  <c r="U225" i="12"/>
  <c r="T225" i="12"/>
  <c r="S225" i="12"/>
  <c r="Q225" i="12"/>
  <c r="P225" i="12"/>
  <c r="O225" i="12"/>
  <c r="N225" i="12"/>
  <c r="R225" i="12" s="1"/>
  <c r="M225" i="12"/>
  <c r="K225" i="12"/>
  <c r="I225" i="12"/>
  <c r="G225" i="12"/>
  <c r="E225" i="12"/>
  <c r="AA224" i="12"/>
  <c r="Z224" i="12"/>
  <c r="Y224" i="12"/>
  <c r="X224" i="12"/>
  <c r="AB224" i="12" s="1"/>
  <c r="V224" i="12"/>
  <c r="U224" i="12"/>
  <c r="T224" i="12"/>
  <c r="S224" i="12"/>
  <c r="Q224" i="12"/>
  <c r="P224" i="12"/>
  <c r="O224" i="12"/>
  <c r="N224" i="12"/>
  <c r="R224" i="12" s="1"/>
  <c r="M224" i="12"/>
  <c r="K224" i="12"/>
  <c r="I224" i="12"/>
  <c r="G224" i="12"/>
  <c r="E224" i="12"/>
  <c r="AA223" i="12"/>
  <c r="Z223" i="12"/>
  <c r="Y223" i="12"/>
  <c r="X223" i="12"/>
  <c r="AB223" i="12" s="1"/>
  <c r="V223" i="12"/>
  <c r="U223" i="12"/>
  <c r="T223" i="12"/>
  <c r="S223" i="12"/>
  <c r="Q223" i="12"/>
  <c r="P223" i="12"/>
  <c r="O223" i="12"/>
  <c r="N223" i="12"/>
  <c r="R223" i="12" s="1"/>
  <c r="M223" i="12"/>
  <c r="K223" i="12"/>
  <c r="I223" i="12"/>
  <c r="G223" i="12"/>
  <c r="E223" i="12"/>
  <c r="AA222" i="12"/>
  <c r="Z222" i="12"/>
  <c r="Y222" i="12"/>
  <c r="X222" i="12"/>
  <c r="AB222" i="12" s="1"/>
  <c r="V222" i="12"/>
  <c r="U222" i="12"/>
  <c r="T222" i="12"/>
  <c r="S222" i="12"/>
  <c r="W222" i="12" s="1"/>
  <c r="Q222" i="12"/>
  <c r="P222" i="12"/>
  <c r="O222" i="12"/>
  <c r="N222" i="12"/>
  <c r="R222" i="12" s="1"/>
  <c r="M222" i="12"/>
  <c r="K222" i="12"/>
  <c r="I222" i="12"/>
  <c r="G222" i="12"/>
  <c r="E222" i="12"/>
  <c r="AA221" i="12"/>
  <c r="Z221" i="12"/>
  <c r="Y221" i="12"/>
  <c r="X221" i="12"/>
  <c r="AB221" i="12" s="1"/>
  <c r="V221" i="12"/>
  <c r="U221" i="12"/>
  <c r="T221" i="12"/>
  <c r="S221" i="12"/>
  <c r="W221" i="12" s="1"/>
  <c r="Q221" i="12"/>
  <c r="P221" i="12"/>
  <c r="O221" i="12"/>
  <c r="N221" i="12"/>
  <c r="R221" i="12" s="1"/>
  <c r="M221" i="12"/>
  <c r="K221" i="12"/>
  <c r="I221" i="12"/>
  <c r="G221" i="12"/>
  <c r="E221" i="12"/>
  <c r="AA220" i="12"/>
  <c r="Z220" i="12"/>
  <c r="Y220" i="12"/>
  <c r="X220" i="12"/>
  <c r="AB220" i="12" s="1"/>
  <c r="V220" i="12"/>
  <c r="U220" i="12"/>
  <c r="T220" i="12"/>
  <c r="S220" i="12"/>
  <c r="W220" i="12" s="1"/>
  <c r="I87" i="14" s="1"/>
  <c r="Q220" i="12"/>
  <c r="P220" i="12"/>
  <c r="O220" i="12"/>
  <c r="N220" i="12"/>
  <c r="R220" i="12" s="1"/>
  <c r="M220" i="12"/>
  <c r="K220" i="12"/>
  <c r="I220" i="12"/>
  <c r="G220" i="12"/>
  <c r="E220" i="12"/>
  <c r="AA219" i="12"/>
  <c r="Z219" i="12"/>
  <c r="Y219" i="12"/>
  <c r="X219" i="12"/>
  <c r="V219" i="12"/>
  <c r="U219" i="12"/>
  <c r="T219" i="12"/>
  <c r="S219" i="12"/>
  <c r="Q219" i="12"/>
  <c r="P219" i="12"/>
  <c r="O219" i="12"/>
  <c r="N219" i="12"/>
  <c r="R219" i="12" s="1"/>
  <c r="M219" i="12"/>
  <c r="K219" i="12"/>
  <c r="I219" i="12"/>
  <c r="G219" i="12"/>
  <c r="E219" i="12"/>
  <c r="AA218" i="12"/>
  <c r="Z218" i="12"/>
  <c r="Y218" i="12"/>
  <c r="X218" i="12"/>
  <c r="V218" i="12"/>
  <c r="U218" i="12"/>
  <c r="T218" i="12"/>
  <c r="S218" i="12"/>
  <c r="Q218" i="12"/>
  <c r="P218" i="12"/>
  <c r="O218" i="12"/>
  <c r="N218" i="12"/>
  <c r="M218" i="12"/>
  <c r="K218" i="12"/>
  <c r="I218" i="12"/>
  <c r="G218" i="12"/>
  <c r="E218" i="12"/>
  <c r="AA217" i="12"/>
  <c r="Z217" i="12"/>
  <c r="Y217" i="12"/>
  <c r="X217" i="12"/>
  <c r="V217" i="12"/>
  <c r="U217" i="12"/>
  <c r="T217" i="12"/>
  <c r="S217" i="12"/>
  <c r="Q217" i="12"/>
  <c r="P217" i="12"/>
  <c r="O217" i="12"/>
  <c r="N217" i="12"/>
  <c r="M217" i="12"/>
  <c r="K217" i="12"/>
  <c r="I217" i="12"/>
  <c r="G217" i="12"/>
  <c r="E217" i="12"/>
  <c r="AA216" i="12"/>
  <c r="Z216" i="12"/>
  <c r="Y216" i="12"/>
  <c r="X216" i="12"/>
  <c r="V216" i="12"/>
  <c r="U216" i="12"/>
  <c r="T216" i="12"/>
  <c r="S216" i="12"/>
  <c r="W216" i="12" s="1"/>
  <c r="I92" i="14" s="1"/>
  <c r="Q216" i="12"/>
  <c r="P216" i="12"/>
  <c r="O216" i="12"/>
  <c r="N216" i="12"/>
  <c r="M216" i="12"/>
  <c r="K216" i="12"/>
  <c r="I216" i="12"/>
  <c r="G216" i="12"/>
  <c r="E216" i="12"/>
  <c r="AA215" i="12"/>
  <c r="Z215" i="12"/>
  <c r="Y215" i="12"/>
  <c r="X215" i="12"/>
  <c r="V215" i="12"/>
  <c r="U215" i="12"/>
  <c r="T215" i="12"/>
  <c r="S215" i="12"/>
  <c r="W215" i="12" s="1"/>
  <c r="Q215" i="12"/>
  <c r="P215" i="12"/>
  <c r="O215" i="12"/>
  <c r="N215" i="12"/>
  <c r="M215" i="12"/>
  <c r="K215" i="12"/>
  <c r="I215" i="12"/>
  <c r="G215" i="12"/>
  <c r="E215" i="12"/>
  <c r="AA214" i="12"/>
  <c r="Z214" i="12"/>
  <c r="Y214" i="12"/>
  <c r="X214" i="12"/>
  <c r="V214" i="12"/>
  <c r="U214" i="12"/>
  <c r="T214" i="12"/>
  <c r="S214" i="12"/>
  <c r="Q214" i="12"/>
  <c r="P214" i="12"/>
  <c r="O214" i="12"/>
  <c r="N214" i="12"/>
  <c r="M214" i="12"/>
  <c r="K214" i="12"/>
  <c r="I214" i="12"/>
  <c r="G214" i="12"/>
  <c r="E214" i="12"/>
  <c r="AA213" i="12"/>
  <c r="Z213" i="12"/>
  <c r="Y213" i="12"/>
  <c r="X213" i="12"/>
  <c r="V213" i="12"/>
  <c r="U213" i="12"/>
  <c r="T213" i="12"/>
  <c r="S213" i="12"/>
  <c r="Q213" i="12"/>
  <c r="P213" i="12"/>
  <c r="O213" i="12"/>
  <c r="N213" i="12"/>
  <c r="M213" i="12"/>
  <c r="K213" i="12"/>
  <c r="I213" i="12"/>
  <c r="G213" i="12"/>
  <c r="E213" i="12"/>
  <c r="AA212" i="12"/>
  <c r="Z212" i="12"/>
  <c r="Y212" i="12"/>
  <c r="X212" i="12"/>
  <c r="V212" i="12"/>
  <c r="U212" i="12"/>
  <c r="T212" i="12"/>
  <c r="S212" i="12"/>
  <c r="Q212" i="12"/>
  <c r="P212" i="12"/>
  <c r="O212" i="12"/>
  <c r="N212" i="12"/>
  <c r="M212" i="12"/>
  <c r="K212" i="12"/>
  <c r="I212" i="12"/>
  <c r="G212" i="12"/>
  <c r="E212" i="12"/>
  <c r="AA211" i="12"/>
  <c r="Z211" i="12"/>
  <c r="Y211" i="12"/>
  <c r="X211" i="12"/>
  <c r="V211" i="12"/>
  <c r="U211" i="12"/>
  <c r="T211" i="12"/>
  <c r="S211" i="12"/>
  <c r="Q211" i="12"/>
  <c r="P211" i="12"/>
  <c r="O211" i="12"/>
  <c r="N211" i="12"/>
  <c r="M211" i="12"/>
  <c r="K211" i="12"/>
  <c r="I211" i="12"/>
  <c r="G211" i="12"/>
  <c r="E211" i="12"/>
  <c r="AA210" i="12"/>
  <c r="Z210" i="12"/>
  <c r="Y210" i="12"/>
  <c r="X210" i="12"/>
  <c r="V210" i="12"/>
  <c r="U210" i="12"/>
  <c r="T210" i="12"/>
  <c r="S210" i="12"/>
  <c r="Q210" i="12"/>
  <c r="P210" i="12"/>
  <c r="O210" i="12"/>
  <c r="N210" i="12"/>
  <c r="M210" i="12"/>
  <c r="K210" i="12"/>
  <c r="I210" i="12"/>
  <c r="G210" i="12"/>
  <c r="E210" i="12"/>
  <c r="AA209" i="12"/>
  <c r="Z209" i="12"/>
  <c r="Y209" i="12"/>
  <c r="X209" i="12"/>
  <c r="V209" i="12"/>
  <c r="U209" i="12"/>
  <c r="T209" i="12"/>
  <c r="S209" i="12"/>
  <c r="Q209" i="12"/>
  <c r="P209" i="12"/>
  <c r="O209" i="12"/>
  <c r="N209" i="12"/>
  <c r="M209" i="12"/>
  <c r="K209" i="12"/>
  <c r="I209" i="12"/>
  <c r="G209" i="12"/>
  <c r="E209" i="12"/>
  <c r="AA208" i="12"/>
  <c r="Z208" i="12"/>
  <c r="Y208" i="12"/>
  <c r="X208" i="12"/>
  <c r="V208" i="12"/>
  <c r="U208" i="12"/>
  <c r="T208" i="12"/>
  <c r="S208" i="12"/>
  <c r="Q208" i="12"/>
  <c r="P208" i="12"/>
  <c r="O208" i="12"/>
  <c r="N208" i="12"/>
  <c r="M208" i="12"/>
  <c r="K208" i="12"/>
  <c r="I208" i="12"/>
  <c r="G208" i="12"/>
  <c r="E208" i="12"/>
  <c r="AA207" i="12"/>
  <c r="Z207" i="12"/>
  <c r="Y207" i="12"/>
  <c r="X207" i="12"/>
  <c r="V207" i="12"/>
  <c r="U207" i="12"/>
  <c r="T207" i="12"/>
  <c r="S207" i="12"/>
  <c r="Q207" i="12"/>
  <c r="P207" i="12"/>
  <c r="O207" i="12"/>
  <c r="N207" i="12"/>
  <c r="M207" i="12"/>
  <c r="K207" i="12"/>
  <c r="I207" i="12"/>
  <c r="G207" i="12"/>
  <c r="E207" i="12"/>
  <c r="AA206" i="12"/>
  <c r="Z206" i="12"/>
  <c r="Y206" i="12"/>
  <c r="X206" i="12"/>
  <c r="V206" i="12"/>
  <c r="U206" i="12"/>
  <c r="T206" i="12"/>
  <c r="S206" i="12"/>
  <c r="Q206" i="12"/>
  <c r="P206" i="12"/>
  <c r="O206" i="12"/>
  <c r="N206" i="12"/>
  <c r="M206" i="12"/>
  <c r="K206" i="12"/>
  <c r="I206" i="12"/>
  <c r="G206" i="12"/>
  <c r="E206" i="12"/>
  <c r="AA205" i="12"/>
  <c r="Z205" i="12"/>
  <c r="Y205" i="12"/>
  <c r="X205" i="12"/>
  <c r="V205" i="12"/>
  <c r="U205" i="12"/>
  <c r="T205" i="12"/>
  <c r="S205" i="12"/>
  <c r="Q205" i="12"/>
  <c r="P205" i="12"/>
  <c r="O205" i="12"/>
  <c r="N205" i="12"/>
  <c r="M205" i="12"/>
  <c r="K205" i="12"/>
  <c r="I205" i="12"/>
  <c r="G205" i="12"/>
  <c r="E205" i="12"/>
  <c r="AA204" i="12"/>
  <c r="Z204" i="12"/>
  <c r="Y204" i="12"/>
  <c r="X204" i="12"/>
  <c r="V204" i="12"/>
  <c r="U204" i="12"/>
  <c r="T204" i="12"/>
  <c r="S204" i="12"/>
  <c r="Q204" i="12"/>
  <c r="P204" i="12"/>
  <c r="O204" i="12"/>
  <c r="N204" i="12"/>
  <c r="M204" i="12"/>
  <c r="K204" i="12"/>
  <c r="I204" i="12"/>
  <c r="G204" i="12"/>
  <c r="E204" i="12"/>
  <c r="AA203" i="12"/>
  <c r="Z203" i="12"/>
  <c r="Y203" i="12"/>
  <c r="X203" i="12"/>
  <c r="V203" i="12"/>
  <c r="U203" i="12"/>
  <c r="T203" i="12"/>
  <c r="S203" i="12"/>
  <c r="Q203" i="12"/>
  <c r="P203" i="12"/>
  <c r="O203" i="12"/>
  <c r="N203" i="12"/>
  <c r="M203" i="12"/>
  <c r="K203" i="12"/>
  <c r="I203" i="12"/>
  <c r="G203" i="12"/>
  <c r="E203" i="12"/>
  <c r="AA202" i="12"/>
  <c r="Z202" i="12"/>
  <c r="Y202" i="12"/>
  <c r="X202" i="12"/>
  <c r="V202" i="12"/>
  <c r="U202" i="12"/>
  <c r="T202" i="12"/>
  <c r="S202" i="12"/>
  <c r="Q202" i="12"/>
  <c r="P202" i="12"/>
  <c r="O202" i="12"/>
  <c r="N202" i="12"/>
  <c r="M202" i="12"/>
  <c r="K202" i="12"/>
  <c r="I202" i="12"/>
  <c r="G202" i="12"/>
  <c r="E202" i="12"/>
  <c r="AA201" i="12"/>
  <c r="Z201" i="12"/>
  <c r="Y201" i="12"/>
  <c r="X201" i="12"/>
  <c r="V201" i="12"/>
  <c r="U201" i="12"/>
  <c r="T201" i="12"/>
  <c r="S201" i="12"/>
  <c r="Q201" i="12"/>
  <c r="P201" i="12"/>
  <c r="O201" i="12"/>
  <c r="N201" i="12"/>
  <c r="M201" i="12"/>
  <c r="K201" i="12"/>
  <c r="I201" i="12"/>
  <c r="G201" i="12"/>
  <c r="E201" i="12"/>
  <c r="AA200" i="12"/>
  <c r="Z200" i="12"/>
  <c r="Y200" i="12"/>
  <c r="X200" i="12"/>
  <c r="V200" i="12"/>
  <c r="U200" i="12"/>
  <c r="T200" i="12"/>
  <c r="S200" i="12"/>
  <c r="Q200" i="12"/>
  <c r="P200" i="12"/>
  <c r="O200" i="12"/>
  <c r="N200" i="12"/>
  <c r="M200" i="12"/>
  <c r="K200" i="12"/>
  <c r="I200" i="12"/>
  <c r="G200" i="12"/>
  <c r="E200" i="12"/>
  <c r="AA199" i="12"/>
  <c r="Z199" i="12"/>
  <c r="Y199" i="12"/>
  <c r="X199" i="12"/>
  <c r="V199" i="12"/>
  <c r="U199" i="12"/>
  <c r="T199" i="12"/>
  <c r="S199" i="12"/>
  <c r="Q199" i="12"/>
  <c r="P199" i="12"/>
  <c r="O199" i="12"/>
  <c r="N199" i="12"/>
  <c r="M199" i="12"/>
  <c r="K199" i="12"/>
  <c r="I199" i="12"/>
  <c r="G199" i="12"/>
  <c r="E199" i="12"/>
  <c r="AA198" i="12"/>
  <c r="Z198" i="12"/>
  <c r="Y198" i="12"/>
  <c r="X198" i="12"/>
  <c r="V198" i="12"/>
  <c r="U198" i="12"/>
  <c r="T198" i="12"/>
  <c r="S198" i="12"/>
  <c r="Q198" i="12"/>
  <c r="P198" i="12"/>
  <c r="O198" i="12"/>
  <c r="N198" i="12"/>
  <c r="M198" i="12"/>
  <c r="K198" i="12"/>
  <c r="I198" i="12"/>
  <c r="G198" i="12"/>
  <c r="E198" i="12"/>
  <c r="AA197" i="12"/>
  <c r="Z197" i="12"/>
  <c r="Y197" i="12"/>
  <c r="X197" i="12"/>
  <c r="AB197" i="12" s="1"/>
  <c r="V197" i="12"/>
  <c r="U197" i="12"/>
  <c r="T197" i="12"/>
  <c r="S197" i="12"/>
  <c r="W197" i="12" s="1"/>
  <c r="I112" i="14" s="1"/>
  <c r="Q197" i="12"/>
  <c r="P197" i="12"/>
  <c r="O197" i="12"/>
  <c r="N197" i="12"/>
  <c r="M197" i="12"/>
  <c r="K197" i="12"/>
  <c r="I197" i="12"/>
  <c r="G197" i="12"/>
  <c r="E197" i="12"/>
  <c r="AA196" i="12"/>
  <c r="Z196" i="12"/>
  <c r="Y196" i="12"/>
  <c r="X196" i="12"/>
  <c r="AB196" i="12" s="1"/>
  <c r="V196" i="12"/>
  <c r="U196" i="12"/>
  <c r="T196" i="12"/>
  <c r="S196" i="12"/>
  <c r="W196" i="12" s="1"/>
  <c r="I114" i="14" s="1"/>
  <c r="Q196" i="12"/>
  <c r="P196" i="12"/>
  <c r="O196" i="12"/>
  <c r="N196" i="12"/>
  <c r="M196" i="12"/>
  <c r="K196" i="12"/>
  <c r="I196" i="12"/>
  <c r="G196" i="12"/>
  <c r="E196" i="12"/>
  <c r="AA195" i="12"/>
  <c r="Z195" i="12"/>
  <c r="Y195" i="12"/>
  <c r="X195" i="12"/>
  <c r="AB195" i="12" s="1"/>
  <c r="V195" i="12"/>
  <c r="U195" i="12"/>
  <c r="T195" i="12"/>
  <c r="S195" i="12"/>
  <c r="W195" i="12" s="1"/>
  <c r="I115" i="14" s="1"/>
  <c r="Q195" i="12"/>
  <c r="P195" i="12"/>
  <c r="O195" i="12"/>
  <c r="N195" i="12"/>
  <c r="M195" i="12"/>
  <c r="K195" i="12"/>
  <c r="I195" i="12"/>
  <c r="G195" i="12"/>
  <c r="E195" i="12"/>
  <c r="AA194" i="12"/>
  <c r="Z194" i="12"/>
  <c r="Y194" i="12"/>
  <c r="X194" i="12"/>
  <c r="V194" i="12"/>
  <c r="U194" i="12"/>
  <c r="T194" i="12"/>
  <c r="S194" i="12"/>
  <c r="W194" i="12" s="1"/>
  <c r="Q194" i="12"/>
  <c r="P194" i="12"/>
  <c r="O194" i="12"/>
  <c r="N194" i="12"/>
  <c r="M194" i="12"/>
  <c r="K194" i="12"/>
  <c r="I194" i="12"/>
  <c r="G194" i="12"/>
  <c r="E194" i="12"/>
  <c r="AA193" i="12"/>
  <c r="Z193" i="12"/>
  <c r="Y193" i="12"/>
  <c r="X193" i="12"/>
  <c r="V193" i="12"/>
  <c r="U193" i="12"/>
  <c r="T193" i="12"/>
  <c r="S193" i="12"/>
  <c r="W193" i="12" s="1"/>
  <c r="I117" i="14" s="1"/>
  <c r="Q193" i="12"/>
  <c r="P193" i="12"/>
  <c r="O193" i="12"/>
  <c r="N193" i="12"/>
  <c r="M193" i="12"/>
  <c r="K193" i="12"/>
  <c r="I193" i="12"/>
  <c r="G193" i="12"/>
  <c r="E193" i="12"/>
  <c r="AA192" i="12"/>
  <c r="Z192" i="12"/>
  <c r="Y192" i="12"/>
  <c r="X192" i="12"/>
  <c r="AB192" i="12" s="1"/>
  <c r="V192" i="12"/>
  <c r="U192" i="12"/>
  <c r="T192" i="12"/>
  <c r="S192" i="12"/>
  <c r="Q192" i="12"/>
  <c r="P192" i="12"/>
  <c r="O192" i="12"/>
  <c r="N192" i="12"/>
  <c r="M192" i="12"/>
  <c r="K192" i="12"/>
  <c r="I192" i="12"/>
  <c r="G192" i="12"/>
  <c r="E192" i="12"/>
  <c r="AA191" i="12"/>
  <c r="Z191" i="12"/>
  <c r="Y191" i="12"/>
  <c r="X191" i="12"/>
  <c r="V191" i="12"/>
  <c r="U191" i="12"/>
  <c r="T191" i="12"/>
  <c r="S191" i="12"/>
  <c r="Q191" i="12"/>
  <c r="P191" i="12"/>
  <c r="O191" i="12"/>
  <c r="N191" i="12"/>
  <c r="M191" i="12"/>
  <c r="K191" i="12"/>
  <c r="I191" i="12"/>
  <c r="G191" i="12"/>
  <c r="E191" i="12"/>
  <c r="AA190" i="12"/>
  <c r="Z190" i="12"/>
  <c r="Y190" i="12"/>
  <c r="X190" i="12"/>
  <c r="V190" i="12"/>
  <c r="U190" i="12"/>
  <c r="T190" i="12"/>
  <c r="S190" i="12"/>
  <c r="Q190" i="12"/>
  <c r="P190" i="12"/>
  <c r="O190" i="12"/>
  <c r="N190" i="12"/>
  <c r="M190" i="12"/>
  <c r="K190" i="12"/>
  <c r="I190" i="12"/>
  <c r="G190" i="12"/>
  <c r="E190" i="12"/>
  <c r="AA189" i="12"/>
  <c r="Z189" i="12"/>
  <c r="Y189" i="12"/>
  <c r="X189" i="12"/>
  <c r="V189" i="12"/>
  <c r="U189" i="12"/>
  <c r="T189" i="12"/>
  <c r="S189" i="12"/>
  <c r="Q189" i="12"/>
  <c r="P189" i="12"/>
  <c r="O189" i="12"/>
  <c r="N189" i="12"/>
  <c r="M189" i="12"/>
  <c r="K189" i="12"/>
  <c r="I189" i="12"/>
  <c r="G189" i="12"/>
  <c r="E189" i="12"/>
  <c r="AA188" i="12"/>
  <c r="Z188" i="12"/>
  <c r="Y188" i="12"/>
  <c r="X188" i="12"/>
  <c r="V188" i="12"/>
  <c r="U188" i="12"/>
  <c r="T188" i="12"/>
  <c r="S188" i="12"/>
  <c r="Q188" i="12"/>
  <c r="P188" i="12"/>
  <c r="O188" i="12"/>
  <c r="N188" i="12"/>
  <c r="M188" i="12"/>
  <c r="K188" i="12"/>
  <c r="I188" i="12"/>
  <c r="G188" i="12"/>
  <c r="E188" i="12"/>
  <c r="AA187" i="12"/>
  <c r="Z187" i="12"/>
  <c r="Y187" i="12"/>
  <c r="X187" i="12"/>
  <c r="AB187" i="12" s="1"/>
  <c r="V187" i="12"/>
  <c r="U187" i="12"/>
  <c r="T187" i="12"/>
  <c r="S187" i="12"/>
  <c r="Q187" i="12"/>
  <c r="P187" i="12"/>
  <c r="O187" i="12"/>
  <c r="N187" i="12"/>
  <c r="R187" i="12" s="1"/>
  <c r="M187" i="12"/>
  <c r="K187" i="12"/>
  <c r="I187" i="12"/>
  <c r="G187" i="12"/>
  <c r="E187" i="12"/>
  <c r="AA186" i="12"/>
  <c r="Z186" i="12"/>
  <c r="Y186" i="12"/>
  <c r="X186" i="12"/>
  <c r="V186" i="12"/>
  <c r="U186" i="12"/>
  <c r="T186" i="12"/>
  <c r="S186" i="12"/>
  <c r="Q186" i="12"/>
  <c r="P186" i="12"/>
  <c r="O186" i="12"/>
  <c r="N186" i="12"/>
  <c r="R186" i="12" s="1"/>
  <c r="M186" i="12"/>
  <c r="K186" i="12"/>
  <c r="I186" i="12"/>
  <c r="G186" i="12"/>
  <c r="E186" i="12"/>
  <c r="AA185" i="12"/>
  <c r="Z185" i="12"/>
  <c r="Y185" i="12"/>
  <c r="X185" i="12"/>
  <c r="V185" i="12"/>
  <c r="U185" i="12"/>
  <c r="T185" i="12"/>
  <c r="S185" i="12"/>
  <c r="Q185" i="12"/>
  <c r="P185" i="12"/>
  <c r="O185" i="12"/>
  <c r="N185" i="12"/>
  <c r="R185" i="12" s="1"/>
  <c r="M185" i="12"/>
  <c r="K185" i="12"/>
  <c r="I185" i="12"/>
  <c r="G185" i="12"/>
  <c r="E185" i="12"/>
  <c r="AA184" i="12"/>
  <c r="Z184" i="12"/>
  <c r="Y184" i="12"/>
  <c r="X184" i="12"/>
  <c r="V184" i="12"/>
  <c r="U184" i="12"/>
  <c r="T184" i="12"/>
  <c r="S184" i="12"/>
  <c r="Q184" i="12"/>
  <c r="P184" i="12"/>
  <c r="O184" i="12"/>
  <c r="N184" i="12"/>
  <c r="R184" i="12" s="1"/>
  <c r="M184" i="12"/>
  <c r="K184" i="12"/>
  <c r="I184" i="12"/>
  <c r="G184" i="12"/>
  <c r="E184" i="12"/>
  <c r="AA183" i="12"/>
  <c r="Z183" i="12"/>
  <c r="Y183" i="12"/>
  <c r="X183" i="12"/>
  <c r="V183" i="12"/>
  <c r="U183" i="12"/>
  <c r="T183" i="12"/>
  <c r="S183" i="12"/>
  <c r="Q183" i="12"/>
  <c r="P183" i="12"/>
  <c r="O183" i="12"/>
  <c r="N183" i="12"/>
  <c r="M183" i="12"/>
  <c r="K183" i="12"/>
  <c r="I183" i="12"/>
  <c r="G183" i="12"/>
  <c r="E183" i="12"/>
  <c r="AA182" i="12"/>
  <c r="Z182" i="12"/>
  <c r="Y182" i="12"/>
  <c r="X182" i="12"/>
  <c r="V182" i="12"/>
  <c r="U182" i="12"/>
  <c r="T182" i="12"/>
  <c r="S182" i="12"/>
  <c r="Q182" i="12"/>
  <c r="P182" i="12"/>
  <c r="O182" i="12"/>
  <c r="N182" i="12"/>
  <c r="M182" i="12"/>
  <c r="K182" i="12"/>
  <c r="I182" i="12"/>
  <c r="G182" i="12"/>
  <c r="E182" i="12"/>
  <c r="AA181" i="12"/>
  <c r="Z181" i="12"/>
  <c r="Y181" i="12"/>
  <c r="X181" i="12"/>
  <c r="V181" i="12"/>
  <c r="U181" i="12"/>
  <c r="T181" i="12"/>
  <c r="S181" i="12"/>
  <c r="R181" i="12"/>
  <c r="Q181" i="12"/>
  <c r="P181" i="12"/>
  <c r="O181" i="12"/>
  <c r="N181" i="12"/>
  <c r="M181" i="12"/>
  <c r="K181" i="12"/>
  <c r="I181" i="12"/>
  <c r="G181" i="12"/>
  <c r="E181" i="12"/>
  <c r="AA180" i="12"/>
  <c r="Z180" i="12"/>
  <c r="Y180" i="12"/>
  <c r="X180" i="12"/>
  <c r="V180" i="12"/>
  <c r="U180" i="12"/>
  <c r="T180" i="12"/>
  <c r="S180" i="12"/>
  <c r="Q180" i="12"/>
  <c r="P180" i="12"/>
  <c r="O180" i="12"/>
  <c r="N180" i="12"/>
  <c r="R180" i="12" s="1"/>
  <c r="M180" i="12"/>
  <c r="K180" i="12"/>
  <c r="I180" i="12"/>
  <c r="G180" i="12"/>
  <c r="E180" i="12"/>
  <c r="AA179" i="12"/>
  <c r="Z179" i="12"/>
  <c r="Y179" i="12"/>
  <c r="X179" i="12"/>
  <c r="AB179" i="12" s="1"/>
  <c r="V179" i="12"/>
  <c r="U179" i="12"/>
  <c r="T179" i="12"/>
  <c r="W179" i="12" s="1"/>
  <c r="I132" i="14" s="1"/>
  <c r="S179" i="12"/>
  <c r="Q179" i="12"/>
  <c r="P179" i="12"/>
  <c r="O179" i="12"/>
  <c r="N179" i="12"/>
  <c r="R179" i="12" s="1"/>
  <c r="M179" i="12"/>
  <c r="K179" i="12"/>
  <c r="I179" i="12"/>
  <c r="G179" i="12"/>
  <c r="E179" i="12"/>
  <c r="AA178" i="12"/>
  <c r="Z178" i="12"/>
  <c r="Y178" i="12"/>
  <c r="X178" i="12"/>
  <c r="AB178" i="12" s="1"/>
  <c r="V178" i="12"/>
  <c r="U178" i="12"/>
  <c r="T178" i="12"/>
  <c r="S178" i="12"/>
  <c r="Q178" i="12"/>
  <c r="P178" i="12"/>
  <c r="O178" i="12"/>
  <c r="N178" i="12"/>
  <c r="R178" i="12" s="1"/>
  <c r="M178" i="12"/>
  <c r="K178" i="12"/>
  <c r="I178" i="12"/>
  <c r="G178" i="12"/>
  <c r="E178" i="12"/>
  <c r="AA177" i="12"/>
  <c r="Z177" i="12"/>
  <c r="Y177" i="12"/>
  <c r="X177" i="12"/>
  <c r="V177" i="12"/>
  <c r="U177" i="12"/>
  <c r="T177" i="12"/>
  <c r="W177" i="12" s="1"/>
  <c r="I134" i="14" s="1"/>
  <c r="S177" i="12"/>
  <c r="Q177" i="12"/>
  <c r="P177" i="12"/>
  <c r="O177" i="12"/>
  <c r="N177" i="12"/>
  <c r="R177" i="12" s="1"/>
  <c r="M177" i="12"/>
  <c r="K177" i="12"/>
  <c r="I177" i="12"/>
  <c r="G177" i="12"/>
  <c r="E177" i="12"/>
  <c r="AA176" i="12"/>
  <c r="Z176" i="12"/>
  <c r="Y176" i="12"/>
  <c r="X176" i="12"/>
  <c r="V176" i="12"/>
  <c r="U176" i="12"/>
  <c r="T176" i="12"/>
  <c r="S176" i="12"/>
  <c r="Q176" i="12"/>
  <c r="P176" i="12"/>
  <c r="O176" i="12"/>
  <c r="N176" i="12"/>
  <c r="M176" i="12"/>
  <c r="K176" i="12"/>
  <c r="I176" i="12"/>
  <c r="G176" i="12"/>
  <c r="E176" i="12"/>
  <c r="AA175" i="12"/>
  <c r="Z175" i="12"/>
  <c r="Y175" i="12"/>
  <c r="X175" i="12"/>
  <c r="V175" i="12"/>
  <c r="U175" i="12"/>
  <c r="T175" i="12"/>
  <c r="S175" i="12"/>
  <c r="Q175" i="12"/>
  <c r="P175" i="12"/>
  <c r="O175" i="12"/>
  <c r="N175" i="12"/>
  <c r="M175" i="12"/>
  <c r="K175" i="12"/>
  <c r="I175" i="12"/>
  <c r="G175" i="12"/>
  <c r="E175" i="12"/>
  <c r="AA174" i="12"/>
  <c r="Z174" i="12"/>
  <c r="Y174" i="12"/>
  <c r="X174" i="12"/>
  <c r="V174" i="12"/>
  <c r="U174" i="12"/>
  <c r="T174" i="12"/>
  <c r="S174" i="12"/>
  <c r="Q174" i="12"/>
  <c r="P174" i="12"/>
  <c r="O174" i="12"/>
  <c r="N174" i="12"/>
  <c r="M174" i="12"/>
  <c r="K174" i="12"/>
  <c r="I174" i="12"/>
  <c r="G174" i="12"/>
  <c r="E174" i="12"/>
  <c r="AA173" i="12"/>
  <c r="Z173" i="12"/>
  <c r="Y173" i="12"/>
  <c r="X173" i="12"/>
  <c r="V173" i="12"/>
  <c r="U173" i="12"/>
  <c r="T173" i="12"/>
  <c r="S173" i="12"/>
  <c r="Q173" i="12"/>
  <c r="P173" i="12"/>
  <c r="O173" i="12"/>
  <c r="N173" i="12"/>
  <c r="M173" i="12"/>
  <c r="K173" i="12"/>
  <c r="I173" i="12"/>
  <c r="G173" i="12"/>
  <c r="E173" i="12"/>
  <c r="AA172" i="12"/>
  <c r="Z172" i="12"/>
  <c r="Y172" i="12"/>
  <c r="X172" i="12"/>
  <c r="V172" i="12"/>
  <c r="U172" i="12"/>
  <c r="T172" i="12"/>
  <c r="S172" i="12"/>
  <c r="Q172" i="12"/>
  <c r="P172" i="12"/>
  <c r="O172" i="12"/>
  <c r="N172" i="12"/>
  <c r="M172" i="12"/>
  <c r="K172" i="12"/>
  <c r="I172" i="12"/>
  <c r="G172" i="12"/>
  <c r="E172" i="12"/>
  <c r="AA171" i="12"/>
  <c r="Z171" i="12"/>
  <c r="Y171" i="12"/>
  <c r="X171" i="12"/>
  <c r="V171" i="12"/>
  <c r="U171" i="12"/>
  <c r="T171" i="12"/>
  <c r="S171" i="12"/>
  <c r="Q171" i="12"/>
  <c r="P171" i="12"/>
  <c r="O171" i="12"/>
  <c r="N171" i="12"/>
  <c r="M171" i="12"/>
  <c r="K171" i="12"/>
  <c r="I171" i="12"/>
  <c r="G171" i="12"/>
  <c r="E171" i="12"/>
  <c r="AA170" i="12"/>
  <c r="Z170" i="12"/>
  <c r="Y170" i="12"/>
  <c r="X170" i="12"/>
  <c r="V170" i="12"/>
  <c r="U170" i="12"/>
  <c r="T170" i="12"/>
  <c r="S170" i="12"/>
  <c r="Q170" i="12"/>
  <c r="P170" i="12"/>
  <c r="O170" i="12"/>
  <c r="N170" i="12"/>
  <c r="M170" i="12"/>
  <c r="K170" i="12"/>
  <c r="I170" i="12"/>
  <c r="G170" i="12"/>
  <c r="E170" i="12"/>
  <c r="AA169" i="12"/>
  <c r="Z169" i="12"/>
  <c r="Y169" i="12"/>
  <c r="X169" i="12"/>
  <c r="V169" i="12"/>
  <c r="U169" i="12"/>
  <c r="T169" i="12"/>
  <c r="S169" i="12"/>
  <c r="Q169" i="12"/>
  <c r="P169" i="12"/>
  <c r="O169" i="12"/>
  <c r="N169" i="12"/>
  <c r="M169" i="12"/>
  <c r="K169" i="12"/>
  <c r="I169" i="12"/>
  <c r="G169" i="12"/>
  <c r="E169" i="12"/>
  <c r="AA168" i="12"/>
  <c r="Z168" i="12"/>
  <c r="Y168" i="12"/>
  <c r="X168" i="12"/>
  <c r="AB168" i="12" s="1"/>
  <c r="V168" i="12"/>
  <c r="U168" i="12"/>
  <c r="T168" i="12"/>
  <c r="S168" i="12"/>
  <c r="W168" i="12" s="1"/>
  <c r="I144" i="14" s="1"/>
  <c r="Q168" i="12"/>
  <c r="P168" i="12"/>
  <c r="O168" i="12"/>
  <c r="N168" i="12"/>
  <c r="R168" i="12" s="1"/>
  <c r="M168" i="12"/>
  <c r="K168" i="12"/>
  <c r="I168" i="12"/>
  <c r="G168" i="12"/>
  <c r="E168" i="12"/>
  <c r="AA167" i="12"/>
  <c r="Z167" i="12"/>
  <c r="Y167" i="12"/>
  <c r="X167" i="12"/>
  <c r="AB167" i="12" s="1"/>
  <c r="V167" i="12"/>
  <c r="U167" i="12"/>
  <c r="T167" i="12"/>
  <c r="S167" i="12"/>
  <c r="W167" i="12" s="1"/>
  <c r="I145" i="14" s="1"/>
  <c r="Q167" i="12"/>
  <c r="P167" i="12"/>
  <c r="O167" i="12"/>
  <c r="N167" i="12"/>
  <c r="M167" i="12"/>
  <c r="K167" i="12"/>
  <c r="I167" i="12"/>
  <c r="G167" i="12"/>
  <c r="E167" i="12"/>
  <c r="AA166" i="12"/>
  <c r="Z166" i="12"/>
  <c r="Y166" i="12"/>
  <c r="X166" i="12"/>
  <c r="AB166" i="12" s="1"/>
  <c r="V166" i="12"/>
  <c r="U166" i="12"/>
  <c r="T166" i="12"/>
  <c r="S166" i="12"/>
  <c r="W166" i="12" s="1"/>
  <c r="Q166" i="12"/>
  <c r="P166" i="12"/>
  <c r="O166" i="12"/>
  <c r="N166" i="12"/>
  <c r="M166" i="12"/>
  <c r="K166" i="12"/>
  <c r="I166" i="12"/>
  <c r="G166" i="12"/>
  <c r="E166" i="12"/>
  <c r="AA165" i="12"/>
  <c r="Z165" i="12"/>
  <c r="Y165" i="12"/>
  <c r="X165" i="12"/>
  <c r="V165" i="12"/>
  <c r="U165" i="12"/>
  <c r="T165" i="12"/>
  <c r="S165" i="12"/>
  <c r="Q165" i="12"/>
  <c r="P165" i="12"/>
  <c r="O165" i="12"/>
  <c r="N165" i="12"/>
  <c r="M165" i="12"/>
  <c r="K165" i="12"/>
  <c r="I165" i="12"/>
  <c r="G165" i="12"/>
  <c r="E165" i="12"/>
  <c r="AA164" i="12"/>
  <c r="Z164" i="12"/>
  <c r="Y164" i="12"/>
  <c r="X164" i="12"/>
  <c r="V164" i="12"/>
  <c r="U164" i="12"/>
  <c r="T164" i="12"/>
  <c r="S164" i="12"/>
  <c r="Q164" i="12"/>
  <c r="P164" i="12"/>
  <c r="O164" i="12"/>
  <c r="N164" i="12"/>
  <c r="M164" i="12"/>
  <c r="K164" i="12"/>
  <c r="I164" i="12"/>
  <c r="G164" i="12"/>
  <c r="E164" i="12"/>
  <c r="AA163" i="12"/>
  <c r="Z163" i="12"/>
  <c r="Y163" i="12"/>
  <c r="X163" i="12"/>
  <c r="V163" i="12"/>
  <c r="U163" i="12"/>
  <c r="T163" i="12"/>
  <c r="S163" i="12"/>
  <c r="Q163" i="12"/>
  <c r="P163" i="12"/>
  <c r="O163" i="12"/>
  <c r="N163" i="12"/>
  <c r="M163" i="12"/>
  <c r="K163" i="12"/>
  <c r="I163" i="12"/>
  <c r="G163" i="12"/>
  <c r="E163" i="12"/>
  <c r="AA162" i="12"/>
  <c r="Z162" i="12"/>
  <c r="Y162" i="12"/>
  <c r="X162" i="12"/>
  <c r="V162" i="12"/>
  <c r="U162" i="12"/>
  <c r="T162" i="12"/>
  <c r="S162" i="12"/>
  <c r="Q162" i="12"/>
  <c r="P162" i="12"/>
  <c r="O162" i="12"/>
  <c r="N162" i="12"/>
  <c r="M162" i="12"/>
  <c r="K162" i="12"/>
  <c r="I162" i="12"/>
  <c r="G162" i="12"/>
  <c r="E162" i="12"/>
  <c r="AA161" i="12"/>
  <c r="Z161" i="12"/>
  <c r="Y161" i="12"/>
  <c r="X161" i="12"/>
  <c r="V161" i="12"/>
  <c r="U161" i="12"/>
  <c r="T161" i="12"/>
  <c r="S161" i="12"/>
  <c r="Q161" i="12"/>
  <c r="P161" i="12"/>
  <c r="O161" i="12"/>
  <c r="N161" i="12"/>
  <c r="M161" i="12"/>
  <c r="K161" i="12"/>
  <c r="I161" i="12"/>
  <c r="G161" i="12"/>
  <c r="E161" i="12"/>
  <c r="AA160" i="12"/>
  <c r="Z160" i="12"/>
  <c r="Y160" i="12"/>
  <c r="X160" i="12"/>
  <c r="V160" i="12"/>
  <c r="U160" i="12"/>
  <c r="T160" i="12"/>
  <c r="S160" i="12"/>
  <c r="Q160" i="12"/>
  <c r="P160" i="12"/>
  <c r="O160" i="12"/>
  <c r="N160" i="12"/>
  <c r="M160" i="12"/>
  <c r="K160" i="12"/>
  <c r="I160" i="12"/>
  <c r="G160" i="12"/>
  <c r="E160" i="12"/>
  <c r="AA159" i="12"/>
  <c r="Z159" i="12"/>
  <c r="Y159" i="12"/>
  <c r="X159" i="12"/>
  <c r="V159" i="12"/>
  <c r="U159" i="12"/>
  <c r="T159" i="12"/>
  <c r="S159" i="12"/>
  <c r="Q159" i="12"/>
  <c r="P159" i="12"/>
  <c r="O159" i="12"/>
  <c r="N159" i="12"/>
  <c r="M159" i="12"/>
  <c r="K159" i="12"/>
  <c r="I159" i="12"/>
  <c r="G159" i="12"/>
  <c r="E159" i="12"/>
  <c r="AA158" i="12"/>
  <c r="Z158" i="12"/>
  <c r="Y158" i="12"/>
  <c r="X158" i="12"/>
  <c r="V158" i="12"/>
  <c r="U158" i="12"/>
  <c r="T158" i="12"/>
  <c r="S158" i="12"/>
  <c r="Q158" i="12"/>
  <c r="P158" i="12"/>
  <c r="O158" i="12"/>
  <c r="N158" i="12"/>
  <c r="M158" i="12"/>
  <c r="K158" i="12"/>
  <c r="I158" i="12"/>
  <c r="G158" i="12"/>
  <c r="E158" i="12"/>
  <c r="AA157" i="12"/>
  <c r="Z157" i="12"/>
  <c r="Y157" i="12"/>
  <c r="X157" i="12"/>
  <c r="AB157" i="12" s="1"/>
  <c r="V157" i="12"/>
  <c r="U157" i="12"/>
  <c r="T157" i="12"/>
  <c r="S157" i="12"/>
  <c r="Q157" i="12"/>
  <c r="P157" i="12"/>
  <c r="O157" i="12"/>
  <c r="N157" i="12"/>
  <c r="R157" i="12" s="1"/>
  <c r="M157" i="12"/>
  <c r="K157" i="12"/>
  <c r="I157" i="12"/>
  <c r="G157" i="12"/>
  <c r="E157" i="12"/>
  <c r="AA156" i="12"/>
  <c r="Z156" i="12"/>
  <c r="Y156" i="12"/>
  <c r="X156" i="12"/>
  <c r="AB156" i="12" s="1"/>
  <c r="V156" i="12"/>
  <c r="U156" i="12"/>
  <c r="T156" i="12"/>
  <c r="S156" i="12"/>
  <c r="Q156" i="12"/>
  <c r="P156" i="12"/>
  <c r="O156" i="12"/>
  <c r="N156" i="12"/>
  <c r="R156" i="12" s="1"/>
  <c r="M156" i="12"/>
  <c r="K156" i="12"/>
  <c r="I156" i="12"/>
  <c r="G156" i="12"/>
  <c r="E156" i="12"/>
  <c r="AA155" i="12"/>
  <c r="Z155" i="12"/>
  <c r="Y155" i="12"/>
  <c r="X155" i="12"/>
  <c r="AB155" i="12" s="1"/>
  <c r="V155" i="12"/>
  <c r="U155" i="12"/>
  <c r="T155" i="12"/>
  <c r="S155" i="12"/>
  <c r="Q155" i="12"/>
  <c r="P155" i="12"/>
  <c r="O155" i="12"/>
  <c r="N155" i="12"/>
  <c r="R155" i="12" s="1"/>
  <c r="M155" i="12"/>
  <c r="K155" i="12"/>
  <c r="I155" i="12"/>
  <c r="G155" i="12"/>
  <c r="E155" i="12"/>
  <c r="AA154" i="12"/>
  <c r="Z154" i="12"/>
  <c r="Y154" i="12"/>
  <c r="X154" i="12"/>
  <c r="AB154" i="12" s="1"/>
  <c r="V154" i="12"/>
  <c r="U154" i="12"/>
  <c r="T154" i="12"/>
  <c r="S154" i="12"/>
  <c r="W154" i="12" s="1"/>
  <c r="I159" i="14" s="1"/>
  <c r="Q154" i="12"/>
  <c r="P154" i="12"/>
  <c r="O154" i="12"/>
  <c r="N154" i="12"/>
  <c r="R154" i="12" s="1"/>
  <c r="M154" i="12"/>
  <c r="K154" i="12"/>
  <c r="I154" i="12"/>
  <c r="G154" i="12"/>
  <c r="E154" i="12"/>
  <c r="AA153" i="12"/>
  <c r="Z153" i="12"/>
  <c r="Y153" i="12"/>
  <c r="X153" i="12"/>
  <c r="V153" i="12"/>
  <c r="U153" i="12"/>
  <c r="T153" i="12"/>
  <c r="S153" i="12"/>
  <c r="Q153" i="12"/>
  <c r="P153" i="12"/>
  <c r="O153" i="12"/>
  <c r="N153" i="12"/>
  <c r="M153" i="12"/>
  <c r="K153" i="12"/>
  <c r="I153" i="12"/>
  <c r="G153" i="12"/>
  <c r="E153" i="12"/>
  <c r="AA152" i="12"/>
  <c r="Z152" i="12"/>
  <c r="Y152" i="12"/>
  <c r="X152" i="12"/>
  <c r="V152" i="12"/>
  <c r="U152" i="12"/>
  <c r="T152" i="12"/>
  <c r="S152" i="12"/>
  <c r="Q152" i="12"/>
  <c r="P152" i="12"/>
  <c r="O152" i="12"/>
  <c r="N152" i="12"/>
  <c r="M152" i="12"/>
  <c r="K152" i="12"/>
  <c r="I152" i="12"/>
  <c r="G152" i="12"/>
  <c r="E152" i="12"/>
  <c r="AA151" i="12"/>
  <c r="Z151" i="12"/>
  <c r="Y151" i="12"/>
  <c r="X151" i="12"/>
  <c r="V151" i="12"/>
  <c r="U151" i="12"/>
  <c r="T151" i="12"/>
  <c r="S151" i="12"/>
  <c r="Q151" i="12"/>
  <c r="P151" i="12"/>
  <c r="O151" i="12"/>
  <c r="N151" i="12"/>
  <c r="M151" i="12"/>
  <c r="K151" i="12"/>
  <c r="I151" i="12"/>
  <c r="G151" i="12"/>
  <c r="E151" i="12"/>
  <c r="AA150" i="12"/>
  <c r="Z150" i="12"/>
  <c r="Y150" i="12"/>
  <c r="X150" i="12"/>
  <c r="V150" i="12"/>
  <c r="U150" i="12"/>
  <c r="T150" i="12"/>
  <c r="S150" i="12"/>
  <c r="Q150" i="12"/>
  <c r="P150" i="12"/>
  <c r="O150" i="12"/>
  <c r="N150" i="12"/>
  <c r="M150" i="12"/>
  <c r="K150" i="12"/>
  <c r="I150" i="12"/>
  <c r="G150" i="12"/>
  <c r="E150" i="12"/>
  <c r="AA149" i="12"/>
  <c r="Z149" i="12"/>
  <c r="Y149" i="12"/>
  <c r="X149" i="12"/>
  <c r="V149" i="12"/>
  <c r="U149" i="12"/>
  <c r="T149" i="12"/>
  <c r="S149" i="12"/>
  <c r="Q149" i="12"/>
  <c r="P149" i="12"/>
  <c r="O149" i="12"/>
  <c r="N149" i="12"/>
  <c r="M149" i="12"/>
  <c r="K149" i="12"/>
  <c r="I149" i="12"/>
  <c r="G149" i="12"/>
  <c r="E149" i="12"/>
  <c r="AA148" i="12"/>
  <c r="Z148" i="12"/>
  <c r="Y148" i="12"/>
  <c r="X148" i="12"/>
  <c r="V148" i="12"/>
  <c r="U148" i="12"/>
  <c r="T148" i="12"/>
  <c r="S148" i="12"/>
  <c r="Q148" i="12"/>
  <c r="P148" i="12"/>
  <c r="O148" i="12"/>
  <c r="N148" i="12"/>
  <c r="M148" i="12"/>
  <c r="K148" i="12"/>
  <c r="I148" i="12"/>
  <c r="G148" i="12"/>
  <c r="E148" i="12"/>
  <c r="AA147" i="12"/>
  <c r="Z147" i="12"/>
  <c r="Y147" i="12"/>
  <c r="X147" i="12"/>
  <c r="V147" i="12"/>
  <c r="U147" i="12"/>
  <c r="T147" i="12"/>
  <c r="S147" i="12"/>
  <c r="Q147" i="12"/>
  <c r="P147" i="12"/>
  <c r="O147" i="12"/>
  <c r="N147" i="12"/>
  <c r="M147" i="12"/>
  <c r="K147" i="12"/>
  <c r="I147" i="12"/>
  <c r="G147" i="12"/>
  <c r="E147" i="12"/>
  <c r="AA146" i="12"/>
  <c r="Z146" i="12"/>
  <c r="Y146" i="12"/>
  <c r="X146" i="12"/>
  <c r="V146" i="12"/>
  <c r="U146" i="12"/>
  <c r="T146" i="12"/>
  <c r="S146" i="12"/>
  <c r="Q146" i="12"/>
  <c r="P146" i="12"/>
  <c r="O146" i="12"/>
  <c r="N146" i="12"/>
  <c r="M146" i="12"/>
  <c r="K146" i="12"/>
  <c r="I146" i="12"/>
  <c r="G146" i="12"/>
  <c r="E146" i="12"/>
  <c r="AA145" i="12"/>
  <c r="Z145" i="12"/>
  <c r="Y145" i="12"/>
  <c r="X145" i="12"/>
  <c r="AB145" i="12" s="1"/>
  <c r="V145" i="12"/>
  <c r="U145" i="12"/>
  <c r="T145" i="12"/>
  <c r="S145" i="12"/>
  <c r="W145" i="12" s="1"/>
  <c r="Q145" i="12"/>
  <c r="P145" i="12"/>
  <c r="O145" i="12"/>
  <c r="N145" i="12"/>
  <c r="M145" i="12"/>
  <c r="K145" i="12"/>
  <c r="I145" i="12"/>
  <c r="G145" i="12"/>
  <c r="E145" i="12"/>
  <c r="AA144" i="12"/>
  <c r="Z144" i="12"/>
  <c r="Y144" i="12"/>
  <c r="X144" i="12"/>
  <c r="AB144" i="12" s="1"/>
  <c r="V144" i="12"/>
  <c r="U144" i="12"/>
  <c r="T144" i="12"/>
  <c r="S144" i="12"/>
  <c r="W144" i="12" s="1"/>
  <c r="Q144" i="12"/>
  <c r="P144" i="12"/>
  <c r="O144" i="12"/>
  <c r="N144" i="12"/>
  <c r="R144" i="12" s="1"/>
  <c r="M144" i="12"/>
  <c r="K144" i="12"/>
  <c r="I144" i="12"/>
  <c r="G144" i="12"/>
  <c r="E144" i="12"/>
  <c r="AA143" i="12"/>
  <c r="Z143" i="12"/>
  <c r="Y143" i="12"/>
  <c r="X143" i="12"/>
  <c r="AB143" i="12" s="1"/>
  <c r="V143" i="12"/>
  <c r="U143" i="12"/>
  <c r="T143" i="12"/>
  <c r="S143" i="12"/>
  <c r="W143" i="12" s="1"/>
  <c r="Q143" i="12"/>
  <c r="P143" i="12"/>
  <c r="O143" i="12"/>
  <c r="N143" i="12"/>
  <c r="M143" i="12"/>
  <c r="K143" i="12"/>
  <c r="I143" i="12"/>
  <c r="G143" i="12"/>
  <c r="E143" i="12"/>
  <c r="AA142" i="12"/>
  <c r="Z142" i="12"/>
  <c r="Y142" i="12"/>
  <c r="X142" i="12"/>
  <c r="V142" i="12"/>
  <c r="U142" i="12"/>
  <c r="T142" i="12"/>
  <c r="S142" i="12"/>
  <c r="Q142" i="12"/>
  <c r="P142" i="12"/>
  <c r="O142" i="12"/>
  <c r="N142" i="12"/>
  <c r="M142" i="12"/>
  <c r="K142" i="12"/>
  <c r="I142" i="12"/>
  <c r="G142" i="12"/>
  <c r="E142" i="12"/>
  <c r="AA141" i="12"/>
  <c r="Z141" i="12"/>
  <c r="Y141" i="12"/>
  <c r="X141" i="12"/>
  <c r="V141" i="12"/>
  <c r="U141" i="12"/>
  <c r="T141" i="12"/>
  <c r="S141" i="12"/>
  <c r="Q141" i="12"/>
  <c r="P141" i="12"/>
  <c r="O141" i="12"/>
  <c r="N141" i="12"/>
  <c r="M141" i="12"/>
  <c r="K141" i="12"/>
  <c r="I141" i="12"/>
  <c r="G141" i="12"/>
  <c r="E141" i="12"/>
  <c r="AA140" i="12"/>
  <c r="Z140" i="12"/>
  <c r="Y140" i="12"/>
  <c r="X140" i="12"/>
  <c r="V140" i="12"/>
  <c r="U140" i="12"/>
  <c r="T140" i="12"/>
  <c r="S140" i="12"/>
  <c r="Q140" i="12"/>
  <c r="P140" i="12"/>
  <c r="O140" i="12"/>
  <c r="N140" i="12"/>
  <c r="M140" i="12"/>
  <c r="K140" i="12"/>
  <c r="I140" i="12"/>
  <c r="G140" i="12"/>
  <c r="E140" i="12"/>
  <c r="AA139" i="12"/>
  <c r="Z139" i="12"/>
  <c r="Y139" i="12"/>
  <c r="X139" i="12"/>
  <c r="V139" i="12"/>
  <c r="U139" i="12"/>
  <c r="T139" i="12"/>
  <c r="S139" i="12"/>
  <c r="Q139" i="12"/>
  <c r="P139" i="12"/>
  <c r="O139" i="12"/>
  <c r="N139" i="12"/>
  <c r="R139" i="12" s="1"/>
  <c r="M139" i="12"/>
  <c r="K139" i="12"/>
  <c r="I139" i="12"/>
  <c r="G139" i="12"/>
  <c r="E139" i="12"/>
  <c r="AA138" i="12"/>
  <c r="Z138" i="12"/>
  <c r="Y138" i="12"/>
  <c r="X138" i="12"/>
  <c r="AB138" i="12" s="1"/>
  <c r="V138" i="12"/>
  <c r="U138" i="12"/>
  <c r="T138" i="12"/>
  <c r="S138" i="12"/>
  <c r="W138" i="12" s="1"/>
  <c r="Q138" i="12"/>
  <c r="P138" i="12"/>
  <c r="O138" i="12"/>
  <c r="N138" i="12"/>
  <c r="R138" i="12" s="1"/>
  <c r="M138" i="12"/>
  <c r="K138" i="12"/>
  <c r="I138" i="12"/>
  <c r="G138" i="12"/>
  <c r="E138" i="12"/>
  <c r="AA137" i="12"/>
  <c r="Z137" i="12"/>
  <c r="Y137" i="12"/>
  <c r="X137" i="12"/>
  <c r="V137" i="12"/>
  <c r="U137" i="12"/>
  <c r="T137" i="12"/>
  <c r="S137" i="12"/>
  <c r="Q137" i="12"/>
  <c r="P137" i="12"/>
  <c r="O137" i="12"/>
  <c r="N137" i="12"/>
  <c r="M137" i="12"/>
  <c r="K137" i="12"/>
  <c r="I137" i="12"/>
  <c r="G137" i="12"/>
  <c r="E137" i="12"/>
  <c r="AA136" i="12"/>
  <c r="Z136" i="12"/>
  <c r="Y136" i="12"/>
  <c r="X136" i="12"/>
  <c r="V136" i="12"/>
  <c r="U136" i="12"/>
  <c r="T136" i="12"/>
  <c r="S136" i="12"/>
  <c r="Q136" i="12"/>
  <c r="P136" i="12"/>
  <c r="O136" i="12"/>
  <c r="N136" i="12"/>
  <c r="M136" i="12"/>
  <c r="K136" i="12"/>
  <c r="I136" i="12"/>
  <c r="G136" i="12"/>
  <c r="E136" i="12"/>
  <c r="AA135" i="12"/>
  <c r="Z135" i="12"/>
  <c r="Y135" i="12"/>
  <c r="X135" i="12"/>
  <c r="V135" i="12"/>
  <c r="U135" i="12"/>
  <c r="T135" i="12"/>
  <c r="S135" i="12"/>
  <c r="Q135" i="12"/>
  <c r="P135" i="12"/>
  <c r="O135" i="12"/>
  <c r="N135" i="12"/>
  <c r="M135" i="12"/>
  <c r="K135" i="12"/>
  <c r="I135" i="12"/>
  <c r="G135" i="12"/>
  <c r="E135" i="12"/>
  <c r="AA134" i="12"/>
  <c r="Z134" i="12"/>
  <c r="Y134" i="12"/>
  <c r="X134" i="12"/>
  <c r="V134" i="12"/>
  <c r="U134" i="12"/>
  <c r="T134" i="12"/>
  <c r="S134" i="12"/>
  <c r="Q134" i="12"/>
  <c r="P134" i="12"/>
  <c r="O134" i="12"/>
  <c r="N134" i="12"/>
  <c r="M134" i="12"/>
  <c r="K134" i="12"/>
  <c r="I134" i="12"/>
  <c r="G134" i="12"/>
  <c r="E134" i="12"/>
  <c r="AA133" i="12"/>
  <c r="Z133" i="12"/>
  <c r="Y133" i="12"/>
  <c r="X133" i="12"/>
  <c r="V133" i="12"/>
  <c r="U133" i="12"/>
  <c r="T133" i="12"/>
  <c r="S133" i="12"/>
  <c r="Q133" i="12"/>
  <c r="P133" i="12"/>
  <c r="O133" i="12"/>
  <c r="N133" i="12"/>
  <c r="M133" i="12"/>
  <c r="K133" i="12"/>
  <c r="I133" i="12"/>
  <c r="G133" i="12"/>
  <c r="E133" i="12"/>
  <c r="AA132" i="12"/>
  <c r="Z132" i="12"/>
  <c r="Y132" i="12"/>
  <c r="X132" i="12"/>
  <c r="V132" i="12"/>
  <c r="U132" i="12"/>
  <c r="T132" i="12"/>
  <c r="S132" i="12"/>
  <c r="Q132" i="12"/>
  <c r="P132" i="12"/>
  <c r="O132" i="12"/>
  <c r="N132" i="12"/>
  <c r="M132" i="12"/>
  <c r="K132" i="12"/>
  <c r="I132" i="12"/>
  <c r="G132" i="12"/>
  <c r="E132" i="12"/>
  <c r="AA131" i="12"/>
  <c r="Z131" i="12"/>
  <c r="Y131" i="12"/>
  <c r="X131" i="12"/>
  <c r="V131" i="12"/>
  <c r="U131" i="12"/>
  <c r="T131" i="12"/>
  <c r="S131" i="12"/>
  <c r="Q131" i="12"/>
  <c r="P131" i="12"/>
  <c r="O131" i="12"/>
  <c r="N131" i="12"/>
  <c r="M131" i="12"/>
  <c r="K131" i="12"/>
  <c r="I131" i="12"/>
  <c r="G131" i="12"/>
  <c r="E131" i="12"/>
  <c r="AA130" i="12"/>
  <c r="Z130" i="12"/>
  <c r="Y130" i="12"/>
  <c r="X130" i="12"/>
  <c r="V130" i="12"/>
  <c r="U130" i="12"/>
  <c r="T130" i="12"/>
  <c r="S130" i="12"/>
  <c r="Q130" i="12"/>
  <c r="P130" i="12"/>
  <c r="O130" i="12"/>
  <c r="N130" i="12"/>
  <c r="M130" i="12"/>
  <c r="K130" i="12"/>
  <c r="I130" i="12"/>
  <c r="G130" i="12"/>
  <c r="E130" i="12"/>
  <c r="AA129" i="12"/>
  <c r="Z129" i="12"/>
  <c r="Y129" i="12"/>
  <c r="X129" i="12"/>
  <c r="V129" i="12"/>
  <c r="U129" i="12"/>
  <c r="T129" i="12"/>
  <c r="S129" i="12"/>
  <c r="Q129" i="12"/>
  <c r="P129" i="12"/>
  <c r="O129" i="12"/>
  <c r="N129" i="12"/>
  <c r="M129" i="12"/>
  <c r="K129" i="12"/>
  <c r="I129" i="12"/>
  <c r="G129" i="12"/>
  <c r="E129" i="12"/>
  <c r="AA128" i="12"/>
  <c r="Z128" i="12"/>
  <c r="Y128" i="12"/>
  <c r="X128" i="12"/>
  <c r="V128" i="12"/>
  <c r="U128" i="12"/>
  <c r="T128" i="12"/>
  <c r="S128" i="12"/>
  <c r="Q128" i="12"/>
  <c r="P128" i="12"/>
  <c r="O128" i="12"/>
  <c r="N128" i="12"/>
  <c r="M128" i="12"/>
  <c r="K128" i="12"/>
  <c r="I128" i="12"/>
  <c r="G128" i="12"/>
  <c r="E128" i="12"/>
  <c r="AA127" i="12"/>
  <c r="Z127" i="12"/>
  <c r="Y127" i="12"/>
  <c r="X127" i="12"/>
  <c r="V127" i="12"/>
  <c r="U127" i="12"/>
  <c r="T127" i="12"/>
  <c r="S127" i="12"/>
  <c r="Q127" i="12"/>
  <c r="P127" i="12"/>
  <c r="O127" i="12"/>
  <c r="N127" i="12"/>
  <c r="M127" i="12"/>
  <c r="K127" i="12"/>
  <c r="I127" i="12"/>
  <c r="G127" i="12"/>
  <c r="E127" i="12"/>
  <c r="AA126" i="12"/>
  <c r="Z126" i="12"/>
  <c r="Y126" i="12"/>
  <c r="X126" i="12"/>
  <c r="V126" i="12"/>
  <c r="U126" i="12"/>
  <c r="T126" i="12"/>
  <c r="S126" i="12"/>
  <c r="Q126" i="12"/>
  <c r="P126" i="12"/>
  <c r="O126" i="12"/>
  <c r="N126" i="12"/>
  <c r="M126" i="12"/>
  <c r="K126" i="12"/>
  <c r="I126" i="12"/>
  <c r="G126" i="12"/>
  <c r="E126" i="12"/>
  <c r="AA125" i="12"/>
  <c r="Z125" i="12"/>
  <c r="Y125" i="12"/>
  <c r="X125" i="12"/>
  <c r="V125" i="12"/>
  <c r="U125" i="12"/>
  <c r="T125" i="12"/>
  <c r="S125" i="12"/>
  <c r="Q125" i="12"/>
  <c r="P125" i="12"/>
  <c r="O125" i="12"/>
  <c r="N125" i="12"/>
  <c r="M125" i="12"/>
  <c r="K125" i="12"/>
  <c r="I125" i="12"/>
  <c r="G125" i="12"/>
  <c r="E125" i="12"/>
  <c r="AA124" i="12"/>
  <c r="Z124" i="12"/>
  <c r="Y124" i="12"/>
  <c r="X124" i="12"/>
  <c r="V124" i="12"/>
  <c r="U124" i="12"/>
  <c r="T124" i="12"/>
  <c r="S124" i="12"/>
  <c r="Q124" i="12"/>
  <c r="P124" i="12"/>
  <c r="O124" i="12"/>
  <c r="N124" i="12"/>
  <c r="M124" i="12"/>
  <c r="K124" i="12"/>
  <c r="I124" i="12"/>
  <c r="G124" i="12"/>
  <c r="E124" i="12"/>
  <c r="AA123" i="12"/>
  <c r="Z123" i="12"/>
  <c r="Y123" i="12"/>
  <c r="X123" i="12"/>
  <c r="V123" i="12"/>
  <c r="U123" i="12"/>
  <c r="T123" i="12"/>
  <c r="W123" i="12" s="1"/>
  <c r="I193" i="14" s="1"/>
  <c r="S123" i="12"/>
  <c r="Q123" i="12"/>
  <c r="P123" i="12"/>
  <c r="O123" i="12"/>
  <c r="N123" i="12"/>
  <c r="M123" i="12"/>
  <c r="K123" i="12"/>
  <c r="I123" i="12"/>
  <c r="G123" i="12"/>
  <c r="E123" i="12"/>
  <c r="AA122" i="12"/>
  <c r="Z122" i="12"/>
  <c r="Y122" i="12"/>
  <c r="X122" i="12"/>
  <c r="V122" i="12"/>
  <c r="U122" i="12"/>
  <c r="T122" i="12"/>
  <c r="S122" i="12"/>
  <c r="Q122" i="12"/>
  <c r="P122" i="12"/>
  <c r="O122" i="12"/>
  <c r="N122" i="12"/>
  <c r="M122" i="12"/>
  <c r="K122" i="12"/>
  <c r="I122" i="12"/>
  <c r="G122" i="12"/>
  <c r="E122" i="12"/>
  <c r="AA121" i="12"/>
  <c r="Z121" i="12"/>
  <c r="Y121" i="12"/>
  <c r="X121" i="12"/>
  <c r="V121" i="12"/>
  <c r="U121" i="12"/>
  <c r="T121" i="12"/>
  <c r="S121" i="12"/>
  <c r="Q121" i="12"/>
  <c r="P121" i="12"/>
  <c r="O121" i="12"/>
  <c r="N121" i="12"/>
  <c r="M121" i="12"/>
  <c r="K121" i="12"/>
  <c r="I121" i="12"/>
  <c r="G121" i="12"/>
  <c r="E121" i="12"/>
  <c r="AA120" i="12"/>
  <c r="Z120" i="12"/>
  <c r="Y120" i="12"/>
  <c r="X120" i="12"/>
  <c r="V120" i="12"/>
  <c r="U120" i="12"/>
  <c r="T120" i="12"/>
  <c r="S120" i="12"/>
  <c r="Q120" i="12"/>
  <c r="P120" i="12"/>
  <c r="O120" i="12"/>
  <c r="N120" i="12"/>
  <c r="M120" i="12"/>
  <c r="K120" i="12"/>
  <c r="I120" i="12"/>
  <c r="G120" i="12"/>
  <c r="E120" i="12"/>
  <c r="AA119" i="12"/>
  <c r="Z119" i="12"/>
  <c r="Y119" i="12"/>
  <c r="X119" i="12"/>
  <c r="V119" i="12"/>
  <c r="U119" i="12"/>
  <c r="T119" i="12"/>
  <c r="S119" i="12"/>
  <c r="Q119" i="12"/>
  <c r="P119" i="12"/>
  <c r="O119" i="12"/>
  <c r="N119" i="12"/>
  <c r="M119" i="12"/>
  <c r="K119" i="12"/>
  <c r="I119" i="12"/>
  <c r="G119" i="12"/>
  <c r="E119" i="12"/>
  <c r="AA118" i="12"/>
  <c r="Z118" i="12"/>
  <c r="Y118" i="12"/>
  <c r="X118" i="12"/>
  <c r="V118" i="12"/>
  <c r="U118" i="12"/>
  <c r="T118" i="12"/>
  <c r="S118" i="12"/>
  <c r="Q118" i="12"/>
  <c r="P118" i="12"/>
  <c r="O118" i="12"/>
  <c r="N118" i="12"/>
  <c r="M118" i="12"/>
  <c r="K118" i="12"/>
  <c r="I118" i="12"/>
  <c r="G118" i="12"/>
  <c r="E118" i="12"/>
  <c r="AA117" i="12"/>
  <c r="Z117" i="12"/>
  <c r="Y117" i="12"/>
  <c r="X117" i="12"/>
  <c r="V117" i="12"/>
  <c r="U117" i="12"/>
  <c r="T117" i="12"/>
  <c r="S117" i="12"/>
  <c r="Q117" i="12"/>
  <c r="P117" i="12"/>
  <c r="O117" i="12"/>
  <c r="N117" i="12"/>
  <c r="M117" i="12"/>
  <c r="K117" i="12"/>
  <c r="I117" i="12"/>
  <c r="G117" i="12"/>
  <c r="E117" i="12"/>
  <c r="AA116" i="12"/>
  <c r="Z116" i="12"/>
  <c r="Y116" i="12"/>
  <c r="X116" i="12"/>
  <c r="V116" i="12"/>
  <c r="U116" i="12"/>
  <c r="T116" i="12"/>
  <c r="S116" i="12"/>
  <c r="Q116" i="12"/>
  <c r="P116" i="12"/>
  <c r="O116" i="12"/>
  <c r="N116" i="12"/>
  <c r="M116" i="12"/>
  <c r="K116" i="12"/>
  <c r="I116" i="12"/>
  <c r="G116" i="12"/>
  <c r="E116" i="12"/>
  <c r="AA115" i="12"/>
  <c r="Z115" i="12"/>
  <c r="Y115" i="12"/>
  <c r="X115" i="12"/>
  <c r="V115" i="12"/>
  <c r="U115" i="12"/>
  <c r="T115" i="12"/>
  <c r="S115" i="12"/>
  <c r="Q115" i="12"/>
  <c r="P115" i="12"/>
  <c r="O115" i="12"/>
  <c r="N115" i="12"/>
  <c r="M115" i="12"/>
  <c r="K115" i="12"/>
  <c r="I115" i="12"/>
  <c r="G115" i="12"/>
  <c r="E115" i="12"/>
  <c r="AA114" i="12"/>
  <c r="Z114" i="12"/>
  <c r="Y114" i="12"/>
  <c r="X114" i="12"/>
  <c r="V114" i="12"/>
  <c r="U114" i="12"/>
  <c r="T114" i="12"/>
  <c r="S114" i="12"/>
  <c r="Q114" i="12"/>
  <c r="P114" i="12"/>
  <c r="O114" i="12"/>
  <c r="N114" i="12"/>
  <c r="M114" i="12"/>
  <c r="K114" i="12"/>
  <c r="I114" i="12"/>
  <c r="G114" i="12"/>
  <c r="E114" i="12"/>
  <c r="AA113" i="12"/>
  <c r="Z113" i="12"/>
  <c r="Y113" i="12"/>
  <c r="X113" i="12"/>
  <c r="V113" i="12"/>
  <c r="U113" i="12"/>
  <c r="T113" i="12"/>
  <c r="S113" i="12"/>
  <c r="Q113" i="12"/>
  <c r="P113" i="12"/>
  <c r="O113" i="12"/>
  <c r="N113" i="12"/>
  <c r="M113" i="12"/>
  <c r="K113" i="12"/>
  <c r="I113" i="12"/>
  <c r="G113" i="12"/>
  <c r="E113" i="12"/>
  <c r="AA112" i="12"/>
  <c r="Z112" i="12"/>
  <c r="Y112" i="12"/>
  <c r="X112" i="12"/>
  <c r="V112" i="12"/>
  <c r="U112" i="12"/>
  <c r="T112" i="12"/>
  <c r="S112" i="12"/>
  <c r="Q112" i="12"/>
  <c r="P112" i="12"/>
  <c r="O112" i="12"/>
  <c r="N112" i="12"/>
  <c r="M112" i="12"/>
  <c r="K112" i="12"/>
  <c r="I112" i="12"/>
  <c r="G112" i="12"/>
  <c r="E112" i="12"/>
  <c r="AA111" i="12"/>
  <c r="Z111" i="12"/>
  <c r="Y111" i="12"/>
  <c r="X111" i="12"/>
  <c r="V111" i="12"/>
  <c r="U111" i="12"/>
  <c r="T111" i="12"/>
  <c r="S111" i="12"/>
  <c r="Q111" i="12"/>
  <c r="P111" i="12"/>
  <c r="O111" i="12"/>
  <c r="N111" i="12"/>
  <c r="M111" i="12"/>
  <c r="K111" i="12"/>
  <c r="I111" i="12"/>
  <c r="G111" i="12"/>
  <c r="E111" i="12"/>
  <c r="AA110" i="12"/>
  <c r="Z110" i="12"/>
  <c r="Y110" i="12"/>
  <c r="X110" i="12"/>
  <c r="V110" i="12"/>
  <c r="U110" i="12"/>
  <c r="T110" i="12"/>
  <c r="S110" i="12"/>
  <c r="Q110" i="12"/>
  <c r="P110" i="12"/>
  <c r="O110" i="12"/>
  <c r="N110" i="12"/>
  <c r="M110" i="12"/>
  <c r="K110" i="12"/>
  <c r="I110" i="12"/>
  <c r="G110" i="12"/>
  <c r="E110" i="12"/>
  <c r="AO109" i="12"/>
  <c r="AN109" i="12"/>
  <c r="AM109" i="12"/>
  <c r="AL109" i="12"/>
  <c r="AK109" i="12"/>
  <c r="AI109" i="12"/>
  <c r="AA109" i="12"/>
  <c r="Z109" i="12"/>
  <c r="Y109" i="12"/>
  <c r="AB109" i="12" s="1"/>
  <c r="X109" i="12"/>
  <c r="V109" i="12"/>
  <c r="U109" i="12"/>
  <c r="T109" i="12"/>
  <c r="S109" i="12"/>
  <c r="Q109" i="12"/>
  <c r="P109" i="12"/>
  <c r="O109" i="12"/>
  <c r="N109" i="12"/>
  <c r="M109" i="12"/>
  <c r="K109" i="12"/>
  <c r="I109" i="12"/>
  <c r="G109" i="12"/>
  <c r="E109" i="12"/>
  <c r="AO108" i="12"/>
  <c r="AN108" i="12"/>
  <c r="AM108" i="12"/>
  <c r="AL108" i="12"/>
  <c r="AP108" i="12" s="1"/>
  <c r="AK108" i="12"/>
  <c r="AI108" i="12"/>
  <c r="AA108" i="12"/>
  <c r="Z108" i="12"/>
  <c r="Y108" i="12"/>
  <c r="X108" i="12"/>
  <c r="V108" i="12"/>
  <c r="U108" i="12"/>
  <c r="T108" i="12"/>
  <c r="S108" i="12"/>
  <c r="Q108" i="12"/>
  <c r="P108" i="12"/>
  <c r="O108" i="12"/>
  <c r="N108" i="12"/>
  <c r="M108" i="12"/>
  <c r="K108" i="12"/>
  <c r="I108" i="12"/>
  <c r="G108" i="12"/>
  <c r="E108" i="12"/>
  <c r="AO107" i="12"/>
  <c r="AN107" i="12"/>
  <c r="AM107" i="12"/>
  <c r="AL107" i="12"/>
  <c r="AP107" i="12" s="1"/>
  <c r="AK107" i="12"/>
  <c r="AI107" i="12"/>
  <c r="AA107" i="12"/>
  <c r="Z107" i="12"/>
  <c r="Y107" i="12"/>
  <c r="X107" i="12"/>
  <c r="V107" i="12"/>
  <c r="U107" i="12"/>
  <c r="T107" i="12"/>
  <c r="S107" i="12"/>
  <c r="Q107" i="12"/>
  <c r="P107" i="12"/>
  <c r="O107" i="12"/>
  <c r="N107" i="12"/>
  <c r="M107" i="12"/>
  <c r="K107" i="12"/>
  <c r="I107" i="12"/>
  <c r="G107" i="12"/>
  <c r="E107" i="12"/>
  <c r="AO106" i="12"/>
  <c r="AN106" i="12"/>
  <c r="AM106" i="12"/>
  <c r="AL106" i="12"/>
  <c r="AP106" i="12" s="1"/>
  <c r="AK106" i="12"/>
  <c r="AI106" i="12"/>
  <c r="AA106" i="12"/>
  <c r="Z106" i="12"/>
  <c r="Y106" i="12"/>
  <c r="X106" i="12"/>
  <c r="V106" i="12"/>
  <c r="U106" i="12"/>
  <c r="T106" i="12"/>
  <c r="S106" i="12"/>
  <c r="Q106" i="12"/>
  <c r="P106" i="12"/>
  <c r="O106" i="12"/>
  <c r="N106" i="12"/>
  <c r="M106" i="12"/>
  <c r="K106" i="12"/>
  <c r="I106" i="12"/>
  <c r="G106" i="12"/>
  <c r="E106" i="12"/>
  <c r="AO105" i="12"/>
  <c r="AN105" i="12"/>
  <c r="AM105" i="12"/>
  <c r="AL105" i="12"/>
  <c r="AP105" i="12" s="1"/>
  <c r="AK105" i="12"/>
  <c r="AI105" i="12"/>
  <c r="AA105" i="12"/>
  <c r="Z105" i="12"/>
  <c r="Y105" i="12"/>
  <c r="X105" i="12"/>
  <c r="V105" i="12"/>
  <c r="U105" i="12"/>
  <c r="T105" i="12"/>
  <c r="S105" i="12"/>
  <c r="Q105" i="12"/>
  <c r="P105" i="12"/>
  <c r="O105" i="12"/>
  <c r="N105" i="12"/>
  <c r="M105" i="12"/>
  <c r="K105" i="12"/>
  <c r="I105" i="12"/>
  <c r="G105" i="12"/>
  <c r="E105" i="12"/>
  <c r="AO104" i="12"/>
  <c r="AN104" i="12"/>
  <c r="AM104" i="12"/>
  <c r="AL104" i="12"/>
  <c r="AP104" i="12" s="1"/>
  <c r="AK104" i="12"/>
  <c r="AI104" i="12"/>
  <c r="AA104" i="12"/>
  <c r="Z104" i="12"/>
  <c r="Y104" i="12"/>
  <c r="X104" i="12"/>
  <c r="V104" i="12"/>
  <c r="U104" i="12"/>
  <c r="T104" i="12"/>
  <c r="S104" i="12"/>
  <c r="Q104" i="12"/>
  <c r="P104" i="12"/>
  <c r="O104" i="12"/>
  <c r="N104" i="12"/>
  <c r="M104" i="12"/>
  <c r="K104" i="12"/>
  <c r="I104" i="12"/>
  <c r="G104" i="12"/>
  <c r="E104" i="12"/>
  <c r="AO103" i="12"/>
  <c r="AN103" i="12"/>
  <c r="AM103" i="12"/>
  <c r="AL103" i="12"/>
  <c r="AP103" i="12" s="1"/>
  <c r="AK103" i="12"/>
  <c r="AI103" i="12"/>
  <c r="AA103" i="12"/>
  <c r="Z103" i="12"/>
  <c r="Y103" i="12"/>
  <c r="X103" i="12"/>
  <c r="AB103" i="12" s="1"/>
  <c r="V103" i="12"/>
  <c r="U103" i="12"/>
  <c r="T103" i="12"/>
  <c r="S103" i="12"/>
  <c r="W103" i="12" s="1"/>
  <c r="Q103" i="12"/>
  <c r="P103" i="12"/>
  <c r="O103" i="12"/>
  <c r="N103" i="12"/>
  <c r="R103" i="12" s="1"/>
  <c r="M103" i="12"/>
  <c r="K103" i="12"/>
  <c r="I103" i="12"/>
  <c r="G103" i="12"/>
  <c r="E103" i="12"/>
  <c r="AO102" i="12"/>
  <c r="AN102" i="12"/>
  <c r="AM102" i="12"/>
  <c r="AL102" i="12"/>
  <c r="AK102" i="12"/>
  <c r="AI102" i="12"/>
  <c r="AA102" i="12"/>
  <c r="Z102" i="12"/>
  <c r="Y102" i="12"/>
  <c r="X102" i="12"/>
  <c r="AB102" i="12" s="1"/>
  <c r="V102" i="12"/>
  <c r="U102" i="12"/>
  <c r="T102" i="12"/>
  <c r="S102" i="12"/>
  <c r="W102" i="12" s="1"/>
  <c r="Q102" i="12"/>
  <c r="P102" i="12"/>
  <c r="O102" i="12"/>
  <c r="N102" i="12"/>
  <c r="R102" i="12" s="1"/>
  <c r="M102" i="12"/>
  <c r="K102" i="12"/>
  <c r="I102" i="12"/>
  <c r="G102" i="12"/>
  <c r="E102" i="12"/>
  <c r="AO101" i="12"/>
  <c r="AN101" i="12"/>
  <c r="AM101" i="12"/>
  <c r="AL101" i="12"/>
  <c r="AK101" i="12"/>
  <c r="AI101" i="12"/>
  <c r="AA101" i="12"/>
  <c r="Z101" i="12"/>
  <c r="Y101" i="12"/>
  <c r="X101" i="12"/>
  <c r="AB101" i="12" s="1"/>
  <c r="V101" i="12"/>
  <c r="U101" i="12"/>
  <c r="T101" i="12"/>
  <c r="S101" i="12"/>
  <c r="W101" i="12" s="1"/>
  <c r="Q101" i="12"/>
  <c r="P101" i="12"/>
  <c r="O101" i="12"/>
  <c r="N101" i="12"/>
  <c r="R101" i="12" s="1"/>
  <c r="M101" i="12"/>
  <c r="K101" i="12"/>
  <c r="I101" i="12"/>
  <c r="G101" i="12"/>
  <c r="E101" i="12"/>
  <c r="AO100" i="12"/>
  <c r="AN100" i="12"/>
  <c r="AM100" i="12"/>
  <c r="AL100" i="12"/>
  <c r="AK100" i="12"/>
  <c r="AI100" i="12"/>
  <c r="AA100" i="12"/>
  <c r="Z100" i="12"/>
  <c r="Y100" i="12"/>
  <c r="X100" i="12"/>
  <c r="AB100" i="12" s="1"/>
  <c r="V100" i="12"/>
  <c r="U100" i="12"/>
  <c r="T100" i="12"/>
  <c r="S100" i="12"/>
  <c r="W100" i="12" s="1"/>
  <c r="Q100" i="12"/>
  <c r="P100" i="12"/>
  <c r="O100" i="12"/>
  <c r="N100" i="12"/>
  <c r="R100" i="12" s="1"/>
  <c r="M100" i="12"/>
  <c r="K100" i="12"/>
  <c r="I100" i="12"/>
  <c r="G100" i="12"/>
  <c r="E100" i="12"/>
  <c r="AO99" i="12"/>
  <c r="AN99" i="12"/>
  <c r="AM99" i="12"/>
  <c r="AL99" i="12"/>
  <c r="AK99" i="12"/>
  <c r="AI99" i="12"/>
  <c r="AA99" i="12"/>
  <c r="Z99" i="12"/>
  <c r="Y99" i="12"/>
  <c r="X99" i="12"/>
  <c r="AB99" i="12" s="1"/>
  <c r="V99" i="12"/>
  <c r="U99" i="12"/>
  <c r="T99" i="12"/>
  <c r="S99" i="12"/>
  <c r="W99" i="12" s="1"/>
  <c r="Q99" i="12"/>
  <c r="P99" i="12"/>
  <c r="O99" i="12"/>
  <c r="N99" i="12"/>
  <c r="R99" i="12" s="1"/>
  <c r="M99" i="12"/>
  <c r="K99" i="12"/>
  <c r="I99" i="12"/>
  <c r="G99" i="12"/>
  <c r="E99" i="12"/>
  <c r="AO98" i="12"/>
  <c r="AN98" i="12"/>
  <c r="AM98" i="12"/>
  <c r="AL98" i="12"/>
  <c r="AK98" i="12"/>
  <c r="AI98" i="12"/>
  <c r="AA98" i="12"/>
  <c r="Z98" i="12"/>
  <c r="Y98" i="12"/>
  <c r="X98" i="12"/>
  <c r="V98" i="12"/>
  <c r="U98" i="12"/>
  <c r="T98" i="12"/>
  <c r="S98" i="12"/>
  <c r="Q98" i="12"/>
  <c r="P98" i="12"/>
  <c r="O98" i="12"/>
  <c r="N98" i="12"/>
  <c r="M98" i="12"/>
  <c r="K98" i="12"/>
  <c r="I98" i="12"/>
  <c r="G98" i="12"/>
  <c r="E98" i="12"/>
  <c r="AO97" i="12"/>
  <c r="AN97" i="12"/>
  <c r="AM97" i="12"/>
  <c r="AL97" i="12"/>
  <c r="AK97" i="12"/>
  <c r="AI97" i="12"/>
  <c r="AA97" i="12"/>
  <c r="Z97" i="12"/>
  <c r="Y97" i="12"/>
  <c r="X97" i="12"/>
  <c r="V97" i="12"/>
  <c r="U97" i="12"/>
  <c r="T97" i="12"/>
  <c r="S97" i="12"/>
  <c r="Q97" i="12"/>
  <c r="P97" i="12"/>
  <c r="O97" i="12"/>
  <c r="N97" i="12"/>
  <c r="M97" i="12"/>
  <c r="K97" i="12"/>
  <c r="I97" i="12"/>
  <c r="G97" i="12"/>
  <c r="E97" i="12"/>
  <c r="AO96" i="12"/>
  <c r="AN96" i="12"/>
  <c r="AM96" i="12"/>
  <c r="AL96" i="12"/>
  <c r="AP96" i="12" s="1"/>
  <c r="AK96" i="12"/>
  <c r="AI96" i="12"/>
  <c r="AA96" i="12"/>
  <c r="Z96" i="12"/>
  <c r="Y96" i="12"/>
  <c r="X96" i="12"/>
  <c r="V96" i="12"/>
  <c r="U96" i="12"/>
  <c r="T96" i="12"/>
  <c r="S96" i="12"/>
  <c r="Q96" i="12"/>
  <c r="P96" i="12"/>
  <c r="O96" i="12"/>
  <c r="N96" i="12"/>
  <c r="M96" i="12"/>
  <c r="K96" i="12"/>
  <c r="I96" i="12"/>
  <c r="G96" i="12"/>
  <c r="E96" i="12"/>
  <c r="AO95" i="12"/>
  <c r="AN95" i="12"/>
  <c r="AM95" i="12"/>
  <c r="AL95" i="12"/>
  <c r="AP95" i="12" s="1"/>
  <c r="AK95" i="12"/>
  <c r="AI95" i="12"/>
  <c r="AA95" i="12"/>
  <c r="Z95" i="12"/>
  <c r="Y95" i="12"/>
  <c r="X95" i="12"/>
  <c r="V95" i="12"/>
  <c r="U95" i="12"/>
  <c r="T95" i="12"/>
  <c r="S95" i="12"/>
  <c r="Q95" i="12"/>
  <c r="P95" i="12"/>
  <c r="O95" i="12"/>
  <c r="N95" i="12"/>
  <c r="M95" i="12"/>
  <c r="K95" i="12"/>
  <c r="I95" i="12"/>
  <c r="G95" i="12"/>
  <c r="E95" i="12"/>
  <c r="AO94" i="12"/>
  <c r="AN94" i="12"/>
  <c r="AM94" i="12"/>
  <c r="AL94" i="12"/>
  <c r="AP94" i="12" s="1"/>
  <c r="AK94" i="12"/>
  <c r="AI94" i="12"/>
  <c r="AA94" i="12"/>
  <c r="Z94" i="12"/>
  <c r="Y94" i="12"/>
  <c r="X94" i="12"/>
  <c r="V94" i="12"/>
  <c r="U94" i="12"/>
  <c r="T94" i="12"/>
  <c r="S94" i="12"/>
  <c r="Q94" i="12"/>
  <c r="P94" i="12"/>
  <c r="O94" i="12"/>
  <c r="N94" i="12"/>
  <c r="M94" i="12"/>
  <c r="K94" i="12"/>
  <c r="I94" i="12"/>
  <c r="G94" i="12"/>
  <c r="E94" i="12"/>
  <c r="AO93" i="12"/>
  <c r="AN93" i="12"/>
  <c r="AM93" i="12"/>
  <c r="AL93" i="12"/>
  <c r="AK93" i="12"/>
  <c r="AI93" i="12"/>
  <c r="AA93" i="12"/>
  <c r="Z93" i="12"/>
  <c r="Y93" i="12"/>
  <c r="X93" i="12"/>
  <c r="V93" i="12"/>
  <c r="U93" i="12"/>
  <c r="T93" i="12"/>
  <c r="S93" i="12"/>
  <c r="Q93" i="12"/>
  <c r="P93" i="12"/>
  <c r="O93" i="12"/>
  <c r="N93" i="12"/>
  <c r="M93" i="12"/>
  <c r="K93" i="12"/>
  <c r="I93" i="12"/>
  <c r="G93" i="12"/>
  <c r="E93" i="12"/>
  <c r="AO92" i="12"/>
  <c r="AN92" i="12"/>
  <c r="AM92" i="12"/>
  <c r="AL92" i="12"/>
  <c r="AK92" i="12"/>
  <c r="AI92" i="12"/>
  <c r="AA92" i="12"/>
  <c r="Z92" i="12"/>
  <c r="Y92" i="12"/>
  <c r="X92" i="12"/>
  <c r="V92" i="12"/>
  <c r="U92" i="12"/>
  <c r="T92" i="12"/>
  <c r="S92" i="12"/>
  <c r="Q92" i="12"/>
  <c r="P92" i="12"/>
  <c r="O92" i="12"/>
  <c r="N92" i="12"/>
  <c r="M92" i="12"/>
  <c r="K92" i="12"/>
  <c r="I92" i="12"/>
  <c r="G92" i="12"/>
  <c r="E92" i="12"/>
  <c r="AO91" i="12"/>
  <c r="AN91" i="12"/>
  <c r="AM91" i="12"/>
  <c r="AL91" i="12"/>
  <c r="AK91" i="12"/>
  <c r="AI91" i="12"/>
  <c r="AA91" i="12"/>
  <c r="Z91" i="12"/>
  <c r="Y91" i="12"/>
  <c r="X91" i="12"/>
  <c r="V91" i="12"/>
  <c r="U91" i="12"/>
  <c r="T91" i="12"/>
  <c r="S91" i="12"/>
  <c r="Q91" i="12"/>
  <c r="P91" i="12"/>
  <c r="O91" i="12"/>
  <c r="N91" i="12"/>
  <c r="M91" i="12"/>
  <c r="K91" i="12"/>
  <c r="I91" i="12"/>
  <c r="G91" i="12"/>
  <c r="E91" i="12"/>
  <c r="AO90" i="12"/>
  <c r="AN90" i="12"/>
  <c r="AM90" i="12"/>
  <c r="AL90" i="12"/>
  <c r="AK90" i="12"/>
  <c r="AI90" i="12"/>
  <c r="AA90" i="12"/>
  <c r="Z90" i="12"/>
  <c r="Y90" i="12"/>
  <c r="X90" i="12"/>
  <c r="V90" i="12"/>
  <c r="U90" i="12"/>
  <c r="T90" i="12"/>
  <c r="S90" i="12"/>
  <c r="Q90" i="12"/>
  <c r="P90" i="12"/>
  <c r="O90" i="12"/>
  <c r="N90" i="12"/>
  <c r="M90" i="12"/>
  <c r="K90" i="12"/>
  <c r="I90" i="12"/>
  <c r="G90" i="12"/>
  <c r="E90" i="12"/>
  <c r="AO89" i="12"/>
  <c r="AN89" i="12"/>
  <c r="AM89" i="12"/>
  <c r="AL89" i="12"/>
  <c r="AK89" i="12"/>
  <c r="AI89" i="12"/>
  <c r="AA89" i="12"/>
  <c r="Z89" i="12"/>
  <c r="Y89" i="12"/>
  <c r="X89" i="12"/>
  <c r="V89" i="12"/>
  <c r="U89" i="12"/>
  <c r="T89" i="12"/>
  <c r="S89" i="12"/>
  <c r="Q89" i="12"/>
  <c r="P89" i="12"/>
  <c r="O89" i="12"/>
  <c r="N89" i="12"/>
  <c r="M89" i="12"/>
  <c r="K89" i="12"/>
  <c r="I89" i="12"/>
  <c r="G89" i="12"/>
  <c r="E89" i="12"/>
  <c r="AO88" i="12"/>
  <c r="AN88" i="12"/>
  <c r="AM88" i="12"/>
  <c r="AL88" i="12"/>
  <c r="AK88" i="12"/>
  <c r="AI88" i="12"/>
  <c r="AA88" i="12"/>
  <c r="Z88" i="12"/>
  <c r="Y88" i="12"/>
  <c r="X88" i="12"/>
  <c r="V88" i="12"/>
  <c r="U88" i="12"/>
  <c r="T88" i="12"/>
  <c r="S88" i="12"/>
  <c r="Q88" i="12"/>
  <c r="P88" i="12"/>
  <c r="O88" i="12"/>
  <c r="N88" i="12"/>
  <c r="M88" i="12"/>
  <c r="K88" i="12"/>
  <c r="I88" i="12"/>
  <c r="G88" i="12"/>
  <c r="E88" i="12"/>
  <c r="AO87" i="12"/>
  <c r="AN87" i="12"/>
  <c r="AM87" i="12"/>
  <c r="AL87" i="12"/>
  <c r="AK87" i="12"/>
  <c r="AI87" i="12"/>
  <c r="AA87" i="12"/>
  <c r="Z87" i="12"/>
  <c r="Y87" i="12"/>
  <c r="X87" i="12"/>
  <c r="V87" i="12"/>
  <c r="U87" i="12"/>
  <c r="T87" i="12"/>
  <c r="S87" i="12"/>
  <c r="Q87" i="12"/>
  <c r="P87" i="12"/>
  <c r="O87" i="12"/>
  <c r="N87" i="12"/>
  <c r="M87" i="12"/>
  <c r="K87" i="12"/>
  <c r="I87" i="12"/>
  <c r="G87" i="12"/>
  <c r="E87" i="12"/>
  <c r="AO86" i="12"/>
  <c r="AN86" i="12"/>
  <c r="AM86" i="12"/>
  <c r="AL86" i="12"/>
  <c r="AK86" i="12"/>
  <c r="AI86" i="12"/>
  <c r="AA86" i="12"/>
  <c r="Z86" i="12"/>
  <c r="Y86" i="12"/>
  <c r="X86" i="12"/>
  <c r="V86" i="12"/>
  <c r="U86" i="12"/>
  <c r="T86" i="12"/>
  <c r="S86" i="12"/>
  <c r="Q86" i="12"/>
  <c r="P86" i="12"/>
  <c r="O86" i="12"/>
  <c r="N86" i="12"/>
  <c r="M86" i="12"/>
  <c r="K86" i="12"/>
  <c r="I86" i="12"/>
  <c r="G86" i="12"/>
  <c r="E86" i="12"/>
  <c r="AO85" i="12"/>
  <c r="AN85" i="12"/>
  <c r="AM85" i="12"/>
  <c r="AL85" i="12"/>
  <c r="AK85" i="12"/>
  <c r="AI85" i="12"/>
  <c r="AA85" i="12"/>
  <c r="Z85" i="12"/>
  <c r="Y85" i="12"/>
  <c r="X85" i="12"/>
  <c r="V85" i="12"/>
  <c r="U85" i="12"/>
  <c r="T85" i="12"/>
  <c r="S85" i="12"/>
  <c r="Q85" i="12"/>
  <c r="P85" i="12"/>
  <c r="O85" i="12"/>
  <c r="N85" i="12"/>
  <c r="M85" i="12"/>
  <c r="K85" i="12"/>
  <c r="I85" i="12"/>
  <c r="G85" i="12"/>
  <c r="E85" i="12"/>
  <c r="AO84" i="12"/>
  <c r="AN84" i="12"/>
  <c r="AM84" i="12"/>
  <c r="AL84" i="12"/>
  <c r="AK84" i="12"/>
  <c r="AI84" i="12"/>
  <c r="AA84" i="12"/>
  <c r="Z84" i="12"/>
  <c r="Y84" i="12"/>
  <c r="X84" i="12"/>
  <c r="V84" i="12"/>
  <c r="U84" i="12"/>
  <c r="T84" i="12"/>
  <c r="S84" i="12"/>
  <c r="Q84" i="12"/>
  <c r="P84" i="12"/>
  <c r="O84" i="12"/>
  <c r="N84" i="12"/>
  <c r="M84" i="12"/>
  <c r="K84" i="12"/>
  <c r="I84" i="12"/>
  <c r="G84" i="12"/>
  <c r="E84" i="12"/>
  <c r="AO83" i="12"/>
  <c r="AN83" i="12"/>
  <c r="AM83" i="12"/>
  <c r="AL83" i="12"/>
  <c r="AK83" i="12"/>
  <c r="AI83" i="12"/>
  <c r="AA83" i="12"/>
  <c r="Z83" i="12"/>
  <c r="Y83" i="12"/>
  <c r="X83" i="12"/>
  <c r="V83" i="12"/>
  <c r="U83" i="12"/>
  <c r="T83" i="12"/>
  <c r="S83" i="12"/>
  <c r="Q83" i="12"/>
  <c r="P83" i="12"/>
  <c r="O83" i="12"/>
  <c r="N83" i="12"/>
  <c r="M83" i="12"/>
  <c r="K83" i="12"/>
  <c r="I83" i="12"/>
  <c r="G83" i="12"/>
  <c r="E83" i="12"/>
  <c r="AO82" i="12"/>
  <c r="AN82" i="12"/>
  <c r="AM82" i="12"/>
  <c r="AL82" i="12"/>
  <c r="AK82" i="12"/>
  <c r="AI82" i="12"/>
  <c r="AA82" i="12"/>
  <c r="Z82" i="12"/>
  <c r="Y82" i="12"/>
  <c r="X82" i="12"/>
  <c r="V82" i="12"/>
  <c r="U82" i="12"/>
  <c r="T82" i="12"/>
  <c r="S82" i="12"/>
  <c r="Q82" i="12"/>
  <c r="P82" i="12"/>
  <c r="O82" i="12"/>
  <c r="N82" i="12"/>
  <c r="M82" i="12"/>
  <c r="K82" i="12"/>
  <c r="I82" i="12"/>
  <c r="G82" i="12"/>
  <c r="E82" i="12"/>
  <c r="AO81" i="12"/>
  <c r="AN81" i="12"/>
  <c r="AM81" i="12"/>
  <c r="AL81" i="12"/>
  <c r="AK81" i="12"/>
  <c r="AI81" i="12"/>
  <c r="AA81" i="12"/>
  <c r="Z81" i="12"/>
  <c r="Y81" i="12"/>
  <c r="X81" i="12"/>
  <c r="V81" i="12"/>
  <c r="U81" i="12"/>
  <c r="T81" i="12"/>
  <c r="S81" i="12"/>
  <c r="Q81" i="12"/>
  <c r="P81" i="12"/>
  <c r="O81" i="12"/>
  <c r="N81" i="12"/>
  <c r="M81" i="12"/>
  <c r="K81" i="12"/>
  <c r="I81" i="12"/>
  <c r="G81" i="12"/>
  <c r="E81" i="12"/>
  <c r="AO80" i="12"/>
  <c r="AN80" i="12"/>
  <c r="AM80" i="12"/>
  <c r="AL80" i="12"/>
  <c r="AK80" i="12"/>
  <c r="AI80" i="12"/>
  <c r="AA80" i="12"/>
  <c r="Z80" i="12"/>
  <c r="Y80" i="12"/>
  <c r="X80" i="12"/>
  <c r="V80" i="12"/>
  <c r="U80" i="12"/>
  <c r="T80" i="12"/>
  <c r="S80" i="12"/>
  <c r="W80" i="12" s="1"/>
  <c r="Q80" i="12"/>
  <c r="P80" i="12"/>
  <c r="O80" i="12"/>
  <c r="N80" i="12"/>
  <c r="M80" i="12"/>
  <c r="K80" i="12"/>
  <c r="I80" i="12"/>
  <c r="G80" i="12"/>
  <c r="E80" i="12"/>
  <c r="AO79" i="12"/>
  <c r="AN79" i="12"/>
  <c r="AM79" i="12"/>
  <c r="AL79" i="12"/>
  <c r="AK79" i="12"/>
  <c r="AI79" i="12"/>
  <c r="AA79" i="12"/>
  <c r="Z79" i="12"/>
  <c r="Y79" i="12"/>
  <c r="X79" i="12"/>
  <c r="V79" i="12"/>
  <c r="U79" i="12"/>
  <c r="T79" i="12"/>
  <c r="S79" i="12"/>
  <c r="W79" i="12" s="1"/>
  <c r="Q79" i="12"/>
  <c r="P79" i="12"/>
  <c r="O79" i="12"/>
  <c r="N79" i="12"/>
  <c r="M79" i="12"/>
  <c r="K79" i="12"/>
  <c r="I79" i="12"/>
  <c r="G79" i="12"/>
  <c r="E79" i="12"/>
  <c r="AO78" i="12"/>
  <c r="AN78" i="12"/>
  <c r="AM78" i="12"/>
  <c r="AL78" i="12"/>
  <c r="AK78" i="12"/>
  <c r="AI78" i="12"/>
  <c r="AA78" i="12"/>
  <c r="Z78" i="12"/>
  <c r="Y78" i="12"/>
  <c r="X78" i="12"/>
  <c r="V78" i="12"/>
  <c r="U78" i="12"/>
  <c r="T78" i="12"/>
  <c r="S78" i="12"/>
  <c r="W78" i="12" s="1"/>
  <c r="Q78" i="12"/>
  <c r="P78" i="12"/>
  <c r="O78" i="12"/>
  <c r="N78" i="12"/>
  <c r="R78" i="12" s="1"/>
  <c r="M78" i="12"/>
  <c r="K78" i="12"/>
  <c r="I78" i="12"/>
  <c r="G78" i="12"/>
  <c r="E78" i="12"/>
  <c r="AO77" i="12"/>
  <c r="AN77" i="12"/>
  <c r="AM77" i="12"/>
  <c r="AL77" i="12"/>
  <c r="AK77" i="12"/>
  <c r="AI77" i="12"/>
  <c r="AA77" i="12"/>
  <c r="Z77" i="12"/>
  <c r="Y77" i="12"/>
  <c r="X77" i="12"/>
  <c r="V77" i="12"/>
  <c r="U77" i="12"/>
  <c r="T77" i="12"/>
  <c r="S77" i="12"/>
  <c r="W77" i="12" s="1"/>
  <c r="Q77" i="12"/>
  <c r="P77" i="12"/>
  <c r="O77" i="12"/>
  <c r="N77" i="12"/>
  <c r="M77" i="12"/>
  <c r="K77" i="12"/>
  <c r="I77" i="12"/>
  <c r="G77" i="12"/>
  <c r="E77" i="12"/>
  <c r="AO76" i="12"/>
  <c r="AN76" i="12"/>
  <c r="AM76" i="12"/>
  <c r="AL76" i="12"/>
  <c r="AK76" i="12"/>
  <c r="AI76" i="12"/>
  <c r="AA76" i="12"/>
  <c r="Z76" i="12"/>
  <c r="Y76" i="12"/>
  <c r="X76" i="12"/>
  <c r="V76" i="12"/>
  <c r="U76" i="12"/>
  <c r="T76" i="12"/>
  <c r="S76" i="12"/>
  <c r="W76" i="12" s="1"/>
  <c r="Q76" i="12"/>
  <c r="P76" i="12"/>
  <c r="O76" i="12"/>
  <c r="N76" i="12"/>
  <c r="M76" i="12"/>
  <c r="K76" i="12"/>
  <c r="I76" i="12"/>
  <c r="G76" i="12"/>
  <c r="E76" i="12"/>
  <c r="AO75" i="12"/>
  <c r="AN75" i="12"/>
  <c r="AM75" i="12"/>
  <c r="AL75" i="12"/>
  <c r="AK75" i="12"/>
  <c r="AI75" i="12"/>
  <c r="AA75" i="12"/>
  <c r="Z75" i="12"/>
  <c r="Y75" i="12"/>
  <c r="X75" i="12"/>
  <c r="V75" i="12"/>
  <c r="U75" i="12"/>
  <c r="T75" i="12"/>
  <c r="S75" i="12"/>
  <c r="W75" i="12" s="1"/>
  <c r="Q75" i="12"/>
  <c r="P75" i="12"/>
  <c r="O75" i="12"/>
  <c r="N75" i="12"/>
  <c r="M75" i="12"/>
  <c r="K75" i="12"/>
  <c r="I75" i="12"/>
  <c r="G75" i="12"/>
  <c r="E75" i="12"/>
  <c r="AO74" i="12"/>
  <c r="AN74" i="12"/>
  <c r="AM74" i="12"/>
  <c r="AL74" i="12"/>
  <c r="AK74" i="12"/>
  <c r="AI74" i="12"/>
  <c r="AA74" i="12"/>
  <c r="Z74" i="12"/>
  <c r="Y74" i="12"/>
  <c r="X74" i="12"/>
  <c r="V74" i="12"/>
  <c r="U74" i="12"/>
  <c r="T74" i="12"/>
  <c r="S74" i="12"/>
  <c r="W74" i="12" s="1"/>
  <c r="Q74" i="12"/>
  <c r="P74" i="12"/>
  <c r="O74" i="12"/>
  <c r="N74" i="12"/>
  <c r="M74" i="12"/>
  <c r="K74" i="12"/>
  <c r="I74" i="12"/>
  <c r="G74" i="12"/>
  <c r="E74" i="12"/>
  <c r="AO73" i="12"/>
  <c r="AN73" i="12"/>
  <c r="AM73" i="12"/>
  <c r="AL73" i="12"/>
  <c r="AK73" i="12"/>
  <c r="AI73" i="12"/>
  <c r="AA73" i="12"/>
  <c r="Z73" i="12"/>
  <c r="Y73" i="12"/>
  <c r="X73" i="12"/>
  <c r="V73" i="12"/>
  <c r="U73" i="12"/>
  <c r="T73" i="12"/>
  <c r="S73" i="12"/>
  <c r="Q73" i="12"/>
  <c r="P73" i="12"/>
  <c r="O73" i="12"/>
  <c r="N73" i="12"/>
  <c r="M73" i="12"/>
  <c r="K73" i="12"/>
  <c r="I73" i="12"/>
  <c r="G73" i="12"/>
  <c r="E73" i="12"/>
  <c r="AO72" i="12"/>
  <c r="AN72" i="12"/>
  <c r="AM72" i="12"/>
  <c r="AL72" i="12"/>
  <c r="AK72" i="12"/>
  <c r="AI72" i="12"/>
  <c r="AA72" i="12"/>
  <c r="Z72" i="12"/>
  <c r="Y72" i="12"/>
  <c r="X72" i="12"/>
  <c r="V72" i="12"/>
  <c r="U72" i="12"/>
  <c r="T72" i="12"/>
  <c r="S72" i="12"/>
  <c r="Q72" i="12"/>
  <c r="P72" i="12"/>
  <c r="O72" i="12"/>
  <c r="N72" i="12"/>
  <c r="M72" i="12"/>
  <c r="K72" i="12"/>
  <c r="I72" i="12"/>
  <c r="G72" i="12"/>
  <c r="E72" i="12"/>
  <c r="AO71" i="12"/>
  <c r="AN71" i="12"/>
  <c r="AM71" i="12"/>
  <c r="AL71" i="12"/>
  <c r="AK71" i="12"/>
  <c r="AI71" i="12"/>
  <c r="AA71" i="12"/>
  <c r="Z71" i="12"/>
  <c r="Y71" i="12"/>
  <c r="X71" i="12"/>
  <c r="V71" i="12"/>
  <c r="U71" i="12"/>
  <c r="T71" i="12"/>
  <c r="S71" i="12"/>
  <c r="Q71" i="12"/>
  <c r="P71" i="12"/>
  <c r="O71" i="12"/>
  <c r="N71" i="12"/>
  <c r="M71" i="12"/>
  <c r="K71" i="12"/>
  <c r="I71" i="12"/>
  <c r="G71" i="12"/>
  <c r="E71" i="12"/>
  <c r="AO70" i="12"/>
  <c r="AN70" i="12"/>
  <c r="AM70" i="12"/>
  <c r="AL70" i="12"/>
  <c r="AK70" i="12"/>
  <c r="AI70" i="12"/>
  <c r="AA70" i="12"/>
  <c r="Z70" i="12"/>
  <c r="Y70" i="12"/>
  <c r="X70" i="12"/>
  <c r="V70" i="12"/>
  <c r="U70" i="12"/>
  <c r="T70" i="12"/>
  <c r="S70" i="12"/>
  <c r="Q70" i="12"/>
  <c r="P70" i="12"/>
  <c r="O70" i="12"/>
  <c r="N70" i="12"/>
  <c r="M70" i="12"/>
  <c r="K70" i="12"/>
  <c r="I70" i="12"/>
  <c r="G70" i="12"/>
  <c r="E70" i="12"/>
  <c r="AO69" i="12"/>
  <c r="AN69" i="12"/>
  <c r="AM69" i="12"/>
  <c r="AL69" i="12"/>
  <c r="AK69" i="12"/>
  <c r="AI69" i="12"/>
  <c r="AA69" i="12"/>
  <c r="Z69" i="12"/>
  <c r="Y69" i="12"/>
  <c r="X69" i="12"/>
  <c r="V69" i="12"/>
  <c r="U69" i="12"/>
  <c r="T69" i="12"/>
  <c r="S69" i="12"/>
  <c r="Q69" i="12"/>
  <c r="P69" i="12"/>
  <c r="O69" i="12"/>
  <c r="N69" i="12"/>
  <c r="M69" i="12"/>
  <c r="K69" i="12"/>
  <c r="I69" i="12"/>
  <c r="G69" i="12"/>
  <c r="E69" i="12"/>
  <c r="AO68" i="12"/>
  <c r="AN68" i="12"/>
  <c r="AM68" i="12"/>
  <c r="AL68" i="12"/>
  <c r="AK68" i="12"/>
  <c r="AI68" i="12"/>
  <c r="AA68" i="12"/>
  <c r="Z68" i="12"/>
  <c r="Y68" i="12"/>
  <c r="X68" i="12"/>
  <c r="V68" i="12"/>
  <c r="U68" i="12"/>
  <c r="T68" i="12"/>
  <c r="S68" i="12"/>
  <c r="Q68" i="12"/>
  <c r="P68" i="12"/>
  <c r="O68" i="12"/>
  <c r="N68" i="12"/>
  <c r="M68" i="12"/>
  <c r="K68" i="12"/>
  <c r="I68" i="12"/>
  <c r="G68" i="12"/>
  <c r="E68" i="12"/>
  <c r="AO67" i="12"/>
  <c r="AN67" i="12"/>
  <c r="AM67" i="12"/>
  <c r="AL67" i="12"/>
  <c r="AK67" i="12"/>
  <c r="AI67" i="12"/>
  <c r="AA67" i="12"/>
  <c r="Z67" i="12"/>
  <c r="Y67" i="12"/>
  <c r="X67" i="12"/>
  <c r="V67" i="12"/>
  <c r="U67" i="12"/>
  <c r="T67" i="12"/>
  <c r="S67" i="12"/>
  <c r="W67" i="12" s="1"/>
  <c r="Q67" i="12"/>
  <c r="P67" i="12"/>
  <c r="O67" i="12"/>
  <c r="N67" i="12"/>
  <c r="M67" i="12"/>
  <c r="K67" i="12"/>
  <c r="I67" i="12"/>
  <c r="G67" i="12"/>
  <c r="E67" i="12"/>
  <c r="AO66" i="12"/>
  <c r="AN66" i="12"/>
  <c r="AM66" i="12"/>
  <c r="AL66" i="12"/>
  <c r="AK66" i="12"/>
  <c r="AI66" i="12"/>
  <c r="AA66" i="12"/>
  <c r="Z66" i="12"/>
  <c r="Y66" i="12"/>
  <c r="X66" i="12"/>
  <c r="AB66" i="12" s="1"/>
  <c r="V66" i="12"/>
  <c r="U66" i="12"/>
  <c r="T66" i="12"/>
  <c r="S66" i="12"/>
  <c r="W66" i="12" s="1"/>
  <c r="Q66" i="12"/>
  <c r="P66" i="12"/>
  <c r="O66" i="12"/>
  <c r="N66" i="12"/>
  <c r="R66" i="12" s="1"/>
  <c r="M66" i="12"/>
  <c r="K66" i="12"/>
  <c r="I66" i="12"/>
  <c r="G66" i="12"/>
  <c r="E66" i="12"/>
  <c r="AO65" i="12"/>
  <c r="AN65" i="12"/>
  <c r="AM65" i="12"/>
  <c r="AL65" i="12"/>
  <c r="AK65" i="12"/>
  <c r="AI65" i="12"/>
  <c r="AA65" i="12"/>
  <c r="Z65" i="12"/>
  <c r="Y65" i="12"/>
  <c r="X65" i="12"/>
  <c r="AB65" i="12" s="1"/>
  <c r="V65" i="12"/>
  <c r="U65" i="12"/>
  <c r="T65" i="12"/>
  <c r="S65" i="12"/>
  <c r="W65" i="12" s="1"/>
  <c r="Q65" i="12"/>
  <c r="P65" i="12"/>
  <c r="O65" i="12"/>
  <c r="N65" i="12"/>
  <c r="R65" i="12" s="1"/>
  <c r="M65" i="12"/>
  <c r="K65" i="12"/>
  <c r="I65" i="12"/>
  <c r="G65" i="12"/>
  <c r="E65" i="12"/>
  <c r="AO64" i="12"/>
  <c r="AN64" i="12"/>
  <c r="AM64" i="12"/>
  <c r="AL64" i="12"/>
  <c r="AK64" i="12"/>
  <c r="AI64" i="12"/>
  <c r="AA64" i="12"/>
  <c r="Z64" i="12"/>
  <c r="Y64" i="12"/>
  <c r="X64" i="12"/>
  <c r="AB64" i="12" s="1"/>
  <c r="V64" i="12"/>
  <c r="U64" i="12"/>
  <c r="T64" i="12"/>
  <c r="S64" i="12"/>
  <c r="W64" i="12" s="1"/>
  <c r="Q64" i="12"/>
  <c r="P64" i="12"/>
  <c r="O64" i="12"/>
  <c r="N64" i="12"/>
  <c r="R64" i="12" s="1"/>
  <c r="M64" i="12"/>
  <c r="K64" i="12"/>
  <c r="I64" i="12"/>
  <c r="G64" i="12"/>
  <c r="E64" i="12"/>
  <c r="AO63" i="12"/>
  <c r="AN63" i="12"/>
  <c r="AM63" i="12"/>
  <c r="AL63" i="12"/>
  <c r="AK63" i="12"/>
  <c r="AI63" i="12"/>
  <c r="AA63" i="12"/>
  <c r="Z63" i="12"/>
  <c r="Y63" i="12"/>
  <c r="X63" i="12"/>
  <c r="AB63" i="12" s="1"/>
  <c r="V63" i="12"/>
  <c r="U63" i="12"/>
  <c r="T63" i="12"/>
  <c r="S63" i="12"/>
  <c r="W63" i="12" s="1"/>
  <c r="Q63" i="12"/>
  <c r="P63" i="12"/>
  <c r="O63" i="12"/>
  <c r="N63" i="12"/>
  <c r="R63" i="12" s="1"/>
  <c r="M63" i="12"/>
  <c r="K63" i="12"/>
  <c r="I63" i="12"/>
  <c r="G63" i="12"/>
  <c r="E63" i="12"/>
  <c r="AO62" i="12"/>
  <c r="AN62" i="12"/>
  <c r="AM62" i="12"/>
  <c r="AL62" i="12"/>
  <c r="AK62" i="12"/>
  <c r="AI62" i="12"/>
  <c r="AA62" i="12"/>
  <c r="Z62" i="12"/>
  <c r="Y62" i="12"/>
  <c r="X62" i="12"/>
  <c r="AB62" i="12" s="1"/>
  <c r="V62" i="12"/>
  <c r="U62" i="12"/>
  <c r="T62" i="12"/>
  <c r="S62" i="12"/>
  <c r="W62" i="12" s="1"/>
  <c r="Q62" i="12"/>
  <c r="P62" i="12"/>
  <c r="O62" i="12"/>
  <c r="N62" i="12"/>
  <c r="R62" i="12" s="1"/>
  <c r="M62" i="12"/>
  <c r="K62" i="12"/>
  <c r="I62" i="12"/>
  <c r="G62" i="12"/>
  <c r="E62" i="12"/>
  <c r="AO61" i="12"/>
  <c r="AN61" i="12"/>
  <c r="AM61" i="12"/>
  <c r="AL61" i="12"/>
  <c r="AK61" i="12"/>
  <c r="AI61" i="12"/>
  <c r="AA61" i="12"/>
  <c r="Z61" i="12"/>
  <c r="Y61" i="12"/>
  <c r="X61" i="12"/>
  <c r="AB61" i="12" s="1"/>
  <c r="V61" i="12"/>
  <c r="U61" i="12"/>
  <c r="T61" i="12"/>
  <c r="S61" i="12"/>
  <c r="W61" i="12" s="1"/>
  <c r="Q61" i="12"/>
  <c r="P61" i="12"/>
  <c r="O61" i="12"/>
  <c r="N61" i="12"/>
  <c r="R61" i="12" s="1"/>
  <c r="M61" i="12"/>
  <c r="K61" i="12"/>
  <c r="I61" i="12"/>
  <c r="G61" i="12"/>
  <c r="E61" i="12"/>
  <c r="AO60" i="12"/>
  <c r="AN60" i="12"/>
  <c r="AM60" i="12"/>
  <c r="AL60" i="12"/>
  <c r="AK60" i="12"/>
  <c r="AI60" i="12"/>
  <c r="AA60" i="12"/>
  <c r="Z60" i="12"/>
  <c r="Y60" i="12"/>
  <c r="X60" i="12"/>
  <c r="AB60" i="12" s="1"/>
  <c r="V60" i="12"/>
  <c r="U60" i="12"/>
  <c r="T60" i="12"/>
  <c r="S60" i="12"/>
  <c r="W60" i="12" s="1"/>
  <c r="Q60" i="12"/>
  <c r="P60" i="12"/>
  <c r="O60" i="12"/>
  <c r="N60" i="12"/>
  <c r="R60" i="12" s="1"/>
  <c r="M60" i="12"/>
  <c r="K60" i="12"/>
  <c r="I60" i="12"/>
  <c r="G60" i="12"/>
  <c r="E60" i="12"/>
  <c r="AO59" i="12"/>
  <c r="AN59" i="12"/>
  <c r="AM59" i="12"/>
  <c r="AL59" i="12"/>
  <c r="AK59" i="12"/>
  <c r="AI59" i="12"/>
  <c r="AA59" i="12"/>
  <c r="Z59" i="12"/>
  <c r="Y59" i="12"/>
  <c r="X59" i="12"/>
  <c r="AB59" i="12" s="1"/>
  <c r="V59" i="12"/>
  <c r="U59" i="12"/>
  <c r="T59" i="12"/>
  <c r="S59" i="12"/>
  <c r="W59" i="12" s="1"/>
  <c r="Q59" i="12"/>
  <c r="P59" i="12"/>
  <c r="O59" i="12"/>
  <c r="N59" i="12"/>
  <c r="R59" i="12" s="1"/>
  <c r="M59" i="12"/>
  <c r="K59" i="12"/>
  <c r="I59" i="12"/>
  <c r="G59" i="12"/>
  <c r="E59" i="12"/>
  <c r="AO58" i="12"/>
  <c r="AN58" i="12"/>
  <c r="AM58" i="12"/>
  <c r="AL58" i="12"/>
  <c r="AK58" i="12"/>
  <c r="AI58" i="12"/>
  <c r="AA58" i="12"/>
  <c r="Z58" i="12"/>
  <c r="Y58" i="12"/>
  <c r="X58" i="12"/>
  <c r="AB58" i="12" s="1"/>
  <c r="V58" i="12"/>
  <c r="U58" i="12"/>
  <c r="T58" i="12"/>
  <c r="S58" i="12"/>
  <c r="W58" i="12" s="1"/>
  <c r="Q58" i="12"/>
  <c r="P58" i="12"/>
  <c r="O58" i="12"/>
  <c r="N58" i="12"/>
  <c r="R58" i="12" s="1"/>
  <c r="M58" i="12"/>
  <c r="K58" i="12"/>
  <c r="I58" i="12"/>
  <c r="G58" i="12"/>
  <c r="E58" i="12"/>
  <c r="AO57" i="12"/>
  <c r="AN57" i="12"/>
  <c r="AM57" i="12"/>
  <c r="AL57" i="12"/>
  <c r="AK57" i="12"/>
  <c r="AI57" i="12"/>
  <c r="AA57" i="12"/>
  <c r="Z57" i="12"/>
  <c r="Y57" i="12"/>
  <c r="X57" i="12"/>
  <c r="AB57" i="12" s="1"/>
  <c r="V57" i="12"/>
  <c r="U57" i="12"/>
  <c r="T57" i="12"/>
  <c r="S57" i="12"/>
  <c r="Q57" i="12"/>
  <c r="P57" i="12"/>
  <c r="O57" i="12"/>
  <c r="N57" i="12"/>
  <c r="R57" i="12" s="1"/>
  <c r="M57" i="12"/>
  <c r="K57" i="12"/>
  <c r="I57" i="12"/>
  <c r="G57" i="12"/>
  <c r="E57" i="12"/>
  <c r="AO56" i="12"/>
  <c r="AN56" i="12"/>
  <c r="AM56" i="12"/>
  <c r="AL56" i="12"/>
  <c r="AK56" i="12"/>
  <c r="AI56" i="12"/>
  <c r="AA56" i="12"/>
  <c r="Z56" i="12"/>
  <c r="Y56" i="12"/>
  <c r="X56" i="12"/>
  <c r="AB56" i="12" s="1"/>
  <c r="V56" i="12"/>
  <c r="U56" i="12"/>
  <c r="T56" i="12"/>
  <c r="S56" i="12"/>
  <c r="Q56" i="12"/>
  <c r="P56" i="12"/>
  <c r="O56" i="12"/>
  <c r="N56" i="12"/>
  <c r="R56" i="12" s="1"/>
  <c r="M56" i="12"/>
  <c r="K56" i="12"/>
  <c r="I56" i="12"/>
  <c r="G56" i="12"/>
  <c r="E56" i="12"/>
  <c r="AO55" i="12"/>
  <c r="AN55" i="12"/>
  <c r="AM55" i="12"/>
  <c r="AL55" i="12"/>
  <c r="AK55" i="12"/>
  <c r="AI55" i="12"/>
  <c r="AA55" i="12"/>
  <c r="Z55" i="12"/>
  <c r="Y55" i="12"/>
  <c r="X55" i="12"/>
  <c r="AB55" i="12" s="1"/>
  <c r="V55" i="12"/>
  <c r="U55" i="12"/>
  <c r="T55" i="12"/>
  <c r="S55" i="12"/>
  <c r="Q55" i="12"/>
  <c r="P55" i="12"/>
  <c r="O55" i="12"/>
  <c r="N55" i="12"/>
  <c r="R55" i="12" s="1"/>
  <c r="M55" i="12"/>
  <c r="K55" i="12"/>
  <c r="I55" i="12"/>
  <c r="G55" i="12"/>
  <c r="E55" i="12"/>
  <c r="AO54" i="12"/>
  <c r="AN54" i="12"/>
  <c r="AM54" i="12"/>
  <c r="AL54" i="12"/>
  <c r="AK54" i="12"/>
  <c r="AI54" i="12"/>
  <c r="AA54" i="12"/>
  <c r="Z54" i="12"/>
  <c r="Y54" i="12"/>
  <c r="X54" i="12"/>
  <c r="AB54" i="12" s="1"/>
  <c r="V54" i="12"/>
  <c r="U54" i="12"/>
  <c r="T54" i="12"/>
  <c r="S54" i="12"/>
  <c r="W54" i="12" s="1"/>
  <c r="Q54" i="12"/>
  <c r="P54" i="12"/>
  <c r="O54" i="12"/>
  <c r="N54" i="12"/>
  <c r="R54" i="12" s="1"/>
  <c r="M54" i="12"/>
  <c r="K54" i="12"/>
  <c r="I54" i="12"/>
  <c r="G54" i="12"/>
  <c r="E54" i="12"/>
  <c r="AO53" i="12"/>
  <c r="AN53" i="12"/>
  <c r="AM53" i="12"/>
  <c r="AL53" i="12"/>
  <c r="AK53" i="12"/>
  <c r="AI53" i="12"/>
  <c r="AA53" i="12"/>
  <c r="Z53" i="12"/>
  <c r="Y53" i="12"/>
  <c r="X53" i="12"/>
  <c r="V53" i="12"/>
  <c r="U53" i="12"/>
  <c r="T53" i="12"/>
  <c r="S53" i="12"/>
  <c r="Q53" i="12"/>
  <c r="P53" i="12"/>
  <c r="O53" i="12"/>
  <c r="N53" i="12"/>
  <c r="M53" i="12"/>
  <c r="K53" i="12"/>
  <c r="I53" i="12"/>
  <c r="G53" i="12"/>
  <c r="E53" i="12"/>
  <c r="AO52" i="12"/>
  <c r="AN52" i="12"/>
  <c r="AM52" i="12"/>
  <c r="AL52" i="12"/>
  <c r="AK52" i="12"/>
  <c r="AI52" i="12"/>
  <c r="AA52" i="12"/>
  <c r="Z52" i="12"/>
  <c r="Y52" i="12"/>
  <c r="X52" i="12"/>
  <c r="V52" i="12"/>
  <c r="U52" i="12"/>
  <c r="T52" i="12"/>
  <c r="S52" i="12"/>
  <c r="Q52" i="12"/>
  <c r="P52" i="12"/>
  <c r="O52" i="12"/>
  <c r="N52" i="12"/>
  <c r="M52" i="12"/>
  <c r="K52" i="12"/>
  <c r="I52" i="12"/>
  <c r="G52" i="12"/>
  <c r="E52" i="12"/>
  <c r="AO51" i="12"/>
  <c r="AN51" i="12"/>
  <c r="AM51" i="12"/>
  <c r="AL51" i="12"/>
  <c r="AK51" i="12"/>
  <c r="AI51" i="12"/>
  <c r="AA51" i="12"/>
  <c r="Z51" i="12"/>
  <c r="Y51" i="12"/>
  <c r="X51" i="12"/>
  <c r="V51" i="12"/>
  <c r="U51" i="12"/>
  <c r="T51" i="12"/>
  <c r="S51" i="12"/>
  <c r="Q51" i="12"/>
  <c r="P51" i="12"/>
  <c r="O51" i="12"/>
  <c r="N51" i="12"/>
  <c r="M51" i="12"/>
  <c r="K51" i="12"/>
  <c r="I51" i="12"/>
  <c r="G51" i="12"/>
  <c r="E51" i="12"/>
  <c r="AO50" i="12"/>
  <c r="AN50" i="12"/>
  <c r="AM50" i="12"/>
  <c r="AL50" i="12"/>
  <c r="AP50" i="12" s="1"/>
  <c r="AK50" i="12"/>
  <c r="AI50" i="12"/>
  <c r="AA50" i="12"/>
  <c r="Z50" i="12"/>
  <c r="Y50" i="12"/>
  <c r="X50" i="12"/>
  <c r="V50" i="12"/>
  <c r="U50" i="12"/>
  <c r="T50" i="12"/>
  <c r="S50" i="12"/>
  <c r="Q50" i="12"/>
  <c r="P50" i="12"/>
  <c r="O50" i="12"/>
  <c r="N50" i="12"/>
  <c r="M50" i="12"/>
  <c r="K50" i="12"/>
  <c r="I50" i="12"/>
  <c r="G50" i="12"/>
  <c r="E50" i="12"/>
  <c r="AO49" i="12"/>
  <c r="AN49" i="12"/>
  <c r="AM49" i="12"/>
  <c r="AL49" i="12"/>
  <c r="AK49" i="12"/>
  <c r="AI49" i="12"/>
  <c r="AA49" i="12"/>
  <c r="Z49" i="12"/>
  <c r="Y49" i="12"/>
  <c r="X49" i="12"/>
  <c r="V49" i="12"/>
  <c r="U49" i="12"/>
  <c r="T49" i="12"/>
  <c r="S49" i="12"/>
  <c r="Q49" i="12"/>
  <c r="P49" i="12"/>
  <c r="O49" i="12"/>
  <c r="N49" i="12"/>
  <c r="M49" i="12"/>
  <c r="K49" i="12"/>
  <c r="I49" i="12"/>
  <c r="G49" i="12"/>
  <c r="E49" i="12"/>
  <c r="AO48" i="12"/>
  <c r="AN48" i="12"/>
  <c r="AM48" i="12"/>
  <c r="AL48" i="12"/>
  <c r="AK48" i="12"/>
  <c r="AI48" i="12"/>
  <c r="AA48" i="12"/>
  <c r="Z48" i="12"/>
  <c r="Y48" i="12"/>
  <c r="X48" i="12"/>
  <c r="V48" i="12"/>
  <c r="U48" i="12"/>
  <c r="T48" i="12"/>
  <c r="S48" i="12"/>
  <c r="Q48" i="12"/>
  <c r="P48" i="12"/>
  <c r="O48" i="12"/>
  <c r="N48" i="12"/>
  <c r="M48" i="12"/>
  <c r="K48" i="12"/>
  <c r="I48" i="12"/>
  <c r="G48" i="12"/>
  <c r="E48" i="12"/>
  <c r="AO47" i="12"/>
  <c r="AN47" i="12"/>
  <c r="AM47" i="12"/>
  <c r="AL47" i="12"/>
  <c r="AK47" i="12"/>
  <c r="AI47" i="12"/>
  <c r="AA47" i="12"/>
  <c r="Z47" i="12"/>
  <c r="Y47" i="12"/>
  <c r="X47" i="12"/>
  <c r="V47" i="12"/>
  <c r="U47" i="12"/>
  <c r="T47" i="12"/>
  <c r="S47" i="12"/>
  <c r="Q47" i="12"/>
  <c r="P47" i="12"/>
  <c r="O47" i="12"/>
  <c r="N47" i="12"/>
  <c r="M47" i="12"/>
  <c r="K47" i="12"/>
  <c r="I47" i="12"/>
  <c r="G47" i="12"/>
  <c r="E47" i="12"/>
  <c r="AO46" i="12"/>
  <c r="AN46" i="12"/>
  <c r="AM46" i="12"/>
  <c r="AL46" i="12"/>
  <c r="AK46" i="12"/>
  <c r="AI46" i="12"/>
  <c r="AA46" i="12"/>
  <c r="Z46" i="12"/>
  <c r="Y46" i="12"/>
  <c r="X46" i="12"/>
  <c r="V46" i="12"/>
  <c r="U46" i="12"/>
  <c r="T46" i="12"/>
  <c r="S46" i="12"/>
  <c r="Q46" i="12"/>
  <c r="P46" i="12"/>
  <c r="O46" i="12"/>
  <c r="N46" i="12"/>
  <c r="M46" i="12"/>
  <c r="K46" i="12"/>
  <c r="I46" i="12"/>
  <c r="G46" i="12"/>
  <c r="E46" i="12"/>
  <c r="AO45" i="12"/>
  <c r="AN45" i="12"/>
  <c r="AM45" i="12"/>
  <c r="AL45" i="12"/>
  <c r="AK45" i="12"/>
  <c r="AI45" i="12"/>
  <c r="AA45" i="12"/>
  <c r="Z45" i="12"/>
  <c r="Y45" i="12"/>
  <c r="X45" i="12"/>
  <c r="V45" i="12"/>
  <c r="U45" i="12"/>
  <c r="T45" i="12"/>
  <c r="S45" i="12"/>
  <c r="Q45" i="12"/>
  <c r="P45" i="12"/>
  <c r="O45" i="12"/>
  <c r="N45" i="12"/>
  <c r="M45" i="12"/>
  <c r="K45" i="12"/>
  <c r="I45" i="12"/>
  <c r="G45" i="12"/>
  <c r="E45" i="12"/>
  <c r="AO44" i="12"/>
  <c r="AN44" i="12"/>
  <c r="AM44" i="12"/>
  <c r="AL44" i="12"/>
  <c r="AK44" i="12"/>
  <c r="AI44" i="12"/>
  <c r="AA44" i="12"/>
  <c r="Z44" i="12"/>
  <c r="Y44" i="12"/>
  <c r="X44" i="12"/>
  <c r="V44" i="12"/>
  <c r="U44" i="12"/>
  <c r="T44" i="12"/>
  <c r="S44" i="12"/>
  <c r="Q44" i="12"/>
  <c r="P44" i="12"/>
  <c r="O44" i="12"/>
  <c r="N44" i="12"/>
  <c r="M44" i="12"/>
  <c r="K44" i="12"/>
  <c r="I44" i="12"/>
  <c r="G44" i="12"/>
  <c r="E44" i="12"/>
  <c r="AO43" i="12"/>
  <c r="AN43" i="12"/>
  <c r="AM43" i="12"/>
  <c r="AL43" i="12"/>
  <c r="AK43" i="12"/>
  <c r="AI43" i="12"/>
  <c r="AA43" i="12"/>
  <c r="Z43" i="12"/>
  <c r="Y43" i="12"/>
  <c r="X43" i="12"/>
  <c r="V43" i="12"/>
  <c r="U43" i="12"/>
  <c r="T43" i="12"/>
  <c r="S43" i="12"/>
  <c r="Q43" i="12"/>
  <c r="P43" i="12"/>
  <c r="O43" i="12"/>
  <c r="N43" i="12"/>
  <c r="M43" i="12"/>
  <c r="K43" i="12"/>
  <c r="I43" i="12"/>
  <c r="G43" i="12"/>
  <c r="E43" i="12"/>
  <c r="AO42" i="12"/>
  <c r="AN42" i="12"/>
  <c r="AM42" i="12"/>
  <c r="AL42" i="12"/>
  <c r="AK42" i="12"/>
  <c r="AI42" i="12"/>
  <c r="AA42" i="12"/>
  <c r="Z42" i="12"/>
  <c r="Y42" i="12"/>
  <c r="X42" i="12"/>
  <c r="V42" i="12"/>
  <c r="U42" i="12"/>
  <c r="T42" i="12"/>
  <c r="S42" i="12"/>
  <c r="W42" i="12" s="1"/>
  <c r="Q42" i="12"/>
  <c r="P42" i="12"/>
  <c r="O42" i="12"/>
  <c r="N42" i="12"/>
  <c r="M42" i="12"/>
  <c r="K42" i="12"/>
  <c r="I42" i="12"/>
  <c r="G42" i="12"/>
  <c r="E42" i="12"/>
  <c r="AO41" i="12"/>
  <c r="AN41" i="12"/>
  <c r="AM41" i="12"/>
  <c r="AL41" i="12"/>
  <c r="AK41" i="12"/>
  <c r="AI41" i="12"/>
  <c r="AA41" i="12"/>
  <c r="Z41" i="12"/>
  <c r="Y41" i="12"/>
  <c r="X41" i="12"/>
  <c r="V41" i="12"/>
  <c r="U41" i="12"/>
  <c r="T41" i="12"/>
  <c r="S41" i="12"/>
  <c r="Q41" i="12"/>
  <c r="P41" i="12"/>
  <c r="O41" i="12"/>
  <c r="N41" i="12"/>
  <c r="M41" i="12"/>
  <c r="K41" i="12"/>
  <c r="I41" i="12"/>
  <c r="G41" i="12"/>
  <c r="E41" i="12"/>
  <c r="AO40" i="12"/>
  <c r="AN40" i="12"/>
  <c r="AM40" i="12"/>
  <c r="AL40" i="12"/>
  <c r="AK40" i="12"/>
  <c r="AI40" i="12"/>
  <c r="AA40" i="12"/>
  <c r="Z40" i="12"/>
  <c r="Y40" i="12"/>
  <c r="X40" i="12"/>
  <c r="V40" i="12"/>
  <c r="U40" i="12"/>
  <c r="T40" i="12"/>
  <c r="S40" i="12"/>
  <c r="W40" i="12" s="1"/>
  <c r="Q40" i="12"/>
  <c r="P40" i="12"/>
  <c r="O40" i="12"/>
  <c r="N40" i="12"/>
  <c r="M40" i="12"/>
  <c r="K40" i="12"/>
  <c r="I40" i="12"/>
  <c r="G40" i="12"/>
  <c r="E40" i="12"/>
  <c r="AO39" i="12"/>
  <c r="AN39" i="12"/>
  <c r="AM39" i="12"/>
  <c r="AL39" i="12"/>
  <c r="AK39" i="12"/>
  <c r="AI39" i="12"/>
  <c r="AA39" i="12"/>
  <c r="Z39" i="12"/>
  <c r="Y39" i="12"/>
  <c r="X39" i="12"/>
  <c r="V39" i="12"/>
  <c r="U39" i="12"/>
  <c r="T39" i="12"/>
  <c r="S39" i="12"/>
  <c r="W39" i="12" s="1"/>
  <c r="Q39" i="12"/>
  <c r="P39" i="12"/>
  <c r="O39" i="12"/>
  <c r="N39" i="12"/>
  <c r="M39" i="12"/>
  <c r="K39" i="12"/>
  <c r="I39" i="12"/>
  <c r="G39" i="12"/>
  <c r="E39" i="12"/>
  <c r="AO38" i="12"/>
  <c r="AN38" i="12"/>
  <c r="AM38" i="12"/>
  <c r="AL38" i="12"/>
  <c r="AK38" i="12"/>
  <c r="AI38" i="12"/>
  <c r="AA38" i="12"/>
  <c r="Z38" i="12"/>
  <c r="Y38" i="12"/>
  <c r="X38" i="12"/>
  <c r="V38" i="12"/>
  <c r="U38" i="12"/>
  <c r="T38" i="12"/>
  <c r="S38" i="12"/>
  <c r="W38" i="12" s="1"/>
  <c r="Q38" i="12"/>
  <c r="P38" i="12"/>
  <c r="O38" i="12"/>
  <c r="N38" i="12"/>
  <c r="M38" i="12"/>
  <c r="K38" i="12"/>
  <c r="I38" i="12"/>
  <c r="G38" i="12"/>
  <c r="E38" i="12"/>
  <c r="AO37" i="12"/>
  <c r="AN37" i="12"/>
  <c r="AM37" i="12"/>
  <c r="AL37" i="12"/>
  <c r="AK37" i="12"/>
  <c r="AI37" i="12"/>
  <c r="AA37" i="12"/>
  <c r="Z37" i="12"/>
  <c r="Y37" i="12"/>
  <c r="X37" i="12"/>
  <c r="V37" i="12"/>
  <c r="U37" i="12"/>
  <c r="T37" i="12"/>
  <c r="S37" i="12"/>
  <c r="W37" i="12" s="1"/>
  <c r="Q37" i="12"/>
  <c r="P37" i="12"/>
  <c r="O37" i="12"/>
  <c r="N37" i="12"/>
  <c r="M37" i="12"/>
  <c r="K37" i="12"/>
  <c r="I37" i="12"/>
  <c r="G37" i="12"/>
  <c r="E37" i="12"/>
  <c r="AO36" i="12"/>
  <c r="AN36" i="12"/>
  <c r="AM36" i="12"/>
  <c r="AL36" i="12"/>
  <c r="AP36" i="12" s="1"/>
  <c r="AK36" i="12"/>
  <c r="AI36" i="12"/>
  <c r="AA36" i="12"/>
  <c r="Z36" i="12"/>
  <c r="Y36" i="12"/>
  <c r="X36" i="12"/>
  <c r="AB36" i="12" s="1"/>
  <c r="V36" i="12"/>
  <c r="U36" i="12"/>
  <c r="T36" i="12"/>
  <c r="S36" i="12"/>
  <c r="W36" i="12" s="1"/>
  <c r="Q36" i="12"/>
  <c r="P36" i="12"/>
  <c r="O36" i="12"/>
  <c r="N36" i="12"/>
  <c r="M36" i="12"/>
  <c r="K36" i="12"/>
  <c r="I36" i="12"/>
  <c r="G36" i="12"/>
  <c r="E36" i="12"/>
  <c r="AO35" i="12"/>
  <c r="AN35" i="12"/>
  <c r="AM35" i="12"/>
  <c r="AL35" i="12"/>
  <c r="AP35" i="12" s="1"/>
  <c r="AK35" i="12"/>
  <c r="AI35" i="12"/>
  <c r="AA35" i="12"/>
  <c r="Z35" i="12"/>
  <c r="Y35" i="12"/>
  <c r="X35" i="12"/>
  <c r="V35" i="12"/>
  <c r="U35" i="12"/>
  <c r="T35" i="12"/>
  <c r="S35" i="12"/>
  <c r="Q35" i="12"/>
  <c r="P35" i="12"/>
  <c r="O35" i="12"/>
  <c r="N35" i="12"/>
  <c r="M35" i="12"/>
  <c r="K35" i="12"/>
  <c r="I35" i="12"/>
  <c r="G35" i="12"/>
  <c r="E35" i="12"/>
  <c r="AO34" i="12"/>
  <c r="AN34" i="12"/>
  <c r="AM34" i="12"/>
  <c r="AL34" i="12"/>
  <c r="AP34" i="12" s="1"/>
  <c r="AK34" i="12"/>
  <c r="AI34" i="12"/>
  <c r="AA34" i="12"/>
  <c r="Z34" i="12"/>
  <c r="Y34" i="12"/>
  <c r="X34" i="12"/>
  <c r="V34" i="12"/>
  <c r="U34" i="12"/>
  <c r="T34" i="12"/>
  <c r="S34" i="12"/>
  <c r="Q34" i="12"/>
  <c r="P34" i="12"/>
  <c r="O34" i="12"/>
  <c r="N34" i="12"/>
  <c r="M34" i="12"/>
  <c r="K34" i="12"/>
  <c r="I34" i="12"/>
  <c r="G34" i="12"/>
  <c r="E34" i="12"/>
  <c r="AO33" i="12"/>
  <c r="AN33" i="12"/>
  <c r="AM33" i="12"/>
  <c r="AL33" i="12"/>
  <c r="AP33" i="12" s="1"/>
  <c r="AK33" i="12"/>
  <c r="AI33" i="12"/>
  <c r="AA33" i="12"/>
  <c r="Z33" i="12"/>
  <c r="Y33" i="12"/>
  <c r="X33" i="12"/>
  <c r="V33" i="12"/>
  <c r="U33" i="12"/>
  <c r="T33" i="12"/>
  <c r="S33" i="12"/>
  <c r="Q33" i="12"/>
  <c r="P33" i="12"/>
  <c r="O33" i="12"/>
  <c r="N33" i="12"/>
  <c r="M33" i="12"/>
  <c r="K33" i="12"/>
  <c r="I33" i="12"/>
  <c r="G33" i="12"/>
  <c r="E33" i="12"/>
  <c r="AO32" i="12"/>
  <c r="AN32" i="12"/>
  <c r="AM32" i="12"/>
  <c r="AL32" i="12"/>
  <c r="AP32" i="12" s="1"/>
  <c r="AK32" i="12"/>
  <c r="AI32" i="12"/>
  <c r="AA32" i="12"/>
  <c r="Z32" i="12"/>
  <c r="Y32" i="12"/>
  <c r="X32" i="12"/>
  <c r="V32" i="12"/>
  <c r="U32" i="12"/>
  <c r="T32" i="12"/>
  <c r="S32" i="12"/>
  <c r="Q32" i="12"/>
  <c r="P32" i="12"/>
  <c r="O32" i="12"/>
  <c r="N32" i="12"/>
  <c r="M32" i="12"/>
  <c r="K32" i="12"/>
  <c r="I32" i="12"/>
  <c r="G32" i="12"/>
  <c r="E32" i="12"/>
  <c r="AO31" i="12"/>
  <c r="AN31" i="12"/>
  <c r="AM31" i="12"/>
  <c r="AL31" i="12"/>
  <c r="AK31" i="12"/>
  <c r="AI31" i="12"/>
  <c r="AA31" i="12"/>
  <c r="Z31" i="12"/>
  <c r="Y31" i="12"/>
  <c r="X31" i="12"/>
  <c r="V31" i="12"/>
  <c r="U31" i="12"/>
  <c r="T31" i="12"/>
  <c r="S31" i="12"/>
  <c r="Q31" i="12"/>
  <c r="P31" i="12"/>
  <c r="O31" i="12"/>
  <c r="N31" i="12"/>
  <c r="M31" i="12"/>
  <c r="K31" i="12"/>
  <c r="I31" i="12"/>
  <c r="G31" i="12"/>
  <c r="E31" i="12"/>
  <c r="AO30" i="12"/>
  <c r="AN30" i="12"/>
  <c r="AM30" i="12"/>
  <c r="AL30" i="12"/>
  <c r="AK30" i="12"/>
  <c r="AI30" i="12"/>
  <c r="AA30" i="12"/>
  <c r="Z30" i="12"/>
  <c r="Y30" i="12"/>
  <c r="X30" i="12"/>
  <c r="V30" i="12"/>
  <c r="U30" i="12"/>
  <c r="T30" i="12"/>
  <c r="S30" i="12"/>
  <c r="Q30" i="12"/>
  <c r="P30" i="12"/>
  <c r="O30" i="12"/>
  <c r="N30" i="12"/>
  <c r="M30" i="12"/>
  <c r="K30" i="12"/>
  <c r="I30" i="12"/>
  <c r="G30" i="12"/>
  <c r="E30" i="12"/>
  <c r="AO29" i="12"/>
  <c r="AN29" i="12"/>
  <c r="AM29" i="12"/>
  <c r="AL29" i="12"/>
  <c r="AK29" i="12"/>
  <c r="AI29" i="12"/>
  <c r="AA29" i="12"/>
  <c r="Z29" i="12"/>
  <c r="Y29" i="12"/>
  <c r="X29" i="12"/>
  <c r="V29" i="12"/>
  <c r="U29" i="12"/>
  <c r="T29" i="12"/>
  <c r="S29" i="12"/>
  <c r="Q29" i="12"/>
  <c r="P29" i="12"/>
  <c r="O29" i="12"/>
  <c r="N29" i="12"/>
  <c r="M29" i="12"/>
  <c r="K29" i="12"/>
  <c r="I29" i="12"/>
  <c r="G29" i="12"/>
  <c r="E29" i="12"/>
  <c r="AO28" i="12"/>
  <c r="AN28" i="12"/>
  <c r="AM28" i="12"/>
  <c r="AL28" i="12"/>
  <c r="AK28" i="12"/>
  <c r="AI28" i="12"/>
  <c r="AA28" i="12"/>
  <c r="Z28" i="12"/>
  <c r="Y28" i="12"/>
  <c r="X28" i="12"/>
  <c r="V28" i="12"/>
  <c r="U28" i="12"/>
  <c r="T28" i="12"/>
  <c r="S28" i="12"/>
  <c r="Q28" i="12"/>
  <c r="P28" i="12"/>
  <c r="O28" i="12"/>
  <c r="N28" i="12"/>
  <c r="M28" i="12"/>
  <c r="K28" i="12"/>
  <c r="I28" i="12"/>
  <c r="G28" i="12"/>
  <c r="E28" i="12"/>
  <c r="AO27" i="12"/>
  <c r="AN27" i="12"/>
  <c r="AM27" i="12"/>
  <c r="AL27" i="12"/>
  <c r="AK27" i="12"/>
  <c r="AI27" i="12"/>
  <c r="AA27" i="12"/>
  <c r="Z27" i="12"/>
  <c r="Y27" i="12"/>
  <c r="X27" i="12"/>
  <c r="V27" i="12"/>
  <c r="U27" i="12"/>
  <c r="T27" i="12"/>
  <c r="S27" i="12"/>
  <c r="Q27" i="12"/>
  <c r="P27" i="12"/>
  <c r="O27" i="12"/>
  <c r="N27" i="12"/>
  <c r="M27" i="12"/>
  <c r="K27" i="12"/>
  <c r="I27" i="12"/>
  <c r="G27" i="12"/>
  <c r="E27" i="12"/>
  <c r="AO26" i="12"/>
  <c r="AN26" i="12"/>
  <c r="AM26" i="12"/>
  <c r="AL26" i="12"/>
  <c r="AK26" i="12"/>
  <c r="AI26" i="12"/>
  <c r="AA26" i="12"/>
  <c r="Z26" i="12"/>
  <c r="Y26" i="12"/>
  <c r="X26" i="12"/>
  <c r="V26" i="12"/>
  <c r="U26" i="12"/>
  <c r="T26" i="12"/>
  <c r="S26" i="12"/>
  <c r="Q26" i="12"/>
  <c r="P26" i="12"/>
  <c r="O26" i="12"/>
  <c r="N26" i="12"/>
  <c r="M26" i="12"/>
  <c r="K26" i="12"/>
  <c r="I26" i="12"/>
  <c r="G26" i="12"/>
  <c r="E26" i="12"/>
  <c r="AO25" i="12"/>
  <c r="AN25" i="12"/>
  <c r="AM25" i="12"/>
  <c r="AL25" i="12"/>
  <c r="AK25" i="12"/>
  <c r="AI25" i="12"/>
  <c r="AA25" i="12"/>
  <c r="Z25" i="12"/>
  <c r="Y25" i="12"/>
  <c r="X25" i="12"/>
  <c r="V25" i="12"/>
  <c r="U25" i="12"/>
  <c r="T25" i="12"/>
  <c r="S25" i="12"/>
  <c r="Q25" i="12"/>
  <c r="P25" i="12"/>
  <c r="O25" i="12"/>
  <c r="N25" i="12"/>
  <c r="M25" i="12"/>
  <c r="K25" i="12"/>
  <c r="I25" i="12"/>
  <c r="G25" i="12"/>
  <c r="E25" i="12"/>
  <c r="AO24" i="12"/>
  <c r="AN24" i="12"/>
  <c r="AM24" i="12"/>
  <c r="AL24" i="12"/>
  <c r="AK24" i="12"/>
  <c r="AI24" i="12"/>
  <c r="AA24" i="12"/>
  <c r="Z24" i="12"/>
  <c r="Y24" i="12"/>
  <c r="X24" i="12"/>
  <c r="V24" i="12"/>
  <c r="U24" i="12"/>
  <c r="T24" i="12"/>
  <c r="S24" i="12"/>
  <c r="Q24" i="12"/>
  <c r="P24" i="12"/>
  <c r="O24" i="12"/>
  <c r="N24" i="12"/>
  <c r="M24" i="12"/>
  <c r="K24" i="12"/>
  <c r="I24" i="12"/>
  <c r="G24" i="12"/>
  <c r="E24" i="12"/>
  <c r="AO23" i="12"/>
  <c r="AN23" i="12"/>
  <c r="AM23" i="12"/>
  <c r="AL23" i="12"/>
  <c r="AK23" i="12"/>
  <c r="AI23" i="12"/>
  <c r="AA23" i="12"/>
  <c r="Z23" i="12"/>
  <c r="Y23" i="12"/>
  <c r="X23" i="12"/>
  <c r="V23" i="12"/>
  <c r="U23" i="12"/>
  <c r="T23" i="12"/>
  <c r="S23" i="12"/>
  <c r="Q23" i="12"/>
  <c r="P23" i="12"/>
  <c r="O23" i="12"/>
  <c r="N23" i="12"/>
  <c r="M23" i="12"/>
  <c r="K23" i="12"/>
  <c r="I23" i="12"/>
  <c r="G23" i="12"/>
  <c r="E23" i="12"/>
  <c r="AO22" i="12"/>
  <c r="AN22" i="12"/>
  <c r="AM22" i="12"/>
  <c r="AL22" i="12"/>
  <c r="AK22" i="12"/>
  <c r="AI22" i="12"/>
  <c r="AA22" i="12"/>
  <c r="Z22" i="12"/>
  <c r="Y22" i="12"/>
  <c r="X22" i="12"/>
  <c r="V22" i="12"/>
  <c r="U22" i="12"/>
  <c r="T22" i="12"/>
  <c r="S22" i="12"/>
  <c r="Q22" i="12"/>
  <c r="P22" i="12"/>
  <c r="O22" i="12"/>
  <c r="N22" i="12"/>
  <c r="M22" i="12"/>
  <c r="K22" i="12"/>
  <c r="I22" i="12"/>
  <c r="G22" i="12"/>
  <c r="E22" i="12"/>
  <c r="AO21" i="12"/>
  <c r="AN21" i="12"/>
  <c r="AM21" i="12"/>
  <c r="AL21" i="12"/>
  <c r="AK21" i="12"/>
  <c r="AI21" i="12"/>
  <c r="AA21" i="12"/>
  <c r="Z21" i="12"/>
  <c r="Y21" i="12"/>
  <c r="X21" i="12"/>
  <c r="V21" i="12"/>
  <c r="U21" i="12"/>
  <c r="T21" i="12"/>
  <c r="S21" i="12"/>
  <c r="Q21" i="12"/>
  <c r="P21" i="12"/>
  <c r="O21" i="12"/>
  <c r="N21" i="12"/>
  <c r="M21" i="12"/>
  <c r="K21" i="12"/>
  <c r="I21" i="12"/>
  <c r="G21" i="12"/>
  <c r="E21" i="12"/>
  <c r="J102" i="11"/>
  <c r="N102" i="11" s="1"/>
  <c r="H38" i="14" s="1"/>
  <c r="I102" i="11"/>
  <c r="K102" i="11" s="1"/>
  <c r="G102" i="11"/>
  <c r="L102" i="11" s="1"/>
  <c r="W101" i="11"/>
  <c r="V101" i="11"/>
  <c r="X101" i="11" s="1"/>
  <c r="T101" i="11"/>
  <c r="J101" i="11"/>
  <c r="N101" i="11" s="1"/>
  <c r="H39" i="14" s="1"/>
  <c r="I101" i="11"/>
  <c r="K101" i="11" s="1"/>
  <c r="G101" i="11"/>
  <c r="W100" i="11"/>
  <c r="AA100" i="11" s="1"/>
  <c r="V100" i="11"/>
  <c r="X100" i="11" s="1"/>
  <c r="T100" i="11"/>
  <c r="Y100" i="11" s="1"/>
  <c r="J100" i="11"/>
  <c r="N100" i="11" s="1"/>
  <c r="I100" i="11"/>
  <c r="K100" i="11" s="1"/>
  <c r="G100" i="11"/>
  <c r="W99" i="11"/>
  <c r="V99" i="11"/>
  <c r="X99" i="11" s="1"/>
  <c r="T99" i="11"/>
  <c r="J99" i="11"/>
  <c r="N99" i="11" s="1"/>
  <c r="H42" i="14" s="1"/>
  <c r="H41" i="14" s="1"/>
  <c r="I99" i="11"/>
  <c r="K99" i="11" s="1"/>
  <c r="G99" i="11"/>
  <c r="L99" i="11" s="1"/>
  <c r="W98" i="11"/>
  <c r="V98" i="11"/>
  <c r="T98" i="11"/>
  <c r="Y98" i="11" s="1"/>
  <c r="J98" i="11"/>
  <c r="N98" i="11" s="1"/>
  <c r="H43" i="14" s="1"/>
  <c r="I98" i="11"/>
  <c r="K98" i="11" s="1"/>
  <c r="G98" i="11"/>
  <c r="L98" i="11" s="1"/>
  <c r="W97" i="11"/>
  <c r="V97" i="11"/>
  <c r="X97" i="11" s="1"/>
  <c r="T97" i="11"/>
  <c r="J97" i="11"/>
  <c r="N97" i="11" s="1"/>
  <c r="H44" i="14" s="1"/>
  <c r="I97" i="11"/>
  <c r="K97" i="11" s="1"/>
  <c r="G97" i="11"/>
  <c r="L97" i="11" s="1"/>
  <c r="W96" i="11"/>
  <c r="V96" i="11"/>
  <c r="X96" i="11" s="1"/>
  <c r="T96" i="11"/>
  <c r="J96" i="11"/>
  <c r="N96" i="11" s="1"/>
  <c r="H45" i="14" s="1"/>
  <c r="I96" i="11"/>
  <c r="K96" i="11" s="1"/>
  <c r="G96" i="11"/>
  <c r="W95" i="11"/>
  <c r="AA95" i="11" s="1"/>
  <c r="V95" i="11"/>
  <c r="X95" i="11" s="1"/>
  <c r="T95" i="11"/>
  <c r="J95" i="11"/>
  <c r="N95" i="11" s="1"/>
  <c r="H46" i="14" s="1"/>
  <c r="I95" i="11"/>
  <c r="K95" i="11" s="1"/>
  <c r="G95" i="11"/>
  <c r="W94" i="11"/>
  <c r="AA94" i="11" s="1"/>
  <c r="V94" i="11"/>
  <c r="X94" i="11" s="1"/>
  <c r="T94" i="11"/>
  <c r="Y94" i="11" s="1"/>
  <c r="J94" i="11"/>
  <c r="N94" i="11" s="1"/>
  <c r="H47" i="14" s="1"/>
  <c r="I94" i="11"/>
  <c r="K94" i="11" s="1"/>
  <c r="G94" i="11"/>
  <c r="L94" i="11" s="1"/>
  <c r="W93" i="11"/>
  <c r="V93" i="11"/>
  <c r="X93" i="11" s="1"/>
  <c r="T93" i="11"/>
  <c r="L93" i="11"/>
  <c r="J93" i="11"/>
  <c r="I93" i="11"/>
  <c r="K93" i="11" s="1"/>
  <c r="G93" i="11"/>
  <c r="W92" i="11"/>
  <c r="V92" i="11"/>
  <c r="X92" i="11" s="1"/>
  <c r="T92" i="11"/>
  <c r="Y92" i="11" s="1"/>
  <c r="J92" i="11"/>
  <c r="I92" i="11"/>
  <c r="K92" i="11" s="1"/>
  <c r="G92" i="11"/>
  <c r="L92" i="11" s="1"/>
  <c r="W91" i="11"/>
  <c r="V91" i="11"/>
  <c r="X91" i="11" s="1"/>
  <c r="T91" i="11"/>
  <c r="J91" i="11"/>
  <c r="I91" i="11"/>
  <c r="K91" i="11" s="1"/>
  <c r="G91" i="11"/>
  <c r="W90" i="11"/>
  <c r="V90" i="11"/>
  <c r="X90" i="11" s="1"/>
  <c r="T90" i="11"/>
  <c r="Y90" i="11" s="1"/>
  <c r="J90" i="11"/>
  <c r="I90" i="11"/>
  <c r="K90" i="11" s="1"/>
  <c r="G90" i="11"/>
  <c r="L90" i="11" s="1"/>
  <c r="W89" i="11"/>
  <c r="V89" i="11"/>
  <c r="X89" i="11" s="1"/>
  <c r="T89" i="11"/>
  <c r="J89" i="11"/>
  <c r="I89" i="11"/>
  <c r="K89" i="11" s="1"/>
  <c r="G89" i="11"/>
  <c r="W88" i="11"/>
  <c r="V88" i="11"/>
  <c r="X88" i="11" s="1"/>
  <c r="T88" i="11"/>
  <c r="Y88" i="11" s="1"/>
  <c r="J88" i="11"/>
  <c r="I88" i="11"/>
  <c r="K88" i="11" s="1"/>
  <c r="G88" i="11"/>
  <c r="W87" i="11"/>
  <c r="V87" i="11"/>
  <c r="X87" i="11" s="1"/>
  <c r="T87" i="11"/>
  <c r="K87" i="11"/>
  <c r="J87" i="11"/>
  <c r="I87" i="11"/>
  <c r="G87" i="11"/>
  <c r="W86" i="11"/>
  <c r="V86" i="11"/>
  <c r="T86" i="11"/>
  <c r="Y86" i="11" s="1"/>
  <c r="J86" i="11"/>
  <c r="I86" i="11"/>
  <c r="K86" i="11" s="1"/>
  <c r="G86" i="11"/>
  <c r="L86" i="11" s="1"/>
  <c r="W85" i="11"/>
  <c r="V85" i="11"/>
  <c r="X85" i="11" s="1"/>
  <c r="T85" i="11"/>
  <c r="J85" i="11"/>
  <c r="I85" i="11"/>
  <c r="K85" i="11" s="1"/>
  <c r="G85" i="11"/>
  <c r="W84" i="11"/>
  <c r="V84" i="11"/>
  <c r="X84" i="11" s="1"/>
  <c r="T84" i="11"/>
  <c r="J84" i="11"/>
  <c r="I84" i="11"/>
  <c r="K84" i="11" s="1"/>
  <c r="G84" i="11"/>
  <c r="L84" i="11" s="1"/>
  <c r="W83" i="11"/>
  <c r="V83" i="11"/>
  <c r="X83" i="11" s="1"/>
  <c r="T83" i="11"/>
  <c r="J83" i="11"/>
  <c r="I83" i="11"/>
  <c r="K83" i="11" s="1"/>
  <c r="G83" i="11"/>
  <c r="W82" i="11"/>
  <c r="V82" i="11"/>
  <c r="T82" i="11"/>
  <c r="Y82" i="11" s="1"/>
  <c r="J82" i="11"/>
  <c r="N82" i="11" s="1"/>
  <c r="H60" i="14" s="1"/>
  <c r="I82" i="11"/>
  <c r="K82" i="11" s="1"/>
  <c r="G82" i="11"/>
  <c r="L82" i="11" s="1"/>
  <c r="W81" i="11"/>
  <c r="V81" i="11"/>
  <c r="X81" i="11" s="1"/>
  <c r="T81" i="11"/>
  <c r="J81" i="11"/>
  <c r="N81" i="11" s="1"/>
  <c r="I81" i="11"/>
  <c r="K81" i="11" s="1"/>
  <c r="G81" i="11"/>
  <c r="L81" i="11" s="1"/>
  <c r="W80" i="11"/>
  <c r="AA80" i="11" s="1"/>
  <c r="V80" i="11"/>
  <c r="X80" i="11" s="1"/>
  <c r="T80" i="11"/>
  <c r="Y80" i="11" s="1"/>
  <c r="J80" i="11"/>
  <c r="N80" i="11" s="1"/>
  <c r="H62" i="14" s="1"/>
  <c r="I80" i="11"/>
  <c r="K80" i="11" s="1"/>
  <c r="G80" i="11"/>
  <c r="W79" i="11"/>
  <c r="AA79" i="11" s="1"/>
  <c r="V79" i="11"/>
  <c r="X79" i="11" s="1"/>
  <c r="T79" i="11"/>
  <c r="J79" i="11"/>
  <c r="N79" i="11" s="1"/>
  <c r="H63" i="14" s="1"/>
  <c r="I79" i="11"/>
  <c r="K79" i="11" s="1"/>
  <c r="G79" i="11"/>
  <c r="L79" i="11" s="1"/>
  <c r="W78" i="11"/>
  <c r="AA78" i="11" s="1"/>
  <c r="V78" i="11"/>
  <c r="T78" i="11"/>
  <c r="Y78" i="11" s="1"/>
  <c r="J78" i="11"/>
  <c r="N78" i="11" s="1"/>
  <c r="H64" i="14" s="1"/>
  <c r="I78" i="11"/>
  <c r="K78" i="11" s="1"/>
  <c r="G78" i="11"/>
  <c r="L78" i="11" s="1"/>
  <c r="W77" i="11"/>
  <c r="V77" i="11"/>
  <c r="X77" i="11" s="1"/>
  <c r="T77" i="11"/>
  <c r="J77" i="11"/>
  <c r="N77" i="11" s="1"/>
  <c r="I77" i="11"/>
  <c r="K77" i="11" s="1"/>
  <c r="G77" i="11"/>
  <c r="W76" i="11"/>
  <c r="V76" i="11"/>
  <c r="X76" i="11" s="1"/>
  <c r="T76" i="11"/>
  <c r="J76" i="11"/>
  <c r="N76" i="11" s="1"/>
  <c r="I76" i="11"/>
  <c r="K76" i="11" s="1"/>
  <c r="G76" i="11"/>
  <c r="L76" i="11" s="1"/>
  <c r="W75" i="11"/>
  <c r="V75" i="11"/>
  <c r="X75" i="11" s="1"/>
  <c r="T75" i="11"/>
  <c r="J75" i="11"/>
  <c r="N75" i="11" s="1"/>
  <c r="I75" i="11"/>
  <c r="K75" i="11" s="1"/>
  <c r="G75" i="11"/>
  <c r="L75" i="11" s="1"/>
  <c r="W74" i="11"/>
  <c r="V74" i="11"/>
  <c r="T74" i="11"/>
  <c r="Y74" i="11" s="1"/>
  <c r="J74" i="11"/>
  <c r="N74" i="11" s="1"/>
  <c r="I74" i="11"/>
  <c r="K74" i="11" s="1"/>
  <c r="G74" i="11"/>
  <c r="L74" i="11" s="1"/>
  <c r="W73" i="11"/>
  <c r="V73" i="11"/>
  <c r="X73" i="11" s="1"/>
  <c r="T73" i="11"/>
  <c r="J73" i="11"/>
  <c r="N73" i="11" s="1"/>
  <c r="I73" i="11"/>
  <c r="K73" i="11" s="1"/>
  <c r="G73" i="11"/>
  <c r="W72" i="11"/>
  <c r="V72" i="11"/>
  <c r="X72" i="11" s="1"/>
  <c r="T72" i="11"/>
  <c r="Y72" i="11" s="1"/>
  <c r="J72" i="11"/>
  <c r="N72" i="11" s="1"/>
  <c r="I72" i="11"/>
  <c r="K72" i="11" s="1"/>
  <c r="G72" i="11"/>
  <c r="Y71" i="11"/>
  <c r="W71" i="11"/>
  <c r="V71" i="11"/>
  <c r="X71" i="11" s="1"/>
  <c r="T71" i="11"/>
  <c r="J71" i="11"/>
  <c r="N71" i="11" s="1"/>
  <c r="H72" i="14" s="1"/>
  <c r="I71" i="11"/>
  <c r="K71" i="11" s="1"/>
  <c r="G71" i="11"/>
  <c r="L71" i="11" s="1"/>
  <c r="W70" i="11"/>
  <c r="V70" i="11"/>
  <c r="T70" i="11"/>
  <c r="Y70" i="11" s="1"/>
  <c r="J70" i="11"/>
  <c r="N70" i="11" s="1"/>
  <c r="H73" i="14" s="1"/>
  <c r="I70" i="11"/>
  <c r="K70" i="11" s="1"/>
  <c r="G70" i="11"/>
  <c r="W69" i="11"/>
  <c r="V69" i="11"/>
  <c r="X69" i="11" s="1"/>
  <c r="T69" i="11"/>
  <c r="J69" i="11"/>
  <c r="I69" i="11"/>
  <c r="K69" i="11" s="1"/>
  <c r="G69" i="11"/>
  <c r="W68" i="11"/>
  <c r="V68" i="11"/>
  <c r="X68" i="11" s="1"/>
  <c r="T68" i="11"/>
  <c r="Y68" i="11" s="1"/>
  <c r="J68" i="11"/>
  <c r="I68" i="11"/>
  <c r="K68" i="11" s="1"/>
  <c r="G68" i="11"/>
  <c r="W67" i="11"/>
  <c r="V67" i="11"/>
  <c r="X67" i="11" s="1"/>
  <c r="T67" i="11"/>
  <c r="Y67" i="11" s="1"/>
  <c r="J67" i="11"/>
  <c r="I67" i="11"/>
  <c r="K67" i="11" s="1"/>
  <c r="G67" i="11"/>
  <c r="L67" i="11" s="1"/>
  <c r="W66" i="11"/>
  <c r="AA66" i="11" s="1"/>
  <c r="V66" i="11"/>
  <c r="T66" i="11"/>
  <c r="Y66" i="11" s="1"/>
  <c r="J66" i="11"/>
  <c r="I66" i="11"/>
  <c r="K66" i="11" s="1"/>
  <c r="G66" i="11"/>
  <c r="W65" i="11"/>
  <c r="V65" i="11"/>
  <c r="X65" i="11" s="1"/>
  <c r="T65" i="11"/>
  <c r="J65" i="11"/>
  <c r="I65" i="11"/>
  <c r="K65" i="11" s="1"/>
  <c r="G65" i="11"/>
  <c r="W64" i="11"/>
  <c r="V64" i="11"/>
  <c r="X64" i="11" s="1"/>
  <c r="T64" i="11"/>
  <c r="Y64" i="11" s="1"/>
  <c r="J64" i="11"/>
  <c r="I64" i="11"/>
  <c r="K64" i="11" s="1"/>
  <c r="G64" i="11"/>
  <c r="W63" i="11"/>
  <c r="V63" i="11"/>
  <c r="X63" i="11" s="1"/>
  <c r="T63" i="11"/>
  <c r="Y63" i="11" s="1"/>
  <c r="J63" i="11"/>
  <c r="I63" i="11"/>
  <c r="K63" i="11" s="1"/>
  <c r="G63" i="11"/>
  <c r="W62" i="11"/>
  <c r="V62" i="11"/>
  <c r="T62" i="11"/>
  <c r="Y62" i="11" s="1"/>
  <c r="J62" i="11"/>
  <c r="I62" i="11"/>
  <c r="K62" i="11" s="1"/>
  <c r="G62" i="11"/>
  <c r="W61" i="11"/>
  <c r="V61" i="11"/>
  <c r="X61" i="11" s="1"/>
  <c r="T61" i="11"/>
  <c r="J61" i="11"/>
  <c r="I61" i="11"/>
  <c r="K61" i="11" s="1"/>
  <c r="G61" i="11"/>
  <c r="W60" i="11"/>
  <c r="V60" i="11"/>
  <c r="X60" i="11" s="1"/>
  <c r="T60" i="11"/>
  <c r="Y60" i="11" s="1"/>
  <c r="J60" i="11"/>
  <c r="I60" i="11"/>
  <c r="K60" i="11" s="1"/>
  <c r="G60" i="11"/>
  <c r="W59" i="11"/>
  <c r="V59" i="11"/>
  <c r="X59" i="11" s="1"/>
  <c r="T59" i="11"/>
  <c r="Y59" i="11" s="1"/>
  <c r="J59" i="11"/>
  <c r="I59" i="11"/>
  <c r="K59" i="11" s="1"/>
  <c r="G59" i="11"/>
  <c r="W58" i="11"/>
  <c r="AA58" i="11" s="1"/>
  <c r="V58" i="11"/>
  <c r="T58" i="11"/>
  <c r="Y58" i="11" s="1"/>
  <c r="J58" i="11"/>
  <c r="N58" i="11" s="1"/>
  <c r="H86" i="14" s="1"/>
  <c r="I58" i="11"/>
  <c r="K58" i="11" s="1"/>
  <c r="G58" i="11"/>
  <c r="W57" i="11"/>
  <c r="AA57" i="11" s="1"/>
  <c r="V57" i="11"/>
  <c r="X57" i="11" s="1"/>
  <c r="T57" i="11"/>
  <c r="J57" i="11"/>
  <c r="N57" i="11" s="1"/>
  <c r="H87" i="14" s="1"/>
  <c r="I57" i="11"/>
  <c r="K57" i="11" s="1"/>
  <c r="G57" i="11"/>
  <c r="W56" i="11"/>
  <c r="V56" i="11"/>
  <c r="X56" i="11" s="1"/>
  <c r="T56" i="11"/>
  <c r="Y56" i="11" s="1"/>
  <c r="J56" i="11"/>
  <c r="N56" i="11" s="1"/>
  <c r="H88" i="14" s="1"/>
  <c r="I56" i="11"/>
  <c r="K56" i="11" s="1"/>
  <c r="G56" i="11"/>
  <c r="L56" i="11" s="1"/>
  <c r="W55" i="11"/>
  <c r="V55" i="11"/>
  <c r="X55" i="11" s="1"/>
  <c r="T55" i="11"/>
  <c r="J55" i="11"/>
  <c r="I55" i="11"/>
  <c r="K55" i="11" s="1"/>
  <c r="G55" i="11"/>
  <c r="W54" i="11"/>
  <c r="V54" i="11"/>
  <c r="T54" i="11"/>
  <c r="Y54" i="11" s="1"/>
  <c r="J54" i="11"/>
  <c r="I54" i="11"/>
  <c r="K54" i="11" s="1"/>
  <c r="G54" i="11"/>
  <c r="W53" i="11"/>
  <c r="V53" i="11"/>
  <c r="X53" i="11" s="1"/>
  <c r="T53" i="11"/>
  <c r="J53" i="11"/>
  <c r="I53" i="11"/>
  <c r="K53" i="11" s="1"/>
  <c r="G53" i="11"/>
  <c r="W52" i="11"/>
  <c r="V52" i="11"/>
  <c r="X52" i="11" s="1"/>
  <c r="T52" i="11"/>
  <c r="Y52" i="11" s="1"/>
  <c r="J52" i="11"/>
  <c r="I52" i="11"/>
  <c r="K52" i="11" s="1"/>
  <c r="G52" i="11"/>
  <c r="L52" i="11" s="1"/>
  <c r="W51" i="11"/>
  <c r="V51" i="11"/>
  <c r="X51" i="11" s="1"/>
  <c r="T51" i="11"/>
  <c r="Y51" i="11" s="1"/>
  <c r="J51" i="11"/>
  <c r="I51" i="11"/>
  <c r="K51" i="11" s="1"/>
  <c r="G51" i="11"/>
  <c r="W50" i="11"/>
  <c r="V50" i="11"/>
  <c r="T50" i="11"/>
  <c r="Y50" i="11" s="1"/>
  <c r="J50" i="11"/>
  <c r="I50" i="11"/>
  <c r="K50" i="11" s="1"/>
  <c r="G50" i="11"/>
  <c r="W49" i="11"/>
  <c r="V49" i="11"/>
  <c r="X49" i="11" s="1"/>
  <c r="T49" i="11"/>
  <c r="J49" i="11"/>
  <c r="N49" i="11" s="1"/>
  <c r="H96" i="14" s="1"/>
  <c r="I49" i="11"/>
  <c r="K49" i="11" s="1"/>
  <c r="G49" i="11"/>
  <c r="W48" i="11"/>
  <c r="V48" i="11"/>
  <c r="X48" i="11" s="1"/>
  <c r="T48" i="11"/>
  <c r="Y48" i="11" s="1"/>
  <c r="J48" i="11"/>
  <c r="I48" i="11"/>
  <c r="K48" i="11" s="1"/>
  <c r="G48" i="11"/>
  <c r="W47" i="11"/>
  <c r="V47" i="11"/>
  <c r="X47" i="11" s="1"/>
  <c r="T47" i="11"/>
  <c r="J47" i="11"/>
  <c r="I47" i="11"/>
  <c r="G47" i="11"/>
  <c r="L47" i="11" s="1"/>
  <c r="W46" i="11"/>
  <c r="V46" i="11"/>
  <c r="T46" i="11"/>
  <c r="Y46" i="11" s="1"/>
  <c r="J46" i="11"/>
  <c r="I46" i="11"/>
  <c r="K46" i="11" s="1"/>
  <c r="G46" i="11"/>
  <c r="W45" i="11"/>
  <c r="AA45" i="11" s="1"/>
  <c r="V45" i="11"/>
  <c r="X45" i="11" s="1"/>
  <c r="T45" i="11"/>
  <c r="Z45" i="11" s="1"/>
  <c r="J45" i="11"/>
  <c r="N45" i="11" s="1"/>
  <c r="H100" i="14" s="1"/>
  <c r="I45" i="11"/>
  <c r="K45" i="11" s="1"/>
  <c r="G45" i="11"/>
  <c r="W44" i="11"/>
  <c r="AA44" i="11" s="1"/>
  <c r="V44" i="11"/>
  <c r="X44" i="11" s="1"/>
  <c r="T44" i="11"/>
  <c r="Y44" i="11" s="1"/>
  <c r="J44" i="11"/>
  <c r="N44" i="11" s="1"/>
  <c r="H102" i="14" s="1"/>
  <c r="H101" i="14" s="1"/>
  <c r="I44" i="11"/>
  <c r="K44" i="11" s="1"/>
  <c r="G44" i="11"/>
  <c r="L44" i="11" s="1"/>
  <c r="W43" i="11"/>
  <c r="AA43" i="11" s="1"/>
  <c r="V43" i="11"/>
  <c r="X43" i="11" s="1"/>
  <c r="T43" i="11"/>
  <c r="Y43" i="11" s="1"/>
  <c r="J43" i="11"/>
  <c r="N43" i="11" s="1"/>
  <c r="H103" i="14" s="1"/>
  <c r="I43" i="11"/>
  <c r="K43" i="11" s="1"/>
  <c r="G43" i="11"/>
  <c r="W42" i="11"/>
  <c r="AA42" i="11" s="1"/>
  <c r="V42" i="11"/>
  <c r="T42" i="11"/>
  <c r="Y42" i="11" s="1"/>
  <c r="J42" i="11"/>
  <c r="N42" i="11" s="1"/>
  <c r="H104" i="14" s="1"/>
  <c r="I42" i="11"/>
  <c r="K42" i="11" s="1"/>
  <c r="G42" i="11"/>
  <c r="W41" i="11"/>
  <c r="AA41" i="11" s="1"/>
  <c r="V41" i="11"/>
  <c r="X41" i="11" s="1"/>
  <c r="T41" i="11"/>
  <c r="J41" i="11"/>
  <c r="N41" i="11" s="1"/>
  <c r="I41" i="11"/>
  <c r="K41" i="11" s="1"/>
  <c r="G41" i="11"/>
  <c r="W40" i="11"/>
  <c r="V40" i="11"/>
  <c r="X40" i="11" s="1"/>
  <c r="T40" i="11"/>
  <c r="Y40" i="11" s="1"/>
  <c r="J40" i="11"/>
  <c r="N40" i="11" s="1"/>
  <c r="H106" i="14" s="1"/>
  <c r="I40" i="11"/>
  <c r="K40" i="11" s="1"/>
  <c r="G40" i="11"/>
  <c r="L40" i="11" s="1"/>
  <c r="W39" i="11"/>
  <c r="V39" i="11"/>
  <c r="X39" i="11" s="1"/>
  <c r="T39" i="11"/>
  <c r="J39" i="11"/>
  <c r="N39" i="11" s="1"/>
  <c r="H107" i="14" s="1"/>
  <c r="I39" i="11"/>
  <c r="K39" i="11" s="1"/>
  <c r="G39" i="11"/>
  <c r="L39" i="11" s="1"/>
  <c r="W38" i="11"/>
  <c r="V38" i="11"/>
  <c r="T38" i="11"/>
  <c r="Y38" i="11" s="1"/>
  <c r="J38" i="11"/>
  <c r="N38" i="11" s="1"/>
  <c r="H108" i="14" s="1"/>
  <c r="I38" i="11"/>
  <c r="K38" i="11" s="1"/>
  <c r="G38" i="11"/>
  <c r="W37" i="11"/>
  <c r="V37" i="11"/>
  <c r="X37" i="11" s="1"/>
  <c r="T37" i="11"/>
  <c r="J37" i="11"/>
  <c r="N37" i="11" s="1"/>
  <c r="H109" i="14" s="1"/>
  <c r="I37" i="11"/>
  <c r="K37" i="11" s="1"/>
  <c r="G37" i="11"/>
  <c r="W36" i="11"/>
  <c r="V36" i="11"/>
  <c r="X36" i="11" s="1"/>
  <c r="T36" i="11"/>
  <c r="Y36" i="11" s="1"/>
  <c r="J36" i="11"/>
  <c r="N36" i="11" s="1"/>
  <c r="H110" i="14" s="1"/>
  <c r="I36" i="11"/>
  <c r="K36" i="11" s="1"/>
  <c r="G36" i="11"/>
  <c r="M36" i="11" s="1"/>
  <c r="W35" i="11"/>
  <c r="V35" i="11"/>
  <c r="X35" i="11" s="1"/>
  <c r="T35" i="11"/>
  <c r="Z35" i="11" s="1"/>
  <c r="J35" i="11"/>
  <c r="N35" i="11" s="1"/>
  <c r="H111" i="14" s="1"/>
  <c r="I35" i="11"/>
  <c r="K35" i="11" s="1"/>
  <c r="G35" i="11"/>
  <c r="W34" i="11"/>
  <c r="AA34" i="11" s="1"/>
  <c r="V34" i="11"/>
  <c r="T34" i="11"/>
  <c r="Y34" i="11" s="1"/>
  <c r="J34" i="11"/>
  <c r="I34" i="11"/>
  <c r="K34" i="11" s="1"/>
  <c r="G34" i="11"/>
  <c r="W33" i="11"/>
  <c r="V33" i="11"/>
  <c r="X33" i="11" s="1"/>
  <c r="T33" i="11"/>
  <c r="J33" i="11"/>
  <c r="I33" i="11"/>
  <c r="K33" i="11" s="1"/>
  <c r="G33" i="11"/>
  <c r="E33" i="11"/>
  <c r="W32" i="11"/>
  <c r="V32" i="11"/>
  <c r="X32" i="11" s="1"/>
  <c r="T32" i="11"/>
  <c r="J32" i="11"/>
  <c r="I32" i="11"/>
  <c r="K32" i="11" s="1"/>
  <c r="G32" i="11"/>
  <c r="L32" i="11" s="1"/>
  <c r="E32" i="11"/>
  <c r="W31" i="11"/>
  <c r="V31" i="11"/>
  <c r="X31" i="11" s="1"/>
  <c r="T31" i="11"/>
  <c r="Y31" i="11" s="1"/>
  <c r="J31" i="11"/>
  <c r="I31" i="11"/>
  <c r="K31" i="11" s="1"/>
  <c r="G31" i="11"/>
  <c r="L31" i="11" s="1"/>
  <c r="E31" i="11"/>
  <c r="W30" i="11"/>
  <c r="V30" i="11"/>
  <c r="X30" i="11" s="1"/>
  <c r="T30" i="11"/>
  <c r="J30" i="11"/>
  <c r="I30" i="11"/>
  <c r="K30" i="11" s="1"/>
  <c r="G30" i="11"/>
  <c r="M30" i="11" s="1"/>
  <c r="E30" i="11"/>
  <c r="W29" i="11"/>
  <c r="V29" i="11"/>
  <c r="X29" i="11" s="1"/>
  <c r="T29" i="11"/>
  <c r="Y29" i="11" s="1"/>
  <c r="J29" i="11"/>
  <c r="I29" i="11"/>
  <c r="K29" i="11" s="1"/>
  <c r="G29" i="11"/>
  <c r="E29" i="11"/>
  <c r="W28" i="11"/>
  <c r="V28" i="11"/>
  <c r="X28" i="11" s="1"/>
  <c r="T28" i="11"/>
  <c r="J28" i="11"/>
  <c r="I28" i="11"/>
  <c r="G28" i="11"/>
  <c r="L28" i="11" s="1"/>
  <c r="E28" i="11"/>
  <c r="W27" i="11"/>
  <c r="V27" i="11"/>
  <c r="T27" i="11"/>
  <c r="Y27" i="11" s="1"/>
  <c r="J27" i="11"/>
  <c r="I27" i="11"/>
  <c r="K27" i="11" s="1"/>
  <c r="G27" i="11"/>
  <c r="E27" i="11"/>
  <c r="W26" i="11"/>
  <c r="V26" i="11"/>
  <c r="X26" i="11" s="1"/>
  <c r="T26" i="11"/>
  <c r="J26" i="11"/>
  <c r="I26" i="11"/>
  <c r="K26" i="11" s="1"/>
  <c r="G26" i="11"/>
  <c r="E26" i="11"/>
  <c r="W25" i="11"/>
  <c r="V25" i="11"/>
  <c r="X25" i="11" s="1"/>
  <c r="T25" i="11"/>
  <c r="J25" i="11"/>
  <c r="I25" i="11"/>
  <c r="K25" i="11" s="1"/>
  <c r="G25" i="11"/>
  <c r="E25" i="11"/>
  <c r="W24" i="11"/>
  <c r="V24" i="11"/>
  <c r="X24" i="11" s="1"/>
  <c r="T24" i="11"/>
  <c r="J24" i="11"/>
  <c r="I24" i="11"/>
  <c r="K24" i="11" s="1"/>
  <c r="G24" i="11"/>
  <c r="L24" i="11" s="1"/>
  <c r="E24" i="11"/>
  <c r="W23" i="11"/>
  <c r="V23" i="11"/>
  <c r="X23" i="11" s="1"/>
  <c r="T23" i="11"/>
  <c r="Y23" i="11" s="1"/>
  <c r="J23" i="11"/>
  <c r="I23" i="11"/>
  <c r="K23" i="11" s="1"/>
  <c r="G23" i="11"/>
  <c r="E23" i="11"/>
  <c r="W22" i="11"/>
  <c r="V22" i="11"/>
  <c r="X22" i="11" s="1"/>
  <c r="T22" i="11"/>
  <c r="J22" i="11"/>
  <c r="I22" i="11"/>
  <c r="K22" i="11" s="1"/>
  <c r="G22" i="11"/>
  <c r="E22" i="11"/>
  <c r="W21" i="11"/>
  <c r="V21" i="11"/>
  <c r="X21" i="11" s="1"/>
  <c r="T21" i="11"/>
  <c r="J21" i="11"/>
  <c r="I21" i="11"/>
  <c r="K21" i="11" s="1"/>
  <c r="G21" i="11"/>
  <c r="L21" i="11" s="1"/>
  <c r="E21" i="11"/>
  <c r="W20" i="11"/>
  <c r="V20" i="11"/>
  <c r="Z20" i="11" s="1"/>
  <c r="T20" i="11"/>
  <c r="Y20" i="11" s="1"/>
  <c r="J20" i="11"/>
  <c r="I20" i="11"/>
  <c r="G20" i="11"/>
  <c r="L20" i="11" s="1"/>
  <c r="E20" i="11"/>
  <c r="W19" i="11"/>
  <c r="V19" i="11"/>
  <c r="T19" i="11"/>
  <c r="Y19" i="11" s="1"/>
  <c r="J19" i="11"/>
  <c r="I19" i="11"/>
  <c r="K19" i="11" s="1"/>
  <c r="G19" i="11"/>
  <c r="E19" i="11"/>
  <c r="W18" i="11"/>
  <c r="V18" i="11"/>
  <c r="X18" i="11" s="1"/>
  <c r="T18" i="11"/>
  <c r="J18" i="11"/>
  <c r="I18" i="11"/>
  <c r="K18" i="11" s="1"/>
  <c r="G18" i="11"/>
  <c r="E18" i="11"/>
  <c r="W17" i="11"/>
  <c r="V17" i="11"/>
  <c r="X17" i="11" s="1"/>
  <c r="T17" i="11"/>
  <c r="J17" i="11"/>
  <c r="I17" i="11"/>
  <c r="K17" i="11" s="1"/>
  <c r="G17" i="11"/>
  <c r="E17" i="11"/>
  <c r="X16" i="11"/>
  <c r="W16" i="11"/>
  <c r="V16" i="11"/>
  <c r="T16" i="11"/>
  <c r="J16" i="11"/>
  <c r="I16" i="11"/>
  <c r="K16" i="11" s="1"/>
  <c r="G16" i="11"/>
  <c r="L16" i="11" s="1"/>
  <c r="E16" i="11"/>
  <c r="W15" i="11"/>
  <c r="V15" i="11"/>
  <c r="X15" i="11" s="1"/>
  <c r="T15" i="11"/>
  <c r="Y15" i="11" s="1"/>
  <c r="J15" i="11"/>
  <c r="I15" i="11"/>
  <c r="K15" i="11" s="1"/>
  <c r="G15" i="11"/>
  <c r="L15" i="11" s="1"/>
  <c r="E15" i="11"/>
  <c r="W14" i="11"/>
  <c r="V14" i="11"/>
  <c r="X14" i="11" s="1"/>
  <c r="T14" i="11"/>
  <c r="J14" i="11"/>
  <c r="I14" i="11"/>
  <c r="K14" i="11" s="1"/>
  <c r="G14" i="11"/>
  <c r="L14" i="11" s="1"/>
  <c r="W13" i="11"/>
  <c r="V13" i="11"/>
  <c r="X13" i="11" s="1"/>
  <c r="T13" i="11"/>
  <c r="J13" i="11"/>
  <c r="I13" i="11"/>
  <c r="K13" i="11" s="1"/>
  <c r="G13" i="11"/>
  <c r="W12" i="11"/>
  <c r="V12" i="11"/>
  <c r="X12" i="11" s="1"/>
  <c r="T12" i="11"/>
  <c r="J12" i="11"/>
  <c r="I12" i="11"/>
  <c r="G12" i="11"/>
  <c r="L12" i="11" s="1"/>
  <c r="E12" i="11"/>
  <c r="K209" i="10"/>
  <c r="J209" i="10"/>
  <c r="I209" i="10"/>
  <c r="H209" i="10"/>
  <c r="L209" i="10" s="1"/>
  <c r="K208" i="10"/>
  <c r="J208" i="10"/>
  <c r="I208" i="10"/>
  <c r="H208" i="10"/>
  <c r="L208" i="10" s="1"/>
  <c r="K207" i="10"/>
  <c r="J207" i="10"/>
  <c r="I207" i="10"/>
  <c r="H207" i="10"/>
  <c r="L207" i="10" s="1"/>
  <c r="K206" i="10"/>
  <c r="J206" i="10"/>
  <c r="I206" i="10"/>
  <c r="H206" i="10"/>
  <c r="L206" i="10" s="1"/>
  <c r="K205" i="10"/>
  <c r="J205" i="10"/>
  <c r="I205" i="10"/>
  <c r="H205" i="10"/>
  <c r="L205" i="10" s="1"/>
  <c r="K204" i="10"/>
  <c r="J204" i="10"/>
  <c r="I204" i="10"/>
  <c r="H204" i="10"/>
  <c r="K203" i="10"/>
  <c r="J203" i="10"/>
  <c r="I203" i="10"/>
  <c r="H203" i="10"/>
  <c r="K202" i="10"/>
  <c r="J202" i="10"/>
  <c r="I202" i="10"/>
  <c r="H202" i="10"/>
  <c r="K201" i="10"/>
  <c r="J201" i="10"/>
  <c r="I201" i="10"/>
  <c r="H201" i="10"/>
  <c r="K200" i="10"/>
  <c r="J200" i="10"/>
  <c r="I200" i="10"/>
  <c r="H200" i="10"/>
  <c r="K199" i="10"/>
  <c r="J199" i="10"/>
  <c r="I199" i="10"/>
  <c r="H199" i="10"/>
  <c r="K198" i="10"/>
  <c r="J198" i="10"/>
  <c r="I198" i="10"/>
  <c r="H198" i="10"/>
  <c r="K197" i="10"/>
  <c r="J197" i="10"/>
  <c r="I197" i="10"/>
  <c r="H197" i="10"/>
  <c r="K196" i="10"/>
  <c r="J196" i="10"/>
  <c r="I196" i="10"/>
  <c r="H196" i="10"/>
  <c r="K195" i="10"/>
  <c r="J195" i="10"/>
  <c r="I195" i="10"/>
  <c r="H195" i="10"/>
  <c r="K194" i="10"/>
  <c r="J194" i="10"/>
  <c r="I194" i="10"/>
  <c r="H194" i="10"/>
  <c r="K193" i="10"/>
  <c r="J193" i="10"/>
  <c r="I193" i="10"/>
  <c r="H193" i="10"/>
  <c r="K192" i="10"/>
  <c r="J192" i="10"/>
  <c r="I192" i="10"/>
  <c r="H192" i="10"/>
  <c r="K191" i="10"/>
  <c r="J191" i="10"/>
  <c r="I191" i="10"/>
  <c r="H191" i="10"/>
  <c r="K190" i="10"/>
  <c r="J190" i="10"/>
  <c r="I190" i="10"/>
  <c r="H190" i="10"/>
  <c r="K189" i="10"/>
  <c r="J189" i="10"/>
  <c r="I189" i="10"/>
  <c r="H189" i="10"/>
  <c r="K188" i="10"/>
  <c r="J188" i="10"/>
  <c r="I188" i="10"/>
  <c r="H188" i="10"/>
  <c r="K187" i="10"/>
  <c r="J187" i="10"/>
  <c r="I187" i="10"/>
  <c r="H187" i="10"/>
  <c r="K186" i="10"/>
  <c r="J186" i="10"/>
  <c r="I186" i="10"/>
  <c r="H186" i="10"/>
  <c r="K185" i="10"/>
  <c r="J185" i="10"/>
  <c r="I185" i="10"/>
  <c r="H185" i="10"/>
  <c r="K184" i="10"/>
  <c r="J184" i="10"/>
  <c r="I184" i="10"/>
  <c r="H184" i="10"/>
  <c r="K183" i="10"/>
  <c r="J183" i="10"/>
  <c r="I183" i="10"/>
  <c r="H183" i="10"/>
  <c r="K182" i="10"/>
  <c r="J182" i="10"/>
  <c r="I182" i="10"/>
  <c r="H182" i="10"/>
  <c r="K181" i="10"/>
  <c r="J181" i="10"/>
  <c r="I181" i="10"/>
  <c r="H181" i="10"/>
  <c r="K180" i="10"/>
  <c r="J180" i="10"/>
  <c r="I180" i="10"/>
  <c r="H180" i="10"/>
  <c r="K179" i="10"/>
  <c r="J179" i="10"/>
  <c r="I179" i="10"/>
  <c r="H179" i="10"/>
  <c r="K178" i="10"/>
  <c r="J178" i="10"/>
  <c r="I178" i="10"/>
  <c r="H178" i="10"/>
  <c r="K177" i="10"/>
  <c r="J177" i="10"/>
  <c r="I177" i="10"/>
  <c r="H177" i="10"/>
  <c r="L177" i="10" s="1"/>
  <c r="G177" i="14" s="1"/>
  <c r="K176" i="10"/>
  <c r="J176" i="10"/>
  <c r="I176" i="10"/>
  <c r="H176" i="10"/>
  <c r="L176" i="10" s="1"/>
  <c r="G176" i="14" s="1"/>
  <c r="K175" i="10"/>
  <c r="J175" i="10"/>
  <c r="I175" i="10"/>
  <c r="H175" i="10"/>
  <c r="L175" i="10" s="1"/>
  <c r="G175" i="14" s="1"/>
  <c r="K174" i="10"/>
  <c r="J174" i="10"/>
  <c r="I174" i="10"/>
  <c r="H174" i="10"/>
  <c r="L174" i="10" s="1"/>
  <c r="G174" i="14" s="1"/>
  <c r="K173" i="10"/>
  <c r="J173" i="10"/>
  <c r="I173" i="10"/>
  <c r="H173" i="10"/>
  <c r="L173" i="10" s="1"/>
  <c r="G173" i="14" s="1"/>
  <c r="K172" i="10"/>
  <c r="J172" i="10"/>
  <c r="I172" i="10"/>
  <c r="H172" i="10"/>
  <c r="L172" i="10" s="1"/>
  <c r="G172" i="14" s="1"/>
  <c r="K171" i="10"/>
  <c r="J171" i="10"/>
  <c r="I171" i="10"/>
  <c r="H171" i="10"/>
  <c r="L171" i="10" s="1"/>
  <c r="G171" i="14" s="1"/>
  <c r="K170" i="10"/>
  <c r="J170" i="10"/>
  <c r="I170" i="10"/>
  <c r="H170" i="10"/>
  <c r="L170" i="10" s="1"/>
  <c r="G170" i="14" s="1"/>
  <c r="K169" i="10"/>
  <c r="J169" i="10"/>
  <c r="I169" i="10"/>
  <c r="H169" i="10"/>
  <c r="L169" i="10" s="1"/>
  <c r="G169" i="14" s="1"/>
  <c r="K168" i="10"/>
  <c r="J168" i="10"/>
  <c r="I168" i="10"/>
  <c r="H168" i="10"/>
  <c r="L168" i="10" s="1"/>
  <c r="G168" i="14" s="1"/>
  <c r="K167" i="10"/>
  <c r="J167" i="10"/>
  <c r="I167" i="10"/>
  <c r="H167" i="10"/>
  <c r="L167" i="10" s="1"/>
  <c r="G167" i="14" s="1"/>
  <c r="K166" i="10"/>
  <c r="J166" i="10"/>
  <c r="I166" i="10"/>
  <c r="H166" i="10"/>
  <c r="L166" i="10" s="1"/>
  <c r="G166" i="14" s="1"/>
  <c r="K165" i="10"/>
  <c r="J165" i="10"/>
  <c r="I165" i="10"/>
  <c r="H165" i="10"/>
  <c r="L165" i="10" s="1"/>
  <c r="G165" i="14" s="1"/>
  <c r="K164" i="10"/>
  <c r="J164" i="10"/>
  <c r="I164" i="10"/>
  <c r="H164" i="10"/>
  <c r="L164" i="10" s="1"/>
  <c r="G164" i="14" s="1"/>
  <c r="K163" i="10"/>
  <c r="J163" i="10"/>
  <c r="I163" i="10"/>
  <c r="H163" i="10"/>
  <c r="L163" i="10" s="1"/>
  <c r="G163" i="14" s="1"/>
  <c r="K162" i="10"/>
  <c r="J162" i="10"/>
  <c r="I162" i="10"/>
  <c r="H162" i="10"/>
  <c r="L162" i="10" s="1"/>
  <c r="G162" i="14" s="1"/>
  <c r="K161" i="10"/>
  <c r="J161" i="10"/>
  <c r="I161" i="10"/>
  <c r="H161" i="10"/>
  <c r="L161" i="10" s="1"/>
  <c r="G161" i="14" s="1"/>
  <c r="K160" i="10"/>
  <c r="J160" i="10"/>
  <c r="I160" i="10"/>
  <c r="H160" i="10"/>
  <c r="L160" i="10" s="1"/>
  <c r="G160" i="14" s="1"/>
  <c r="K159" i="10"/>
  <c r="J159" i="10"/>
  <c r="I159" i="10"/>
  <c r="H159" i="10"/>
  <c r="L159" i="10" s="1"/>
  <c r="G159" i="14" s="1"/>
  <c r="K158" i="10"/>
  <c r="J158" i="10"/>
  <c r="I158" i="10"/>
  <c r="H158" i="10"/>
  <c r="K157" i="10"/>
  <c r="J157" i="10"/>
  <c r="I157" i="10"/>
  <c r="H157" i="10"/>
  <c r="K156" i="10"/>
  <c r="J156" i="10"/>
  <c r="I156" i="10"/>
  <c r="H156" i="10"/>
  <c r="K155" i="10"/>
  <c r="J155" i="10"/>
  <c r="I155" i="10"/>
  <c r="H155" i="10"/>
  <c r="K154" i="10"/>
  <c r="J154" i="10"/>
  <c r="I154" i="10"/>
  <c r="H154" i="10"/>
  <c r="K153" i="10"/>
  <c r="J153" i="10"/>
  <c r="I153" i="10"/>
  <c r="H153" i="10"/>
  <c r="K152" i="10"/>
  <c r="J152" i="10"/>
  <c r="I152" i="10"/>
  <c r="H152" i="10"/>
  <c r="K151" i="10"/>
  <c r="J151" i="10"/>
  <c r="I151" i="10"/>
  <c r="H151" i="10"/>
  <c r="K150" i="10"/>
  <c r="J150" i="10"/>
  <c r="I150" i="10"/>
  <c r="H150" i="10"/>
  <c r="K149" i="10"/>
  <c r="J149" i="10"/>
  <c r="I149" i="10"/>
  <c r="H149" i="10"/>
  <c r="K148" i="10"/>
  <c r="J148" i="10"/>
  <c r="I148" i="10"/>
  <c r="H148" i="10"/>
  <c r="K147" i="10"/>
  <c r="J147" i="10"/>
  <c r="I147" i="10"/>
  <c r="H147" i="10"/>
  <c r="K146" i="10"/>
  <c r="J146" i="10"/>
  <c r="I146" i="10"/>
  <c r="H146" i="10"/>
  <c r="K145" i="10"/>
  <c r="J145" i="10"/>
  <c r="I145" i="10"/>
  <c r="H145" i="10"/>
  <c r="K144" i="10"/>
  <c r="J144" i="10"/>
  <c r="I144" i="10"/>
  <c r="H144" i="10"/>
  <c r="K143" i="10"/>
  <c r="J143" i="10"/>
  <c r="I143" i="10"/>
  <c r="H143" i="10"/>
  <c r="L143" i="10" s="1"/>
  <c r="G143" i="14" s="1"/>
  <c r="K142" i="10"/>
  <c r="J142" i="10"/>
  <c r="I142" i="10"/>
  <c r="H142" i="10"/>
  <c r="L142" i="10" s="1"/>
  <c r="G142" i="14" s="1"/>
  <c r="K141" i="10"/>
  <c r="J141" i="10"/>
  <c r="I141" i="10"/>
  <c r="H141" i="10"/>
  <c r="L141" i="10" s="1"/>
  <c r="G141" i="14" s="1"/>
  <c r="K140" i="10"/>
  <c r="J140" i="10"/>
  <c r="I140" i="10"/>
  <c r="H140" i="10"/>
  <c r="L140" i="10" s="1"/>
  <c r="G140" i="14" s="1"/>
  <c r="K139" i="10"/>
  <c r="J139" i="10"/>
  <c r="I139" i="10"/>
  <c r="H139" i="10"/>
  <c r="L139" i="10" s="1"/>
  <c r="G139" i="14" s="1"/>
  <c r="K138" i="10"/>
  <c r="J138" i="10"/>
  <c r="I138" i="10"/>
  <c r="H138" i="10"/>
  <c r="L138" i="10" s="1"/>
  <c r="G138" i="14" s="1"/>
  <c r="K137" i="10"/>
  <c r="J137" i="10"/>
  <c r="I137" i="10"/>
  <c r="H137" i="10"/>
  <c r="L137" i="10" s="1"/>
  <c r="G137" i="14" s="1"/>
  <c r="K136" i="10"/>
  <c r="J136" i="10"/>
  <c r="I136" i="10"/>
  <c r="H136" i="10"/>
  <c r="L136" i="10" s="1"/>
  <c r="G136" i="14" s="1"/>
  <c r="K135" i="10"/>
  <c r="J135" i="10"/>
  <c r="I135" i="10"/>
  <c r="H135" i="10"/>
  <c r="L135" i="10" s="1"/>
  <c r="G135" i="14" s="1"/>
  <c r="K134" i="10"/>
  <c r="J134" i="10"/>
  <c r="I134" i="10"/>
  <c r="H134" i="10"/>
  <c r="L134" i="10" s="1"/>
  <c r="G134" i="14" s="1"/>
  <c r="K133" i="10"/>
  <c r="J133" i="10"/>
  <c r="I133" i="10"/>
  <c r="H133" i="10"/>
  <c r="L133" i="10" s="1"/>
  <c r="G133" i="14" s="1"/>
  <c r="K132" i="10"/>
  <c r="J132" i="10"/>
  <c r="I132" i="10"/>
  <c r="H132" i="10"/>
  <c r="L132" i="10" s="1"/>
  <c r="G132" i="14" s="1"/>
  <c r="K131" i="10"/>
  <c r="J131" i="10"/>
  <c r="I131" i="10"/>
  <c r="H131" i="10"/>
  <c r="L131" i="10" s="1"/>
  <c r="G131" i="14" s="1"/>
  <c r="K130" i="10"/>
  <c r="J130" i="10"/>
  <c r="I130" i="10"/>
  <c r="H130" i="10"/>
  <c r="L130" i="10" s="1"/>
  <c r="G130" i="14" s="1"/>
  <c r="K129" i="10"/>
  <c r="J129" i="10"/>
  <c r="I129" i="10"/>
  <c r="H129" i="10"/>
  <c r="L129" i="10" s="1"/>
  <c r="G129" i="14" s="1"/>
  <c r="K128" i="10"/>
  <c r="J128" i="10"/>
  <c r="I128" i="10"/>
  <c r="H128" i="10"/>
  <c r="L128" i="10" s="1"/>
  <c r="G128" i="14" s="1"/>
  <c r="K127" i="10"/>
  <c r="J127" i="10"/>
  <c r="I127" i="10"/>
  <c r="H127" i="10"/>
  <c r="L127" i="10" s="1"/>
  <c r="G127" i="14" s="1"/>
  <c r="K126" i="10"/>
  <c r="J126" i="10"/>
  <c r="I126" i="10"/>
  <c r="H126" i="10"/>
  <c r="L126" i="10" s="1"/>
  <c r="G126" i="14" s="1"/>
  <c r="K125" i="10"/>
  <c r="J125" i="10"/>
  <c r="I125" i="10"/>
  <c r="H125" i="10"/>
  <c r="L125" i="10" s="1"/>
  <c r="G125" i="14" s="1"/>
  <c r="K124" i="10"/>
  <c r="J124" i="10"/>
  <c r="I124" i="10"/>
  <c r="H124" i="10"/>
  <c r="L124" i="10" s="1"/>
  <c r="G124" i="14" s="1"/>
  <c r="K123" i="10"/>
  <c r="J123" i="10"/>
  <c r="I123" i="10"/>
  <c r="H123" i="10"/>
  <c r="L123" i="10" s="1"/>
  <c r="G123" i="14" s="1"/>
  <c r="K122" i="10"/>
  <c r="J122" i="10"/>
  <c r="I122" i="10"/>
  <c r="H122" i="10"/>
  <c r="L122" i="10" s="1"/>
  <c r="G122" i="14" s="1"/>
  <c r="K121" i="10"/>
  <c r="J121" i="10"/>
  <c r="I121" i="10"/>
  <c r="H121" i="10"/>
  <c r="L121" i="10" s="1"/>
  <c r="G121" i="14" s="1"/>
  <c r="K120" i="10"/>
  <c r="J120" i="10"/>
  <c r="I120" i="10"/>
  <c r="H120" i="10"/>
  <c r="L120" i="10" s="1"/>
  <c r="G120" i="14" s="1"/>
  <c r="K119" i="10"/>
  <c r="J119" i="10"/>
  <c r="I119" i="10"/>
  <c r="H119" i="10"/>
  <c r="L119" i="10" s="1"/>
  <c r="G119" i="14" s="1"/>
  <c r="K118" i="10"/>
  <c r="J118" i="10"/>
  <c r="I118" i="10"/>
  <c r="H118" i="10"/>
  <c r="L118" i="10" s="1"/>
  <c r="G118" i="14" s="1"/>
  <c r="K117" i="10"/>
  <c r="J117" i="10"/>
  <c r="I117" i="10"/>
  <c r="H117" i="10"/>
  <c r="L117" i="10" s="1"/>
  <c r="G117" i="14" s="1"/>
  <c r="K116" i="10"/>
  <c r="J116" i="10"/>
  <c r="I116" i="10"/>
  <c r="H116" i="10"/>
  <c r="K115" i="10"/>
  <c r="J115" i="10"/>
  <c r="I115" i="10"/>
  <c r="H115" i="10"/>
  <c r="K114" i="10"/>
  <c r="J114" i="10"/>
  <c r="I114" i="10"/>
  <c r="H114" i="10"/>
  <c r="K113" i="10"/>
  <c r="J113" i="10"/>
  <c r="I113" i="10"/>
  <c r="H113" i="10"/>
  <c r="K112" i="10"/>
  <c r="J112" i="10"/>
  <c r="I112" i="10"/>
  <c r="H112" i="10"/>
  <c r="K111" i="10"/>
  <c r="J111" i="10"/>
  <c r="I111" i="10"/>
  <c r="H111" i="10"/>
  <c r="K110" i="10"/>
  <c r="J110" i="10"/>
  <c r="I110" i="10"/>
  <c r="H110" i="10"/>
  <c r="K109" i="10"/>
  <c r="J109" i="10"/>
  <c r="I109" i="10"/>
  <c r="H109" i="10"/>
  <c r="K108" i="10"/>
  <c r="J108" i="10"/>
  <c r="I108" i="10"/>
  <c r="H108" i="10"/>
  <c r="K107" i="10"/>
  <c r="J107" i="10"/>
  <c r="I107" i="10"/>
  <c r="H107" i="10"/>
  <c r="K106" i="10"/>
  <c r="J106" i="10"/>
  <c r="I106" i="10"/>
  <c r="H106" i="10"/>
  <c r="K105" i="10"/>
  <c r="J105" i="10"/>
  <c r="I105" i="10"/>
  <c r="H105" i="10"/>
  <c r="K104" i="10"/>
  <c r="J104" i="10"/>
  <c r="I104" i="10"/>
  <c r="H104" i="10"/>
  <c r="K103" i="10"/>
  <c r="J103" i="10"/>
  <c r="I103" i="10"/>
  <c r="H103" i="10"/>
  <c r="K102" i="10"/>
  <c r="J102" i="10"/>
  <c r="I102" i="10"/>
  <c r="H102" i="10"/>
  <c r="K101" i="10"/>
  <c r="J101" i="10"/>
  <c r="I101" i="10"/>
  <c r="H101" i="10"/>
  <c r="K100" i="10"/>
  <c r="J100" i="10"/>
  <c r="I100" i="10"/>
  <c r="H100" i="10"/>
  <c r="K99" i="10"/>
  <c r="J99" i="10"/>
  <c r="I99" i="10"/>
  <c r="H99" i="10"/>
  <c r="K98" i="10"/>
  <c r="J98" i="10"/>
  <c r="I98" i="10"/>
  <c r="H98" i="10"/>
  <c r="K97" i="10"/>
  <c r="J97" i="10"/>
  <c r="I97" i="10"/>
  <c r="H97" i="10"/>
  <c r="L97" i="10" s="1"/>
  <c r="G97" i="14" s="1"/>
  <c r="K96" i="10"/>
  <c r="J96" i="10"/>
  <c r="I96" i="10"/>
  <c r="H96" i="10"/>
  <c r="L96" i="10" s="1"/>
  <c r="G96" i="14" s="1"/>
  <c r="K95" i="10"/>
  <c r="J95" i="10"/>
  <c r="I95" i="10"/>
  <c r="H95" i="10"/>
  <c r="L95" i="10" s="1"/>
  <c r="G95" i="14" s="1"/>
  <c r="K94" i="10"/>
  <c r="J94" i="10"/>
  <c r="I94" i="10"/>
  <c r="H94" i="10"/>
  <c r="L94" i="10" s="1"/>
  <c r="G94" i="14" s="1"/>
  <c r="K93" i="10"/>
  <c r="J93" i="10"/>
  <c r="I93" i="10"/>
  <c r="H93" i="10"/>
  <c r="L93" i="10" s="1"/>
  <c r="G93" i="14" s="1"/>
  <c r="K92" i="10"/>
  <c r="J92" i="10"/>
  <c r="I92" i="10"/>
  <c r="H92" i="10"/>
  <c r="L92" i="10" s="1"/>
  <c r="G92" i="14" s="1"/>
  <c r="K91" i="10"/>
  <c r="J91" i="10"/>
  <c r="I91" i="10"/>
  <c r="H91" i="10"/>
  <c r="L91" i="10" s="1"/>
  <c r="G91" i="14" s="1"/>
  <c r="K90" i="10"/>
  <c r="J90" i="10"/>
  <c r="I90" i="10"/>
  <c r="H90" i="10"/>
  <c r="L90" i="10" s="1"/>
  <c r="G90" i="14" s="1"/>
  <c r="K89" i="10"/>
  <c r="J89" i="10"/>
  <c r="I89" i="10"/>
  <c r="H89" i="10"/>
  <c r="L89" i="10" s="1"/>
  <c r="G89" i="14" s="1"/>
  <c r="K88" i="10"/>
  <c r="J88" i="10"/>
  <c r="I88" i="10"/>
  <c r="H88" i="10"/>
  <c r="L88" i="10" s="1"/>
  <c r="G88" i="14" s="1"/>
  <c r="K87" i="10"/>
  <c r="J87" i="10"/>
  <c r="I87" i="10"/>
  <c r="H87" i="10"/>
  <c r="K86" i="10"/>
  <c r="J86" i="10"/>
  <c r="I86" i="10"/>
  <c r="H86" i="10"/>
  <c r="K85" i="10"/>
  <c r="J85" i="10"/>
  <c r="I85" i="10"/>
  <c r="H85" i="10"/>
  <c r="K84" i="10"/>
  <c r="J84" i="10"/>
  <c r="I84" i="10"/>
  <c r="H84" i="10"/>
  <c r="L84" i="10" s="1"/>
  <c r="G84" i="14" s="1"/>
  <c r="K83" i="10"/>
  <c r="J83" i="10"/>
  <c r="I83" i="10"/>
  <c r="H83" i="10"/>
  <c r="L83" i="10" s="1"/>
  <c r="G83" i="14" s="1"/>
  <c r="K82" i="10"/>
  <c r="J82" i="10"/>
  <c r="I82" i="10"/>
  <c r="H82" i="10"/>
  <c r="L82" i="10" s="1"/>
  <c r="G82" i="14" s="1"/>
  <c r="K81" i="10"/>
  <c r="J81" i="10"/>
  <c r="I81" i="10"/>
  <c r="H81" i="10"/>
  <c r="L81" i="10" s="1"/>
  <c r="G81" i="14" s="1"/>
  <c r="K80" i="10"/>
  <c r="J80" i="10"/>
  <c r="I80" i="10"/>
  <c r="H80" i="10"/>
  <c r="L80" i="10" s="1"/>
  <c r="G80" i="14" s="1"/>
  <c r="K79" i="10"/>
  <c r="J79" i="10"/>
  <c r="I79" i="10"/>
  <c r="H79" i="10"/>
  <c r="L79" i="10" s="1"/>
  <c r="G79" i="14" s="1"/>
  <c r="K78" i="10"/>
  <c r="J78" i="10"/>
  <c r="I78" i="10"/>
  <c r="H78" i="10"/>
  <c r="L78" i="10" s="1"/>
  <c r="G78" i="14" s="1"/>
  <c r="K77" i="10"/>
  <c r="J77" i="10"/>
  <c r="I77" i="10"/>
  <c r="H77" i="10"/>
  <c r="L77" i="10" s="1"/>
  <c r="G77" i="14" s="1"/>
  <c r="K76" i="10"/>
  <c r="J76" i="10"/>
  <c r="I76" i="10"/>
  <c r="H76" i="10"/>
  <c r="L76" i="10" s="1"/>
  <c r="G76" i="14" s="1"/>
  <c r="K75" i="10"/>
  <c r="J75" i="10"/>
  <c r="I75" i="10"/>
  <c r="H75" i="10"/>
  <c r="L75" i="10" s="1"/>
  <c r="G75" i="14" s="1"/>
  <c r="K74" i="10"/>
  <c r="J74" i="10"/>
  <c r="I74" i="10"/>
  <c r="H74" i="10"/>
  <c r="L74" i="10" s="1"/>
  <c r="G74" i="14" s="1"/>
  <c r="K73" i="10"/>
  <c r="J73" i="10"/>
  <c r="I73" i="10"/>
  <c r="H73" i="10"/>
  <c r="K72" i="10"/>
  <c r="J72" i="10"/>
  <c r="I72" i="10"/>
  <c r="H72" i="10"/>
  <c r="K71" i="10"/>
  <c r="J71" i="10"/>
  <c r="I71" i="10"/>
  <c r="H71" i="10"/>
  <c r="K70" i="10"/>
  <c r="J70" i="10"/>
  <c r="I70" i="10"/>
  <c r="H70" i="10"/>
  <c r="K69" i="10"/>
  <c r="J69" i="10"/>
  <c r="I69" i="10"/>
  <c r="H69" i="10"/>
  <c r="K68" i="10"/>
  <c r="J68" i="10"/>
  <c r="I68" i="10"/>
  <c r="H68" i="10"/>
  <c r="K67" i="10"/>
  <c r="J67" i="10"/>
  <c r="I67" i="10"/>
  <c r="H67" i="10"/>
  <c r="K66" i="10"/>
  <c r="J66" i="10"/>
  <c r="I66" i="10"/>
  <c r="H66" i="10"/>
  <c r="K65" i="10"/>
  <c r="J65" i="10"/>
  <c r="I65" i="10"/>
  <c r="H65" i="10"/>
  <c r="K64" i="10"/>
  <c r="J64" i="10"/>
  <c r="I64" i="10"/>
  <c r="H64" i="10"/>
  <c r="K63" i="10"/>
  <c r="J63" i="10"/>
  <c r="I63" i="10"/>
  <c r="H63" i="10"/>
  <c r="K62" i="10"/>
  <c r="J62" i="10"/>
  <c r="I62" i="10"/>
  <c r="H62" i="10"/>
  <c r="K61" i="10"/>
  <c r="J61" i="10"/>
  <c r="I61" i="10"/>
  <c r="H61" i="10"/>
  <c r="K60" i="10"/>
  <c r="J60" i="10"/>
  <c r="I60" i="10"/>
  <c r="H60" i="10"/>
  <c r="K59" i="10"/>
  <c r="J59" i="10"/>
  <c r="I59" i="10"/>
  <c r="H59" i="10"/>
  <c r="K58" i="10"/>
  <c r="J58" i="10"/>
  <c r="I58" i="10"/>
  <c r="H58" i="10"/>
  <c r="K57" i="10"/>
  <c r="J57" i="10"/>
  <c r="I57" i="10"/>
  <c r="H57" i="10"/>
  <c r="K56" i="10"/>
  <c r="J56" i="10"/>
  <c r="I56" i="10"/>
  <c r="H56" i="10"/>
  <c r="K55" i="10"/>
  <c r="J55" i="10"/>
  <c r="I55" i="10"/>
  <c r="H55" i="10"/>
  <c r="K54" i="10"/>
  <c r="J54" i="10"/>
  <c r="I54" i="10"/>
  <c r="H54" i="10"/>
  <c r="K53" i="10"/>
  <c r="J53" i="10"/>
  <c r="I53" i="10"/>
  <c r="H53" i="10"/>
  <c r="K52" i="10"/>
  <c r="J52" i="10"/>
  <c r="I52" i="10"/>
  <c r="H52" i="10"/>
  <c r="K51" i="10"/>
  <c r="J51" i="10"/>
  <c r="I51" i="10"/>
  <c r="H51" i="10"/>
  <c r="K50" i="10"/>
  <c r="J50" i="10"/>
  <c r="I50" i="10"/>
  <c r="H50" i="10"/>
  <c r="L50" i="10" s="1"/>
  <c r="G50" i="14" s="1"/>
  <c r="K49" i="10"/>
  <c r="J49" i="10"/>
  <c r="I49" i="10"/>
  <c r="H49" i="10"/>
  <c r="L49" i="10" s="1"/>
  <c r="G49" i="14" s="1"/>
  <c r="K48" i="10"/>
  <c r="J48" i="10"/>
  <c r="I48" i="10"/>
  <c r="H48" i="10"/>
  <c r="L48" i="10" s="1"/>
  <c r="G48" i="14" s="1"/>
  <c r="K47" i="10"/>
  <c r="J47" i="10"/>
  <c r="I47" i="10"/>
  <c r="H47" i="10"/>
  <c r="K46" i="10"/>
  <c r="J46" i="10"/>
  <c r="I46" i="10"/>
  <c r="H46" i="10"/>
  <c r="K45" i="10"/>
  <c r="J45" i="10"/>
  <c r="I45" i="10"/>
  <c r="H45" i="10"/>
  <c r="K44" i="10"/>
  <c r="J44" i="10"/>
  <c r="I44" i="10"/>
  <c r="H44" i="10"/>
  <c r="K43" i="10"/>
  <c r="J43" i="10"/>
  <c r="I43" i="10"/>
  <c r="H43" i="10"/>
  <c r="K42" i="10"/>
  <c r="J42" i="10"/>
  <c r="I42" i="10"/>
  <c r="H42" i="10"/>
  <c r="K41" i="10"/>
  <c r="J41" i="10"/>
  <c r="I41" i="10"/>
  <c r="H41" i="10"/>
  <c r="L41" i="10" s="1"/>
  <c r="G41" i="14" s="1"/>
  <c r="K40" i="10"/>
  <c r="J40" i="10"/>
  <c r="I40" i="10"/>
  <c r="H40" i="10"/>
  <c r="L40" i="10" s="1"/>
  <c r="G40" i="14" s="1"/>
  <c r="K39" i="10"/>
  <c r="J39" i="10"/>
  <c r="I39" i="10"/>
  <c r="H39" i="10"/>
  <c r="K38" i="10"/>
  <c r="J38" i="10"/>
  <c r="I38" i="10"/>
  <c r="H38" i="10"/>
  <c r="K37" i="10"/>
  <c r="J37" i="10"/>
  <c r="I37" i="10"/>
  <c r="H37" i="10"/>
  <c r="U288" i="9"/>
  <c r="T288" i="9"/>
  <c r="T287" i="9"/>
  <c r="T286" i="9"/>
  <c r="T285" i="9"/>
  <c r="T284" i="9"/>
  <c r="T283" i="9"/>
  <c r="T282" i="9"/>
  <c r="T281" i="9"/>
  <c r="U280" i="9"/>
  <c r="T280" i="9"/>
  <c r="U279" i="9"/>
  <c r="T279" i="9"/>
  <c r="U278" i="9"/>
  <c r="T278" i="9"/>
  <c r="U277" i="9"/>
  <c r="T277" i="9"/>
  <c r="U276" i="9"/>
  <c r="T276" i="9"/>
  <c r="U275" i="9"/>
  <c r="T275" i="9"/>
  <c r="U274" i="9"/>
  <c r="T274" i="9"/>
  <c r="W273" i="9"/>
  <c r="U273" i="9"/>
  <c r="T273" i="9"/>
  <c r="W272" i="9"/>
  <c r="U272" i="9"/>
  <c r="T272" i="9"/>
  <c r="W271" i="9"/>
  <c r="U271" i="9"/>
  <c r="T271" i="9"/>
  <c r="W270" i="9"/>
  <c r="U270" i="9"/>
  <c r="T270" i="9"/>
  <c r="W269" i="9"/>
  <c r="U269" i="9"/>
  <c r="T269" i="9"/>
  <c r="W268" i="9"/>
  <c r="U268" i="9"/>
  <c r="T268" i="9"/>
  <c r="W267" i="9"/>
  <c r="U267" i="9"/>
  <c r="T267" i="9"/>
  <c r="W266" i="9"/>
  <c r="U266" i="9"/>
  <c r="T266" i="9"/>
  <c r="W265" i="9"/>
  <c r="U265" i="9"/>
  <c r="T265" i="9"/>
  <c r="W264" i="9"/>
  <c r="U264" i="9"/>
  <c r="T264" i="9"/>
  <c r="W263" i="9"/>
  <c r="U263" i="9"/>
  <c r="T263" i="9"/>
  <c r="W262" i="9"/>
  <c r="U262" i="9"/>
  <c r="T262" i="9"/>
  <c r="W261" i="9"/>
  <c r="U261" i="9"/>
  <c r="T261" i="9"/>
  <c r="W260" i="9"/>
  <c r="U260" i="9"/>
  <c r="T260" i="9"/>
  <c r="W259" i="9"/>
  <c r="U259" i="9"/>
  <c r="T259" i="9"/>
  <c r="W258" i="9"/>
  <c r="U258" i="9"/>
  <c r="T258" i="9"/>
  <c r="W257" i="9"/>
  <c r="U257" i="9"/>
  <c r="T257" i="9"/>
  <c r="W256" i="9"/>
  <c r="U256" i="9"/>
  <c r="T256" i="9"/>
  <c r="W255" i="9"/>
  <c r="U255" i="9"/>
  <c r="T255" i="9"/>
  <c r="W254" i="9"/>
  <c r="U254" i="9"/>
  <c r="T254" i="9"/>
  <c r="W253" i="9"/>
  <c r="U253" i="9"/>
  <c r="W252" i="9"/>
  <c r="U252" i="9"/>
  <c r="T252" i="9"/>
  <c r="W251" i="9"/>
  <c r="U251" i="9"/>
  <c r="T251" i="9"/>
  <c r="W250" i="9"/>
  <c r="U250" i="9"/>
  <c r="T250" i="9"/>
  <c r="W249" i="9"/>
  <c r="U249" i="9"/>
  <c r="T249" i="9"/>
  <c r="W248" i="9"/>
  <c r="U248" i="9"/>
  <c r="T248" i="9"/>
  <c r="W247" i="9"/>
  <c r="U247" i="9"/>
  <c r="T247" i="9"/>
  <c r="W246" i="9"/>
  <c r="U246" i="9"/>
  <c r="T246" i="9"/>
  <c r="W245" i="9"/>
  <c r="U245" i="9"/>
  <c r="T245" i="9"/>
  <c r="W244" i="9"/>
  <c r="U244" i="9"/>
  <c r="T244" i="9"/>
  <c r="W243" i="9"/>
  <c r="U243" i="9"/>
  <c r="T243" i="9"/>
  <c r="W242" i="9"/>
  <c r="U242" i="9"/>
  <c r="T242" i="9"/>
  <c r="W241" i="9"/>
  <c r="U241" i="9"/>
  <c r="T241" i="9"/>
  <c r="W240" i="9"/>
  <c r="U240" i="9"/>
  <c r="T240" i="9"/>
  <c r="W239" i="9"/>
  <c r="U239" i="9"/>
  <c r="T239" i="9"/>
  <c r="W238" i="9"/>
  <c r="U238" i="9"/>
  <c r="T238" i="9"/>
  <c r="W237" i="9"/>
  <c r="U237" i="9"/>
  <c r="T237" i="9"/>
  <c r="W236" i="9"/>
  <c r="U236" i="9"/>
  <c r="T236" i="9"/>
  <c r="W235" i="9"/>
  <c r="U235" i="9"/>
  <c r="T235" i="9"/>
  <c r="W234" i="9"/>
  <c r="U234" i="9"/>
  <c r="T234" i="9"/>
  <c r="W233" i="9"/>
  <c r="U233" i="9"/>
  <c r="T233" i="9"/>
  <c r="W232" i="9"/>
  <c r="U232" i="9"/>
  <c r="T232" i="9"/>
  <c r="W231" i="9"/>
  <c r="U231" i="9"/>
  <c r="T231" i="9"/>
  <c r="W230" i="9"/>
  <c r="U230" i="9"/>
  <c r="T230" i="9"/>
  <c r="W229" i="9"/>
  <c r="U229" i="9"/>
  <c r="T229" i="9"/>
  <c r="W228" i="9"/>
  <c r="U228" i="9"/>
  <c r="T228" i="9"/>
  <c r="W227" i="9"/>
  <c r="U227" i="9"/>
  <c r="T227" i="9"/>
  <c r="W226" i="9"/>
  <c r="U226" i="9"/>
  <c r="T226" i="9"/>
  <c r="W225" i="9"/>
  <c r="U225" i="9"/>
  <c r="T225" i="9"/>
  <c r="W224" i="9"/>
  <c r="U224" i="9"/>
  <c r="T224" i="9"/>
  <c r="W223" i="9"/>
  <c r="U223" i="9"/>
  <c r="T223" i="9"/>
  <c r="W222" i="9"/>
  <c r="U222" i="9"/>
  <c r="T222" i="9"/>
  <c r="W221" i="9"/>
  <c r="U221" i="9"/>
  <c r="T221" i="9"/>
  <c r="W220" i="9"/>
  <c r="U220" i="9"/>
  <c r="T220" i="9"/>
  <c r="W219" i="9"/>
  <c r="U219" i="9"/>
  <c r="T219" i="9"/>
  <c r="W218" i="9"/>
  <c r="U218" i="9"/>
  <c r="T218" i="9"/>
  <c r="W217" i="9"/>
  <c r="U217" i="9"/>
  <c r="T217" i="9"/>
  <c r="W216" i="9"/>
  <c r="U216" i="9"/>
  <c r="T216" i="9"/>
  <c r="W215" i="9"/>
  <c r="U215" i="9"/>
  <c r="T215" i="9"/>
  <c r="W214" i="9"/>
  <c r="U214" i="9"/>
  <c r="T214" i="9"/>
  <c r="W213" i="9"/>
  <c r="U213" i="9"/>
  <c r="T213" i="9"/>
  <c r="W212" i="9"/>
  <c r="U212" i="9"/>
  <c r="T212" i="9"/>
  <c r="W211" i="9"/>
  <c r="U211" i="9"/>
  <c r="T211" i="9"/>
  <c r="W210" i="9"/>
  <c r="U210" i="9"/>
  <c r="T210" i="9"/>
  <c r="W209" i="9"/>
  <c r="U209" i="9"/>
  <c r="T209" i="9"/>
  <c r="W208" i="9"/>
  <c r="U208" i="9"/>
  <c r="T208" i="9"/>
  <c r="W207" i="9"/>
  <c r="U207" i="9"/>
  <c r="T207" i="9"/>
  <c r="W206" i="9"/>
  <c r="U206" i="9"/>
  <c r="T206" i="9"/>
  <c r="W205" i="9"/>
  <c r="U205" i="9"/>
  <c r="T205" i="9"/>
  <c r="W204" i="9"/>
  <c r="U204" i="9"/>
  <c r="T204" i="9"/>
  <c r="W203" i="9"/>
  <c r="U203" i="9"/>
  <c r="T203" i="9"/>
  <c r="W202" i="9"/>
  <c r="U202" i="9"/>
  <c r="T202" i="9"/>
  <c r="W201" i="9"/>
  <c r="U201" i="9"/>
  <c r="T201" i="9"/>
  <c r="W200" i="9"/>
  <c r="U200" i="9"/>
  <c r="T200" i="9"/>
  <c r="W199" i="9"/>
  <c r="U199" i="9"/>
  <c r="T199" i="9"/>
  <c r="W198" i="9"/>
  <c r="U198" i="9"/>
  <c r="T198" i="9"/>
  <c r="W197" i="9"/>
  <c r="U197" i="9"/>
  <c r="T197" i="9"/>
  <c r="W196" i="9"/>
  <c r="U196" i="9"/>
  <c r="T196" i="9"/>
  <c r="W195" i="9"/>
  <c r="U195" i="9"/>
  <c r="T195" i="9"/>
  <c r="W194" i="9"/>
  <c r="U194" i="9"/>
  <c r="T194" i="9"/>
  <c r="W193" i="9"/>
  <c r="U193" i="9"/>
  <c r="T193" i="9"/>
  <c r="W192" i="9"/>
  <c r="U192" i="9"/>
  <c r="T192" i="9"/>
  <c r="W191" i="9"/>
  <c r="U191" i="9"/>
  <c r="T191" i="9"/>
  <c r="W190" i="9"/>
  <c r="U190" i="9"/>
  <c r="T190" i="9"/>
  <c r="W189" i="9"/>
  <c r="U189" i="9"/>
  <c r="T189" i="9"/>
  <c r="W188" i="9"/>
  <c r="U188" i="9"/>
  <c r="T188" i="9"/>
  <c r="W187" i="9"/>
  <c r="U187" i="9"/>
  <c r="T187" i="9"/>
  <c r="W186" i="9"/>
  <c r="U186" i="9"/>
  <c r="T186" i="9"/>
  <c r="W185" i="9"/>
  <c r="U185" i="9"/>
  <c r="T185" i="9"/>
  <c r="W184" i="9"/>
  <c r="T184" i="9"/>
  <c r="U184" i="9" s="1"/>
  <c r="W183" i="9"/>
  <c r="T183" i="9"/>
  <c r="U183" i="9" s="1"/>
  <c r="W182" i="9"/>
  <c r="T182" i="9"/>
  <c r="U182" i="9" s="1"/>
  <c r="W181" i="9"/>
  <c r="T181" i="9"/>
  <c r="U181" i="9" s="1"/>
  <c r="W180" i="9"/>
  <c r="T180" i="9"/>
  <c r="U180" i="9" s="1"/>
  <c r="W179" i="9"/>
  <c r="T179" i="9"/>
  <c r="U179" i="9" s="1"/>
  <c r="W178" i="9"/>
  <c r="T178" i="9"/>
  <c r="U178" i="9" s="1"/>
  <c r="W177" i="9"/>
  <c r="T177" i="9"/>
  <c r="U177" i="9" s="1"/>
  <c r="K207" i="9"/>
  <c r="J207" i="9"/>
  <c r="I207" i="9"/>
  <c r="H207" i="9"/>
  <c r="W176" i="9"/>
  <c r="T176" i="9"/>
  <c r="U176" i="9" s="1"/>
  <c r="K206" i="9"/>
  <c r="J206" i="9"/>
  <c r="I206" i="9"/>
  <c r="H206" i="9"/>
  <c r="W175" i="9"/>
  <c r="T175" i="9"/>
  <c r="U175" i="9" s="1"/>
  <c r="K205" i="9"/>
  <c r="J205" i="9"/>
  <c r="I205" i="9"/>
  <c r="H205" i="9"/>
  <c r="W174" i="9"/>
  <c r="T174" i="9"/>
  <c r="U174" i="9" s="1"/>
  <c r="K204" i="9"/>
  <c r="J204" i="9"/>
  <c r="I204" i="9"/>
  <c r="H204" i="9"/>
  <c r="W173" i="9"/>
  <c r="T173" i="9"/>
  <c r="U173" i="9" s="1"/>
  <c r="K203" i="9"/>
  <c r="J203" i="9"/>
  <c r="I203" i="9"/>
  <c r="H203" i="9"/>
  <c r="W172" i="9"/>
  <c r="T172" i="9"/>
  <c r="U172" i="9" s="1"/>
  <c r="K202" i="9"/>
  <c r="J202" i="9"/>
  <c r="I202" i="9"/>
  <c r="H202" i="9"/>
  <c r="W171" i="9"/>
  <c r="T171" i="9"/>
  <c r="U171" i="9" s="1"/>
  <c r="K201" i="9"/>
  <c r="J201" i="9"/>
  <c r="I201" i="9"/>
  <c r="H201" i="9"/>
  <c r="W170" i="9"/>
  <c r="T170" i="9"/>
  <c r="U170" i="9" s="1"/>
  <c r="K200" i="9"/>
  <c r="J200" i="9"/>
  <c r="I200" i="9"/>
  <c r="H200" i="9"/>
  <c r="W169" i="9"/>
  <c r="T169" i="9"/>
  <c r="U169" i="9" s="1"/>
  <c r="K199" i="9"/>
  <c r="J199" i="9"/>
  <c r="I199" i="9"/>
  <c r="H199" i="9"/>
  <c r="W168" i="9"/>
  <c r="T168" i="9"/>
  <c r="U168" i="9" s="1"/>
  <c r="K198" i="9"/>
  <c r="J198" i="9"/>
  <c r="I198" i="9"/>
  <c r="H198" i="9"/>
  <c r="W167" i="9"/>
  <c r="T167" i="9"/>
  <c r="U167" i="9" s="1"/>
  <c r="K197" i="9"/>
  <c r="J197" i="9"/>
  <c r="I197" i="9"/>
  <c r="H197" i="9"/>
  <c r="W166" i="9"/>
  <c r="T166" i="9"/>
  <c r="U166" i="9" s="1"/>
  <c r="K196" i="9"/>
  <c r="J196" i="9"/>
  <c r="I196" i="9"/>
  <c r="H196" i="9"/>
  <c r="W165" i="9"/>
  <c r="T165" i="9"/>
  <c r="U165" i="9" s="1"/>
  <c r="K195" i="9"/>
  <c r="J195" i="9"/>
  <c r="I195" i="9"/>
  <c r="H195" i="9"/>
  <c r="W164" i="9"/>
  <c r="T164" i="9"/>
  <c r="U164" i="9" s="1"/>
  <c r="K194" i="9"/>
  <c r="J194" i="9"/>
  <c r="I194" i="9"/>
  <c r="H194" i="9"/>
  <c r="W163" i="9"/>
  <c r="T163" i="9"/>
  <c r="U163" i="9" s="1"/>
  <c r="K193" i="9"/>
  <c r="J193" i="9"/>
  <c r="I193" i="9"/>
  <c r="H193" i="9"/>
  <c r="W162" i="9"/>
  <c r="T162" i="9"/>
  <c r="U162" i="9" s="1"/>
  <c r="K192" i="9"/>
  <c r="J192" i="9"/>
  <c r="I192" i="9"/>
  <c r="H192" i="9"/>
  <c r="W161" i="9"/>
  <c r="T161" i="9"/>
  <c r="U161" i="9" s="1"/>
  <c r="K191" i="9"/>
  <c r="J191" i="9"/>
  <c r="I191" i="9"/>
  <c r="H191" i="9"/>
  <c r="W160" i="9"/>
  <c r="T160" i="9"/>
  <c r="U160" i="9" s="1"/>
  <c r="K190" i="9"/>
  <c r="J190" i="9"/>
  <c r="I190" i="9"/>
  <c r="H190" i="9"/>
  <c r="W159" i="9"/>
  <c r="T159" i="9"/>
  <c r="U159" i="9" s="1"/>
  <c r="K189" i="9"/>
  <c r="J189" i="9"/>
  <c r="I189" i="9"/>
  <c r="H189" i="9"/>
  <c r="W158" i="9"/>
  <c r="T158" i="9"/>
  <c r="U158" i="9" s="1"/>
  <c r="K188" i="9"/>
  <c r="J188" i="9"/>
  <c r="I188" i="9"/>
  <c r="H188" i="9"/>
  <c r="W157" i="9"/>
  <c r="T157" i="9"/>
  <c r="U157" i="9" s="1"/>
  <c r="K187" i="9"/>
  <c r="J187" i="9"/>
  <c r="I187" i="9"/>
  <c r="H187" i="9"/>
  <c r="W156" i="9"/>
  <c r="T156" i="9"/>
  <c r="U156" i="9" s="1"/>
  <c r="K186" i="9"/>
  <c r="J186" i="9"/>
  <c r="I186" i="9"/>
  <c r="H186" i="9"/>
  <c r="W155" i="9"/>
  <c r="T155" i="9"/>
  <c r="U155" i="9" s="1"/>
  <c r="K185" i="9"/>
  <c r="J185" i="9"/>
  <c r="I185" i="9"/>
  <c r="H185" i="9"/>
  <c r="L185" i="9" s="1"/>
  <c r="F187" i="14" s="1"/>
  <c r="W154" i="9"/>
  <c r="T154" i="9"/>
  <c r="U154" i="9" s="1"/>
  <c r="K184" i="9"/>
  <c r="J184" i="9"/>
  <c r="I184" i="9"/>
  <c r="H184" i="9"/>
  <c r="L184" i="9" s="1"/>
  <c r="F186" i="14" s="1"/>
  <c r="W153" i="9"/>
  <c r="T153" i="9"/>
  <c r="U153" i="9" s="1"/>
  <c r="K183" i="9"/>
  <c r="J183" i="9"/>
  <c r="I183" i="9"/>
  <c r="H183" i="9"/>
  <c r="L183" i="9" s="1"/>
  <c r="F185" i="14" s="1"/>
  <c r="W152" i="9"/>
  <c r="T152" i="9"/>
  <c r="U152" i="9" s="1"/>
  <c r="K182" i="9"/>
  <c r="J182" i="9"/>
  <c r="I182" i="9"/>
  <c r="H182" i="9"/>
  <c r="L182" i="9" s="1"/>
  <c r="F184" i="14" s="1"/>
  <c r="W151" i="9"/>
  <c r="T151" i="9"/>
  <c r="U151" i="9" s="1"/>
  <c r="K181" i="9"/>
  <c r="J181" i="9"/>
  <c r="I181" i="9"/>
  <c r="H181" i="9"/>
  <c r="L181" i="9" s="1"/>
  <c r="F183" i="14" s="1"/>
  <c r="W150" i="9"/>
  <c r="T150" i="9"/>
  <c r="U150" i="9" s="1"/>
  <c r="K180" i="9"/>
  <c r="J180" i="9"/>
  <c r="I180" i="9"/>
  <c r="H180" i="9"/>
  <c r="L180" i="9" s="1"/>
  <c r="F182" i="14" s="1"/>
  <c r="W149" i="9"/>
  <c r="T149" i="9"/>
  <c r="U149" i="9" s="1"/>
  <c r="K179" i="9"/>
  <c r="J179" i="9"/>
  <c r="I179" i="9"/>
  <c r="H179" i="9"/>
  <c r="L179" i="9" s="1"/>
  <c r="F181" i="14" s="1"/>
  <c r="W148" i="9"/>
  <c r="T148" i="9"/>
  <c r="U148" i="9" s="1"/>
  <c r="K178" i="9"/>
  <c r="J178" i="9"/>
  <c r="I178" i="9"/>
  <c r="H178" i="9"/>
  <c r="W147" i="9"/>
  <c r="T147" i="9"/>
  <c r="U147" i="9" s="1"/>
  <c r="K177" i="9"/>
  <c r="J177" i="9"/>
  <c r="I177" i="9"/>
  <c r="H177" i="9"/>
  <c r="W146" i="9"/>
  <c r="T146" i="9"/>
  <c r="U146" i="9" s="1"/>
  <c r="K176" i="9"/>
  <c r="J176" i="9"/>
  <c r="I176" i="9"/>
  <c r="H176" i="9"/>
  <c r="W145" i="9"/>
  <c r="T145" i="9"/>
  <c r="U145" i="9" s="1"/>
  <c r="K175" i="9"/>
  <c r="J175" i="9"/>
  <c r="I175" i="9"/>
  <c r="H175" i="9"/>
  <c r="W144" i="9"/>
  <c r="T144" i="9"/>
  <c r="U144" i="9" s="1"/>
  <c r="K174" i="9"/>
  <c r="J174" i="9"/>
  <c r="I174" i="9"/>
  <c r="H174" i="9"/>
  <c r="W143" i="9"/>
  <c r="T143" i="9"/>
  <c r="U143" i="9" s="1"/>
  <c r="K173" i="9"/>
  <c r="J173" i="9"/>
  <c r="I173" i="9"/>
  <c r="H173" i="9"/>
  <c r="W142" i="9"/>
  <c r="T142" i="9"/>
  <c r="U142" i="9" s="1"/>
  <c r="K172" i="9"/>
  <c r="J172" i="9"/>
  <c r="I172" i="9"/>
  <c r="H172" i="9"/>
  <c r="W141" i="9"/>
  <c r="T141" i="9"/>
  <c r="U141" i="9" s="1"/>
  <c r="K171" i="9"/>
  <c r="J171" i="9"/>
  <c r="I171" i="9"/>
  <c r="H171" i="9"/>
  <c r="W140" i="9"/>
  <c r="T140" i="9"/>
  <c r="U140" i="9" s="1"/>
  <c r="K170" i="9"/>
  <c r="J170" i="9"/>
  <c r="I170" i="9"/>
  <c r="H170" i="9"/>
  <c r="W139" i="9"/>
  <c r="T139" i="9"/>
  <c r="U139" i="9" s="1"/>
  <c r="K169" i="9"/>
  <c r="J169" i="9"/>
  <c r="I169" i="9"/>
  <c r="H169" i="9"/>
  <c r="W138" i="9"/>
  <c r="T138" i="9"/>
  <c r="U138" i="9" s="1"/>
  <c r="K168" i="9"/>
  <c r="J168" i="9"/>
  <c r="I168" i="9"/>
  <c r="H168" i="9"/>
  <c r="W137" i="9"/>
  <c r="T137" i="9"/>
  <c r="U137" i="9" s="1"/>
  <c r="K167" i="9"/>
  <c r="J167" i="9"/>
  <c r="I167" i="9"/>
  <c r="H167" i="9"/>
  <c r="W136" i="9"/>
  <c r="T136" i="9"/>
  <c r="U136" i="9" s="1"/>
  <c r="K166" i="9"/>
  <c r="J166" i="9"/>
  <c r="I166" i="9"/>
  <c r="H166" i="9"/>
  <c r="W135" i="9"/>
  <c r="T135" i="9"/>
  <c r="U135" i="9" s="1"/>
  <c r="K165" i="9"/>
  <c r="J165" i="9"/>
  <c r="I165" i="9"/>
  <c r="H165" i="9"/>
  <c r="W134" i="9"/>
  <c r="T134" i="9"/>
  <c r="U134" i="9" s="1"/>
  <c r="K164" i="9"/>
  <c r="J164" i="9"/>
  <c r="I164" i="9"/>
  <c r="H164" i="9"/>
  <c r="W133" i="9"/>
  <c r="T133" i="9"/>
  <c r="U133" i="9" s="1"/>
  <c r="K163" i="9"/>
  <c r="J163" i="9"/>
  <c r="I163" i="9"/>
  <c r="H163" i="9"/>
  <c r="W132" i="9"/>
  <c r="T132" i="9"/>
  <c r="U132" i="9" s="1"/>
  <c r="K162" i="9"/>
  <c r="J162" i="9"/>
  <c r="I162" i="9"/>
  <c r="H162" i="9"/>
  <c r="W131" i="9"/>
  <c r="T131" i="9"/>
  <c r="U131" i="9" s="1"/>
  <c r="K161" i="9"/>
  <c r="J161" i="9"/>
  <c r="I161" i="9"/>
  <c r="H161" i="9"/>
  <c r="W130" i="9"/>
  <c r="T130" i="9"/>
  <c r="U130" i="9" s="1"/>
  <c r="K160" i="9"/>
  <c r="J160" i="9"/>
  <c r="I160" i="9"/>
  <c r="H160" i="9"/>
  <c r="W129" i="9"/>
  <c r="T129" i="9"/>
  <c r="U129" i="9" s="1"/>
  <c r="K159" i="9"/>
  <c r="J159" i="9"/>
  <c r="I159" i="9"/>
  <c r="H159" i="9"/>
  <c r="W128" i="9"/>
  <c r="T128" i="9"/>
  <c r="U128" i="9" s="1"/>
  <c r="K158" i="9"/>
  <c r="J158" i="9"/>
  <c r="I158" i="9"/>
  <c r="H158" i="9"/>
  <c r="W127" i="9"/>
  <c r="T127" i="9"/>
  <c r="U127" i="9" s="1"/>
  <c r="K157" i="9"/>
  <c r="J157" i="9"/>
  <c r="I157" i="9"/>
  <c r="H157" i="9"/>
  <c r="W126" i="9"/>
  <c r="T126" i="9"/>
  <c r="U126" i="9" s="1"/>
  <c r="K156" i="9"/>
  <c r="J156" i="9"/>
  <c r="I156" i="9"/>
  <c r="H156" i="9"/>
  <c r="L156" i="9" s="1"/>
  <c r="F158" i="14" s="1"/>
  <c r="W125" i="9"/>
  <c r="T125" i="9"/>
  <c r="U125" i="9" s="1"/>
  <c r="K155" i="9"/>
  <c r="J155" i="9"/>
  <c r="I155" i="9"/>
  <c r="H155" i="9"/>
  <c r="L155" i="9" s="1"/>
  <c r="F157" i="14" s="1"/>
  <c r="W124" i="9"/>
  <c r="T124" i="9"/>
  <c r="U124" i="9" s="1"/>
  <c r="K154" i="9"/>
  <c r="J154" i="9"/>
  <c r="I154" i="9"/>
  <c r="H154" i="9"/>
  <c r="L154" i="9" s="1"/>
  <c r="F156" i="14" s="1"/>
  <c r="W123" i="9"/>
  <c r="T123" i="9"/>
  <c r="U123" i="9" s="1"/>
  <c r="K153" i="9"/>
  <c r="J153" i="9"/>
  <c r="I153" i="9"/>
  <c r="H153" i="9"/>
  <c r="L153" i="9" s="1"/>
  <c r="F155" i="14" s="1"/>
  <c r="W122" i="9"/>
  <c r="T122" i="9"/>
  <c r="U122" i="9" s="1"/>
  <c r="K152" i="9"/>
  <c r="J152" i="9"/>
  <c r="I152" i="9"/>
  <c r="H152" i="9"/>
  <c r="L152" i="9" s="1"/>
  <c r="F154" i="14" s="1"/>
  <c r="W121" i="9"/>
  <c r="T121" i="9"/>
  <c r="U121" i="9" s="1"/>
  <c r="K151" i="9"/>
  <c r="J151" i="9"/>
  <c r="I151" i="9"/>
  <c r="H151" i="9"/>
  <c r="L151" i="9" s="1"/>
  <c r="F153" i="14" s="1"/>
  <c r="W120" i="9"/>
  <c r="T120" i="9"/>
  <c r="U120" i="9" s="1"/>
  <c r="K150" i="9"/>
  <c r="J150" i="9"/>
  <c r="I150" i="9"/>
  <c r="H150" i="9"/>
  <c r="L150" i="9" s="1"/>
  <c r="F152" i="14" s="1"/>
  <c r="W119" i="9"/>
  <c r="T119" i="9"/>
  <c r="U119" i="9" s="1"/>
  <c r="K149" i="9"/>
  <c r="J149" i="9"/>
  <c r="I149" i="9"/>
  <c r="H149" i="9"/>
  <c r="L149" i="9" s="1"/>
  <c r="F151" i="14" s="1"/>
  <c r="W118" i="9"/>
  <c r="T118" i="9"/>
  <c r="U118" i="9" s="1"/>
  <c r="K148" i="9"/>
  <c r="J148" i="9"/>
  <c r="I148" i="9"/>
  <c r="H148" i="9"/>
  <c r="L148" i="9" s="1"/>
  <c r="F150" i="14" s="1"/>
  <c r="W117" i="9"/>
  <c r="T117" i="9"/>
  <c r="U117" i="9" s="1"/>
  <c r="K147" i="9"/>
  <c r="J147" i="9"/>
  <c r="I147" i="9"/>
  <c r="H147" i="9"/>
  <c r="L147" i="9" s="1"/>
  <c r="F149" i="14" s="1"/>
  <c r="W116" i="9"/>
  <c r="T116" i="9"/>
  <c r="U116" i="9" s="1"/>
  <c r="K146" i="9"/>
  <c r="J146" i="9"/>
  <c r="I146" i="9"/>
  <c r="H146" i="9"/>
  <c r="L146" i="9" s="1"/>
  <c r="F148" i="14" s="1"/>
  <c r="W115" i="9"/>
  <c r="T115" i="9"/>
  <c r="U115" i="9" s="1"/>
  <c r="K145" i="9"/>
  <c r="J145" i="9"/>
  <c r="I145" i="9"/>
  <c r="H145" i="9"/>
  <c r="L145" i="9" s="1"/>
  <c r="F147" i="14" s="1"/>
  <c r="W114" i="9"/>
  <c r="T114" i="9"/>
  <c r="U114" i="9" s="1"/>
  <c r="K144" i="9"/>
  <c r="J144" i="9"/>
  <c r="I144" i="9"/>
  <c r="H144" i="9"/>
  <c r="L144" i="9" s="1"/>
  <c r="F146" i="14" s="1"/>
  <c r="W113" i="9"/>
  <c r="T113" i="9"/>
  <c r="U113" i="9" s="1"/>
  <c r="K143" i="9"/>
  <c r="J143" i="9"/>
  <c r="I143" i="9"/>
  <c r="H143" i="9"/>
  <c r="L143" i="9" s="1"/>
  <c r="F145" i="14" s="1"/>
  <c r="W112" i="9"/>
  <c r="T112" i="9"/>
  <c r="U112" i="9" s="1"/>
  <c r="K142" i="9"/>
  <c r="J142" i="9"/>
  <c r="I142" i="9"/>
  <c r="H142" i="9"/>
  <c r="W111" i="9"/>
  <c r="T111" i="9"/>
  <c r="U111" i="9" s="1"/>
  <c r="K141" i="9"/>
  <c r="J141" i="9"/>
  <c r="I141" i="9"/>
  <c r="H141" i="9"/>
  <c r="W110" i="9"/>
  <c r="T110" i="9"/>
  <c r="U110" i="9" s="1"/>
  <c r="K140" i="9"/>
  <c r="J140" i="9"/>
  <c r="I140" i="9"/>
  <c r="H140" i="9"/>
  <c r="W109" i="9"/>
  <c r="T109" i="9"/>
  <c r="U109" i="9" s="1"/>
  <c r="K139" i="9"/>
  <c r="J139" i="9"/>
  <c r="I139" i="9"/>
  <c r="H139" i="9"/>
  <c r="W108" i="9"/>
  <c r="T108" i="9"/>
  <c r="U108" i="9" s="1"/>
  <c r="K138" i="9"/>
  <c r="J138" i="9"/>
  <c r="I138" i="9"/>
  <c r="H138" i="9"/>
  <c r="W107" i="9"/>
  <c r="T107" i="9"/>
  <c r="U107" i="9" s="1"/>
  <c r="K137" i="9"/>
  <c r="J137" i="9"/>
  <c r="I137" i="9"/>
  <c r="H137" i="9"/>
  <c r="W106" i="9"/>
  <c r="T106" i="9"/>
  <c r="U106" i="9" s="1"/>
  <c r="K136" i="9"/>
  <c r="J136" i="9"/>
  <c r="I136" i="9"/>
  <c r="H136" i="9"/>
  <c r="W105" i="9"/>
  <c r="T105" i="9"/>
  <c r="U105" i="9" s="1"/>
  <c r="K135" i="9"/>
  <c r="J135" i="9"/>
  <c r="I135" i="9"/>
  <c r="H135" i="9"/>
  <c r="W104" i="9"/>
  <c r="T104" i="9"/>
  <c r="U104" i="9" s="1"/>
  <c r="K134" i="9"/>
  <c r="J134" i="9"/>
  <c r="I134" i="9"/>
  <c r="H134" i="9"/>
  <c r="W103" i="9"/>
  <c r="T103" i="9"/>
  <c r="U103" i="9" s="1"/>
  <c r="K133" i="9"/>
  <c r="J133" i="9"/>
  <c r="I133" i="9"/>
  <c r="H133" i="9"/>
  <c r="W102" i="9"/>
  <c r="T102" i="9"/>
  <c r="U102" i="9" s="1"/>
  <c r="K132" i="9"/>
  <c r="J132" i="9"/>
  <c r="I132" i="9"/>
  <c r="H132" i="9"/>
  <c r="W101" i="9"/>
  <c r="T101" i="9"/>
  <c r="U101" i="9" s="1"/>
  <c r="K131" i="9"/>
  <c r="J131" i="9"/>
  <c r="I131" i="9"/>
  <c r="H131" i="9"/>
  <c r="W100" i="9"/>
  <c r="T100" i="9"/>
  <c r="U100" i="9" s="1"/>
  <c r="K130" i="9"/>
  <c r="J130" i="9"/>
  <c r="I130" i="9"/>
  <c r="H130" i="9"/>
  <c r="W99" i="9"/>
  <c r="T99" i="9"/>
  <c r="U99" i="9" s="1"/>
  <c r="K129" i="9"/>
  <c r="J129" i="9"/>
  <c r="I129" i="9"/>
  <c r="H129" i="9"/>
  <c r="W98" i="9"/>
  <c r="T98" i="9"/>
  <c r="U98" i="9" s="1"/>
  <c r="K128" i="9"/>
  <c r="J128" i="9"/>
  <c r="I128" i="9"/>
  <c r="H128" i="9"/>
  <c r="W97" i="9"/>
  <c r="T97" i="9"/>
  <c r="U97" i="9" s="1"/>
  <c r="K127" i="9"/>
  <c r="J127" i="9"/>
  <c r="I127" i="9"/>
  <c r="H127" i="9"/>
  <c r="W96" i="9"/>
  <c r="T96" i="9"/>
  <c r="U96" i="9" s="1"/>
  <c r="K126" i="9"/>
  <c r="J126" i="9"/>
  <c r="I126" i="9"/>
  <c r="H126" i="9"/>
  <c r="W95" i="9"/>
  <c r="T95" i="9"/>
  <c r="U95" i="9" s="1"/>
  <c r="K125" i="9"/>
  <c r="J125" i="9"/>
  <c r="I125" i="9"/>
  <c r="H125" i="9"/>
  <c r="W94" i="9"/>
  <c r="T94" i="9"/>
  <c r="U94" i="9" s="1"/>
  <c r="K124" i="9"/>
  <c r="J124" i="9"/>
  <c r="I124" i="9"/>
  <c r="H124" i="9"/>
  <c r="L124" i="9" s="1"/>
  <c r="F126" i="14" s="1"/>
  <c r="W93" i="9"/>
  <c r="T93" i="9"/>
  <c r="U93" i="9" s="1"/>
  <c r="K123" i="9"/>
  <c r="J123" i="9"/>
  <c r="I123" i="9"/>
  <c r="H123" i="9"/>
  <c r="W92" i="9"/>
  <c r="T92" i="9"/>
  <c r="U92" i="9" s="1"/>
  <c r="K122" i="9"/>
  <c r="J122" i="9"/>
  <c r="I122" i="9"/>
  <c r="H122" i="9"/>
  <c r="W91" i="9"/>
  <c r="T91" i="9"/>
  <c r="U91" i="9" s="1"/>
  <c r="K121" i="9"/>
  <c r="J121" i="9"/>
  <c r="I121" i="9"/>
  <c r="H121" i="9"/>
  <c r="W90" i="9"/>
  <c r="T90" i="9"/>
  <c r="U90" i="9" s="1"/>
  <c r="K120" i="9"/>
  <c r="J120" i="9"/>
  <c r="I120" i="9"/>
  <c r="H120" i="9"/>
  <c r="W89" i="9"/>
  <c r="T89" i="9"/>
  <c r="U89" i="9" s="1"/>
  <c r="K119" i="9"/>
  <c r="J119" i="9"/>
  <c r="I119" i="9"/>
  <c r="H119" i="9"/>
  <c r="W88" i="9"/>
  <c r="T88" i="9"/>
  <c r="U88" i="9" s="1"/>
  <c r="K118" i="9"/>
  <c r="J118" i="9"/>
  <c r="I118" i="9"/>
  <c r="H118" i="9"/>
  <c r="W87" i="9"/>
  <c r="T87" i="9"/>
  <c r="U87" i="9" s="1"/>
  <c r="K117" i="9"/>
  <c r="J117" i="9"/>
  <c r="I117" i="9"/>
  <c r="H117" i="9"/>
  <c r="W86" i="9"/>
  <c r="T86" i="9"/>
  <c r="U86" i="9" s="1"/>
  <c r="K116" i="9"/>
  <c r="J116" i="9"/>
  <c r="I116" i="9"/>
  <c r="H116" i="9"/>
  <c r="W85" i="9"/>
  <c r="T85" i="9"/>
  <c r="U85" i="9" s="1"/>
  <c r="K115" i="9"/>
  <c r="J115" i="9"/>
  <c r="I115" i="9"/>
  <c r="H115" i="9"/>
  <c r="W84" i="9"/>
  <c r="T84" i="9"/>
  <c r="U84" i="9" s="1"/>
  <c r="K114" i="9"/>
  <c r="J114" i="9"/>
  <c r="I114" i="9"/>
  <c r="H114" i="9"/>
  <c r="W83" i="9"/>
  <c r="T83" i="9"/>
  <c r="U83" i="9" s="1"/>
  <c r="K113" i="9"/>
  <c r="J113" i="9"/>
  <c r="I113" i="9"/>
  <c r="H113" i="9"/>
  <c r="W82" i="9"/>
  <c r="T82" i="9"/>
  <c r="U82" i="9" s="1"/>
  <c r="K112" i="9"/>
  <c r="J112" i="9"/>
  <c r="I112" i="9"/>
  <c r="H112" i="9"/>
  <c r="W81" i="9"/>
  <c r="T81" i="9"/>
  <c r="U81" i="9" s="1"/>
  <c r="K111" i="9"/>
  <c r="J111" i="9"/>
  <c r="I111" i="9"/>
  <c r="H111" i="9"/>
  <c r="W80" i="9"/>
  <c r="T80" i="9"/>
  <c r="U80" i="9" s="1"/>
  <c r="K110" i="9"/>
  <c r="J110" i="9"/>
  <c r="I110" i="9"/>
  <c r="H110" i="9"/>
  <c r="W79" i="9"/>
  <c r="T79" i="9"/>
  <c r="U79" i="9" s="1"/>
  <c r="K109" i="9"/>
  <c r="J109" i="9"/>
  <c r="I109" i="9"/>
  <c r="H109" i="9"/>
  <c r="W78" i="9"/>
  <c r="T78" i="9"/>
  <c r="U78" i="9" s="1"/>
  <c r="K108" i="9"/>
  <c r="J108" i="9"/>
  <c r="I108" i="9"/>
  <c r="H108" i="9"/>
  <c r="L108" i="9" s="1"/>
  <c r="F110" i="14" s="1"/>
  <c r="W77" i="9"/>
  <c r="T77" i="9"/>
  <c r="U77" i="9" s="1"/>
  <c r="K107" i="9"/>
  <c r="J107" i="9"/>
  <c r="I107" i="9"/>
  <c r="H107" i="9"/>
  <c r="L107" i="9" s="1"/>
  <c r="F109" i="14" s="1"/>
  <c r="W76" i="9"/>
  <c r="T76" i="9"/>
  <c r="U76" i="9" s="1"/>
  <c r="K106" i="9"/>
  <c r="J106" i="9"/>
  <c r="I106" i="9"/>
  <c r="H106" i="9"/>
  <c r="L106" i="9" s="1"/>
  <c r="F108" i="14" s="1"/>
  <c r="W75" i="9"/>
  <c r="T75" i="9"/>
  <c r="U75" i="9" s="1"/>
  <c r="K105" i="9"/>
  <c r="J105" i="9"/>
  <c r="I105" i="9"/>
  <c r="H105" i="9"/>
  <c r="L105" i="9" s="1"/>
  <c r="F107" i="14" s="1"/>
  <c r="W74" i="9"/>
  <c r="T74" i="9"/>
  <c r="U74" i="9" s="1"/>
  <c r="K104" i="9"/>
  <c r="J104" i="9"/>
  <c r="I104" i="9"/>
  <c r="H104" i="9"/>
  <c r="L104" i="9" s="1"/>
  <c r="F106" i="14" s="1"/>
  <c r="W73" i="9"/>
  <c r="T73" i="9"/>
  <c r="U73" i="9" s="1"/>
  <c r="K103" i="9"/>
  <c r="J103" i="9"/>
  <c r="I103" i="9"/>
  <c r="H103" i="9"/>
  <c r="L103" i="9" s="1"/>
  <c r="F105" i="14" s="1"/>
  <c r="W72" i="9"/>
  <c r="T72" i="9"/>
  <c r="U72" i="9" s="1"/>
  <c r="K102" i="9"/>
  <c r="J102" i="9"/>
  <c r="I102" i="9"/>
  <c r="H102" i="9"/>
  <c r="L102" i="9" s="1"/>
  <c r="F104" i="14" s="1"/>
  <c r="W71" i="9"/>
  <c r="T71" i="9"/>
  <c r="U71" i="9" s="1"/>
  <c r="K101" i="9"/>
  <c r="J101" i="9"/>
  <c r="I101" i="9"/>
  <c r="H101" i="9"/>
  <c r="L101" i="9" s="1"/>
  <c r="F103" i="14" s="1"/>
  <c r="W70" i="9"/>
  <c r="T70" i="9"/>
  <c r="U70" i="9" s="1"/>
  <c r="K100" i="9"/>
  <c r="J100" i="9"/>
  <c r="I100" i="9"/>
  <c r="H100" i="9"/>
  <c r="L100" i="9" s="1"/>
  <c r="F102" i="14" s="1"/>
  <c r="W69" i="9"/>
  <c r="T69" i="9"/>
  <c r="U69" i="9" s="1"/>
  <c r="K99" i="9"/>
  <c r="J99" i="9"/>
  <c r="I99" i="9"/>
  <c r="H99" i="9"/>
  <c r="W68" i="9"/>
  <c r="T68" i="9"/>
  <c r="U68" i="9" s="1"/>
  <c r="K98" i="9"/>
  <c r="J98" i="9"/>
  <c r="I98" i="9"/>
  <c r="H98" i="9"/>
  <c r="L98" i="9" s="1"/>
  <c r="F100" i="14" s="1"/>
  <c r="W67" i="9"/>
  <c r="T67" i="9"/>
  <c r="U67" i="9" s="1"/>
  <c r="K97" i="9"/>
  <c r="J97" i="9"/>
  <c r="I97" i="9"/>
  <c r="H97" i="9"/>
  <c r="W66" i="9"/>
  <c r="T66" i="9"/>
  <c r="U66" i="9" s="1"/>
  <c r="K96" i="9"/>
  <c r="J96" i="9"/>
  <c r="I96" i="9"/>
  <c r="H96" i="9"/>
  <c r="W65" i="9"/>
  <c r="T65" i="9"/>
  <c r="U65" i="9" s="1"/>
  <c r="K95" i="9"/>
  <c r="J95" i="9"/>
  <c r="I95" i="9"/>
  <c r="H95" i="9"/>
  <c r="W64" i="9"/>
  <c r="T64" i="9"/>
  <c r="U64" i="9" s="1"/>
  <c r="K94" i="9"/>
  <c r="J94" i="9"/>
  <c r="I94" i="9"/>
  <c r="H94" i="9"/>
  <c r="L94" i="9" s="1"/>
  <c r="F96" i="14" s="1"/>
  <c r="W63" i="9"/>
  <c r="T63" i="9"/>
  <c r="U63" i="9" s="1"/>
  <c r="K93" i="9"/>
  <c r="J93" i="9"/>
  <c r="I93" i="9"/>
  <c r="H93" i="9"/>
  <c r="W62" i="9"/>
  <c r="T62" i="9"/>
  <c r="U62" i="9" s="1"/>
  <c r="K92" i="9"/>
  <c r="J92" i="9"/>
  <c r="I92" i="9"/>
  <c r="H92" i="9"/>
  <c r="W61" i="9"/>
  <c r="T61" i="9"/>
  <c r="U61" i="9" s="1"/>
  <c r="K91" i="9"/>
  <c r="J91" i="9"/>
  <c r="I91" i="9"/>
  <c r="H91" i="9"/>
  <c r="W60" i="9"/>
  <c r="T60" i="9"/>
  <c r="U60" i="9" s="1"/>
  <c r="K90" i="9"/>
  <c r="J90" i="9"/>
  <c r="I90" i="9"/>
  <c r="H90" i="9"/>
  <c r="W59" i="9"/>
  <c r="T59" i="9"/>
  <c r="U59" i="9" s="1"/>
  <c r="K89" i="9"/>
  <c r="J89" i="9"/>
  <c r="I89" i="9"/>
  <c r="H89" i="9"/>
  <c r="W58" i="9"/>
  <c r="T58" i="9"/>
  <c r="U58" i="9" s="1"/>
  <c r="K88" i="9"/>
  <c r="J88" i="9"/>
  <c r="I88" i="9"/>
  <c r="H88" i="9"/>
  <c r="W57" i="9"/>
  <c r="T57" i="9"/>
  <c r="U57" i="9" s="1"/>
  <c r="K87" i="9"/>
  <c r="J87" i="9"/>
  <c r="I87" i="9"/>
  <c r="H87" i="9"/>
  <c r="W56" i="9"/>
  <c r="T56" i="9"/>
  <c r="U56" i="9" s="1"/>
  <c r="K86" i="9"/>
  <c r="J86" i="9"/>
  <c r="I86" i="9"/>
  <c r="H86" i="9"/>
  <c r="W55" i="9"/>
  <c r="T55" i="9"/>
  <c r="U55" i="9" s="1"/>
  <c r="K85" i="9"/>
  <c r="J85" i="9"/>
  <c r="I85" i="9"/>
  <c r="H85" i="9"/>
  <c r="W54" i="9"/>
  <c r="T54" i="9"/>
  <c r="U54" i="9" s="1"/>
  <c r="K84" i="9"/>
  <c r="J84" i="9"/>
  <c r="I84" i="9"/>
  <c r="H84" i="9"/>
  <c r="W53" i="9"/>
  <c r="T53" i="9"/>
  <c r="U53" i="9" s="1"/>
  <c r="K83" i="9"/>
  <c r="J83" i="9"/>
  <c r="I83" i="9"/>
  <c r="H83" i="9"/>
  <c r="W52" i="9"/>
  <c r="T52" i="9"/>
  <c r="U52" i="9" s="1"/>
  <c r="K82" i="9"/>
  <c r="J82" i="9"/>
  <c r="I82" i="9"/>
  <c r="H82" i="9"/>
  <c r="W51" i="9"/>
  <c r="T51" i="9"/>
  <c r="U51" i="9" s="1"/>
  <c r="K81" i="9"/>
  <c r="J81" i="9"/>
  <c r="I81" i="9"/>
  <c r="H81" i="9"/>
  <c r="W50" i="9"/>
  <c r="T50" i="9"/>
  <c r="U50" i="9" s="1"/>
  <c r="K80" i="9"/>
  <c r="J80" i="9"/>
  <c r="I80" i="9"/>
  <c r="H80" i="9"/>
  <c r="W49" i="9"/>
  <c r="T49" i="9"/>
  <c r="U49" i="9" s="1"/>
  <c r="K79" i="9"/>
  <c r="J79" i="9"/>
  <c r="I79" i="9"/>
  <c r="H79" i="9"/>
  <c r="W48" i="9"/>
  <c r="T48" i="9"/>
  <c r="U48" i="9" s="1"/>
  <c r="K78" i="9"/>
  <c r="J78" i="9"/>
  <c r="I78" i="9"/>
  <c r="H78" i="9"/>
  <c r="L78" i="9" s="1"/>
  <c r="F80" i="14" s="1"/>
  <c r="W47" i="9"/>
  <c r="T47" i="9"/>
  <c r="U47" i="9" s="1"/>
  <c r="K77" i="9"/>
  <c r="J77" i="9"/>
  <c r="I77" i="9"/>
  <c r="H77" i="9"/>
  <c r="W46" i="9"/>
  <c r="T46" i="9"/>
  <c r="U46" i="9" s="1"/>
  <c r="K76" i="9"/>
  <c r="J76" i="9"/>
  <c r="I76" i="9"/>
  <c r="H76" i="9"/>
  <c r="L76" i="9" s="1"/>
  <c r="F78" i="14" s="1"/>
  <c r="W45" i="9"/>
  <c r="T45" i="9"/>
  <c r="U45" i="9" s="1"/>
  <c r="K75" i="9"/>
  <c r="J75" i="9"/>
  <c r="I75" i="9"/>
  <c r="H75" i="9"/>
  <c r="L75" i="9" s="1"/>
  <c r="F77" i="14" s="1"/>
  <c r="W44" i="9"/>
  <c r="T44" i="9"/>
  <c r="U44" i="9" s="1"/>
  <c r="K74" i="9"/>
  <c r="J74" i="9"/>
  <c r="I74" i="9"/>
  <c r="H74" i="9"/>
  <c r="L74" i="9" s="1"/>
  <c r="F76" i="14" s="1"/>
  <c r="W43" i="9"/>
  <c r="T43" i="9"/>
  <c r="U43" i="9" s="1"/>
  <c r="K73" i="9"/>
  <c r="J73" i="9"/>
  <c r="I73" i="9"/>
  <c r="H73" i="9"/>
  <c r="L73" i="9" s="1"/>
  <c r="F75" i="14" s="1"/>
  <c r="W42" i="9"/>
  <c r="T42" i="9"/>
  <c r="U42" i="9" s="1"/>
  <c r="K72" i="9"/>
  <c r="J72" i="9"/>
  <c r="I72" i="9"/>
  <c r="H72" i="9"/>
  <c r="L72" i="9" s="1"/>
  <c r="F74" i="14" s="1"/>
  <c r="W41" i="9"/>
  <c r="T41" i="9"/>
  <c r="U41" i="9" s="1"/>
  <c r="K71" i="9"/>
  <c r="J71" i="9"/>
  <c r="I71" i="9"/>
  <c r="H71" i="9"/>
  <c r="L71" i="9" s="1"/>
  <c r="F73" i="14" s="1"/>
  <c r="W40" i="9"/>
  <c r="T40" i="9"/>
  <c r="U40" i="9" s="1"/>
  <c r="K70" i="9"/>
  <c r="J70" i="9"/>
  <c r="I70" i="9"/>
  <c r="H70" i="9"/>
  <c r="L70" i="9" s="1"/>
  <c r="W39" i="9"/>
  <c r="T39" i="9"/>
  <c r="U39" i="9" s="1"/>
  <c r="K69" i="9"/>
  <c r="J69" i="9"/>
  <c r="I69" i="9"/>
  <c r="H69" i="9"/>
  <c r="L69" i="9" s="1"/>
  <c r="F71" i="14" s="1"/>
  <c r="W38" i="9"/>
  <c r="T38" i="9"/>
  <c r="U38" i="9" s="1"/>
  <c r="K68" i="9"/>
  <c r="J68" i="9"/>
  <c r="I68" i="9"/>
  <c r="H68" i="9"/>
  <c r="L68" i="9" s="1"/>
  <c r="F70" i="14" s="1"/>
  <c r="W37" i="9"/>
  <c r="T37" i="9"/>
  <c r="U37" i="9" s="1"/>
  <c r="K67" i="9"/>
  <c r="J67" i="9"/>
  <c r="I67" i="9"/>
  <c r="H67" i="9"/>
  <c r="L67" i="9" s="1"/>
  <c r="F69" i="14" s="1"/>
  <c r="W36" i="9"/>
  <c r="T36" i="9"/>
  <c r="U36" i="9" s="1"/>
  <c r="K66" i="9"/>
  <c r="J66" i="9"/>
  <c r="I66" i="9"/>
  <c r="H66" i="9"/>
  <c r="L66" i="9" s="1"/>
  <c r="F68" i="14" s="1"/>
  <c r="W35" i="9"/>
  <c r="T35" i="9"/>
  <c r="U35" i="9" s="1"/>
  <c r="K65" i="9"/>
  <c r="J65" i="9"/>
  <c r="I65" i="9"/>
  <c r="H65" i="9"/>
  <c r="L65" i="9" s="1"/>
  <c r="F67" i="14" s="1"/>
  <c r="W34" i="9"/>
  <c r="T34" i="9"/>
  <c r="U34" i="9" s="1"/>
  <c r="K64" i="9"/>
  <c r="J64" i="9"/>
  <c r="I64" i="9"/>
  <c r="H64" i="9"/>
  <c r="L64" i="9" s="1"/>
  <c r="F66" i="14" s="1"/>
  <c r="W33" i="9"/>
  <c r="T33" i="9"/>
  <c r="U33" i="9" s="1"/>
  <c r="K63" i="9"/>
  <c r="J63" i="9"/>
  <c r="I63" i="9"/>
  <c r="H63" i="9"/>
  <c r="L63" i="9" s="1"/>
  <c r="F65" i="14" s="1"/>
  <c r="W32" i="9"/>
  <c r="T32" i="9"/>
  <c r="U32" i="9" s="1"/>
  <c r="K62" i="9"/>
  <c r="J62" i="9"/>
  <c r="I62" i="9"/>
  <c r="H62" i="9"/>
  <c r="L62" i="9" s="1"/>
  <c r="F64" i="14" s="1"/>
  <c r="W31" i="9"/>
  <c r="T31" i="9"/>
  <c r="U31" i="9" s="1"/>
  <c r="K61" i="9"/>
  <c r="J61" i="9"/>
  <c r="I61" i="9"/>
  <c r="H61" i="9"/>
  <c r="L61" i="9" s="1"/>
  <c r="F63" i="14" s="1"/>
  <c r="W30" i="9"/>
  <c r="T30" i="9"/>
  <c r="U30" i="9" s="1"/>
  <c r="K60" i="9"/>
  <c r="J60" i="9"/>
  <c r="I60" i="9"/>
  <c r="H60" i="9"/>
  <c r="L60" i="9" s="1"/>
  <c r="F62" i="14" s="1"/>
  <c r="W29" i="9"/>
  <c r="T29" i="9"/>
  <c r="U29" i="9" s="1"/>
  <c r="K59" i="9"/>
  <c r="J59" i="9"/>
  <c r="I59" i="9"/>
  <c r="H59" i="9"/>
  <c r="L59" i="9" s="1"/>
  <c r="F61" i="14" s="1"/>
  <c r="W28" i="9"/>
  <c r="T28" i="9"/>
  <c r="U28" i="9" s="1"/>
  <c r="K58" i="9"/>
  <c r="J58" i="9"/>
  <c r="I58" i="9"/>
  <c r="H58" i="9"/>
  <c r="L58" i="9" s="1"/>
  <c r="F60" i="14" s="1"/>
  <c r="W27" i="9"/>
  <c r="T27" i="9"/>
  <c r="U27" i="9" s="1"/>
  <c r="K57" i="9"/>
  <c r="J57" i="9"/>
  <c r="I57" i="9"/>
  <c r="H57" i="9"/>
  <c r="L57" i="9" s="1"/>
  <c r="F59" i="14" s="1"/>
  <c r="W26" i="9"/>
  <c r="T26" i="9"/>
  <c r="U26" i="9" s="1"/>
  <c r="K56" i="9"/>
  <c r="J56" i="9"/>
  <c r="I56" i="9"/>
  <c r="H56" i="9"/>
  <c r="L56" i="9" s="1"/>
  <c r="F58" i="14" s="1"/>
  <c r="W25" i="9"/>
  <c r="T25" i="9"/>
  <c r="U25" i="9" s="1"/>
  <c r="K55" i="9"/>
  <c r="J55" i="9"/>
  <c r="I55" i="9"/>
  <c r="H55" i="9"/>
  <c r="L55" i="9" s="1"/>
  <c r="F57" i="14" s="1"/>
  <c r="W24" i="9"/>
  <c r="T24" i="9"/>
  <c r="U24" i="9" s="1"/>
  <c r="K54" i="9"/>
  <c r="J54" i="9"/>
  <c r="I54" i="9"/>
  <c r="H54" i="9"/>
  <c r="L54" i="9" s="1"/>
  <c r="F56" i="14" s="1"/>
  <c r="W23" i="9"/>
  <c r="T23" i="9"/>
  <c r="U23" i="9" s="1"/>
  <c r="K53" i="9"/>
  <c r="J53" i="9"/>
  <c r="I53" i="9"/>
  <c r="H53" i="9"/>
  <c r="L53" i="9" s="1"/>
  <c r="F55" i="14" s="1"/>
  <c r="W22" i="9"/>
  <c r="T22" i="9"/>
  <c r="U22" i="9" s="1"/>
  <c r="K52" i="9"/>
  <c r="J52" i="9"/>
  <c r="I52" i="9"/>
  <c r="H52" i="9"/>
  <c r="L52" i="9" s="1"/>
  <c r="F54" i="14" s="1"/>
  <c r="W21" i="9"/>
  <c r="T21" i="9"/>
  <c r="U21" i="9" s="1"/>
  <c r="K51" i="9"/>
  <c r="J51" i="9"/>
  <c r="I51" i="9"/>
  <c r="H51" i="9"/>
  <c r="L51" i="9" s="1"/>
  <c r="F53" i="14" s="1"/>
  <c r="W20" i="9"/>
  <c r="T20" i="9"/>
  <c r="U20" i="9" s="1"/>
  <c r="K50" i="9"/>
  <c r="J50" i="9"/>
  <c r="I50" i="9"/>
  <c r="H50" i="9"/>
  <c r="L50" i="9" s="1"/>
  <c r="F52" i="14" s="1"/>
  <c r="W19" i="9"/>
  <c r="T19" i="9"/>
  <c r="U19" i="9" s="1"/>
  <c r="K49" i="9"/>
  <c r="J49" i="9"/>
  <c r="I49" i="9"/>
  <c r="H49" i="9"/>
  <c r="L49" i="9" s="1"/>
  <c r="F51" i="14" s="1"/>
  <c r="W18" i="9"/>
  <c r="T18" i="9"/>
  <c r="U18" i="9" s="1"/>
  <c r="K48" i="9"/>
  <c r="J48" i="9"/>
  <c r="I48" i="9"/>
  <c r="H48" i="9"/>
  <c r="L48" i="9" s="1"/>
  <c r="F50" i="14" s="1"/>
  <c r="W17" i="9"/>
  <c r="T17" i="9"/>
  <c r="U17" i="9" s="1"/>
  <c r="K47" i="9"/>
  <c r="J47" i="9"/>
  <c r="I47" i="9"/>
  <c r="H47" i="9"/>
  <c r="L47" i="9" s="1"/>
  <c r="F49" i="14" s="1"/>
  <c r="W16" i="9"/>
  <c r="T16" i="9"/>
  <c r="U16" i="9" s="1"/>
  <c r="K46" i="9"/>
  <c r="J46" i="9"/>
  <c r="I46" i="9"/>
  <c r="H46" i="9"/>
  <c r="L46" i="9" s="1"/>
  <c r="F48" i="14" s="1"/>
  <c r="W15" i="9"/>
  <c r="T15" i="9"/>
  <c r="U15" i="9" s="1"/>
  <c r="K45" i="9"/>
  <c r="J45" i="9"/>
  <c r="I45" i="9"/>
  <c r="H45" i="9"/>
  <c r="L45" i="9" s="1"/>
  <c r="F47" i="14" s="1"/>
  <c r="W14" i="9"/>
  <c r="T14" i="9"/>
  <c r="U14" i="9" s="1"/>
  <c r="K44" i="9"/>
  <c r="J44" i="9"/>
  <c r="I44" i="9"/>
  <c r="H44" i="9"/>
  <c r="L44" i="9" s="1"/>
  <c r="F46" i="14" s="1"/>
  <c r="W13" i="9"/>
  <c r="T13" i="9"/>
  <c r="U13" i="9" s="1"/>
  <c r="K43" i="9"/>
  <c r="J43" i="9"/>
  <c r="I43" i="9"/>
  <c r="H43" i="9"/>
  <c r="L43" i="9" s="1"/>
  <c r="F45" i="14" s="1"/>
  <c r="W12" i="9"/>
  <c r="T12" i="9"/>
  <c r="U12" i="9" s="1"/>
  <c r="K42" i="9"/>
  <c r="J42" i="9"/>
  <c r="I42" i="9"/>
  <c r="H42" i="9"/>
  <c r="L42" i="9" s="1"/>
  <c r="F44" i="14" s="1"/>
  <c r="W11" i="9"/>
  <c r="T11" i="9"/>
  <c r="U11" i="9" s="1"/>
  <c r="K41" i="9"/>
  <c r="J41" i="9"/>
  <c r="I41" i="9"/>
  <c r="H41" i="9"/>
  <c r="L41" i="9" s="1"/>
  <c r="F43" i="14" s="1"/>
  <c r="W10" i="9"/>
  <c r="T10" i="9"/>
  <c r="U10" i="9" s="1"/>
  <c r="K40" i="9"/>
  <c r="J40" i="9"/>
  <c r="I40" i="9"/>
  <c r="H40" i="9"/>
  <c r="L40" i="9" s="1"/>
  <c r="F42" i="14" s="1"/>
  <c r="W9" i="9"/>
  <c r="T9" i="9"/>
  <c r="U9" i="9" s="1"/>
  <c r="K39" i="9"/>
  <c r="J39" i="9"/>
  <c r="I39" i="9"/>
  <c r="H39" i="9"/>
  <c r="L39" i="9" s="1"/>
  <c r="F41" i="14" s="1"/>
  <c r="W8" i="9"/>
  <c r="T8" i="9"/>
  <c r="U8" i="9" s="1"/>
  <c r="K38" i="9"/>
  <c r="J38" i="9"/>
  <c r="I38" i="9"/>
  <c r="H38" i="9"/>
  <c r="L38" i="9" s="1"/>
  <c r="F40" i="14" s="1"/>
  <c r="W7" i="9"/>
  <c r="T7" i="9"/>
  <c r="U7" i="9" s="1"/>
  <c r="K37" i="9"/>
  <c r="J37" i="9"/>
  <c r="I37" i="9"/>
  <c r="H37" i="9"/>
  <c r="L37" i="9" s="1"/>
  <c r="F39" i="14" s="1"/>
  <c r="W6" i="9"/>
  <c r="T6" i="9"/>
  <c r="U6" i="9" s="1"/>
  <c r="V17" i="9" s="1"/>
  <c r="K36" i="9"/>
  <c r="J36" i="9"/>
  <c r="I36" i="9"/>
  <c r="H36" i="9"/>
  <c r="W5" i="9"/>
  <c r="T5" i="9"/>
  <c r="U5" i="9" s="1"/>
  <c r="V16" i="9" s="1"/>
  <c r="K35" i="9"/>
  <c r="J35" i="9"/>
  <c r="I35" i="9"/>
  <c r="H35" i="9"/>
  <c r="L35" i="9" s="1"/>
  <c r="F37" i="14" s="1"/>
  <c r="E381" i="14"/>
  <c r="D381" i="14"/>
  <c r="E380" i="14"/>
  <c r="D380" i="14"/>
  <c r="E379" i="14"/>
  <c r="D379" i="14"/>
  <c r="E378" i="14"/>
  <c r="D378" i="14"/>
  <c r="E377" i="14"/>
  <c r="D377" i="14"/>
  <c r="E376" i="14"/>
  <c r="D376" i="14"/>
  <c r="E375" i="14"/>
  <c r="D375" i="14"/>
  <c r="E374" i="14"/>
  <c r="D374" i="14"/>
  <c r="E373" i="14"/>
  <c r="D373" i="14"/>
  <c r="E372" i="14"/>
  <c r="D372" i="14"/>
  <c r="E371" i="14"/>
  <c r="D371" i="14"/>
  <c r="E370" i="14"/>
  <c r="D370" i="14"/>
  <c r="E369" i="14"/>
  <c r="D369" i="14"/>
  <c r="E368" i="14"/>
  <c r="D368" i="14"/>
  <c r="E367" i="14"/>
  <c r="D367" i="14"/>
  <c r="E366" i="14"/>
  <c r="D366" i="14"/>
  <c r="E365" i="14"/>
  <c r="D365" i="14"/>
  <c r="E364" i="14"/>
  <c r="D364" i="14"/>
  <c r="E363" i="14"/>
  <c r="D363" i="14"/>
  <c r="E362" i="14"/>
  <c r="D362" i="14"/>
  <c r="E361" i="14"/>
  <c r="D361" i="14"/>
  <c r="E360" i="14"/>
  <c r="D360" i="14"/>
  <c r="E359" i="14"/>
  <c r="D359" i="14"/>
  <c r="E358" i="14"/>
  <c r="D358" i="14"/>
  <c r="E357" i="14"/>
  <c r="D357" i="14"/>
  <c r="E356" i="14"/>
  <c r="D356" i="14"/>
  <c r="E355" i="14"/>
  <c r="D355" i="14"/>
  <c r="E354" i="14"/>
  <c r="D354" i="14"/>
  <c r="E353" i="14"/>
  <c r="D353" i="14"/>
  <c r="E352" i="14"/>
  <c r="D352" i="14"/>
  <c r="E351" i="14"/>
  <c r="D351" i="14"/>
  <c r="E350" i="14"/>
  <c r="D350" i="14"/>
  <c r="E349" i="14"/>
  <c r="D349" i="14"/>
  <c r="E348" i="14"/>
  <c r="D348" i="14"/>
  <c r="E347" i="14"/>
  <c r="D347" i="14"/>
  <c r="E346" i="14"/>
  <c r="D346" i="14"/>
  <c r="E345" i="14"/>
  <c r="D345" i="14"/>
  <c r="E344" i="14"/>
  <c r="D344" i="14"/>
  <c r="E343" i="14"/>
  <c r="D343" i="14"/>
  <c r="E342" i="14"/>
  <c r="D342" i="14"/>
  <c r="E341" i="14"/>
  <c r="D341" i="14"/>
  <c r="E340" i="14"/>
  <c r="D340" i="14"/>
  <c r="E339" i="14"/>
  <c r="D339" i="14"/>
  <c r="E338" i="14"/>
  <c r="D338" i="14"/>
  <c r="E337" i="14"/>
  <c r="D337" i="14"/>
  <c r="E336" i="14"/>
  <c r="D336" i="14"/>
  <c r="E335" i="14"/>
  <c r="D335" i="14"/>
  <c r="E334" i="14"/>
  <c r="D334" i="14"/>
  <c r="E333" i="14"/>
  <c r="D333" i="14"/>
  <c r="E332" i="14"/>
  <c r="D332" i="14"/>
  <c r="E331" i="14"/>
  <c r="D331" i="14"/>
  <c r="E330" i="14"/>
  <c r="D330" i="14"/>
  <c r="E329" i="14"/>
  <c r="D329" i="14"/>
  <c r="E328" i="14"/>
  <c r="D328" i="14"/>
  <c r="E327" i="14"/>
  <c r="D327" i="14"/>
  <c r="E326" i="14"/>
  <c r="D326" i="14"/>
  <c r="E325" i="14"/>
  <c r="D325" i="14"/>
  <c r="E324" i="14"/>
  <c r="D324" i="14"/>
  <c r="E323" i="14"/>
  <c r="D323" i="14"/>
  <c r="E322" i="14"/>
  <c r="D322" i="14"/>
  <c r="E321" i="14"/>
  <c r="D321" i="14"/>
  <c r="E320" i="14"/>
  <c r="D320" i="14"/>
  <c r="E319" i="14"/>
  <c r="D319" i="14"/>
  <c r="E318" i="14"/>
  <c r="D318" i="14"/>
  <c r="E317" i="14"/>
  <c r="D317" i="14"/>
  <c r="E316" i="14"/>
  <c r="D316" i="14"/>
  <c r="E315" i="14"/>
  <c r="D315" i="14"/>
  <c r="E314" i="14"/>
  <c r="D314" i="14"/>
  <c r="E313" i="14"/>
  <c r="D313" i="14"/>
  <c r="E312" i="14"/>
  <c r="D312" i="14"/>
  <c r="E311" i="14"/>
  <c r="D311" i="14"/>
  <c r="E310" i="14"/>
  <c r="D310" i="14"/>
  <c r="E309" i="14"/>
  <c r="D309" i="14"/>
  <c r="E308" i="14"/>
  <c r="D308" i="14"/>
  <c r="E307" i="14"/>
  <c r="D307" i="14"/>
  <c r="E306" i="14"/>
  <c r="D306" i="14"/>
  <c r="E305" i="14"/>
  <c r="D305" i="14"/>
  <c r="E304" i="14"/>
  <c r="D304" i="14"/>
  <c r="E303" i="14"/>
  <c r="D303" i="14"/>
  <c r="E302" i="14"/>
  <c r="D302" i="14"/>
  <c r="E301" i="14"/>
  <c r="D301" i="14"/>
  <c r="E300" i="14"/>
  <c r="D300" i="14"/>
  <c r="E299" i="14"/>
  <c r="D299" i="14"/>
  <c r="E298" i="14"/>
  <c r="D298" i="14"/>
  <c r="E297" i="14"/>
  <c r="D297" i="14"/>
  <c r="E296" i="14"/>
  <c r="D296" i="14"/>
  <c r="E295" i="14"/>
  <c r="D295" i="14"/>
  <c r="E294" i="14"/>
  <c r="D294" i="14"/>
  <c r="E293" i="14"/>
  <c r="D293" i="14"/>
  <c r="E292" i="14"/>
  <c r="D292" i="14"/>
  <c r="E291" i="14"/>
  <c r="D291" i="14"/>
  <c r="E290" i="14"/>
  <c r="D290" i="14"/>
  <c r="E289" i="14"/>
  <c r="D289" i="14"/>
  <c r="E288" i="14"/>
  <c r="D288" i="14"/>
  <c r="E287" i="14"/>
  <c r="D287" i="14"/>
  <c r="E286" i="14"/>
  <c r="D286" i="14"/>
  <c r="E285" i="14"/>
  <c r="D285" i="14"/>
  <c r="E284" i="14"/>
  <c r="D284" i="14"/>
  <c r="E283" i="14"/>
  <c r="D283" i="14"/>
  <c r="E282" i="14"/>
  <c r="D282" i="14"/>
  <c r="E281" i="14"/>
  <c r="D281" i="14"/>
  <c r="E280" i="14"/>
  <c r="D280" i="14"/>
  <c r="E279" i="14"/>
  <c r="D279" i="14"/>
  <c r="E278" i="14"/>
  <c r="D278" i="14"/>
  <c r="E277" i="14"/>
  <c r="D277" i="14"/>
  <c r="E276" i="14"/>
  <c r="D276" i="14"/>
  <c r="E275" i="14"/>
  <c r="D275" i="14"/>
  <c r="E274" i="14"/>
  <c r="D274" i="14"/>
  <c r="E273" i="14"/>
  <c r="D273" i="14"/>
  <c r="E272" i="14"/>
  <c r="D272" i="14"/>
  <c r="E271" i="14"/>
  <c r="D271" i="14"/>
  <c r="E270" i="14"/>
  <c r="D270" i="14"/>
  <c r="E269" i="14"/>
  <c r="D269" i="14"/>
  <c r="E268" i="14"/>
  <c r="D268" i="14"/>
  <c r="E267" i="14"/>
  <c r="D267" i="14"/>
  <c r="E266" i="14"/>
  <c r="D266" i="14"/>
  <c r="E265" i="14"/>
  <c r="D265" i="14"/>
  <c r="E264" i="14"/>
  <c r="D264" i="14"/>
  <c r="E263" i="14"/>
  <c r="D263" i="14"/>
  <c r="E262" i="14"/>
  <c r="D262" i="14"/>
  <c r="E261" i="14"/>
  <c r="D261" i="14"/>
  <c r="E260" i="14"/>
  <c r="D260" i="14"/>
  <c r="E259" i="14"/>
  <c r="D259" i="14"/>
  <c r="E258" i="14"/>
  <c r="D258" i="14"/>
  <c r="E257" i="14"/>
  <c r="D257" i="14"/>
  <c r="E256" i="14"/>
  <c r="D256" i="14"/>
  <c r="E255" i="14"/>
  <c r="D255" i="14"/>
  <c r="E254" i="14"/>
  <c r="D254" i="14"/>
  <c r="E253" i="14"/>
  <c r="D253" i="14"/>
  <c r="E252" i="14"/>
  <c r="D252" i="14"/>
  <c r="E251" i="14"/>
  <c r="D251" i="14"/>
  <c r="E250" i="14"/>
  <c r="D250" i="14"/>
  <c r="E249" i="14"/>
  <c r="D249" i="14"/>
  <c r="E248" i="14"/>
  <c r="D248" i="14"/>
  <c r="E247" i="14"/>
  <c r="D247" i="14"/>
  <c r="E246" i="14"/>
  <c r="D246" i="14"/>
  <c r="E245" i="14"/>
  <c r="D245" i="14"/>
  <c r="E244" i="14"/>
  <c r="D244" i="14"/>
  <c r="E243" i="14"/>
  <c r="D243" i="14"/>
  <c r="E242" i="14"/>
  <c r="D242" i="14"/>
  <c r="E241" i="14"/>
  <c r="D241" i="14"/>
  <c r="E240" i="14"/>
  <c r="D240" i="14"/>
  <c r="E239" i="14"/>
  <c r="D239" i="14"/>
  <c r="E238" i="14"/>
  <c r="D238" i="14"/>
  <c r="E237" i="14"/>
  <c r="D237" i="14"/>
  <c r="E236" i="14"/>
  <c r="D236" i="14"/>
  <c r="E235" i="14"/>
  <c r="D235" i="14"/>
  <c r="E234" i="14"/>
  <c r="D234" i="14"/>
  <c r="E233" i="14"/>
  <c r="D233" i="14"/>
  <c r="E232" i="14"/>
  <c r="D232" i="14"/>
  <c r="E231" i="14"/>
  <c r="D231" i="14"/>
  <c r="E230" i="14"/>
  <c r="D230" i="14"/>
  <c r="E229" i="14"/>
  <c r="D229" i="14"/>
  <c r="E228" i="14"/>
  <c r="D228" i="14"/>
  <c r="E227" i="14"/>
  <c r="D227" i="14"/>
  <c r="E226" i="14"/>
  <c r="D226" i="14"/>
  <c r="E225" i="14"/>
  <c r="D225" i="14"/>
  <c r="E224" i="14"/>
  <c r="D224" i="14"/>
  <c r="E223" i="14"/>
  <c r="D223" i="14"/>
  <c r="E222" i="14"/>
  <c r="D222" i="14"/>
  <c r="E221" i="14"/>
  <c r="D221" i="14"/>
  <c r="E220" i="14"/>
  <c r="D220" i="14"/>
  <c r="E219" i="14"/>
  <c r="D219" i="14"/>
  <c r="E218" i="14"/>
  <c r="D218" i="14"/>
  <c r="E217" i="14"/>
  <c r="D217" i="14"/>
  <c r="E216" i="14"/>
  <c r="D216" i="14"/>
  <c r="E215" i="14"/>
  <c r="D215" i="14"/>
  <c r="E214" i="14"/>
  <c r="D214" i="14"/>
  <c r="E213" i="14"/>
  <c r="D213" i="14"/>
  <c r="E212" i="14"/>
  <c r="D212" i="14"/>
  <c r="E211" i="14"/>
  <c r="D211" i="14"/>
  <c r="E210" i="14"/>
  <c r="D210" i="14"/>
  <c r="E209" i="14"/>
  <c r="D209" i="14"/>
  <c r="E208" i="14"/>
  <c r="D208" i="14"/>
  <c r="E207" i="14"/>
  <c r="D207" i="14"/>
  <c r="E206" i="14"/>
  <c r="D206" i="14"/>
  <c r="E205" i="14"/>
  <c r="D205" i="14"/>
  <c r="E204" i="14"/>
  <c r="D204" i="14"/>
  <c r="E203" i="14"/>
  <c r="D203" i="14"/>
  <c r="E202" i="14"/>
  <c r="D202" i="14"/>
  <c r="E201" i="14"/>
  <c r="D201" i="14"/>
  <c r="E200" i="14"/>
  <c r="D200" i="14"/>
  <c r="E199" i="14"/>
  <c r="D199" i="14"/>
  <c r="E198" i="14"/>
  <c r="D198" i="14"/>
  <c r="E197" i="14"/>
  <c r="D197" i="14"/>
  <c r="E196" i="14"/>
  <c r="D196" i="14"/>
  <c r="E195" i="14"/>
  <c r="D195" i="14"/>
  <c r="E194" i="14"/>
  <c r="D194" i="14"/>
  <c r="E193" i="14"/>
  <c r="D193" i="14"/>
  <c r="E192" i="14"/>
  <c r="D192" i="14"/>
  <c r="E191" i="14"/>
  <c r="D191" i="14"/>
  <c r="E190" i="14"/>
  <c r="D190" i="14"/>
  <c r="E189" i="14"/>
  <c r="D189" i="14"/>
  <c r="E188" i="14"/>
  <c r="D188" i="14"/>
  <c r="E187" i="14"/>
  <c r="D187" i="14"/>
  <c r="E186" i="14"/>
  <c r="D186" i="14"/>
  <c r="E185" i="14"/>
  <c r="D185" i="14"/>
  <c r="E184" i="14"/>
  <c r="D184" i="14"/>
  <c r="E183" i="14"/>
  <c r="D183" i="14"/>
  <c r="E182" i="14"/>
  <c r="D182" i="14"/>
  <c r="E181" i="14"/>
  <c r="D181" i="14"/>
  <c r="E180" i="14"/>
  <c r="D180" i="14"/>
  <c r="E179" i="14"/>
  <c r="D179" i="14"/>
  <c r="E178" i="14"/>
  <c r="D178" i="14"/>
  <c r="I177" i="14"/>
  <c r="E177" i="14"/>
  <c r="D177" i="14"/>
  <c r="E176" i="14"/>
  <c r="D176" i="14"/>
  <c r="E175" i="14"/>
  <c r="D175" i="14"/>
  <c r="E174" i="14"/>
  <c r="D174" i="14"/>
  <c r="E173" i="14"/>
  <c r="D173" i="14"/>
  <c r="E172" i="14"/>
  <c r="D172" i="14"/>
  <c r="I171" i="14"/>
  <c r="E171" i="14"/>
  <c r="D171" i="14"/>
  <c r="I170" i="14"/>
  <c r="E170" i="14"/>
  <c r="D170" i="14"/>
  <c r="I169" i="14"/>
  <c r="E169" i="14"/>
  <c r="D169" i="14"/>
  <c r="E168" i="14"/>
  <c r="D168" i="14"/>
  <c r="E167" i="14"/>
  <c r="D167" i="14"/>
  <c r="E166" i="14"/>
  <c r="D166" i="14"/>
  <c r="E165" i="14"/>
  <c r="D165" i="14"/>
  <c r="E164" i="14"/>
  <c r="D164" i="14"/>
  <c r="E163" i="14"/>
  <c r="D163" i="14"/>
  <c r="E162" i="14"/>
  <c r="D162" i="14"/>
  <c r="E161" i="14"/>
  <c r="D161" i="14"/>
  <c r="E160" i="14"/>
  <c r="D160" i="14"/>
  <c r="E159" i="14"/>
  <c r="D159" i="14"/>
  <c r="E158" i="14"/>
  <c r="D158" i="14"/>
  <c r="E157" i="14"/>
  <c r="D157" i="14"/>
  <c r="E156" i="14"/>
  <c r="D156" i="14"/>
  <c r="E155" i="14"/>
  <c r="D155" i="14"/>
  <c r="E154" i="14"/>
  <c r="D154" i="14"/>
  <c r="E153" i="14"/>
  <c r="D153" i="14"/>
  <c r="E152" i="14"/>
  <c r="D152" i="14"/>
  <c r="E151" i="14"/>
  <c r="D151" i="14"/>
  <c r="E150" i="14"/>
  <c r="D150" i="14"/>
  <c r="E149" i="14"/>
  <c r="D149" i="14"/>
  <c r="E148" i="14"/>
  <c r="D148" i="14"/>
  <c r="E147" i="14"/>
  <c r="D147" i="14"/>
  <c r="I146" i="14"/>
  <c r="E146" i="14"/>
  <c r="D146" i="14"/>
  <c r="E145" i="14"/>
  <c r="D145" i="14"/>
  <c r="E144" i="14"/>
  <c r="D144" i="14"/>
  <c r="E143" i="14"/>
  <c r="D143" i="14"/>
  <c r="E142" i="14"/>
  <c r="D142" i="14"/>
  <c r="E141" i="14"/>
  <c r="D141" i="14"/>
  <c r="E140" i="14"/>
  <c r="D140" i="14"/>
  <c r="E139" i="14"/>
  <c r="D139" i="14"/>
  <c r="E138" i="14"/>
  <c r="D138" i="14"/>
  <c r="E137" i="14"/>
  <c r="D137" i="14"/>
  <c r="E136" i="14"/>
  <c r="D136" i="14"/>
  <c r="E135" i="14"/>
  <c r="D135" i="14"/>
  <c r="E134" i="14"/>
  <c r="D134" i="14"/>
  <c r="E133" i="14"/>
  <c r="D133" i="14"/>
  <c r="E132" i="14"/>
  <c r="D132" i="14"/>
  <c r="E131" i="14"/>
  <c r="D131" i="14"/>
  <c r="E130" i="14"/>
  <c r="D130" i="14"/>
  <c r="E129" i="14"/>
  <c r="D129" i="14"/>
  <c r="E128" i="14"/>
  <c r="D128" i="14"/>
  <c r="E127" i="14"/>
  <c r="D127" i="14"/>
  <c r="E126" i="14"/>
  <c r="D126" i="14"/>
  <c r="E125" i="14"/>
  <c r="D125" i="14"/>
  <c r="E124" i="14"/>
  <c r="D124" i="14"/>
  <c r="E123" i="14"/>
  <c r="D123" i="14"/>
  <c r="E122" i="14"/>
  <c r="D122" i="14"/>
  <c r="E121" i="14"/>
  <c r="D121" i="14"/>
  <c r="E120" i="14"/>
  <c r="D120" i="14"/>
  <c r="E119" i="14"/>
  <c r="D119" i="14"/>
  <c r="E118" i="14"/>
  <c r="D118" i="14"/>
  <c r="E117" i="14"/>
  <c r="D117" i="14"/>
  <c r="I116" i="14"/>
  <c r="E116" i="14"/>
  <c r="D116" i="14"/>
  <c r="E115" i="14"/>
  <c r="D115" i="14"/>
  <c r="E114" i="14"/>
  <c r="D114" i="14"/>
  <c r="E113" i="14"/>
  <c r="D113" i="14"/>
  <c r="E112" i="14"/>
  <c r="D112" i="14"/>
  <c r="E111" i="14"/>
  <c r="D111" i="14"/>
  <c r="E110" i="14"/>
  <c r="D110" i="14"/>
  <c r="E109" i="14"/>
  <c r="D109" i="14"/>
  <c r="E108" i="14"/>
  <c r="D108" i="14"/>
  <c r="E107" i="14"/>
  <c r="D107" i="14"/>
  <c r="E106" i="14"/>
  <c r="D106" i="14"/>
  <c r="H105" i="14"/>
  <c r="E105" i="14"/>
  <c r="D105" i="14"/>
  <c r="E104" i="14"/>
  <c r="D104" i="14"/>
  <c r="E103" i="14"/>
  <c r="D103" i="14"/>
  <c r="E102" i="14"/>
  <c r="D102" i="14"/>
  <c r="E101" i="14"/>
  <c r="D101" i="14"/>
  <c r="E100" i="14"/>
  <c r="D100" i="14"/>
  <c r="E99" i="14"/>
  <c r="D99" i="14"/>
  <c r="E98" i="14"/>
  <c r="D98" i="14"/>
  <c r="E97" i="14"/>
  <c r="D97" i="14"/>
  <c r="E96" i="14"/>
  <c r="D96" i="14"/>
  <c r="E95" i="14"/>
  <c r="D95" i="14"/>
  <c r="E94" i="14"/>
  <c r="D94" i="14"/>
  <c r="I93" i="14"/>
  <c r="E93" i="14"/>
  <c r="D93" i="14"/>
  <c r="E92" i="14"/>
  <c r="D92" i="14"/>
  <c r="E91" i="14"/>
  <c r="D91" i="14"/>
  <c r="E90" i="14"/>
  <c r="D90" i="14"/>
  <c r="E89" i="14"/>
  <c r="D89" i="14"/>
  <c r="E88" i="14"/>
  <c r="D88" i="14"/>
  <c r="E87" i="14"/>
  <c r="D87" i="14"/>
  <c r="I86" i="14"/>
  <c r="E86" i="14"/>
  <c r="D86" i="14"/>
  <c r="I85" i="14"/>
  <c r="E85" i="14"/>
  <c r="D85" i="14"/>
  <c r="E84" i="14"/>
  <c r="D84" i="14"/>
  <c r="E83" i="14"/>
  <c r="D83" i="14"/>
  <c r="E82" i="14"/>
  <c r="D82" i="14"/>
  <c r="E81" i="14"/>
  <c r="D81" i="14"/>
  <c r="E80" i="14"/>
  <c r="D80" i="14"/>
  <c r="E79" i="14"/>
  <c r="D79" i="14"/>
  <c r="E78" i="14"/>
  <c r="D78" i="14"/>
  <c r="E77" i="14"/>
  <c r="D77" i="14"/>
  <c r="E76" i="14"/>
  <c r="D76" i="14"/>
  <c r="E75" i="14"/>
  <c r="D75" i="14"/>
  <c r="E74" i="14"/>
  <c r="D74" i="14"/>
  <c r="E73" i="14"/>
  <c r="D73" i="14"/>
  <c r="F72" i="14"/>
  <c r="E72" i="14"/>
  <c r="D72" i="14"/>
  <c r="H71" i="14"/>
  <c r="E71" i="14"/>
  <c r="D71" i="14"/>
  <c r="H70" i="14"/>
  <c r="E70" i="14"/>
  <c r="D70" i="14"/>
  <c r="H69" i="14"/>
  <c r="E69" i="14"/>
  <c r="D69" i="14"/>
  <c r="H68" i="14"/>
  <c r="E68" i="14"/>
  <c r="D68" i="14"/>
  <c r="I67" i="14"/>
  <c r="H67" i="14"/>
  <c r="E67" i="14"/>
  <c r="D67" i="14"/>
  <c r="I66" i="14"/>
  <c r="I65" i="14" s="1"/>
  <c r="H66" i="14"/>
  <c r="H65" i="14" s="1"/>
  <c r="E66" i="14"/>
  <c r="D66" i="14"/>
  <c r="E65" i="14"/>
  <c r="D65" i="14"/>
  <c r="E64" i="14"/>
  <c r="D64" i="14"/>
  <c r="E63" i="14"/>
  <c r="D63" i="14"/>
  <c r="E62" i="14"/>
  <c r="D62" i="14"/>
  <c r="H61" i="14"/>
  <c r="E61" i="14"/>
  <c r="D61" i="14"/>
  <c r="I60" i="14"/>
  <c r="E60" i="14"/>
  <c r="D60" i="14"/>
  <c r="E59" i="14"/>
  <c r="D59" i="14"/>
  <c r="I58" i="14"/>
  <c r="E58" i="14"/>
  <c r="D58" i="14"/>
  <c r="E57" i="14"/>
  <c r="D57" i="14"/>
  <c r="E56" i="14"/>
  <c r="D56" i="14"/>
  <c r="E55" i="14"/>
  <c r="D55" i="14"/>
  <c r="E54" i="14"/>
  <c r="D54" i="14"/>
  <c r="E53" i="14"/>
  <c r="D53" i="14"/>
  <c r="E52" i="14"/>
  <c r="D52" i="14"/>
  <c r="I51" i="14"/>
  <c r="E51" i="14"/>
  <c r="D51" i="14"/>
  <c r="I50" i="14"/>
  <c r="E50" i="14"/>
  <c r="D50" i="14"/>
  <c r="E49" i="14"/>
  <c r="D49" i="14"/>
  <c r="E48" i="14"/>
  <c r="D48" i="14"/>
  <c r="E47" i="14"/>
  <c r="D47" i="14"/>
  <c r="E46" i="14"/>
  <c r="D46" i="14"/>
  <c r="E45" i="14"/>
  <c r="D45" i="14"/>
  <c r="E44" i="14"/>
  <c r="D44" i="14"/>
  <c r="E43" i="14"/>
  <c r="D43" i="14"/>
  <c r="E42" i="14"/>
  <c r="D42" i="14"/>
  <c r="E41" i="14"/>
  <c r="D41" i="14"/>
  <c r="H40" i="14"/>
  <c r="E40" i="14"/>
  <c r="D40" i="14"/>
  <c r="E39" i="14"/>
  <c r="D39" i="14"/>
  <c r="E38" i="14"/>
  <c r="D38" i="14"/>
  <c r="E37" i="14"/>
  <c r="D37" i="14"/>
  <c r="E36" i="14"/>
  <c r="D36" i="14"/>
  <c r="E35" i="14"/>
  <c r="D35" i="14"/>
  <c r="E34" i="14"/>
  <c r="D34" i="14"/>
  <c r="E33" i="14"/>
  <c r="D33" i="14"/>
  <c r="E32" i="14"/>
  <c r="D32" i="14"/>
  <c r="E31" i="14"/>
  <c r="D31" i="14"/>
  <c r="E30" i="14"/>
  <c r="D30" i="14"/>
  <c r="E29" i="14"/>
  <c r="D29" i="14"/>
  <c r="M17" i="14" s="1"/>
  <c r="N16" i="1" s="1" a="1"/>
  <c r="N16" i="1" s="1"/>
  <c r="B295" i="2"/>
  <c r="F295" i="2" s="1"/>
  <c r="E295" i="2" s="1"/>
  <c r="B294" i="2"/>
  <c r="B293" i="2"/>
  <c r="B292" i="2"/>
  <c r="B291" i="2"/>
  <c r="B290" i="2"/>
  <c r="B289" i="2"/>
  <c r="B288" i="2"/>
  <c r="B287" i="2"/>
  <c r="B286" i="2"/>
  <c r="B285" i="2"/>
  <c r="B284" i="2"/>
  <c r="B283" i="2"/>
  <c r="B282" i="2"/>
  <c r="B281" i="2"/>
  <c r="B280" i="2"/>
  <c r="B279" i="2"/>
  <c r="B278" i="2"/>
  <c r="B277" i="2"/>
  <c r="B276" i="2"/>
  <c r="B275" i="2"/>
  <c r="B274" i="2"/>
  <c r="B273" i="2"/>
  <c r="B272" i="2"/>
  <c r="B271" i="2"/>
  <c r="B270" i="2"/>
  <c r="B269" i="2"/>
  <c r="B268" i="2"/>
  <c r="B267" i="2"/>
  <c r="B266" i="2"/>
  <c r="B265" i="2"/>
  <c r="B264" i="2"/>
  <c r="B263" i="2"/>
  <c r="B262" i="2"/>
  <c r="B261" i="2"/>
  <c r="B260" i="2"/>
  <c r="B259" i="2"/>
  <c r="B258" i="2"/>
  <c r="B257" i="2"/>
  <c r="B256" i="2"/>
  <c r="B255" i="2"/>
  <c r="B254" i="2"/>
  <c r="B253" i="2"/>
  <c r="B252" i="2"/>
  <c r="B251" i="2"/>
  <c r="B250" i="2"/>
  <c r="B249" i="2"/>
  <c r="B248" i="2"/>
  <c r="B247" i="2"/>
  <c r="B246" i="2"/>
  <c r="B245" i="2"/>
  <c r="B244" i="2"/>
  <c r="B243" i="2"/>
  <c r="B242" i="2"/>
  <c r="B241" i="2"/>
  <c r="B240" i="2"/>
  <c r="B239" i="2"/>
  <c r="B238" i="2"/>
  <c r="B237" i="2"/>
  <c r="B236" i="2"/>
  <c r="B235" i="2"/>
  <c r="B234" i="2"/>
  <c r="B233" i="2"/>
  <c r="B232" i="2"/>
  <c r="B231" i="2"/>
  <c r="B230" i="2"/>
  <c r="B229" i="2"/>
  <c r="B228" i="2"/>
  <c r="B227" i="2"/>
  <c r="B226" i="2"/>
  <c r="B225" i="2"/>
  <c r="B224" i="2"/>
  <c r="B223" i="2"/>
  <c r="B222" i="2"/>
  <c r="B221" i="2"/>
  <c r="B220" i="2"/>
  <c r="B219" i="2"/>
  <c r="B218" i="2"/>
  <c r="B217" i="2"/>
  <c r="B216" i="2"/>
  <c r="B215" i="2"/>
  <c r="B214" i="2"/>
  <c r="B213" i="2"/>
  <c r="B212" i="2"/>
  <c r="B211" i="2"/>
  <c r="B210" i="2"/>
  <c r="B209" i="2"/>
  <c r="B208" i="2"/>
  <c r="B207" i="2"/>
  <c r="B206" i="2"/>
  <c r="B205" i="2"/>
  <c r="B204" i="2"/>
  <c r="B203" i="2"/>
  <c r="B202" i="2"/>
  <c r="B201" i="2"/>
  <c r="B200" i="2"/>
  <c r="B199" i="2"/>
  <c r="B198" i="2"/>
  <c r="B197" i="2"/>
  <c r="B196" i="2"/>
  <c r="B195" i="2"/>
  <c r="B194" i="2"/>
  <c r="B193" i="2"/>
  <c r="B192" i="2"/>
  <c r="B191" i="2"/>
  <c r="B190" i="2"/>
  <c r="B189" i="2"/>
  <c r="B188" i="2"/>
  <c r="B187" i="2"/>
  <c r="B186" i="2"/>
  <c r="B185" i="2"/>
  <c r="B184" i="2"/>
  <c r="B183" i="2"/>
  <c r="B182" i="2"/>
  <c r="B181" i="2"/>
  <c r="B180" i="2"/>
  <c r="B179" i="2"/>
  <c r="B178" i="2"/>
  <c r="B177" i="2"/>
  <c r="B176" i="2"/>
  <c r="B175" i="2"/>
  <c r="B174" i="2"/>
  <c r="B173" i="2"/>
  <c r="B172" i="2"/>
  <c r="B171" i="2"/>
  <c r="B170" i="2"/>
  <c r="B169" i="2"/>
  <c r="B168" i="2"/>
  <c r="B167" i="2"/>
  <c r="B166" i="2"/>
  <c r="B165" i="2"/>
  <c r="B164" i="2"/>
  <c r="B163" i="2"/>
  <c r="B162" i="2"/>
  <c r="B161" i="2"/>
  <c r="B160" i="2"/>
  <c r="B159" i="2"/>
  <c r="B158" i="2"/>
  <c r="B157" i="2"/>
  <c r="B156" i="2"/>
  <c r="B155" i="2"/>
  <c r="B154" i="2"/>
  <c r="B153" i="2"/>
  <c r="B152" i="2"/>
  <c r="B151" i="2"/>
  <c r="B150" i="2"/>
  <c r="B149" i="2"/>
  <c r="B148" i="2"/>
  <c r="B147" i="2"/>
  <c r="B146" i="2"/>
  <c r="B145" i="2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N30" i="2"/>
  <c r="F56" i="6" s="1" a="1"/>
  <c r="F56" i="6" s="1"/>
  <c r="B31" i="2"/>
  <c r="BT29" i="2"/>
  <c r="E43" i="6" s="1" a="1"/>
  <c r="E43" i="6" s="1"/>
  <c r="B30" i="2"/>
  <c r="B29" i="2"/>
  <c r="B28" i="2"/>
  <c r="B27" i="2"/>
  <c r="S18" i="2"/>
  <c r="B26" i="2"/>
  <c r="S17" i="2"/>
  <c r="B25" i="2"/>
  <c r="S16" i="2"/>
  <c r="B24" i="2"/>
  <c r="S15" i="2"/>
  <c r="B23" i="2"/>
  <c r="S14" i="2"/>
  <c r="B22" i="2"/>
  <c r="S13" i="2"/>
  <c r="B21" i="2"/>
  <c r="S12" i="2"/>
  <c r="B20" i="2"/>
  <c r="S11" i="2"/>
  <c r="B19" i="2"/>
  <c r="S10" i="2"/>
  <c r="B18" i="2"/>
  <c r="S9" i="2"/>
  <c r="B17" i="2"/>
  <c r="S8" i="2"/>
  <c r="B16" i="2"/>
  <c r="S7" i="2"/>
  <c r="B15" i="2"/>
  <c r="S6" i="2"/>
  <c r="B14" i="2"/>
  <c r="S5" i="2"/>
  <c r="S4" i="2"/>
  <c r="B12" i="2"/>
  <c r="S3" i="2"/>
  <c r="B11" i="2"/>
  <c r="B185" i="4"/>
  <c r="B184" i="4"/>
  <c r="B183" i="4"/>
  <c r="B182" i="4"/>
  <c r="B181" i="4"/>
  <c r="B180" i="4"/>
  <c r="B179" i="4"/>
  <c r="B178" i="4"/>
  <c r="B177" i="4"/>
  <c r="B176" i="4"/>
  <c r="B175" i="4"/>
  <c r="B174" i="4"/>
  <c r="B173" i="4"/>
  <c r="B172" i="4"/>
  <c r="B171" i="4"/>
  <c r="B170" i="4"/>
  <c r="B169" i="4"/>
  <c r="B168" i="4"/>
  <c r="B167" i="4"/>
  <c r="B166" i="4"/>
  <c r="B165" i="4"/>
  <c r="B164" i="4"/>
  <c r="B163" i="4"/>
  <c r="B162" i="4"/>
  <c r="B161" i="4"/>
  <c r="B160" i="4"/>
  <c r="B159" i="4"/>
  <c r="B158" i="4"/>
  <c r="B157" i="4"/>
  <c r="B156" i="4"/>
  <c r="B155" i="4"/>
  <c r="B154" i="4"/>
  <c r="B153" i="4"/>
  <c r="B152" i="4"/>
  <c r="B151" i="4"/>
  <c r="B150" i="4"/>
  <c r="B149" i="4"/>
  <c r="B148" i="4"/>
  <c r="B147" i="4"/>
  <c r="B146" i="4"/>
  <c r="B145" i="4"/>
  <c r="B144" i="4"/>
  <c r="B143" i="4"/>
  <c r="B142" i="4"/>
  <c r="B141" i="4"/>
  <c r="B140" i="4"/>
  <c r="B139" i="4"/>
  <c r="B138" i="4"/>
  <c r="B137" i="4"/>
  <c r="B136" i="4"/>
  <c r="B135" i="4"/>
  <c r="B134" i="4"/>
  <c r="B133" i="4"/>
  <c r="B132" i="4"/>
  <c r="B131" i="4"/>
  <c r="B130" i="4"/>
  <c r="B129" i="4"/>
  <c r="B128" i="4"/>
  <c r="B127" i="4"/>
  <c r="B126" i="4"/>
  <c r="B125" i="4"/>
  <c r="B124" i="4"/>
  <c r="B123" i="4"/>
  <c r="B122" i="4"/>
  <c r="B121" i="4"/>
  <c r="B120" i="4"/>
  <c r="B113" i="4"/>
  <c r="B101" i="4"/>
  <c r="B89" i="4"/>
  <c r="B77" i="4"/>
  <c r="B65" i="4"/>
  <c r="B53" i="4"/>
  <c r="B41" i="4"/>
  <c r="B29" i="4"/>
  <c r="B17" i="4"/>
  <c r="L49" i="15"/>
  <c r="L48" i="15"/>
  <c r="L47" i="15"/>
  <c r="L46" i="15"/>
  <c r="L45" i="15"/>
  <c r="L44" i="15"/>
  <c r="L43" i="15"/>
  <c r="L42" i="15"/>
  <c r="L41" i="15"/>
  <c r="L40" i="15"/>
  <c r="L39" i="15"/>
  <c r="L38" i="15"/>
  <c r="L37" i="15"/>
  <c r="L36" i="15"/>
  <c r="L35" i="15" s="1"/>
  <c r="L34" i="15"/>
  <c r="L33" i="15"/>
  <c r="L32" i="15"/>
  <c r="L31" i="15"/>
  <c r="L30" i="15"/>
  <c r="L29" i="15"/>
  <c r="L28" i="15"/>
  <c r="L27" i="15"/>
  <c r="L26" i="15"/>
  <c r="L25" i="15"/>
  <c r="L24" i="15" s="1"/>
  <c r="L23" i="15"/>
  <c r="L22" i="15"/>
  <c r="L21" i="15"/>
  <c r="L20" i="15"/>
  <c r="L19" i="15"/>
  <c r="L18" i="15"/>
  <c r="L17" i="15"/>
  <c r="L16" i="15"/>
  <c r="L15" i="15"/>
  <c r="L14" i="15"/>
  <c r="L13" i="15" s="1"/>
  <c r="L12" i="15"/>
  <c r="L11" i="15"/>
  <c r="L10" i="15"/>
  <c r="L9" i="15"/>
  <c r="L8" i="15"/>
  <c r="L7" i="15"/>
  <c r="L6" i="15"/>
  <c r="L5" i="15"/>
  <c r="L4" i="15"/>
  <c r="L3" i="15"/>
  <c r="L2" i="15" s="1"/>
  <c r="X193" i="1"/>
  <c r="W193" i="1"/>
  <c r="X192" i="1"/>
  <c r="W192" i="1"/>
  <c r="X191" i="1"/>
  <c r="W191" i="1"/>
  <c r="X190" i="1"/>
  <c r="W190" i="1"/>
  <c r="X189" i="1"/>
  <c r="W189" i="1"/>
  <c r="X188" i="1"/>
  <c r="W188" i="1"/>
  <c r="X187" i="1"/>
  <c r="W187" i="1"/>
  <c r="X186" i="1"/>
  <c r="W186" i="1"/>
  <c r="X185" i="1"/>
  <c r="W185" i="1"/>
  <c r="X184" i="1"/>
  <c r="W184" i="1"/>
  <c r="X183" i="1"/>
  <c r="W183" i="1"/>
  <c r="X182" i="1"/>
  <c r="W182" i="1"/>
  <c r="X181" i="1"/>
  <c r="W181" i="1"/>
  <c r="X180" i="1"/>
  <c r="W180" i="1"/>
  <c r="X179" i="1"/>
  <c r="W179" i="1"/>
  <c r="X178" i="1"/>
  <c r="W178" i="1"/>
  <c r="X177" i="1"/>
  <c r="W177" i="1"/>
  <c r="X176" i="1"/>
  <c r="W176" i="1"/>
  <c r="X175" i="1"/>
  <c r="W175" i="1"/>
  <c r="X174" i="1"/>
  <c r="W174" i="1"/>
  <c r="X173" i="1"/>
  <c r="W173" i="1"/>
  <c r="X172" i="1"/>
  <c r="W172" i="1"/>
  <c r="X171" i="1"/>
  <c r="W171" i="1"/>
  <c r="X170" i="1"/>
  <c r="W170" i="1"/>
  <c r="X169" i="1"/>
  <c r="W169" i="1"/>
  <c r="X168" i="1"/>
  <c r="W168" i="1"/>
  <c r="X167" i="1"/>
  <c r="W167" i="1"/>
  <c r="X166" i="1"/>
  <c r="W166" i="1"/>
  <c r="X165" i="1"/>
  <c r="W165" i="1"/>
  <c r="X164" i="1"/>
  <c r="W164" i="1"/>
  <c r="X163" i="1"/>
  <c r="W163" i="1"/>
  <c r="X162" i="1"/>
  <c r="W162" i="1"/>
  <c r="X161" i="1"/>
  <c r="W161" i="1"/>
  <c r="X160" i="1"/>
  <c r="W160" i="1"/>
  <c r="X159" i="1"/>
  <c r="W159" i="1"/>
  <c r="X158" i="1"/>
  <c r="W158" i="1"/>
  <c r="X157" i="1"/>
  <c r="W157" i="1"/>
  <c r="X156" i="1"/>
  <c r="W156" i="1"/>
  <c r="X155" i="1"/>
  <c r="W155" i="1"/>
  <c r="X154" i="1"/>
  <c r="W154" i="1"/>
  <c r="X153" i="1"/>
  <c r="W153" i="1"/>
  <c r="X152" i="1"/>
  <c r="W152" i="1"/>
  <c r="X151" i="1"/>
  <c r="W151" i="1"/>
  <c r="X150" i="1"/>
  <c r="W150" i="1"/>
  <c r="X149" i="1"/>
  <c r="W149" i="1"/>
  <c r="X148" i="1"/>
  <c r="W148" i="1"/>
  <c r="X147" i="1"/>
  <c r="W147" i="1"/>
  <c r="X146" i="1"/>
  <c r="W146" i="1"/>
  <c r="X145" i="1"/>
  <c r="W145" i="1"/>
  <c r="X144" i="1"/>
  <c r="W144" i="1"/>
  <c r="X143" i="1"/>
  <c r="W143" i="1"/>
  <c r="X142" i="1"/>
  <c r="W142" i="1"/>
  <c r="X141" i="1"/>
  <c r="W141" i="1"/>
  <c r="X140" i="1"/>
  <c r="W140" i="1"/>
  <c r="X139" i="1"/>
  <c r="W139" i="1"/>
  <c r="X138" i="1"/>
  <c r="W138" i="1"/>
  <c r="X137" i="1"/>
  <c r="W137" i="1"/>
  <c r="X136" i="1"/>
  <c r="W136" i="1"/>
  <c r="X135" i="1"/>
  <c r="W135" i="1"/>
  <c r="X134" i="1"/>
  <c r="W134" i="1"/>
  <c r="X133" i="1"/>
  <c r="W133" i="1"/>
  <c r="X132" i="1"/>
  <c r="W132" i="1"/>
  <c r="X131" i="1"/>
  <c r="W131" i="1"/>
  <c r="X130" i="1"/>
  <c r="W130" i="1"/>
  <c r="X129" i="1"/>
  <c r="W129" i="1"/>
  <c r="X128" i="1"/>
  <c r="W128" i="1"/>
  <c r="X127" i="1"/>
  <c r="W127" i="1"/>
  <c r="X126" i="1"/>
  <c r="W126" i="1"/>
  <c r="X125" i="1"/>
  <c r="W125" i="1"/>
  <c r="X124" i="1"/>
  <c r="W124" i="1"/>
  <c r="X123" i="1"/>
  <c r="W123" i="1"/>
  <c r="X122" i="1"/>
  <c r="W122" i="1"/>
  <c r="X121" i="1"/>
  <c r="W121" i="1"/>
  <c r="X120" i="1"/>
  <c r="W120" i="1"/>
  <c r="X119" i="1"/>
  <c r="W119" i="1"/>
  <c r="X118" i="1"/>
  <c r="W118" i="1"/>
  <c r="X117" i="1"/>
  <c r="W117" i="1"/>
  <c r="X116" i="1"/>
  <c r="W116" i="1"/>
  <c r="X115" i="1"/>
  <c r="W115" i="1"/>
  <c r="X114" i="1"/>
  <c r="W114" i="1"/>
  <c r="X113" i="1"/>
  <c r="W113" i="1"/>
  <c r="X112" i="1"/>
  <c r="W112" i="1"/>
  <c r="X111" i="1"/>
  <c r="W111" i="1"/>
  <c r="X110" i="1"/>
  <c r="W110" i="1"/>
  <c r="X109" i="1"/>
  <c r="W109" i="1"/>
  <c r="X108" i="1"/>
  <c r="W108" i="1"/>
  <c r="X107" i="1"/>
  <c r="W107" i="1"/>
  <c r="X106" i="1"/>
  <c r="W106" i="1"/>
  <c r="X105" i="1"/>
  <c r="W105" i="1"/>
  <c r="X104" i="1"/>
  <c r="W104" i="1"/>
  <c r="X103" i="1"/>
  <c r="W103" i="1"/>
  <c r="X102" i="1"/>
  <c r="W102" i="1"/>
  <c r="X101" i="1"/>
  <c r="W101" i="1"/>
  <c r="X100" i="1"/>
  <c r="W100" i="1"/>
  <c r="X99" i="1"/>
  <c r="W99" i="1"/>
  <c r="X98" i="1"/>
  <c r="W98" i="1"/>
  <c r="X97" i="1"/>
  <c r="W97" i="1"/>
  <c r="X96" i="1"/>
  <c r="W96" i="1"/>
  <c r="X95" i="1"/>
  <c r="W95" i="1"/>
  <c r="X94" i="1"/>
  <c r="W94" i="1"/>
  <c r="X93" i="1"/>
  <c r="W93" i="1"/>
  <c r="X92" i="1"/>
  <c r="W92" i="1"/>
  <c r="X91" i="1"/>
  <c r="W91" i="1"/>
  <c r="X90" i="1"/>
  <c r="W90" i="1"/>
  <c r="X89" i="1"/>
  <c r="W89" i="1"/>
  <c r="X88" i="1"/>
  <c r="W88" i="1"/>
  <c r="X87" i="1"/>
  <c r="W87" i="1"/>
  <c r="X86" i="1"/>
  <c r="W86" i="1"/>
  <c r="X85" i="1"/>
  <c r="W85" i="1"/>
  <c r="X84" i="1"/>
  <c r="W84" i="1"/>
  <c r="X83" i="1"/>
  <c r="W83" i="1"/>
  <c r="X82" i="1"/>
  <c r="W82" i="1"/>
  <c r="X81" i="1"/>
  <c r="W81" i="1"/>
  <c r="X80" i="1"/>
  <c r="W80" i="1"/>
  <c r="X79" i="1"/>
  <c r="W79" i="1"/>
  <c r="X78" i="1"/>
  <c r="W78" i="1"/>
  <c r="X77" i="1"/>
  <c r="W77" i="1"/>
  <c r="X76" i="1"/>
  <c r="W76" i="1"/>
  <c r="X75" i="1"/>
  <c r="W75" i="1"/>
  <c r="X74" i="1"/>
  <c r="W74" i="1"/>
  <c r="X73" i="1"/>
  <c r="W73" i="1"/>
  <c r="X72" i="1"/>
  <c r="W72" i="1"/>
  <c r="X71" i="1"/>
  <c r="W71" i="1"/>
  <c r="X70" i="1"/>
  <c r="W70" i="1"/>
  <c r="X69" i="1"/>
  <c r="W69" i="1"/>
  <c r="X68" i="1"/>
  <c r="W68" i="1"/>
  <c r="X67" i="1"/>
  <c r="W67" i="1"/>
  <c r="X66" i="1"/>
  <c r="W66" i="1"/>
  <c r="X65" i="1"/>
  <c r="W65" i="1"/>
  <c r="X64" i="1"/>
  <c r="W64" i="1"/>
  <c r="X63" i="1"/>
  <c r="W63" i="1"/>
  <c r="X62" i="1"/>
  <c r="W62" i="1"/>
  <c r="X61" i="1"/>
  <c r="W61" i="1"/>
  <c r="X60" i="1"/>
  <c r="W60" i="1"/>
  <c r="X59" i="1"/>
  <c r="W59" i="1"/>
  <c r="X58" i="1"/>
  <c r="W58" i="1"/>
  <c r="X57" i="1"/>
  <c r="W57" i="1"/>
  <c r="X56" i="1"/>
  <c r="W56" i="1"/>
  <c r="X55" i="1"/>
  <c r="W55" i="1"/>
  <c r="X54" i="1"/>
  <c r="W54" i="1"/>
  <c r="X53" i="1"/>
  <c r="W53" i="1"/>
  <c r="X52" i="1"/>
  <c r="W52" i="1"/>
  <c r="X51" i="1"/>
  <c r="W51" i="1"/>
  <c r="X50" i="1"/>
  <c r="W50" i="1"/>
  <c r="X49" i="1"/>
  <c r="W49" i="1"/>
  <c r="X48" i="1"/>
  <c r="W48" i="1"/>
  <c r="X47" i="1"/>
  <c r="W47" i="1"/>
  <c r="X46" i="1"/>
  <c r="W46" i="1"/>
  <c r="X45" i="1"/>
  <c r="W45" i="1"/>
  <c r="X44" i="1"/>
  <c r="W44" i="1"/>
  <c r="X43" i="1"/>
  <c r="W43" i="1"/>
  <c r="X42" i="1"/>
  <c r="W42" i="1"/>
  <c r="X41" i="1"/>
  <c r="W41" i="1"/>
  <c r="X40" i="1"/>
  <c r="W40" i="1"/>
  <c r="X39" i="1"/>
  <c r="X38" i="1"/>
  <c r="W38" i="1"/>
  <c r="X37" i="1"/>
  <c r="W37" i="1"/>
  <c r="X36" i="1"/>
  <c r="O2" i="10"/>
  <c r="V2" i="13"/>
  <c r="Y2" i="13"/>
  <c r="V5" i="1" l="1"/>
  <c r="M8" i="14"/>
  <c r="N7" i="1" s="1" a="1"/>
  <c r="N7" i="1" s="1"/>
  <c r="M10" i="14"/>
  <c r="N9" i="1" s="1" a="1"/>
  <c r="N9" i="1" s="1"/>
  <c r="L13" i="14"/>
  <c r="P12" i="1" s="1" a="1"/>
  <c r="P12" i="1" s="1"/>
  <c r="M14" i="14"/>
  <c r="N13" i="1" s="1" a="1"/>
  <c r="N13" i="1" s="1"/>
  <c r="M16" i="14"/>
  <c r="N15" i="1" s="1" a="1"/>
  <c r="N15" i="1" s="1"/>
  <c r="N16" i="14"/>
  <c r="J15" i="1" s="1" a="1"/>
  <c r="J15" i="1" s="1"/>
  <c r="O12" i="14"/>
  <c r="R11" i="1" s="1" a="1"/>
  <c r="R11" i="1" s="1"/>
  <c r="L8" i="14"/>
  <c r="P7" i="1" s="1" a="1"/>
  <c r="P7" i="1" s="1"/>
  <c r="O16" i="14"/>
  <c r="R15" i="1" s="1" a="1"/>
  <c r="R15" i="1" s="1"/>
  <c r="N10" i="14"/>
  <c r="J9" i="1" s="1" a="1"/>
  <c r="J9" i="1" s="1"/>
  <c r="N13" i="14"/>
  <c r="J12" i="1" s="1" a="1"/>
  <c r="J12" i="1" s="1"/>
  <c r="K14" i="14"/>
  <c r="L13" i="1" s="1" a="1"/>
  <c r="L13" i="1" s="1"/>
  <c r="N6" i="14"/>
  <c r="L16" i="14"/>
  <c r="P15" i="1" s="1" a="1"/>
  <c r="P15" i="1" s="1"/>
  <c r="N12" i="14"/>
  <c r="J11" i="1" s="1" a="1"/>
  <c r="J11" i="1" s="1"/>
  <c r="L11" i="14"/>
  <c r="P10" i="1" s="1" a="1"/>
  <c r="P10" i="1" s="1"/>
  <c r="L15" i="14"/>
  <c r="P14" i="1" s="1" a="1"/>
  <c r="P14" i="1" s="1"/>
  <c r="K9" i="14"/>
  <c r="L8" i="1" s="1" a="1"/>
  <c r="L8" i="1" s="1"/>
  <c r="M15" i="14"/>
  <c r="N14" i="1" s="1" a="1"/>
  <c r="N14" i="1" s="1"/>
  <c r="N15" i="14"/>
  <c r="J14" i="1" s="1" a="1"/>
  <c r="J14" i="1" s="1"/>
  <c r="N17" i="14"/>
  <c r="J16" i="1" s="1" a="1"/>
  <c r="J16" i="1" s="1"/>
  <c r="M11" i="14"/>
  <c r="N10" i="1" s="1" a="1"/>
  <c r="N10" i="1" s="1"/>
  <c r="M13" i="14"/>
  <c r="N12" i="1" s="1" a="1"/>
  <c r="N12" i="1" s="1"/>
  <c r="O11" i="14"/>
  <c r="R10" i="1" s="1" a="1"/>
  <c r="R10" i="1" s="1"/>
  <c r="L17" i="14"/>
  <c r="P16" i="1" s="1" a="1"/>
  <c r="P16" i="1" s="1"/>
  <c r="K12" i="14"/>
  <c r="L11" i="1" s="1" a="1"/>
  <c r="L11" i="1" s="1"/>
  <c r="L10" i="14"/>
  <c r="P9" i="1" s="1" a="1"/>
  <c r="P9" i="1" s="1"/>
  <c r="O6" i="14"/>
  <c r="O15" i="14"/>
  <c r="R14" i="1" s="1" a="1"/>
  <c r="R14" i="1" s="1"/>
  <c r="L9" i="14"/>
  <c r="P8" i="1" s="1" a="1"/>
  <c r="P8" i="1" s="1"/>
  <c r="M6" i="14"/>
  <c r="K13" i="14"/>
  <c r="L12" i="1" s="1" a="1"/>
  <c r="L12" i="1" s="1"/>
  <c r="N14" i="14"/>
  <c r="J13" i="1" s="1" a="1"/>
  <c r="J13" i="1" s="1"/>
  <c r="N8" i="14"/>
  <c r="J7" i="1" s="1" a="1"/>
  <c r="J7" i="1" s="1"/>
  <c r="K15" i="14"/>
  <c r="L14" i="1" s="1" a="1"/>
  <c r="L14" i="1" s="1"/>
  <c r="L12" i="14"/>
  <c r="P11" i="1" s="1" a="1"/>
  <c r="P11" i="1" s="1"/>
  <c r="L6" i="14"/>
  <c r="K17" i="14"/>
  <c r="L16" i="1" s="1" a="1"/>
  <c r="L16" i="1" s="1"/>
  <c r="L7" i="14"/>
  <c r="N18" i="14"/>
  <c r="K16" i="14"/>
  <c r="L15" i="1" s="1" a="1"/>
  <c r="L15" i="1" s="1"/>
  <c r="U15" i="1" s="1"/>
  <c r="N11" i="14"/>
  <c r="J10" i="1" s="1" a="1"/>
  <c r="J10" i="1" s="1"/>
  <c r="O7" i="14"/>
  <c r="M12" i="14"/>
  <c r="N11" i="1" s="1" a="1"/>
  <c r="N11" i="1" s="1"/>
  <c r="O13" i="14"/>
  <c r="R12" i="1" s="1" a="1"/>
  <c r="R12" i="1" s="1"/>
  <c r="L14" i="14"/>
  <c r="P13" i="1" s="1" a="1"/>
  <c r="P13" i="1" s="1"/>
  <c r="T13" i="1" s="1"/>
  <c r="O17" i="14"/>
  <c r="R16" i="1" s="1" a="1"/>
  <c r="R16" i="1" s="1"/>
  <c r="M9" i="14"/>
  <c r="N8" i="1" s="1" a="1"/>
  <c r="N8" i="1" s="1"/>
  <c r="O18" i="14"/>
  <c r="K18" i="14"/>
  <c r="O8" i="14"/>
  <c r="R7" i="1" s="1" a="1"/>
  <c r="R7" i="1" s="1"/>
  <c r="M18" i="14"/>
  <c r="K11" i="14"/>
  <c r="L10" i="1" s="1" a="1"/>
  <c r="L10" i="1" s="1"/>
  <c r="M7" i="14"/>
  <c r="K6" i="14"/>
  <c r="O14" i="14"/>
  <c r="R13" i="1" s="1" a="1"/>
  <c r="R13" i="1" s="1"/>
  <c r="O10" i="14"/>
  <c r="R9" i="1" s="1" a="1"/>
  <c r="R9" i="1" s="1"/>
  <c r="L18" i="14"/>
  <c r="K8" i="14"/>
  <c r="L7" i="1" s="1" a="1"/>
  <c r="L7" i="1" s="1"/>
  <c r="N7" i="14"/>
  <c r="K7" i="14"/>
  <c r="N9" i="14"/>
  <c r="J8" i="1" s="1" a="1"/>
  <c r="J8" i="1" s="1"/>
  <c r="K10" i="14"/>
  <c r="L9" i="1" s="1" a="1"/>
  <c r="L9" i="1" s="1"/>
  <c r="U9" i="1" s="1"/>
  <c r="Z193" i="1"/>
  <c r="AA193" i="1"/>
  <c r="AP42" i="12"/>
  <c r="AB89" i="12"/>
  <c r="O33" i="13"/>
  <c r="Q33" i="13" s="1"/>
  <c r="AA39" i="11"/>
  <c r="Z47" i="11"/>
  <c r="AB237" i="12"/>
  <c r="M47" i="11"/>
  <c r="R24" i="12"/>
  <c r="W28" i="12"/>
  <c r="W226" i="12"/>
  <c r="I81" i="14" s="1"/>
  <c r="M29" i="11"/>
  <c r="R22" i="12"/>
  <c r="W25" i="12"/>
  <c r="AB169" i="12"/>
  <c r="L134" i="9"/>
  <c r="F136" i="14" s="1"/>
  <c r="L138" i="9"/>
  <c r="F140" i="14" s="1"/>
  <c r="L142" i="9"/>
  <c r="F144" i="14" s="1"/>
  <c r="Z22" i="11"/>
  <c r="O29" i="13"/>
  <c r="Q29" i="13" s="1"/>
  <c r="J25" i="14" s="1"/>
  <c r="M33" i="11"/>
  <c r="Z40" i="11"/>
  <c r="AB25" i="12"/>
  <c r="AP31" i="12"/>
  <c r="O27" i="13"/>
  <c r="Q27" i="13" s="1"/>
  <c r="J23" i="14" s="1"/>
  <c r="AP21" i="12"/>
  <c r="AB112" i="12"/>
  <c r="R123" i="12"/>
  <c r="R148" i="12"/>
  <c r="R248" i="12"/>
  <c r="W262" i="12"/>
  <c r="I42" i="14" s="1"/>
  <c r="Q103" i="13"/>
  <c r="J99" i="14" s="1"/>
  <c r="L79" i="9"/>
  <c r="F81" i="14" s="1"/>
  <c r="L91" i="9"/>
  <c r="F93" i="14" s="1"/>
  <c r="L119" i="9"/>
  <c r="F121" i="14" s="1"/>
  <c r="L127" i="9"/>
  <c r="F129" i="14" s="1"/>
  <c r="Z79" i="11"/>
  <c r="M91" i="11"/>
  <c r="L188" i="9"/>
  <c r="F190" i="14" s="1"/>
  <c r="Z30" i="11"/>
  <c r="M61" i="11"/>
  <c r="R116" i="12"/>
  <c r="AB200" i="12"/>
  <c r="R216" i="12"/>
  <c r="M42" i="11"/>
  <c r="Z95" i="11"/>
  <c r="AP67" i="12"/>
  <c r="M88" i="11"/>
  <c r="W26" i="12"/>
  <c r="AB30" i="12"/>
  <c r="R133" i="12"/>
  <c r="O34" i="13"/>
  <c r="Q34" i="13" s="1"/>
  <c r="J30" i="14" s="1"/>
  <c r="W104" i="12"/>
  <c r="AB108" i="12"/>
  <c r="W133" i="12"/>
  <c r="I182" i="14" s="1"/>
  <c r="AB137" i="12"/>
  <c r="S267" i="12"/>
  <c r="M21" i="11"/>
  <c r="M35" i="11"/>
  <c r="M62" i="11"/>
  <c r="AB81" i="12"/>
  <c r="AB106" i="12"/>
  <c r="R122" i="12"/>
  <c r="L268" i="12"/>
  <c r="O267" i="12"/>
  <c r="M66" i="11"/>
  <c r="M96" i="11"/>
  <c r="R46" i="12"/>
  <c r="AB105" i="12"/>
  <c r="R153" i="12"/>
  <c r="N267" i="12"/>
  <c r="AB26" i="12"/>
  <c r="AB116" i="12"/>
  <c r="AB24" i="12"/>
  <c r="AB49" i="12"/>
  <c r="AB185" i="12"/>
  <c r="M51" i="11"/>
  <c r="Z70" i="11"/>
  <c r="AA77" i="11"/>
  <c r="W72" i="12"/>
  <c r="W95" i="12"/>
  <c r="R263" i="12"/>
  <c r="W71" i="12"/>
  <c r="Y267" i="12"/>
  <c r="Z74" i="11"/>
  <c r="AP26" i="12"/>
  <c r="W159" i="12"/>
  <c r="I154" i="14" s="1"/>
  <c r="R204" i="12"/>
  <c r="AB236" i="12"/>
  <c r="N278" i="12"/>
  <c r="L207" i="9"/>
  <c r="M44" i="11"/>
  <c r="M64" i="11"/>
  <c r="W183" i="12"/>
  <c r="I128" i="14" s="1"/>
  <c r="AB239" i="12"/>
  <c r="R262" i="12"/>
  <c r="W87" i="12"/>
  <c r="R28" i="12"/>
  <c r="AB37" i="12"/>
  <c r="R106" i="12"/>
  <c r="AB190" i="12"/>
  <c r="R213" i="12"/>
  <c r="R265" i="12"/>
  <c r="M39" i="11"/>
  <c r="Z61" i="11"/>
  <c r="M76" i="11"/>
  <c r="AB21" i="12"/>
  <c r="AB23" i="12"/>
  <c r="AP29" i="12"/>
  <c r="R39" i="12"/>
  <c r="R68" i="12"/>
  <c r="R146" i="12"/>
  <c r="R167" i="12"/>
  <c r="AB186" i="12"/>
  <c r="W231" i="12"/>
  <c r="I75" i="14" s="1"/>
  <c r="AP83" i="12"/>
  <c r="S27" i="2"/>
  <c r="S21" i="2"/>
  <c r="M19" i="11"/>
  <c r="M58" i="11"/>
  <c r="AP27" i="12"/>
  <c r="R36" i="12"/>
  <c r="AP58" i="12"/>
  <c r="AP109" i="12"/>
  <c r="Z46" i="11"/>
  <c r="AP25" i="12"/>
  <c r="R142" i="12"/>
  <c r="R149" i="12"/>
  <c r="W234" i="12"/>
  <c r="I72" i="14" s="1"/>
  <c r="S29" i="2"/>
  <c r="S23" i="2"/>
  <c r="Z50" i="11"/>
  <c r="W68" i="12"/>
  <c r="AB73" i="12"/>
  <c r="R89" i="12"/>
  <c r="AB231" i="12"/>
  <c r="Z43" i="11"/>
  <c r="AB42" i="12"/>
  <c r="AP47" i="12"/>
  <c r="R121" i="12"/>
  <c r="AB122" i="12"/>
  <c r="W258" i="12"/>
  <c r="I46" i="14" s="1"/>
  <c r="AB262" i="12"/>
  <c r="M271" i="12"/>
  <c r="L283" i="12"/>
  <c r="R279" i="12"/>
  <c r="Z13" i="11"/>
  <c r="Z29" i="11"/>
  <c r="M55" i="11"/>
  <c r="Z80" i="11"/>
  <c r="AA91" i="11"/>
  <c r="AB68" i="12"/>
  <c r="AP101" i="12"/>
  <c r="W128" i="12"/>
  <c r="I188" i="14" s="1"/>
  <c r="AB132" i="12"/>
  <c r="AB139" i="12"/>
  <c r="AB216" i="12"/>
  <c r="M270" i="12"/>
  <c r="M84" i="11"/>
  <c r="M23" i="11"/>
  <c r="K47" i="11"/>
  <c r="M63" i="11"/>
  <c r="AB38" i="12"/>
  <c r="R85" i="12"/>
  <c r="W91" i="12"/>
  <c r="W111" i="12"/>
  <c r="H23" i="10"/>
  <c r="M279" i="12"/>
  <c r="V278" i="12"/>
  <c r="O24" i="13"/>
  <c r="Q24" i="13" s="1"/>
  <c r="J20" i="14" s="1"/>
  <c r="Z26" i="11"/>
  <c r="AA47" i="11"/>
  <c r="M85" i="11"/>
  <c r="W31" i="12"/>
  <c r="AB142" i="12"/>
  <c r="AB230" i="12"/>
  <c r="Q158" i="13"/>
  <c r="J154" i="14" s="1"/>
  <c r="P268" i="12"/>
  <c r="R82" i="12"/>
  <c r="Q143" i="13"/>
  <c r="J139" i="14" s="1"/>
  <c r="L267" i="12"/>
  <c r="Z267" i="12" s="1"/>
  <c r="O268" i="12"/>
  <c r="V268" i="12"/>
  <c r="L277" i="12"/>
  <c r="Q278" i="12"/>
  <c r="M89" i="11"/>
  <c r="R25" i="12"/>
  <c r="W29" i="12"/>
  <c r="AP40" i="12"/>
  <c r="AP41" i="12"/>
  <c r="W57" i="12"/>
  <c r="AP71" i="12"/>
  <c r="R137" i="12"/>
  <c r="R151" i="12"/>
  <c r="AB170" i="12"/>
  <c r="R183" i="12"/>
  <c r="AB184" i="12"/>
  <c r="R190" i="12"/>
  <c r="W208" i="12"/>
  <c r="I100" i="14" s="1"/>
  <c r="W236" i="12"/>
  <c r="I70" i="14" s="1"/>
  <c r="L271" i="12"/>
  <c r="P267" i="12"/>
  <c r="T268" i="12"/>
  <c r="AB198" i="12"/>
  <c r="L275" i="12"/>
  <c r="L77" i="9"/>
  <c r="F79" i="14" s="1"/>
  <c r="L93" i="9"/>
  <c r="F95" i="14" s="1"/>
  <c r="L97" i="9"/>
  <c r="F99" i="14" s="1"/>
  <c r="L113" i="9"/>
  <c r="F115" i="14" s="1"/>
  <c r="Z17" i="11"/>
  <c r="X20" i="11"/>
  <c r="Z85" i="11"/>
  <c r="W27" i="12"/>
  <c r="AB32" i="12"/>
  <c r="R48" i="12"/>
  <c r="W141" i="12"/>
  <c r="I174" i="14" s="1"/>
  <c r="I173" i="14" s="1"/>
  <c r="R158" i="12"/>
  <c r="W187" i="12"/>
  <c r="I123" i="14" s="1"/>
  <c r="AB215" i="12"/>
  <c r="W225" i="12"/>
  <c r="I82" i="14" s="1"/>
  <c r="R232" i="12"/>
  <c r="M284" i="12"/>
  <c r="N24" i="11"/>
  <c r="H123" i="14" s="1"/>
  <c r="AA85" i="11"/>
  <c r="W83" i="12"/>
  <c r="AB85" i="12"/>
  <c r="AP92" i="12"/>
  <c r="W165" i="12"/>
  <c r="I147" i="14" s="1"/>
  <c r="Y273" i="12"/>
  <c r="S30" i="2"/>
  <c r="S24" i="2"/>
  <c r="S28" i="2"/>
  <c r="S22" i="2"/>
  <c r="T22" i="2" s="1"/>
  <c r="L205" i="9"/>
  <c r="Z41" i="11"/>
  <c r="AA56" i="11"/>
  <c r="M68" i="11"/>
  <c r="N93" i="11"/>
  <c r="H48" i="14" s="1"/>
  <c r="AB29" i="12"/>
  <c r="AB148" i="12"/>
  <c r="M18" i="11"/>
  <c r="M24" i="11"/>
  <c r="W23" i="12"/>
  <c r="R44" i="12"/>
  <c r="R119" i="12"/>
  <c r="M57" i="11"/>
  <c r="W21" i="12"/>
  <c r="AP88" i="12"/>
  <c r="R150" i="12"/>
  <c r="W175" i="12"/>
  <c r="I136" i="14" s="1"/>
  <c r="L206" i="9"/>
  <c r="Z90" i="11"/>
  <c r="AA93" i="11"/>
  <c r="AB48" i="12"/>
  <c r="R174" i="12"/>
  <c r="R192" i="12"/>
  <c r="F17" i="2"/>
  <c r="E17" i="2" s="1"/>
  <c r="F16" i="2"/>
  <c r="E16" i="2" s="1"/>
  <c r="F20" i="2"/>
  <c r="E20" i="2" s="1"/>
  <c r="AH27" i="2"/>
  <c r="E66" i="6" s="1" a="1"/>
  <c r="E66" i="6" s="1"/>
  <c r="C8" i="2"/>
  <c r="Z273" i="12"/>
  <c r="AB273" i="12" s="1"/>
  <c r="E29" i="1" s="1"/>
  <c r="AA273" i="12"/>
  <c r="X272" i="12"/>
  <c r="Y272" i="12"/>
  <c r="E32" i="1"/>
  <c r="E26" i="1"/>
  <c r="M269" i="12"/>
  <c r="F14" i="2"/>
  <c r="E14" i="2" s="1"/>
  <c r="D15" i="2"/>
  <c r="C15" i="2" s="1"/>
  <c r="F18" i="2"/>
  <c r="E18" i="2" s="1"/>
  <c r="X29" i="2"/>
  <c r="I36" i="6" s="1" a="1"/>
  <c r="I36" i="6" s="1"/>
  <c r="AN29" i="2"/>
  <c r="K68" i="6" s="1" a="1"/>
  <c r="K68" i="6" s="1"/>
  <c r="L131" i="9"/>
  <c r="F133" i="14" s="1"/>
  <c r="Z14" i="11"/>
  <c r="Z21" i="11"/>
  <c r="Z24" i="11"/>
  <c r="Z25" i="11"/>
  <c r="M43" i="11"/>
  <c r="L55" i="11"/>
  <c r="Z57" i="11"/>
  <c r="Z67" i="11"/>
  <c r="M72" i="11"/>
  <c r="M75" i="11"/>
  <c r="Z77" i="11"/>
  <c r="M80" i="11"/>
  <c r="M87" i="11"/>
  <c r="N89" i="11"/>
  <c r="H52" i="14" s="1"/>
  <c r="Z91" i="11"/>
  <c r="R21" i="12"/>
  <c r="R23" i="12"/>
  <c r="R30" i="12"/>
  <c r="W33" i="12"/>
  <c r="AP39" i="12"/>
  <c r="R41" i="12"/>
  <c r="AB41" i="12"/>
  <c r="W48" i="12"/>
  <c r="AP49" i="12"/>
  <c r="AP69" i="12"/>
  <c r="AB84" i="12"/>
  <c r="R86" i="12"/>
  <c r="AP91" i="12"/>
  <c r="AB93" i="12"/>
  <c r="W119" i="12"/>
  <c r="I198" i="14" s="1"/>
  <c r="I197" i="14" s="1"/>
  <c r="AB130" i="12"/>
  <c r="W139" i="12"/>
  <c r="I176" i="14" s="1"/>
  <c r="R160" i="12"/>
  <c r="AB160" i="12"/>
  <c r="R173" i="12"/>
  <c r="AB173" i="12"/>
  <c r="W176" i="12"/>
  <c r="I135" i="14" s="1"/>
  <c r="AB194" i="12"/>
  <c r="AB219" i="12"/>
  <c r="R242" i="12"/>
  <c r="O68" i="13"/>
  <c r="L269" i="12"/>
  <c r="M268" i="12"/>
  <c r="N268" i="12"/>
  <c r="U267" i="12"/>
  <c r="AA268" i="12"/>
  <c r="X267" i="12"/>
  <c r="AB267" i="12" s="1"/>
  <c r="H26" i="10"/>
  <c r="W277" i="12"/>
  <c r="Q23" i="13"/>
  <c r="J19" i="14" s="1"/>
  <c r="D13" i="2"/>
  <c r="C13" i="2" s="1"/>
  <c r="F12" i="2"/>
  <c r="E12" i="2" s="1"/>
  <c r="L114" i="9"/>
  <c r="F116" i="14" s="1"/>
  <c r="Z12" i="11"/>
  <c r="M34" i="11"/>
  <c r="AA40" i="11"/>
  <c r="M59" i="11"/>
  <c r="M60" i="11"/>
  <c r="M65" i="11"/>
  <c r="AA68" i="11"/>
  <c r="Z75" i="11"/>
  <c r="R40" i="12"/>
  <c r="AB40" i="12"/>
  <c r="W47" i="12"/>
  <c r="AP48" i="12"/>
  <c r="AP64" i="12"/>
  <c r="R69" i="12"/>
  <c r="AB69" i="12"/>
  <c r="R83" i="12"/>
  <c r="AB83" i="12"/>
  <c r="W88" i="12"/>
  <c r="AB92" i="12"/>
  <c r="R105" i="12"/>
  <c r="AB111" i="12"/>
  <c r="AB123" i="12"/>
  <c r="AB128" i="12"/>
  <c r="R130" i="12"/>
  <c r="AB131" i="12"/>
  <c r="W146" i="12"/>
  <c r="I168" i="14" s="1"/>
  <c r="AB153" i="12"/>
  <c r="W170" i="12"/>
  <c r="I142" i="14" s="1"/>
  <c r="R189" i="12"/>
  <c r="AB189" i="12"/>
  <c r="R195" i="12"/>
  <c r="R200" i="12"/>
  <c r="W230" i="12"/>
  <c r="I76" i="14" s="1"/>
  <c r="R237" i="12"/>
  <c r="Q267" i="12"/>
  <c r="W271" i="12"/>
  <c r="T267" i="12"/>
  <c r="W267" i="12" s="1"/>
  <c r="Z268" i="12"/>
  <c r="D11" i="2"/>
  <c r="C11" i="2" s="1"/>
  <c r="F10" i="2"/>
  <c r="E10" i="2" s="1"/>
  <c r="D10" i="2"/>
  <c r="C10" i="2" s="1"/>
  <c r="G19" i="14"/>
  <c r="L278" i="12"/>
  <c r="Z278" i="12" s="1"/>
  <c r="Y278" i="12"/>
  <c r="O31" i="13"/>
  <c r="Q31" i="13" s="1"/>
  <c r="J27" i="14" s="1"/>
  <c r="F15" i="2"/>
  <c r="E15" i="2" s="1"/>
  <c r="D16" i="2"/>
  <c r="C16" i="2" s="1"/>
  <c r="F19" i="2"/>
  <c r="E19" i="2" s="1"/>
  <c r="AA27" i="2"/>
  <c r="C47" i="6" s="1" a="1"/>
  <c r="C47" i="6" s="1"/>
  <c r="AD28" i="2"/>
  <c r="F48" i="6" s="1" a="1"/>
  <c r="F48" i="6" s="1"/>
  <c r="AL28" i="2"/>
  <c r="I67" i="6" s="1" a="1"/>
  <c r="I67" i="6" s="1"/>
  <c r="BB28" i="2"/>
  <c r="Y67" i="6" s="1" a="1"/>
  <c r="Y67" i="6" s="1"/>
  <c r="BJ28" i="2"/>
  <c r="AG67" i="6" s="1" a="1"/>
  <c r="AG67" i="6" s="1"/>
  <c r="BM29" i="2"/>
  <c r="E55" i="6" s="1" a="1"/>
  <c r="E55" i="6" s="1"/>
  <c r="D12" i="2"/>
  <c r="C12" i="2" s="1"/>
  <c r="F11" i="2"/>
  <c r="E11" i="2" s="1"/>
  <c r="L200" i="9"/>
  <c r="L204" i="9"/>
  <c r="Y22" i="11"/>
  <c r="M267" i="12"/>
  <c r="Y270" i="12"/>
  <c r="D14" i="2"/>
  <c r="C14" i="2" s="1"/>
  <c r="F13" i="2"/>
  <c r="E13" i="2" s="1"/>
  <c r="Y13" i="11"/>
  <c r="M28" i="11"/>
  <c r="N53" i="11"/>
  <c r="H92" i="14" s="1"/>
  <c r="N65" i="11"/>
  <c r="H79" i="14" s="1"/>
  <c r="Z66" i="11"/>
  <c r="AA75" i="11"/>
  <c r="AP37" i="12"/>
  <c r="W55" i="12"/>
  <c r="AB67" i="12"/>
  <c r="AP79" i="12"/>
  <c r="AB107" i="12"/>
  <c r="R117" i="12"/>
  <c r="AB118" i="12"/>
  <c r="W121" i="12"/>
  <c r="I195" i="14" s="1"/>
  <c r="W129" i="12"/>
  <c r="I187" i="14" s="1"/>
  <c r="W147" i="12"/>
  <c r="I167" i="14" s="1"/>
  <c r="W153" i="12"/>
  <c r="I160" i="14" s="1"/>
  <c r="R169" i="12"/>
  <c r="W171" i="12"/>
  <c r="I141" i="14" s="1"/>
  <c r="W178" i="12"/>
  <c r="I133" i="14" s="1"/>
  <c r="W181" i="12"/>
  <c r="I130" i="14" s="1"/>
  <c r="AB209" i="12"/>
  <c r="W218" i="12"/>
  <c r="I90" i="14" s="1"/>
  <c r="I89" i="14" s="1"/>
  <c r="AB251" i="12"/>
  <c r="Q64" i="13"/>
  <c r="J60" i="14" s="1"/>
  <c r="M273" i="12"/>
  <c r="R273" i="12"/>
  <c r="U268" i="12"/>
  <c r="X268" i="12"/>
  <c r="L276" i="12"/>
  <c r="Y276" i="12" s="1"/>
  <c r="L186" i="9"/>
  <c r="F188" i="14" s="1"/>
  <c r="L202" i="9"/>
  <c r="M13" i="11"/>
  <c r="M14" i="11"/>
  <c r="M17" i="11"/>
  <c r="M22" i="11"/>
  <c r="M25" i="11"/>
  <c r="M26" i="11"/>
  <c r="AA36" i="11"/>
  <c r="M41" i="11"/>
  <c r="Z48" i="11"/>
  <c r="M52" i="11"/>
  <c r="Z56" i="11"/>
  <c r="Z59" i="11"/>
  <c r="Z65" i="11"/>
  <c r="N69" i="11"/>
  <c r="H74" i="14" s="1"/>
  <c r="Z71" i="11"/>
  <c r="AA72" i="11"/>
  <c r="M74" i="11"/>
  <c r="Z101" i="11"/>
  <c r="Y101" i="11"/>
  <c r="R35" i="12"/>
  <c r="AB35" i="12"/>
  <c r="W43" i="12"/>
  <c r="W44" i="12"/>
  <c r="AP45" i="12"/>
  <c r="R47" i="12"/>
  <c r="AP53" i="12"/>
  <c r="AB79" i="12"/>
  <c r="AB80" i="12"/>
  <c r="AB125" i="12"/>
  <c r="W135" i="12"/>
  <c r="I180" i="14" s="1"/>
  <c r="W137" i="12"/>
  <c r="I178" i="14" s="1"/>
  <c r="R152" i="12"/>
  <c r="AB152" i="12"/>
  <c r="AB163" i="12"/>
  <c r="AB164" i="12"/>
  <c r="R176" i="12"/>
  <c r="AB176" i="12"/>
  <c r="AB180" i="12"/>
  <c r="R196" i="12"/>
  <c r="W199" i="12"/>
  <c r="I110" i="14" s="1"/>
  <c r="AB202" i="12"/>
  <c r="R229" i="12"/>
  <c r="AB229" i="12"/>
  <c r="R236" i="12"/>
  <c r="R246" i="12"/>
  <c r="AB259" i="12"/>
  <c r="M272" i="12"/>
  <c r="R267" i="12"/>
  <c r="H28" i="10"/>
  <c r="H22" i="10"/>
  <c r="R280" i="12"/>
  <c r="N14" i="11"/>
  <c r="N15" i="11"/>
  <c r="Y47" i="11"/>
  <c r="AB33" i="12"/>
  <c r="AP44" i="12"/>
  <c r="AP55" i="12"/>
  <c r="AP56" i="12"/>
  <c r="AP57" i="12"/>
  <c r="R76" i="12"/>
  <c r="R77" i="12"/>
  <c r="AB77" i="12"/>
  <c r="W84" i="12"/>
  <c r="AP85" i="12"/>
  <c r="R97" i="12"/>
  <c r="R114" i="12"/>
  <c r="R127" i="12"/>
  <c r="R141" i="12"/>
  <c r="AB141" i="12"/>
  <c r="W149" i="12"/>
  <c r="I165" i="14" s="1"/>
  <c r="R162" i="12"/>
  <c r="W200" i="12"/>
  <c r="I109" i="14" s="1"/>
  <c r="R211" i="12"/>
  <c r="AB211" i="12"/>
  <c r="W214" i="12"/>
  <c r="I94" i="14" s="1"/>
  <c r="W224" i="12"/>
  <c r="I83" i="14" s="1"/>
  <c r="W242" i="12"/>
  <c r="I63" i="14" s="1"/>
  <c r="Q268" i="12"/>
  <c r="W272" i="12"/>
  <c r="S268" i="12"/>
  <c r="AA267" i="12"/>
  <c r="H27" i="10"/>
  <c r="L27" i="10" s="1"/>
  <c r="G27" i="14" s="1"/>
  <c r="H29" i="10"/>
  <c r="L282" i="12"/>
  <c r="Z282" i="12" s="1"/>
  <c r="M274" i="12"/>
  <c r="L284" i="12"/>
  <c r="O276" i="12"/>
  <c r="R276" i="12" s="1"/>
  <c r="I276" i="12"/>
  <c r="E7" i="2"/>
  <c r="I2" i="2" s="1"/>
  <c r="X30" i="2"/>
  <c r="I37" i="6" s="1" a="1"/>
  <c r="I37" i="6" s="1"/>
  <c r="AV30" i="2"/>
  <c r="S69" i="6" s="1" a="1"/>
  <c r="S69" i="6" s="1"/>
  <c r="AT29" i="2"/>
  <c r="Q68" i="6" s="1" a="1"/>
  <c r="Q68" i="6" s="1"/>
  <c r="BR29" i="2"/>
  <c r="C43" i="6" s="1" a="1"/>
  <c r="C43" i="6" s="1"/>
  <c r="L116" i="9"/>
  <c r="F118" i="14" s="1"/>
  <c r="L140" i="9"/>
  <c r="F142" i="14" s="1"/>
  <c r="L176" i="9"/>
  <c r="F178" i="14" s="1"/>
  <c r="L201" i="9"/>
  <c r="M12" i="11"/>
  <c r="Z28" i="11"/>
  <c r="L30" i="11"/>
  <c r="N30" i="11" s="1"/>
  <c r="H117" i="14" s="1"/>
  <c r="Z33" i="11"/>
  <c r="Y35" i="11"/>
  <c r="N47" i="11"/>
  <c r="H98" i="14" s="1"/>
  <c r="M48" i="11"/>
  <c r="Z63" i="11"/>
  <c r="M73" i="11"/>
  <c r="M83" i="11"/>
  <c r="Z88" i="11"/>
  <c r="AA88" i="11" s="1"/>
  <c r="N90" i="11"/>
  <c r="H51" i="14" s="1"/>
  <c r="Z97" i="11"/>
  <c r="AB45" i="12"/>
  <c r="R74" i="12"/>
  <c r="AB75" i="12"/>
  <c r="AP84" i="12"/>
  <c r="W92" i="12"/>
  <c r="AP93" i="12"/>
  <c r="AB97" i="12"/>
  <c r="W106" i="12"/>
  <c r="W107" i="12"/>
  <c r="AB115" i="12"/>
  <c r="W117" i="12"/>
  <c r="I200" i="14" s="1"/>
  <c r="AB121" i="12"/>
  <c r="R128" i="12"/>
  <c r="AB147" i="12"/>
  <c r="W155" i="12"/>
  <c r="I158" i="14" s="1"/>
  <c r="R159" i="12"/>
  <c r="W162" i="12"/>
  <c r="I151" i="14" s="1"/>
  <c r="R166" i="12"/>
  <c r="AB171" i="12"/>
  <c r="R218" i="12"/>
  <c r="AB218" i="12"/>
  <c r="R230" i="12"/>
  <c r="R247" i="12"/>
  <c r="L281" i="12"/>
  <c r="AA281" i="12" s="1"/>
  <c r="W274" i="12"/>
  <c r="F9" i="2"/>
  <c r="E9" i="2" s="1"/>
  <c r="AR27" i="2"/>
  <c r="O66" i="6" s="1" a="1"/>
  <c r="O66" i="6" s="1"/>
  <c r="BH27" i="2"/>
  <c r="AE66" i="6" s="1" a="1"/>
  <c r="AE66" i="6" s="1"/>
  <c r="BP27" i="2"/>
  <c r="C59" i="6" s="1" a="1"/>
  <c r="C59" i="6" s="1"/>
  <c r="W28" i="2"/>
  <c r="H35" i="6" s="1" a="1"/>
  <c r="H35" i="6" s="1"/>
  <c r="AE28" i="2"/>
  <c r="G48" i="6" s="1" a="1"/>
  <c r="G48" i="6" s="1"/>
  <c r="AM28" i="2"/>
  <c r="J67" i="6" s="1" a="1"/>
  <c r="J67" i="6" s="1"/>
  <c r="AU28" i="2"/>
  <c r="R67" i="6" s="1" a="1"/>
  <c r="R67" i="6" s="1"/>
  <c r="BC28" i="2"/>
  <c r="Z67" i="6" s="1" a="1"/>
  <c r="Z67" i="6" s="1"/>
  <c r="BK28" i="2"/>
  <c r="C54" i="6" s="1" a="1"/>
  <c r="C54" i="6" s="1"/>
  <c r="BS28" i="2"/>
  <c r="D42" i="6" s="1" a="1"/>
  <c r="D42" i="6" s="1"/>
  <c r="Z29" i="2"/>
  <c r="K36" i="6" s="1" a="1"/>
  <c r="K36" i="6" s="1"/>
  <c r="AH29" i="2"/>
  <c r="E68" i="6" s="1" a="1"/>
  <c r="E68" i="6" s="1"/>
  <c r="AP29" i="2"/>
  <c r="M68" i="6" s="1" a="1"/>
  <c r="M68" i="6" s="1"/>
  <c r="AX29" i="2"/>
  <c r="U68" i="6" s="1" a="1"/>
  <c r="U68" i="6" s="1"/>
  <c r="BF29" i="2"/>
  <c r="AC68" i="6" s="1" a="1"/>
  <c r="AC68" i="6" s="1"/>
  <c r="BN29" i="2"/>
  <c r="F55" i="6" s="1" a="1"/>
  <c r="F55" i="6" s="1"/>
  <c r="X28" i="2"/>
  <c r="I35" i="6" s="1" a="1"/>
  <c r="I35" i="6" s="1"/>
  <c r="AF28" i="2"/>
  <c r="C67" i="6" s="1" a="1"/>
  <c r="C67" i="6" s="1"/>
  <c r="AN28" i="2"/>
  <c r="K67" i="6" s="1" a="1"/>
  <c r="K67" i="6" s="1"/>
  <c r="AV28" i="2"/>
  <c r="S67" i="6" s="1" a="1"/>
  <c r="S67" i="6" s="1"/>
  <c r="BD28" i="2"/>
  <c r="AA67" i="6" s="1" a="1"/>
  <c r="AA67" i="6" s="1"/>
  <c r="BL28" i="2"/>
  <c r="D54" i="6" s="1" a="1"/>
  <c r="D54" i="6" s="1"/>
  <c r="BT28" i="2"/>
  <c r="E42" i="6" s="1" a="1"/>
  <c r="E42" i="6" s="1"/>
  <c r="Y28" i="2"/>
  <c r="J35" i="6" s="1" a="1"/>
  <c r="J35" i="6" s="1"/>
  <c r="AO28" i="2"/>
  <c r="L67" i="6" s="1" a="1"/>
  <c r="L67" i="6" s="1"/>
  <c r="AW28" i="2"/>
  <c r="T67" i="6" s="1" a="1"/>
  <c r="T67" i="6" s="1"/>
  <c r="BE28" i="2"/>
  <c r="AB67" i="6" s="1" a="1"/>
  <c r="AB67" i="6" s="1"/>
  <c r="AB29" i="2"/>
  <c r="D49" i="6" s="1" a="1"/>
  <c r="D49" i="6" s="1"/>
  <c r="AR29" i="2"/>
  <c r="O68" i="6" s="1" a="1"/>
  <c r="O68" i="6" s="1"/>
  <c r="AZ29" i="2"/>
  <c r="W68" i="6" s="1" a="1"/>
  <c r="W68" i="6" s="1"/>
  <c r="BP29" i="2"/>
  <c r="C61" i="6" s="1" a="1"/>
  <c r="C61" i="6" s="1"/>
  <c r="Z28" i="2"/>
  <c r="K35" i="6" s="1" a="1"/>
  <c r="K35" i="6" s="1"/>
  <c r="AH28" i="2"/>
  <c r="E67" i="6" s="1" a="1"/>
  <c r="E67" i="6" s="1"/>
  <c r="AP28" i="2"/>
  <c r="M67" i="6" s="1" a="1"/>
  <c r="M67" i="6" s="1"/>
  <c r="AX28" i="2"/>
  <c r="U67" i="6" s="1" a="1"/>
  <c r="U67" i="6" s="1"/>
  <c r="BF28" i="2"/>
  <c r="AC67" i="6" s="1" a="1"/>
  <c r="AC67" i="6" s="1"/>
  <c r="BN28" i="2"/>
  <c r="F54" i="6" s="1" a="1"/>
  <c r="F54" i="6" s="1"/>
  <c r="AK29" i="2"/>
  <c r="H68" i="6" s="1" a="1"/>
  <c r="H68" i="6" s="1"/>
  <c r="AA28" i="2"/>
  <c r="C48" i="6" s="1" a="1"/>
  <c r="C48" i="6" s="1"/>
  <c r="AQ28" i="2"/>
  <c r="N67" i="6" s="1" a="1"/>
  <c r="N67" i="6" s="1"/>
  <c r="BG28" i="2"/>
  <c r="AD67" i="6" s="1" a="1"/>
  <c r="AD67" i="6" s="1"/>
  <c r="BO28" i="2"/>
  <c r="G54" i="6" s="1" a="1"/>
  <c r="G54" i="6" s="1"/>
  <c r="AL29" i="2"/>
  <c r="I68" i="6" s="1" a="1"/>
  <c r="I68" i="6" s="1"/>
  <c r="AI28" i="2"/>
  <c r="F67" i="6" s="1" a="1"/>
  <c r="F67" i="6" s="1"/>
  <c r="AY28" i="2"/>
  <c r="V67" i="6" s="1" a="1"/>
  <c r="V67" i="6" s="1"/>
  <c r="AD29" i="2"/>
  <c r="F49" i="6" s="1" a="1"/>
  <c r="F49" i="6" s="1"/>
  <c r="BJ29" i="2"/>
  <c r="AG68" i="6" s="1" a="1"/>
  <c r="AG68" i="6" s="1"/>
  <c r="AC28" i="2"/>
  <c r="E48" i="6" s="1" a="1"/>
  <c r="E48" i="6" s="1"/>
  <c r="AK28" i="2"/>
  <c r="H67" i="6" s="1" a="1"/>
  <c r="H67" i="6" s="1"/>
  <c r="AS28" i="2"/>
  <c r="P67" i="6" s="1" a="1"/>
  <c r="P67" i="6" s="1"/>
  <c r="BA28" i="2"/>
  <c r="X67" i="6" s="1" a="1"/>
  <c r="X67" i="6" s="1"/>
  <c r="BI28" i="2"/>
  <c r="AF67" i="6" s="1" a="1"/>
  <c r="AF67" i="6" s="1"/>
  <c r="BQ28" i="2"/>
  <c r="D60" i="6" s="1" a="1"/>
  <c r="D60" i="6" s="1"/>
  <c r="C5" i="15"/>
  <c r="C10" i="15"/>
  <c r="C11" i="15" s="1"/>
  <c r="C12" i="15" s="1"/>
  <c r="C9" i="15"/>
  <c r="C6" i="15"/>
  <c r="C7" i="15" s="1"/>
  <c r="C8" i="15" s="1"/>
  <c r="Z32" i="1"/>
  <c r="Z31" i="1"/>
  <c r="AA31" i="1"/>
  <c r="AA35" i="1"/>
  <c r="Z29" i="1"/>
  <c r="AA34" i="1"/>
  <c r="AA30" i="1"/>
  <c r="AA33" i="1"/>
  <c r="Z33" i="1"/>
  <c r="Z35" i="1"/>
  <c r="AA32" i="1"/>
  <c r="AA29" i="1"/>
  <c r="Z34" i="1"/>
  <c r="Z30" i="1"/>
  <c r="J28" i="10"/>
  <c r="H21" i="10"/>
  <c r="H20" i="10"/>
  <c r="J27" i="10"/>
  <c r="H25" i="10"/>
  <c r="L25" i="10" s="1"/>
  <c r="G25" i="14" s="1"/>
  <c r="H24" i="10"/>
  <c r="I23" i="10"/>
  <c r="L23" i="10" s="1"/>
  <c r="G23" i="14" s="1"/>
  <c r="I26" i="10"/>
  <c r="L26" i="10" s="1"/>
  <c r="G26" i="14" s="1"/>
  <c r="I24" i="10"/>
  <c r="I29" i="10"/>
  <c r="I21" i="10"/>
  <c r="I22" i="10"/>
  <c r="I20" i="10"/>
  <c r="R269" i="12"/>
  <c r="Z280" i="12"/>
  <c r="AB280" i="12" s="1"/>
  <c r="AA280" i="12"/>
  <c r="AA277" i="12"/>
  <c r="Z277" i="12"/>
  <c r="M283" i="12"/>
  <c r="L274" i="12"/>
  <c r="M282" i="12"/>
  <c r="M277" i="12"/>
  <c r="Q274" i="12"/>
  <c r="R274" i="12" s="1"/>
  <c r="L279" i="12"/>
  <c r="M280" i="12"/>
  <c r="M278" i="12"/>
  <c r="M275" i="12"/>
  <c r="M281" i="12"/>
  <c r="M276" i="12"/>
  <c r="W281" i="12"/>
  <c r="W280" i="12"/>
  <c r="W270" i="12"/>
  <c r="W273" i="12"/>
  <c r="AB272" i="12"/>
  <c r="W269" i="12"/>
  <c r="I28" i="13"/>
  <c r="K28" i="13"/>
  <c r="O38" i="13"/>
  <c r="Q38" i="13" s="1"/>
  <c r="J34" i="14" s="1"/>
  <c r="Q110" i="13"/>
  <c r="J106" i="14" s="1"/>
  <c r="Q188" i="13"/>
  <c r="J184" i="14" s="1"/>
  <c r="O125" i="13"/>
  <c r="Q125" i="13" s="1"/>
  <c r="J121" i="14" s="1"/>
  <c r="O211" i="13"/>
  <c r="Q211" i="13" s="1"/>
  <c r="O75" i="13"/>
  <c r="Q75" i="13" s="1"/>
  <c r="J71" i="14" s="1"/>
  <c r="Q186" i="13"/>
  <c r="J182" i="14" s="1"/>
  <c r="Q192" i="13"/>
  <c r="J188" i="14" s="1"/>
  <c r="O231" i="13"/>
  <c r="Q231" i="13" s="1"/>
  <c r="O37" i="13"/>
  <c r="Q37" i="13" s="1"/>
  <c r="J33" i="14" s="1"/>
  <c r="O140" i="13"/>
  <c r="Q140" i="13" s="1"/>
  <c r="J136" i="14" s="1"/>
  <c r="O200" i="13"/>
  <c r="Q200" i="13" s="1"/>
  <c r="J196" i="14" s="1"/>
  <c r="O205" i="13"/>
  <c r="Q205" i="13" s="1"/>
  <c r="J201" i="14" s="1"/>
  <c r="O213" i="13"/>
  <c r="O237" i="13"/>
  <c r="O39" i="13"/>
  <c r="Q39" i="13" s="1"/>
  <c r="J35" i="14" s="1"/>
  <c r="O36" i="13"/>
  <c r="Q36" i="13" s="1"/>
  <c r="J32" i="14" s="1"/>
  <c r="O250" i="13"/>
  <c r="Q250" i="13" s="1"/>
  <c r="O43" i="13"/>
  <c r="O40" i="13"/>
  <c r="Q40" i="13" s="1"/>
  <c r="J36" i="14" s="1"/>
  <c r="Q66" i="13"/>
  <c r="J62" i="14" s="1"/>
  <c r="Q98" i="13"/>
  <c r="J94" i="14" s="1"/>
  <c r="Q102" i="13"/>
  <c r="J98" i="14" s="1"/>
  <c r="O131" i="13"/>
  <c r="Q131" i="13" s="1"/>
  <c r="J127" i="14" s="1"/>
  <c r="O133" i="13"/>
  <c r="Q133" i="13" s="1"/>
  <c r="J129" i="14" s="1"/>
  <c r="Q63" i="13"/>
  <c r="J59" i="14" s="1"/>
  <c r="Q153" i="13"/>
  <c r="J149" i="14" s="1"/>
  <c r="O160" i="13"/>
  <c r="O198" i="13"/>
  <c r="O214" i="13"/>
  <c r="Q214" i="13" s="1"/>
  <c r="O268" i="13"/>
  <c r="Q268" i="13" s="1"/>
  <c r="O35" i="13"/>
  <c r="Q35" i="13" s="1"/>
  <c r="J31" i="14" s="1"/>
  <c r="O82" i="13"/>
  <c r="Q82" i="13" s="1"/>
  <c r="J78" i="14" s="1"/>
  <c r="R277" i="12"/>
  <c r="T282" i="12"/>
  <c r="X278" i="12"/>
  <c r="P278" i="12"/>
  <c r="U275" i="12"/>
  <c r="AA282" i="12"/>
  <c r="S282" i="12"/>
  <c r="W282" i="12" s="1"/>
  <c r="Z281" i="12"/>
  <c r="O278" i="12"/>
  <c r="U276" i="12"/>
  <c r="T275" i="12"/>
  <c r="AA275" i="12"/>
  <c r="S275" i="12"/>
  <c r="Y282" i="12"/>
  <c r="R282" i="12"/>
  <c r="X281" i="12"/>
  <c r="R281" i="12"/>
  <c r="U278" i="12"/>
  <c r="S276" i="12"/>
  <c r="W276" i="12" s="1"/>
  <c r="Z275" i="12"/>
  <c r="X282" i="12"/>
  <c r="T278" i="12"/>
  <c r="Z276" i="12"/>
  <c r="Y275" i="12"/>
  <c r="Q275" i="12"/>
  <c r="T279" i="12"/>
  <c r="W279" i="12" s="1"/>
  <c r="S278" i="12"/>
  <c r="X275" i="12"/>
  <c r="P275" i="12"/>
  <c r="R275" i="12" s="1"/>
  <c r="V283" i="9"/>
  <c r="C34" i="13"/>
  <c r="C35" i="13"/>
  <c r="C36" i="13"/>
  <c r="C37" i="13"/>
  <c r="C38" i="13"/>
  <c r="C39" i="13"/>
  <c r="C40" i="13"/>
  <c r="C41" i="13"/>
  <c r="D39" i="13"/>
  <c r="D37" i="13"/>
  <c r="D38" i="13"/>
  <c r="B44" i="10"/>
  <c r="V282" i="9"/>
  <c r="V281" i="9"/>
  <c r="V288" i="9"/>
  <c r="V287" i="9"/>
  <c r="V286" i="9"/>
  <c r="V285" i="9"/>
  <c r="V284" i="9"/>
  <c r="L89" i="9"/>
  <c r="F91" i="14" s="1"/>
  <c r="L126" i="9"/>
  <c r="F128" i="14" s="1"/>
  <c r="L112" i="9"/>
  <c r="F114" i="14" s="1"/>
  <c r="L117" i="9"/>
  <c r="F119" i="14" s="1"/>
  <c r="L121" i="9"/>
  <c r="F123" i="14" s="1"/>
  <c r="L88" i="9"/>
  <c r="F90" i="14" s="1"/>
  <c r="L133" i="9"/>
  <c r="F135" i="14" s="1"/>
  <c r="L141" i="9"/>
  <c r="F143" i="14" s="1"/>
  <c r="L162" i="9"/>
  <c r="F164" i="14" s="1"/>
  <c r="L170" i="9"/>
  <c r="F172" i="14" s="1"/>
  <c r="L174" i="9"/>
  <c r="F176" i="14" s="1"/>
  <c r="L132" i="9"/>
  <c r="F134" i="14" s="1"/>
  <c r="L191" i="9"/>
  <c r="F193" i="14" s="1"/>
  <c r="L203" i="9"/>
  <c r="L90" i="9"/>
  <c r="F92" i="14" s="1"/>
  <c r="L139" i="9"/>
  <c r="F141" i="14" s="1"/>
  <c r="L160" i="9"/>
  <c r="F162" i="14" s="1"/>
  <c r="L168" i="9"/>
  <c r="F170" i="14" s="1"/>
  <c r="L110" i="9"/>
  <c r="F112" i="14" s="1"/>
  <c r="D41" i="13"/>
  <c r="O253" i="13"/>
  <c r="Q253" i="13" s="1"/>
  <c r="O52" i="13"/>
  <c r="Q52" i="13" s="1"/>
  <c r="J48" i="14" s="1"/>
  <c r="O85" i="13"/>
  <c r="Q85" i="13" s="1"/>
  <c r="J81" i="14" s="1"/>
  <c r="O95" i="13"/>
  <c r="Q95" i="13" s="1"/>
  <c r="J91" i="14" s="1"/>
  <c r="O177" i="13"/>
  <c r="O210" i="13"/>
  <c r="Q210" i="13" s="1"/>
  <c r="Q230" i="13"/>
  <c r="O261" i="13"/>
  <c r="O76" i="13"/>
  <c r="Q101" i="13"/>
  <c r="J97" i="14" s="1"/>
  <c r="Q118" i="13"/>
  <c r="J114" i="14" s="1"/>
  <c r="Q183" i="13"/>
  <c r="J179" i="14" s="1"/>
  <c r="O212" i="13"/>
  <c r="Q212" i="13" s="1"/>
  <c r="O220" i="13"/>
  <c r="Q220" i="13" s="1"/>
  <c r="O236" i="13"/>
  <c r="O86" i="13"/>
  <c r="Q86" i="13" s="1"/>
  <c r="J82" i="14" s="1"/>
  <c r="O94" i="13"/>
  <c r="Q94" i="13" s="1"/>
  <c r="J90" i="14" s="1"/>
  <c r="O176" i="13"/>
  <c r="Q176" i="13" s="1"/>
  <c r="J172" i="14" s="1"/>
  <c r="O233" i="13"/>
  <c r="Q233" i="13" s="1"/>
  <c r="O165" i="13"/>
  <c r="O262" i="13"/>
  <c r="O270" i="13"/>
  <c r="Q270" i="13" s="1"/>
  <c r="O53" i="13"/>
  <c r="Q53" i="13" s="1"/>
  <c r="J49" i="14" s="1"/>
  <c r="Q61" i="13"/>
  <c r="J57" i="14" s="1"/>
  <c r="O124" i="13"/>
  <c r="Q124" i="13" s="1"/>
  <c r="J120" i="14" s="1"/>
  <c r="Q150" i="13"/>
  <c r="J146" i="14" s="1"/>
  <c r="Q154" i="13"/>
  <c r="J150" i="14" s="1"/>
  <c r="O260" i="13"/>
  <c r="Q260" i="13" s="1"/>
  <c r="O276" i="13"/>
  <c r="Q276" i="13" s="1"/>
  <c r="O280" i="13"/>
  <c r="O284" i="13"/>
  <c r="O288" i="13"/>
  <c r="O292" i="13"/>
  <c r="Q292" i="13" s="1"/>
  <c r="O296" i="13"/>
  <c r="Q296" i="13" s="1"/>
  <c r="O300" i="13"/>
  <c r="Q300" i="13" s="1"/>
  <c r="O304" i="13"/>
  <c r="Q304" i="13" s="1"/>
  <c r="O308" i="13"/>
  <c r="O312" i="13"/>
  <c r="O316" i="13"/>
  <c r="O320" i="13"/>
  <c r="Q320" i="13" s="1"/>
  <c r="O69" i="13"/>
  <c r="Q69" i="13" s="1"/>
  <c r="J65" i="14" s="1"/>
  <c r="Q141" i="13"/>
  <c r="J137" i="14" s="1"/>
  <c r="O171" i="13"/>
  <c r="Q191" i="13"/>
  <c r="J187" i="14" s="1"/>
  <c r="Q62" i="13"/>
  <c r="J58" i="14" s="1"/>
  <c r="O77" i="13"/>
  <c r="Q77" i="13" s="1"/>
  <c r="J73" i="14" s="1"/>
  <c r="Q96" i="13"/>
  <c r="J92" i="14" s="1"/>
  <c r="Q113" i="13"/>
  <c r="J109" i="14" s="1"/>
  <c r="O134" i="13"/>
  <c r="Q134" i="13" s="1"/>
  <c r="J130" i="14" s="1"/>
  <c r="Q142" i="13"/>
  <c r="J138" i="14" s="1"/>
  <c r="Q156" i="13"/>
  <c r="J152" i="14" s="1"/>
  <c r="O167" i="13"/>
  <c r="Q167" i="13" s="1"/>
  <c r="J163" i="14" s="1"/>
  <c r="O170" i="13"/>
  <c r="Q170" i="13" s="1"/>
  <c r="J166" i="14" s="1"/>
  <c r="O181" i="13"/>
  <c r="Q182" i="13"/>
  <c r="J178" i="14" s="1"/>
  <c r="O271" i="13"/>
  <c r="Q271" i="13" s="1"/>
  <c r="O45" i="13"/>
  <c r="Q45" i="13" s="1"/>
  <c r="J41" i="14" s="1"/>
  <c r="Q60" i="13"/>
  <c r="J56" i="14" s="1"/>
  <c r="O67" i="13"/>
  <c r="Q67" i="13" s="1"/>
  <c r="J63" i="14" s="1"/>
  <c r="O93" i="13"/>
  <c r="Q93" i="13" s="1"/>
  <c r="J89" i="14" s="1"/>
  <c r="Q120" i="13"/>
  <c r="J116" i="14" s="1"/>
  <c r="Q151" i="13"/>
  <c r="J147" i="14" s="1"/>
  <c r="O195" i="13"/>
  <c r="O203" i="13"/>
  <c r="Q203" i="13" s="1"/>
  <c r="J199" i="14" s="1"/>
  <c r="O208" i="13"/>
  <c r="Q208" i="13" s="1"/>
  <c r="O246" i="13"/>
  <c r="Q246" i="13" s="1"/>
  <c r="O254" i="13"/>
  <c r="Q254" i="13" s="1"/>
  <c r="Q187" i="13"/>
  <c r="J183" i="14" s="1"/>
  <c r="O219" i="13"/>
  <c r="O227" i="13"/>
  <c r="Q227" i="13" s="1"/>
  <c r="O235" i="13"/>
  <c r="Q235" i="13" s="1"/>
  <c r="O194" i="13"/>
  <c r="Q194" i="13" s="1"/>
  <c r="J190" i="14" s="1"/>
  <c r="O232" i="13"/>
  <c r="Q232" i="13" s="1"/>
  <c r="O243" i="13"/>
  <c r="Q243" i="13" s="1"/>
  <c r="O324" i="13"/>
  <c r="O328" i="13"/>
  <c r="O92" i="13"/>
  <c r="Q92" i="13" s="1"/>
  <c r="J88" i="14" s="1"/>
  <c r="Q114" i="13"/>
  <c r="J110" i="14" s="1"/>
  <c r="O132" i="13"/>
  <c r="Q132" i="13" s="1"/>
  <c r="J128" i="14" s="1"/>
  <c r="O196" i="13"/>
  <c r="Q196" i="13" s="1"/>
  <c r="J192" i="14" s="1"/>
  <c r="O204" i="13"/>
  <c r="Q204" i="13" s="1"/>
  <c r="J200" i="14" s="1"/>
  <c r="O245" i="13"/>
  <c r="Q245" i="13" s="1"/>
  <c r="O258" i="13"/>
  <c r="Q258" i="13" s="1"/>
  <c r="Q76" i="13"/>
  <c r="J72" i="14" s="1"/>
  <c r="O84" i="13"/>
  <c r="Q84" i="13" s="1"/>
  <c r="J80" i="14" s="1"/>
  <c r="Q106" i="13"/>
  <c r="J102" i="14" s="1"/>
  <c r="Q111" i="13"/>
  <c r="J107" i="14" s="1"/>
  <c r="Q117" i="13"/>
  <c r="J113" i="14" s="1"/>
  <c r="O163" i="13"/>
  <c r="Q163" i="13" s="1"/>
  <c r="J159" i="14" s="1"/>
  <c r="L51" i="10"/>
  <c r="G51" i="14" s="1"/>
  <c r="L53" i="10"/>
  <c r="G53" i="14" s="1"/>
  <c r="L45" i="10"/>
  <c r="G45" i="14" s="1"/>
  <c r="L184" i="10"/>
  <c r="G184" i="14" s="1"/>
  <c r="L204" i="10"/>
  <c r="L157" i="10"/>
  <c r="G157" i="14" s="1"/>
  <c r="L44" i="10"/>
  <c r="G44" i="14" s="1"/>
  <c r="L52" i="10"/>
  <c r="G52" i="14" s="1"/>
  <c r="L56" i="10"/>
  <c r="G56" i="14" s="1"/>
  <c r="L71" i="10"/>
  <c r="G71" i="14" s="1"/>
  <c r="L179" i="10"/>
  <c r="G179" i="14" s="1"/>
  <c r="L42" i="10"/>
  <c r="G42" i="14" s="1"/>
  <c r="L185" i="10"/>
  <c r="G185" i="14" s="1"/>
  <c r="L187" i="10"/>
  <c r="G187" i="14" s="1"/>
  <c r="L189" i="10"/>
  <c r="G189" i="14" s="1"/>
  <c r="L193" i="10"/>
  <c r="G193" i="14" s="1"/>
  <c r="L195" i="10"/>
  <c r="G195" i="14" s="1"/>
  <c r="L197" i="10"/>
  <c r="G197" i="14" s="1"/>
  <c r="L46" i="10"/>
  <c r="G46" i="14" s="1"/>
  <c r="L58" i="10"/>
  <c r="G58" i="14" s="1"/>
  <c r="L57" i="10"/>
  <c r="G57" i="14" s="1"/>
  <c r="L148" i="10"/>
  <c r="G148" i="14" s="1"/>
  <c r="L150" i="10"/>
  <c r="G150" i="14" s="1"/>
  <c r="L152" i="10"/>
  <c r="G152" i="14" s="1"/>
  <c r="L156" i="10"/>
  <c r="G156" i="14" s="1"/>
  <c r="L178" i="10"/>
  <c r="G178" i="14" s="1"/>
  <c r="L59" i="10"/>
  <c r="G59" i="14" s="1"/>
  <c r="L61" i="10"/>
  <c r="G61" i="14" s="1"/>
  <c r="L73" i="10"/>
  <c r="G73" i="14" s="1"/>
  <c r="L110" i="10"/>
  <c r="G110" i="14" s="1"/>
  <c r="L112" i="10"/>
  <c r="G112" i="14" s="1"/>
  <c r="L116" i="10"/>
  <c r="G116" i="14" s="1"/>
  <c r="L144" i="10"/>
  <c r="G144" i="14" s="1"/>
  <c r="L158" i="10"/>
  <c r="G158" i="14" s="1"/>
  <c r="L192" i="10"/>
  <c r="G192" i="14" s="1"/>
  <c r="L69" i="10"/>
  <c r="G69" i="14" s="1"/>
  <c r="L98" i="10"/>
  <c r="G98" i="14" s="1"/>
  <c r="L104" i="10"/>
  <c r="G104" i="14" s="1"/>
  <c r="L37" i="10"/>
  <c r="G37" i="14" s="1"/>
  <c r="L62" i="10"/>
  <c r="G62" i="14" s="1"/>
  <c r="L64" i="10"/>
  <c r="G64" i="14" s="1"/>
  <c r="L66" i="10"/>
  <c r="G66" i="14" s="1"/>
  <c r="L68" i="10"/>
  <c r="G68" i="14" s="1"/>
  <c r="L70" i="10"/>
  <c r="G70" i="14" s="1"/>
  <c r="L72" i="10"/>
  <c r="G72" i="14" s="1"/>
  <c r="L99" i="10"/>
  <c r="G99" i="14" s="1"/>
  <c r="L105" i="10"/>
  <c r="G105" i="14" s="1"/>
  <c r="L107" i="10"/>
  <c r="G107" i="14" s="1"/>
  <c r="L109" i="10"/>
  <c r="G109" i="14" s="1"/>
  <c r="L85" i="10"/>
  <c r="G85" i="14" s="1"/>
  <c r="L86" i="10"/>
  <c r="G86" i="14" s="1"/>
  <c r="L198" i="10"/>
  <c r="G198" i="14" s="1"/>
  <c r="L200" i="10"/>
  <c r="G200" i="14" s="1"/>
  <c r="AA91" i="1"/>
  <c r="AA179" i="1"/>
  <c r="Z192" i="1"/>
  <c r="AA192" i="1"/>
  <c r="AA77" i="1"/>
  <c r="Z105" i="1"/>
  <c r="Z98" i="1"/>
  <c r="Z102" i="1"/>
  <c r="Z39" i="1"/>
  <c r="Z51" i="1"/>
  <c r="Z55" i="1"/>
  <c r="Z75" i="1"/>
  <c r="AA191" i="1"/>
  <c r="Z177" i="1"/>
  <c r="AA93" i="1"/>
  <c r="Z106" i="1"/>
  <c r="Z110" i="1"/>
  <c r="Z134" i="1"/>
  <c r="Z142" i="1"/>
  <c r="Z158" i="1"/>
  <c r="Z166" i="1"/>
  <c r="Z170" i="1"/>
  <c r="AA185" i="1"/>
  <c r="AA45" i="1"/>
  <c r="Z81" i="1"/>
  <c r="Z85" i="1"/>
  <c r="AA109" i="1"/>
  <c r="AA125" i="1"/>
  <c r="AA157" i="1"/>
  <c r="AA173" i="1"/>
  <c r="Z41" i="1"/>
  <c r="Z49" i="1"/>
  <c r="Z53" i="1"/>
  <c r="Z61" i="1"/>
  <c r="Z50" i="1"/>
  <c r="Z62" i="1"/>
  <c r="Z66" i="1"/>
  <c r="D224" i="2"/>
  <c r="C224" i="2" s="1"/>
  <c r="Z38" i="1"/>
  <c r="Z42" i="1"/>
  <c r="Z88" i="1"/>
  <c r="AA92" i="1"/>
  <c r="AA99" i="1"/>
  <c r="AA153" i="1"/>
  <c r="AA165" i="1"/>
  <c r="C44" i="15"/>
  <c r="C31" i="15"/>
  <c r="C36" i="15"/>
  <c r="C42" i="15"/>
  <c r="C26" i="15"/>
  <c r="AA39" i="1"/>
  <c r="AA107" i="1"/>
  <c r="AA167" i="1"/>
  <c r="C20" i="15"/>
  <c r="C54" i="15"/>
  <c r="AA47" i="1"/>
  <c r="Z91" i="1"/>
  <c r="AA108" i="1"/>
  <c r="AA171" i="1"/>
  <c r="AA176" i="1"/>
  <c r="AA95" i="1"/>
  <c r="Z132" i="1"/>
  <c r="AA83" i="1"/>
  <c r="AA105" i="1"/>
  <c r="Z107" i="1"/>
  <c r="Z109" i="1"/>
  <c r="Z113" i="1"/>
  <c r="AD30" i="2"/>
  <c r="F50" i="6" s="1" a="1"/>
  <c r="F50" i="6" s="1"/>
  <c r="AW27" i="2"/>
  <c r="T66" i="6" s="1" a="1"/>
  <c r="T66" i="6" s="1"/>
  <c r="L36" i="9"/>
  <c r="F38" i="14" s="1"/>
  <c r="L171" i="9"/>
  <c r="F173" i="14" s="1"/>
  <c r="AA83" i="11"/>
  <c r="L111" i="9"/>
  <c r="F113" i="14" s="1"/>
  <c r="L137" i="9"/>
  <c r="F139" i="14" s="1"/>
  <c r="L159" i="9"/>
  <c r="F161" i="14" s="1"/>
  <c r="L163" i="9"/>
  <c r="F165" i="14" s="1"/>
  <c r="AL27" i="2"/>
  <c r="I66" i="6" s="1" a="1"/>
  <c r="I66" i="6" s="1"/>
  <c r="BB27" i="2"/>
  <c r="Y66" i="6" s="1" a="1"/>
  <c r="Y66" i="6" s="1"/>
  <c r="W27" i="2"/>
  <c r="H34" i="6" s="1" a="1"/>
  <c r="H34" i="6" s="1"/>
  <c r="BC27" i="2"/>
  <c r="Z66" i="6" s="1" a="1"/>
  <c r="Z66" i="6" s="1"/>
  <c r="BK27" i="2"/>
  <c r="C53" i="6" s="1" a="1"/>
  <c r="C53" i="6" s="1"/>
  <c r="AC29" i="2"/>
  <c r="E49" i="6" s="1" a="1"/>
  <c r="E49" i="6" s="1"/>
  <c r="AS29" i="2"/>
  <c r="P68" i="6" s="1" a="1"/>
  <c r="P68" i="6" s="1"/>
  <c r="BA29" i="2"/>
  <c r="X68" i="6" s="1" a="1"/>
  <c r="X68" i="6" s="1"/>
  <c r="BI29" i="2"/>
  <c r="AF68" i="6" s="1" a="1"/>
  <c r="AF68" i="6" s="1"/>
  <c r="BQ29" i="2"/>
  <c r="D61" i="6" s="1" a="1"/>
  <c r="D61" i="6" s="1"/>
  <c r="Y29" i="2"/>
  <c r="J36" i="6" s="1" a="1"/>
  <c r="J36" i="6" s="1"/>
  <c r="AV29" i="2"/>
  <c r="S68" i="6" s="1" a="1"/>
  <c r="S68" i="6" s="1"/>
  <c r="L81" i="9"/>
  <c r="F83" i="14" s="1"/>
  <c r="L85" i="9"/>
  <c r="F87" i="14" s="1"/>
  <c r="L115" i="9"/>
  <c r="F117" i="14" s="1"/>
  <c r="L128" i="9"/>
  <c r="F130" i="14" s="1"/>
  <c r="L195" i="9"/>
  <c r="F197" i="14" s="1"/>
  <c r="BT27" i="2"/>
  <c r="E41" i="6" s="1" a="1"/>
  <c r="E41" i="6" s="1"/>
  <c r="AD27" i="2"/>
  <c r="F47" i="6" s="1" a="1"/>
  <c r="F47" i="6" s="1"/>
  <c r="W30" i="2"/>
  <c r="H37" i="6" s="1" a="1"/>
  <c r="H37" i="6" s="1"/>
  <c r="AA67" i="1"/>
  <c r="AA71" i="1"/>
  <c r="AA75" i="1"/>
  <c r="Z86" i="1"/>
  <c r="Z103" i="1"/>
  <c r="Z124" i="1"/>
  <c r="AA127" i="1"/>
  <c r="AA131" i="1"/>
  <c r="Z135" i="1"/>
  <c r="Z155" i="1"/>
  <c r="Z163" i="1"/>
  <c r="AA170" i="1"/>
  <c r="AA188" i="1"/>
  <c r="Z37" i="1"/>
  <c r="AA56" i="1"/>
  <c r="Z97" i="1"/>
  <c r="AA103" i="1"/>
  <c r="AA116" i="1"/>
  <c r="AA124" i="1"/>
  <c r="AA135" i="1"/>
  <c r="AA181" i="1"/>
  <c r="T29" i="2"/>
  <c r="AW29" i="2"/>
  <c r="T68" i="6" s="1" a="1"/>
  <c r="T68" i="6" s="1"/>
  <c r="AA40" i="1"/>
  <c r="Z160" i="1"/>
  <c r="Z171" i="1"/>
  <c r="AA189" i="1"/>
  <c r="L92" i="9"/>
  <c r="F94" i="14" s="1"/>
  <c r="L96" i="9"/>
  <c r="F98" i="14" s="1"/>
  <c r="L109" i="9"/>
  <c r="F111" i="14" s="1"/>
  <c r="L165" i="9"/>
  <c r="F167" i="14" s="1"/>
  <c r="L178" i="9"/>
  <c r="F180" i="14" s="1"/>
  <c r="AA37" i="1"/>
  <c r="AA43" i="1"/>
  <c r="Z57" i="1"/>
  <c r="AA64" i="1"/>
  <c r="AA72" i="1"/>
  <c r="AA79" i="1"/>
  <c r="Z94" i="1"/>
  <c r="Z123" i="1"/>
  <c r="Z152" i="1"/>
  <c r="Y27" i="2"/>
  <c r="J34" i="6" s="1" a="1"/>
  <c r="J34" i="6" s="1"/>
  <c r="W29" i="2"/>
  <c r="H36" i="6" s="1" a="1"/>
  <c r="H36" i="6" s="1"/>
  <c r="AE29" i="2"/>
  <c r="G49" i="6" s="1" a="1"/>
  <c r="G49" i="6" s="1"/>
  <c r="AM29" i="2"/>
  <c r="J68" i="6" s="1" a="1"/>
  <c r="J68" i="6" s="1"/>
  <c r="AU29" i="2"/>
  <c r="R68" i="6" s="1" a="1"/>
  <c r="R68" i="6" s="1"/>
  <c r="BC29" i="2"/>
  <c r="Z68" i="6" s="1" a="1"/>
  <c r="Z68" i="6" s="1"/>
  <c r="BK29" i="2"/>
  <c r="C55" i="6" s="1" a="1"/>
  <c r="C55" i="6" s="1"/>
  <c r="BS29" i="2"/>
  <c r="D43" i="6" s="1" a="1"/>
  <c r="D43" i="6" s="1"/>
  <c r="AG29" i="2"/>
  <c r="D68" i="6" s="1" a="1"/>
  <c r="D68" i="6" s="1"/>
  <c r="BE29" i="2"/>
  <c r="AB68" i="6" s="1" a="1"/>
  <c r="AB68" i="6" s="1"/>
  <c r="Z168" i="1"/>
  <c r="AA182" i="1"/>
  <c r="L157" i="9"/>
  <c r="F159" i="14" s="1"/>
  <c r="L161" i="9"/>
  <c r="F163" i="14" s="1"/>
  <c r="AF29" i="2"/>
  <c r="C68" i="6" s="1" a="1"/>
  <c r="C68" i="6" s="1"/>
  <c r="Z52" i="1"/>
  <c r="Z58" i="1"/>
  <c r="Z77" i="1"/>
  <c r="AA80" i="1"/>
  <c r="Z108" i="1"/>
  <c r="Z114" i="1"/>
  <c r="Z133" i="1"/>
  <c r="AA190" i="1"/>
  <c r="AI27" i="2"/>
  <c r="F66" i="6" s="1" a="1"/>
  <c r="F66" i="6" s="1"/>
  <c r="BH28" i="2"/>
  <c r="AE67" i="6" s="1" a="1"/>
  <c r="AE67" i="6" s="1"/>
  <c r="D279" i="2"/>
  <c r="C279" i="2" s="1"/>
  <c r="L83" i="9"/>
  <c r="F85" i="14" s="1"/>
  <c r="L122" i="9"/>
  <c r="F124" i="14" s="1"/>
  <c r="L130" i="9"/>
  <c r="F132" i="14" s="1"/>
  <c r="L164" i="9"/>
  <c r="F166" i="14" s="1"/>
  <c r="Y84" i="11"/>
  <c r="Z84" i="11"/>
  <c r="Y96" i="11"/>
  <c r="AA96" i="11" s="1"/>
  <c r="Z96" i="11"/>
  <c r="L106" i="10"/>
  <c r="G106" i="14" s="1"/>
  <c r="L183" i="10"/>
  <c r="G183" i="14" s="1"/>
  <c r="L194" i="10"/>
  <c r="G194" i="14" s="1"/>
  <c r="AA13" i="11"/>
  <c r="Z27" i="11"/>
  <c r="AA35" i="11"/>
  <c r="Z38" i="11"/>
  <c r="Z54" i="11"/>
  <c r="AA59" i="11"/>
  <c r="AA67" i="11"/>
  <c r="AA69" i="11"/>
  <c r="AB31" i="12"/>
  <c r="AB34" i="12"/>
  <c r="R37" i="12"/>
  <c r="L82" i="9"/>
  <c r="F84" i="14" s="1"/>
  <c r="L86" i="9"/>
  <c r="F88" i="14" s="1"/>
  <c r="L95" i="9"/>
  <c r="F97" i="14" s="1"/>
  <c r="L99" i="9"/>
  <c r="F101" i="14" s="1"/>
  <c r="L118" i="9"/>
  <c r="F120" i="14" s="1"/>
  <c r="L136" i="9"/>
  <c r="F138" i="14" s="1"/>
  <c r="L175" i="9"/>
  <c r="F177" i="14" s="1"/>
  <c r="L55" i="10"/>
  <c r="G55" i="14" s="1"/>
  <c r="L146" i="10"/>
  <c r="G146" i="14" s="1"/>
  <c r="N16" i="11"/>
  <c r="M20" i="11"/>
  <c r="Z37" i="11"/>
  <c r="Z39" i="11"/>
  <c r="N48" i="11"/>
  <c r="H97" i="14" s="1"/>
  <c r="M49" i="11"/>
  <c r="M50" i="11"/>
  <c r="Z53" i="11"/>
  <c r="Z55" i="11"/>
  <c r="AA63" i="11"/>
  <c r="Z68" i="11"/>
  <c r="X74" i="11"/>
  <c r="AA74" i="11" s="1"/>
  <c r="AA84" i="11"/>
  <c r="Z92" i="11"/>
  <c r="Z98" i="11"/>
  <c r="X98" i="11"/>
  <c r="W46" i="12"/>
  <c r="L187" i="9"/>
  <c r="F189" i="14" s="1"/>
  <c r="L196" i="9"/>
  <c r="F198" i="14" s="1"/>
  <c r="L103" i="10"/>
  <c r="G103" i="14" s="1"/>
  <c r="L114" i="10"/>
  <c r="G114" i="14" s="1"/>
  <c r="L154" i="10"/>
  <c r="G154" i="14" s="1"/>
  <c r="L181" i="10"/>
  <c r="G181" i="14" s="1"/>
  <c r="L191" i="10"/>
  <c r="G191" i="14" s="1"/>
  <c r="L202" i="10"/>
  <c r="M15" i="11"/>
  <c r="Z23" i="11"/>
  <c r="M31" i="11"/>
  <c r="N31" i="11" s="1"/>
  <c r="H116" i="14" s="1"/>
  <c r="M40" i="11"/>
  <c r="N51" i="11"/>
  <c r="H94" i="14" s="1"/>
  <c r="M56" i="11"/>
  <c r="Z60" i="11"/>
  <c r="Z64" i="11"/>
  <c r="N67" i="11"/>
  <c r="H76" i="14" s="1"/>
  <c r="Y76" i="11"/>
  <c r="Z76" i="11"/>
  <c r="Z78" i="11"/>
  <c r="L80" i="11"/>
  <c r="M95" i="11"/>
  <c r="L95" i="11"/>
  <c r="AP70" i="12"/>
  <c r="L39" i="10"/>
  <c r="G39" i="14" s="1"/>
  <c r="L145" i="10"/>
  <c r="G145" i="14" s="1"/>
  <c r="L147" i="10"/>
  <c r="G147" i="14" s="1"/>
  <c r="L180" i="10"/>
  <c r="G180" i="14" s="1"/>
  <c r="L182" i="10"/>
  <c r="G182" i="14" s="1"/>
  <c r="L13" i="11"/>
  <c r="N13" i="11" s="1"/>
  <c r="Y14" i="11"/>
  <c r="AA14" i="11" s="1"/>
  <c r="M16" i="11"/>
  <c r="L22" i="11"/>
  <c r="N22" i="11" s="1"/>
  <c r="H126" i="14" s="1"/>
  <c r="H125" i="14" s="1"/>
  <c r="L29" i="11"/>
  <c r="N29" i="11" s="1"/>
  <c r="H118" i="14" s="1"/>
  <c r="Y30" i="11"/>
  <c r="AA30" i="11" s="1"/>
  <c r="M32" i="11"/>
  <c r="N32" i="11" s="1"/>
  <c r="H115" i="14" s="1"/>
  <c r="L35" i="11"/>
  <c r="Z36" i="11"/>
  <c r="AA37" i="11"/>
  <c r="L43" i="11"/>
  <c r="L48" i="11"/>
  <c r="N50" i="11"/>
  <c r="H95" i="14" s="1"/>
  <c r="Z52" i="11"/>
  <c r="AA52" i="11" s="1"/>
  <c r="L59" i="11"/>
  <c r="N59" i="11" s="1"/>
  <c r="H85" i="14" s="1"/>
  <c r="W24" i="12"/>
  <c r="W53" i="12"/>
  <c r="AP78" i="12"/>
  <c r="W90" i="12"/>
  <c r="W96" i="12"/>
  <c r="R110" i="12"/>
  <c r="L190" i="9"/>
  <c r="F192" i="14" s="1"/>
  <c r="L194" i="9"/>
  <c r="F196" i="14" s="1"/>
  <c r="L43" i="10"/>
  <c r="G43" i="14" s="1"/>
  <c r="L54" i="10"/>
  <c r="G54" i="14" s="1"/>
  <c r="L63" i="10"/>
  <c r="G63" i="14" s="1"/>
  <c r="L101" i="10"/>
  <c r="G101" i="14" s="1"/>
  <c r="L111" i="10"/>
  <c r="G111" i="14" s="1"/>
  <c r="L113" i="10"/>
  <c r="G113" i="14" s="1"/>
  <c r="L115" i="10"/>
  <c r="G115" i="14" s="1"/>
  <c r="L151" i="10"/>
  <c r="G151" i="14" s="1"/>
  <c r="L153" i="10"/>
  <c r="G153" i="14" s="1"/>
  <c r="L155" i="10"/>
  <c r="G155" i="14" s="1"/>
  <c r="L188" i="10"/>
  <c r="G188" i="14" s="1"/>
  <c r="L199" i="10"/>
  <c r="G199" i="14" s="1"/>
  <c r="L201" i="10"/>
  <c r="G201" i="14" s="1"/>
  <c r="L203" i="10"/>
  <c r="Y12" i="11"/>
  <c r="AA12" i="11" s="1"/>
  <c r="Z16" i="11"/>
  <c r="Z18" i="11"/>
  <c r="Z19" i="11"/>
  <c r="M27" i="11"/>
  <c r="Y28" i="11"/>
  <c r="AA28" i="11" s="1"/>
  <c r="Z32" i="11"/>
  <c r="Z34" i="11"/>
  <c r="M37" i="11"/>
  <c r="M38" i="11"/>
  <c r="Z42" i="11"/>
  <c r="Z44" i="11"/>
  <c r="L51" i="11"/>
  <c r="N52" i="11"/>
  <c r="H93" i="14" s="1"/>
  <c r="M53" i="11"/>
  <c r="M54" i="11"/>
  <c r="Z58" i="11"/>
  <c r="L63" i="11"/>
  <c r="N63" i="11" s="1"/>
  <c r="H81" i="14" s="1"/>
  <c r="N66" i="11"/>
  <c r="H78" i="14" s="1"/>
  <c r="H77" i="14" s="1"/>
  <c r="M67" i="11"/>
  <c r="M71" i="11"/>
  <c r="L72" i="11"/>
  <c r="AA76" i="11"/>
  <c r="X78" i="11"/>
  <c r="L83" i="11"/>
  <c r="L87" i="11"/>
  <c r="N87" i="11" s="1"/>
  <c r="H55" i="14" s="1"/>
  <c r="L88" i="11"/>
  <c r="N88" i="11" s="1"/>
  <c r="H54" i="14" s="1"/>
  <c r="H53" i="14" s="1"/>
  <c r="L91" i="11"/>
  <c r="M99" i="11"/>
  <c r="Z100" i="11"/>
  <c r="AA101" i="11"/>
  <c r="L80" i="9"/>
  <c r="F82" i="14" s="1"/>
  <c r="L84" i="9"/>
  <c r="F86" i="14" s="1"/>
  <c r="L120" i="9"/>
  <c r="F122" i="14" s="1"/>
  <c r="L125" i="9"/>
  <c r="F127" i="14" s="1"/>
  <c r="L129" i="9"/>
  <c r="F131" i="14" s="1"/>
  <c r="L169" i="9"/>
  <c r="F171" i="14" s="1"/>
  <c r="L173" i="9"/>
  <c r="F175" i="14" s="1"/>
  <c r="L177" i="9"/>
  <c r="F179" i="14" s="1"/>
  <c r="L67" i="10"/>
  <c r="G67" i="14" s="1"/>
  <c r="L87" i="10"/>
  <c r="G87" i="14" s="1"/>
  <c r="L100" i="10"/>
  <c r="G100" i="14" s="1"/>
  <c r="L102" i="10"/>
  <c r="G102" i="14" s="1"/>
  <c r="L190" i="10"/>
  <c r="G190" i="14" s="1"/>
  <c r="N21" i="11"/>
  <c r="H127" i="14" s="1"/>
  <c r="Y21" i="11"/>
  <c r="AA21" i="11" s="1"/>
  <c r="AA22" i="11"/>
  <c r="L23" i="11"/>
  <c r="N23" i="11" s="1"/>
  <c r="H124" i="14" s="1"/>
  <c r="L36" i="11"/>
  <c r="Y39" i="11"/>
  <c r="N55" i="11"/>
  <c r="H90" i="14" s="1"/>
  <c r="H89" i="14" s="1"/>
  <c r="Y55" i="11"/>
  <c r="L60" i="11"/>
  <c r="L68" i="11"/>
  <c r="N84" i="11"/>
  <c r="H58" i="14" s="1"/>
  <c r="L89" i="11"/>
  <c r="M92" i="11"/>
  <c r="M100" i="11"/>
  <c r="L100" i="11"/>
  <c r="M101" i="11"/>
  <c r="L101" i="11"/>
  <c r="W51" i="12"/>
  <c r="AP75" i="12"/>
  <c r="AP102" i="12"/>
  <c r="L189" i="9"/>
  <c r="F191" i="14" s="1"/>
  <c r="L193" i="9"/>
  <c r="F195" i="14" s="1"/>
  <c r="L198" i="9"/>
  <c r="F200" i="14" s="1"/>
  <c r="L38" i="10"/>
  <c r="G38" i="14" s="1"/>
  <c r="L47" i="10"/>
  <c r="G47" i="14" s="1"/>
  <c r="L60" i="10"/>
  <c r="G60" i="14" s="1"/>
  <c r="L108" i="10"/>
  <c r="G108" i="14" s="1"/>
  <c r="L149" i="10"/>
  <c r="G149" i="14" s="1"/>
  <c r="L186" i="10"/>
  <c r="G186" i="14" s="1"/>
  <c r="L196" i="10"/>
  <c r="G196" i="14" s="1"/>
  <c r="Z15" i="11"/>
  <c r="AA20" i="11"/>
  <c r="Z31" i="11"/>
  <c r="M45" i="11"/>
  <c r="M46" i="11"/>
  <c r="AA48" i="11"/>
  <c r="Z49" i="11"/>
  <c r="Z51" i="11"/>
  <c r="AA51" i="11" s="1"/>
  <c r="Z62" i="11"/>
  <c r="L64" i="11"/>
  <c r="N64" i="11" s="1"/>
  <c r="H80" i="14" s="1"/>
  <c r="Z69" i="11"/>
  <c r="AA71" i="11"/>
  <c r="M77" i="11"/>
  <c r="L77" i="11"/>
  <c r="M79" i="11"/>
  <c r="Z81" i="11"/>
  <c r="Z82" i="11"/>
  <c r="X82" i="11"/>
  <c r="AA82" i="11" s="1"/>
  <c r="L85" i="11"/>
  <c r="N85" i="11" s="1"/>
  <c r="H57" i="14" s="1"/>
  <c r="Z86" i="11"/>
  <c r="X86" i="11"/>
  <c r="AA86" i="11" s="1"/>
  <c r="L96" i="11"/>
  <c r="R38" i="12"/>
  <c r="W52" i="12"/>
  <c r="AP52" i="12"/>
  <c r="W56" i="12"/>
  <c r="R71" i="12"/>
  <c r="AB71" i="12"/>
  <c r="R72" i="12"/>
  <c r="R73" i="12"/>
  <c r="R75" i="12"/>
  <c r="AP77" i="12"/>
  <c r="AP80" i="12"/>
  <c r="AP81" i="12"/>
  <c r="W82" i="12"/>
  <c r="W89" i="12"/>
  <c r="R98" i="12"/>
  <c r="W105" i="12"/>
  <c r="W112" i="12"/>
  <c r="AB114" i="12"/>
  <c r="R118" i="12"/>
  <c r="W127" i="12"/>
  <c r="I189" i="14" s="1"/>
  <c r="AB134" i="12"/>
  <c r="R136" i="12"/>
  <c r="AB136" i="12"/>
  <c r="R140" i="12"/>
  <c r="AB140" i="12"/>
  <c r="W151" i="12"/>
  <c r="I163" i="14" s="1"/>
  <c r="W157" i="12"/>
  <c r="I156" i="14" s="1"/>
  <c r="W169" i="12"/>
  <c r="I143" i="14" s="1"/>
  <c r="R172" i="12"/>
  <c r="AB172" i="12"/>
  <c r="AB175" i="12"/>
  <c r="W192" i="12"/>
  <c r="I118" i="14" s="1"/>
  <c r="R194" i="12"/>
  <c r="R205" i="12"/>
  <c r="W237" i="12"/>
  <c r="I69" i="14" s="1"/>
  <c r="R239" i="12"/>
  <c r="W264" i="12"/>
  <c r="I39" i="14" s="1"/>
  <c r="O221" i="13"/>
  <c r="Q221" i="13" s="1"/>
  <c r="AB150" i="12"/>
  <c r="R171" i="12"/>
  <c r="O51" i="13"/>
  <c r="AP43" i="12"/>
  <c r="AP51" i="12"/>
  <c r="R52" i="12"/>
  <c r="AB52" i="12"/>
  <c r="R53" i="12"/>
  <c r="AP60" i="12"/>
  <c r="AP62" i="12"/>
  <c r="R70" i="12"/>
  <c r="AB74" i="12"/>
  <c r="R79" i="12"/>
  <c r="R80" i="12"/>
  <c r="R81" i="12"/>
  <c r="AP87" i="12"/>
  <c r="R91" i="12"/>
  <c r="W97" i="12"/>
  <c r="R111" i="12"/>
  <c r="R126" i="12"/>
  <c r="R135" i="12"/>
  <c r="AB159" i="12"/>
  <c r="W161" i="12"/>
  <c r="I152" i="14" s="1"/>
  <c r="R164" i="12"/>
  <c r="W191" i="12"/>
  <c r="I119" i="14" s="1"/>
  <c r="W232" i="12"/>
  <c r="I74" i="14" s="1"/>
  <c r="N68" i="11"/>
  <c r="H75" i="14" s="1"/>
  <c r="M69" i="11"/>
  <c r="M70" i="11"/>
  <c r="Z73" i="11"/>
  <c r="Z87" i="11"/>
  <c r="AA92" i="11"/>
  <c r="Z93" i="11"/>
  <c r="Z94" i="11"/>
  <c r="AA98" i="11"/>
  <c r="W22" i="12"/>
  <c r="W32" i="12"/>
  <c r="W34" i="12"/>
  <c r="AB39" i="12"/>
  <c r="R42" i="12"/>
  <c r="R43" i="12"/>
  <c r="AB43" i="12"/>
  <c r="AB44" i="12"/>
  <c r="R45" i="12"/>
  <c r="AB46" i="12"/>
  <c r="R51" i="12"/>
  <c r="AB51" i="12"/>
  <c r="AP59" i="12"/>
  <c r="AB76" i="12"/>
  <c r="R87" i="12"/>
  <c r="AB87" i="12"/>
  <c r="R88" i="12"/>
  <c r="AB88" i="12"/>
  <c r="W98" i="12"/>
  <c r="R104" i="12"/>
  <c r="AB104" i="12"/>
  <c r="W108" i="12"/>
  <c r="W125" i="12"/>
  <c r="I191" i="14" s="1"/>
  <c r="AB127" i="12"/>
  <c r="AB161" i="12"/>
  <c r="W163" i="12"/>
  <c r="I150" i="14" s="1"/>
  <c r="I149" i="14" s="1"/>
  <c r="AB165" i="12"/>
  <c r="AB177" i="12"/>
  <c r="R235" i="12"/>
  <c r="R251" i="12"/>
  <c r="O83" i="13"/>
  <c r="Q83" i="13" s="1"/>
  <c r="J79" i="14" s="1"/>
  <c r="Q228" i="13"/>
  <c r="Q262" i="13"/>
  <c r="M97" i="11"/>
  <c r="Z99" i="11"/>
  <c r="AP23" i="12"/>
  <c r="AP24" i="12"/>
  <c r="AP28" i="12"/>
  <c r="W30" i="12"/>
  <c r="AB47" i="12"/>
  <c r="AB50" i="12"/>
  <c r="AB53" i="12"/>
  <c r="AP61" i="12"/>
  <c r="AP65" i="12"/>
  <c r="W73" i="12"/>
  <c r="AP86" i="12"/>
  <c r="R95" i="12"/>
  <c r="AB95" i="12"/>
  <c r="AP97" i="12"/>
  <c r="AP99" i="12"/>
  <c r="W110" i="12"/>
  <c r="R112" i="12"/>
  <c r="W114" i="12"/>
  <c r="R132" i="12"/>
  <c r="W164" i="12"/>
  <c r="I148" i="14" s="1"/>
  <c r="R165" i="12"/>
  <c r="W210" i="12"/>
  <c r="I98" i="14" s="1"/>
  <c r="O46" i="13"/>
  <c r="Q46" i="13" s="1"/>
  <c r="J42" i="14" s="1"/>
  <c r="Q236" i="13"/>
  <c r="O244" i="13"/>
  <c r="Q244" i="13" s="1"/>
  <c r="O269" i="13"/>
  <c r="Q269" i="13" s="1"/>
  <c r="R96" i="12"/>
  <c r="AB96" i="12"/>
  <c r="AP100" i="12"/>
  <c r="W113" i="12"/>
  <c r="R120" i="12"/>
  <c r="AB120" i="12"/>
  <c r="W122" i="12"/>
  <c r="I194" i="14" s="1"/>
  <c r="R124" i="12"/>
  <c r="AB124" i="12"/>
  <c r="AB129" i="12"/>
  <c r="W131" i="12"/>
  <c r="I184" i="14" s="1"/>
  <c r="R143" i="12"/>
  <c r="W160" i="12"/>
  <c r="I153" i="14" s="1"/>
  <c r="AB162" i="12"/>
  <c r="R207" i="12"/>
  <c r="R243" i="12"/>
  <c r="AB243" i="12"/>
  <c r="O44" i="13"/>
  <c r="Q44" i="13" s="1"/>
  <c r="J40" i="14" s="1"/>
  <c r="O90" i="13"/>
  <c r="Q90" i="13" s="1"/>
  <c r="J86" i="14" s="1"/>
  <c r="Q146" i="13"/>
  <c r="J142" i="14" s="1"/>
  <c r="Z72" i="11"/>
  <c r="M81" i="11"/>
  <c r="AA81" i="11"/>
  <c r="Z83" i="11"/>
  <c r="Z89" i="11"/>
  <c r="AA90" i="11"/>
  <c r="N92" i="11"/>
  <c r="H49" i="14" s="1"/>
  <c r="M93" i="11"/>
  <c r="AB22" i="12"/>
  <c r="R26" i="12"/>
  <c r="R27" i="12"/>
  <c r="AB27" i="12"/>
  <c r="AB28" i="12"/>
  <c r="R29" i="12"/>
  <c r="R31" i="12"/>
  <c r="R32" i="12"/>
  <c r="R33" i="12"/>
  <c r="W41" i="12"/>
  <c r="W45" i="12"/>
  <c r="W49" i="12"/>
  <c r="R67" i="12"/>
  <c r="AP68" i="12"/>
  <c r="AP72" i="12"/>
  <c r="W81" i="12"/>
  <c r="R90" i="12"/>
  <c r="AB91" i="12"/>
  <c r="W93" i="12"/>
  <c r="R94" i="12"/>
  <c r="R107" i="12"/>
  <c r="R108" i="12"/>
  <c r="R109" i="12"/>
  <c r="AB113" i="12"/>
  <c r="R125" i="12"/>
  <c r="R134" i="12"/>
  <c r="AB146" i="12"/>
  <c r="W173" i="12"/>
  <c r="I139" i="14" s="1"/>
  <c r="R182" i="12"/>
  <c r="AB182" i="12"/>
  <c r="O54" i="13"/>
  <c r="Q54" i="13" s="1"/>
  <c r="J50" i="14" s="1"/>
  <c r="O139" i="13"/>
  <c r="O265" i="13"/>
  <c r="Q265" i="13" s="1"/>
  <c r="AB193" i="12"/>
  <c r="W202" i="12"/>
  <c r="I107" i="14" s="1"/>
  <c r="AB204" i="12"/>
  <c r="AB205" i="12"/>
  <c r="AB206" i="12"/>
  <c r="W209" i="12"/>
  <c r="I99" i="14" s="1"/>
  <c r="R210" i="12"/>
  <c r="AB238" i="12"/>
  <c r="AB249" i="12"/>
  <c r="AB257" i="12"/>
  <c r="AB261" i="12"/>
  <c r="R266" i="12"/>
  <c r="AB266" i="12"/>
  <c r="E22" i="1" s="1"/>
  <c r="O58" i="13"/>
  <c r="Q58" i="13" s="1"/>
  <c r="J54" i="14" s="1"/>
  <c r="Q104" i="13"/>
  <c r="J100" i="14" s="1"/>
  <c r="O127" i="13"/>
  <c r="Q127" i="13" s="1"/>
  <c r="J123" i="14" s="1"/>
  <c r="Q144" i="13"/>
  <c r="J140" i="14" s="1"/>
  <c r="Q157" i="13"/>
  <c r="J153" i="14" s="1"/>
  <c r="O173" i="13"/>
  <c r="O179" i="13"/>
  <c r="Q179" i="13" s="1"/>
  <c r="J175" i="14" s="1"/>
  <c r="O224" i="13"/>
  <c r="Q224" i="13" s="1"/>
  <c r="O252" i="13"/>
  <c r="Q252" i="13" s="1"/>
  <c r="O267" i="13"/>
  <c r="Q267" i="13" s="1"/>
  <c r="W244" i="12"/>
  <c r="I61" i="14" s="1"/>
  <c r="AB258" i="12"/>
  <c r="O78" i="13"/>
  <c r="Q78" i="13" s="1"/>
  <c r="J74" i="14" s="1"/>
  <c r="O91" i="13"/>
  <c r="Q91" i="13" s="1"/>
  <c r="J87" i="14" s="1"/>
  <c r="Q109" i="13"/>
  <c r="J105" i="14" s="1"/>
  <c r="Q171" i="13"/>
  <c r="J167" i="14" s="1"/>
  <c r="O175" i="13"/>
  <c r="Q175" i="13" s="1"/>
  <c r="J171" i="14" s="1"/>
  <c r="Q184" i="13"/>
  <c r="J180" i="14" s="1"/>
  <c r="O223" i="13"/>
  <c r="Q223" i="13" s="1"/>
  <c r="O226" i="13"/>
  <c r="Q226" i="13" s="1"/>
  <c r="O239" i="13"/>
  <c r="Q239" i="13" s="1"/>
  <c r="O242" i="13"/>
  <c r="Q242" i="13" s="1"/>
  <c r="O272" i="13"/>
  <c r="Q272" i="13" s="1"/>
  <c r="O126" i="13"/>
  <c r="Q126" i="13" s="1"/>
  <c r="J122" i="14" s="1"/>
  <c r="O164" i="13"/>
  <c r="Q164" i="13" s="1"/>
  <c r="J160" i="14" s="1"/>
  <c r="O166" i="13"/>
  <c r="Q166" i="13" s="1"/>
  <c r="J162" i="14" s="1"/>
  <c r="O172" i="13"/>
  <c r="Q172" i="13" s="1"/>
  <c r="J168" i="14" s="1"/>
  <c r="Q189" i="13"/>
  <c r="J185" i="14" s="1"/>
  <c r="O263" i="13"/>
  <c r="Q263" i="13" s="1"/>
  <c r="O275" i="13"/>
  <c r="Q275" i="13" s="1"/>
  <c r="O279" i="13"/>
  <c r="Q279" i="13" s="1"/>
  <c r="O283" i="13"/>
  <c r="Q283" i="13" s="1"/>
  <c r="O287" i="13"/>
  <c r="Q287" i="13" s="1"/>
  <c r="O291" i="13"/>
  <c r="Q291" i="13" s="1"/>
  <c r="O295" i="13"/>
  <c r="O299" i="13"/>
  <c r="Q299" i="13" s="1"/>
  <c r="O303" i="13"/>
  <c r="Q303" i="13" s="1"/>
  <c r="O307" i="13"/>
  <c r="Q307" i="13" s="1"/>
  <c r="O311" i="13"/>
  <c r="Q311" i="13" s="1"/>
  <c r="O315" i="13"/>
  <c r="Q315" i="13" s="1"/>
  <c r="O319" i="13"/>
  <c r="Q319" i="13" s="1"/>
  <c r="O323" i="13"/>
  <c r="Q323" i="13" s="1"/>
  <c r="O327" i="13"/>
  <c r="Q327" i="13" s="1"/>
  <c r="R191" i="12"/>
  <c r="AB191" i="12"/>
  <c r="R202" i="12"/>
  <c r="W204" i="12"/>
  <c r="I105" i="14" s="1"/>
  <c r="AB207" i="12"/>
  <c r="AB208" i="12"/>
  <c r="R212" i="12"/>
  <c r="AB213" i="12"/>
  <c r="R217" i="12"/>
  <c r="AB217" i="12"/>
  <c r="W219" i="12"/>
  <c r="I88" i="14" s="1"/>
  <c r="W228" i="12"/>
  <c r="I79" i="14" s="1"/>
  <c r="R231" i="12"/>
  <c r="Q65" i="13"/>
  <c r="J61" i="14" s="1"/>
  <c r="O74" i="13"/>
  <c r="Q74" i="13" s="1"/>
  <c r="J70" i="14" s="1"/>
  <c r="Q108" i="13"/>
  <c r="J104" i="14" s="1"/>
  <c r="O123" i="13"/>
  <c r="Q123" i="13" s="1"/>
  <c r="J119" i="14" s="1"/>
  <c r="Q148" i="13"/>
  <c r="J144" i="14" s="1"/>
  <c r="O178" i="13"/>
  <c r="Q178" i="13" s="1"/>
  <c r="J174" i="14" s="1"/>
  <c r="O180" i="13"/>
  <c r="Q180" i="13" s="1"/>
  <c r="J176" i="14" s="1"/>
  <c r="Q190" i="13"/>
  <c r="J186" i="14" s="1"/>
  <c r="Q195" i="13"/>
  <c r="J191" i="14" s="1"/>
  <c r="O197" i="13"/>
  <c r="Q197" i="13" s="1"/>
  <c r="J193" i="14" s="1"/>
  <c r="Q198" i="13"/>
  <c r="J194" i="14" s="1"/>
  <c r="O206" i="13"/>
  <c r="Q206" i="13" s="1"/>
  <c r="O222" i="13"/>
  <c r="Q222" i="13" s="1"/>
  <c r="O225" i="13"/>
  <c r="Q225" i="13" s="1"/>
  <c r="O238" i="13"/>
  <c r="Q238" i="13" s="1"/>
  <c r="O241" i="13"/>
  <c r="Q241" i="13" s="1"/>
  <c r="O256" i="13"/>
  <c r="Q256" i="13" s="1"/>
  <c r="Q261" i="13"/>
  <c r="O266" i="13"/>
  <c r="Q266" i="13" s="1"/>
  <c r="AB183" i="12"/>
  <c r="W185" i="12"/>
  <c r="I126" i="14" s="1"/>
  <c r="I125" i="14" s="1"/>
  <c r="R199" i="12"/>
  <c r="W207" i="12"/>
  <c r="I102" i="14" s="1"/>
  <c r="I101" i="14" s="1"/>
  <c r="R214" i="12"/>
  <c r="AB232" i="12"/>
  <c r="R245" i="12"/>
  <c r="AB260" i="12"/>
  <c r="AB263" i="12"/>
  <c r="E19" i="1" s="1"/>
  <c r="O50" i="13"/>
  <c r="Q50" i="13" s="1"/>
  <c r="J46" i="14" s="1"/>
  <c r="Q68" i="13"/>
  <c r="J64" i="14" s="1"/>
  <c r="O70" i="13"/>
  <c r="Q70" i="13" s="1"/>
  <c r="J66" i="14" s="1"/>
  <c r="Q107" i="13"/>
  <c r="J103" i="14" s="1"/>
  <c r="Q119" i="13"/>
  <c r="J115" i="14" s="1"/>
  <c r="O122" i="13"/>
  <c r="Q122" i="13" s="1"/>
  <c r="J118" i="14" s="1"/>
  <c r="O135" i="13"/>
  <c r="Q135" i="13" s="1"/>
  <c r="J131" i="14" s="1"/>
  <c r="Q147" i="13"/>
  <c r="J143" i="14" s="1"/>
  <c r="O168" i="13"/>
  <c r="Q168" i="13" s="1"/>
  <c r="J164" i="14" s="1"/>
  <c r="O202" i="13"/>
  <c r="Q202" i="13" s="1"/>
  <c r="J198" i="14" s="1"/>
  <c r="O216" i="13"/>
  <c r="Q216" i="13" s="1"/>
  <c r="O234" i="13"/>
  <c r="Q234" i="13" s="1"/>
  <c r="O259" i="13"/>
  <c r="Q259" i="13" s="1"/>
  <c r="W186" i="12"/>
  <c r="I124" i="14" s="1"/>
  <c r="R198" i="12"/>
  <c r="AB199" i="12"/>
  <c r="R203" i="12"/>
  <c r="W206" i="12"/>
  <c r="I103" i="14" s="1"/>
  <c r="R209" i="12"/>
  <c r="W212" i="12"/>
  <c r="I96" i="14" s="1"/>
  <c r="AB214" i="12"/>
  <c r="R215" i="12"/>
  <c r="R233" i="12"/>
  <c r="AB233" i="12"/>
  <c r="W243" i="12"/>
  <c r="I62" i="14" s="1"/>
  <c r="R244" i="12"/>
  <c r="W259" i="12"/>
  <c r="I45" i="14" s="1"/>
  <c r="R264" i="12"/>
  <c r="W266" i="12"/>
  <c r="I37" i="14" s="1"/>
  <c r="Q112" i="13"/>
  <c r="J108" i="14" s="1"/>
  <c r="O138" i="13"/>
  <c r="Q138" i="13" s="1"/>
  <c r="J134" i="14" s="1"/>
  <c r="Q152" i="13"/>
  <c r="J148" i="14" s="1"/>
  <c r="O159" i="13"/>
  <c r="Q159" i="13" s="1"/>
  <c r="J155" i="14" s="1"/>
  <c r="O162" i="13"/>
  <c r="Q162" i="13" s="1"/>
  <c r="J158" i="14" s="1"/>
  <c r="O215" i="13"/>
  <c r="Q215" i="13" s="1"/>
  <c r="O218" i="13"/>
  <c r="Q218" i="13" s="1"/>
  <c r="O249" i="13"/>
  <c r="Q249" i="13" s="1"/>
  <c r="O255" i="13"/>
  <c r="Q255" i="13" s="1"/>
  <c r="O273" i="13"/>
  <c r="Q273" i="13" s="1"/>
  <c r="O277" i="13"/>
  <c r="Q277" i="13" s="1"/>
  <c r="O281" i="13"/>
  <c r="Q281" i="13" s="1"/>
  <c r="O285" i="13"/>
  <c r="Q285" i="13" s="1"/>
  <c r="O289" i="13"/>
  <c r="Q289" i="13" s="1"/>
  <c r="O293" i="13"/>
  <c r="Q293" i="13" s="1"/>
  <c r="Q295" i="13"/>
  <c r="O297" i="13"/>
  <c r="Q297" i="13" s="1"/>
  <c r="O301" i="13"/>
  <c r="Q301" i="13" s="1"/>
  <c r="O305" i="13"/>
  <c r="Q305" i="13" s="1"/>
  <c r="O309" i="13"/>
  <c r="Q309" i="13" s="1"/>
  <c r="O313" i="13"/>
  <c r="Q313" i="13" s="1"/>
  <c r="O317" i="13"/>
  <c r="Q317" i="13" s="1"/>
  <c r="O321" i="13"/>
  <c r="Q321" i="13" s="1"/>
  <c r="O325" i="13"/>
  <c r="Q325" i="13" s="1"/>
  <c r="F45" i="2"/>
  <c r="F61" i="2"/>
  <c r="E61" i="2" s="1"/>
  <c r="F93" i="2"/>
  <c r="E93" i="2" s="1"/>
  <c r="D142" i="2"/>
  <c r="C142" i="2" s="1"/>
  <c r="F285" i="2"/>
  <c r="E285" i="2" s="1"/>
  <c r="V188" i="9"/>
  <c r="X188" i="9" s="1"/>
  <c r="V260" i="9"/>
  <c r="X260" i="9" s="1"/>
  <c r="V267" i="9"/>
  <c r="X267" i="9" s="1"/>
  <c r="V276" i="9"/>
  <c r="V173" i="9"/>
  <c r="X173" i="9" s="1"/>
  <c r="F258" i="2"/>
  <c r="E258" i="2" s="1"/>
  <c r="D183" i="2"/>
  <c r="C183" i="2" s="1"/>
  <c r="D223" i="2"/>
  <c r="C223" i="2" s="1"/>
  <c r="D255" i="2"/>
  <c r="C255" i="2" s="1"/>
  <c r="F175" i="2"/>
  <c r="E175" i="2" s="1"/>
  <c r="F288" i="2"/>
  <c r="E288" i="2" s="1"/>
  <c r="F204" i="2"/>
  <c r="E204" i="2" s="1"/>
  <c r="D23" i="2"/>
  <c r="C23" i="2" s="1"/>
  <c r="D27" i="2"/>
  <c r="C27" i="2" s="1"/>
  <c r="D80" i="2"/>
  <c r="C80" i="2" s="1"/>
  <c r="D112" i="2"/>
  <c r="C112" i="2" s="1"/>
  <c r="D120" i="2"/>
  <c r="C120" i="2" s="1"/>
  <c r="F142" i="2"/>
  <c r="E142" i="2" s="1"/>
  <c r="F151" i="2"/>
  <c r="E151" i="2" s="1"/>
  <c r="D137" i="2"/>
  <c r="C137" i="2" s="1"/>
  <c r="D257" i="2"/>
  <c r="C257" i="2" s="1"/>
  <c r="D264" i="2"/>
  <c r="C264" i="2" s="1"/>
  <c r="D286" i="2"/>
  <c r="C286" i="2" s="1"/>
  <c r="F124" i="2"/>
  <c r="E124" i="2" s="1"/>
  <c r="D190" i="2"/>
  <c r="C190" i="2" s="1"/>
  <c r="D127" i="2"/>
  <c r="C127" i="2" s="1"/>
  <c r="F158" i="2"/>
  <c r="E158" i="2" s="1"/>
  <c r="D208" i="2"/>
  <c r="C208" i="2" s="1"/>
  <c r="D240" i="2"/>
  <c r="C240" i="2" s="1"/>
  <c r="F255" i="2"/>
  <c r="E255" i="2" s="1"/>
  <c r="F286" i="2"/>
  <c r="E286" i="2" s="1"/>
  <c r="D17" i="2"/>
  <c r="C17" i="2" s="1"/>
  <c r="F121" i="2"/>
  <c r="E121" i="2" s="1"/>
  <c r="D56" i="2"/>
  <c r="C56" i="2" s="1"/>
  <c r="F127" i="2"/>
  <c r="E127" i="2" s="1"/>
  <c r="D31" i="2"/>
  <c r="C31" i="2" s="1"/>
  <c r="F42" i="2"/>
  <c r="E42" i="2" s="1"/>
  <c r="D91" i="2"/>
  <c r="C91" i="2" s="1"/>
  <c r="F202" i="2"/>
  <c r="E202" i="2" s="1"/>
  <c r="V85" i="9"/>
  <c r="X85" i="9" s="1"/>
  <c r="V160" i="9"/>
  <c r="X160" i="9" s="1"/>
  <c r="F207" i="2"/>
  <c r="E207" i="2" s="1"/>
  <c r="F271" i="2"/>
  <c r="E271" i="2" s="1"/>
  <c r="D72" i="2"/>
  <c r="C72" i="2" s="1"/>
  <c r="F126" i="2"/>
  <c r="E126" i="2" s="1"/>
  <c r="D59" i="2"/>
  <c r="C59" i="2" s="1"/>
  <c r="D104" i="2"/>
  <c r="C104" i="2" s="1"/>
  <c r="D179" i="2"/>
  <c r="C179" i="2" s="1"/>
  <c r="F216" i="2"/>
  <c r="E216" i="2" s="1"/>
  <c r="F223" i="2"/>
  <c r="E223" i="2" s="1"/>
  <c r="V50" i="9"/>
  <c r="V120" i="9"/>
  <c r="X120" i="9" s="1"/>
  <c r="V242" i="9"/>
  <c r="X242" i="9" s="1"/>
  <c r="F29" i="2"/>
  <c r="E29" i="2" s="1"/>
  <c r="V124" i="9"/>
  <c r="X124" i="9" s="1"/>
  <c r="V197" i="9"/>
  <c r="X197" i="9" s="1"/>
  <c r="V205" i="9"/>
  <c r="X205" i="9" s="1"/>
  <c r="D151" i="2"/>
  <c r="C151" i="2" s="1"/>
  <c r="D175" i="2"/>
  <c r="C175" i="2" s="1"/>
  <c r="F239" i="2"/>
  <c r="E239" i="2" s="1"/>
  <c r="D289" i="2"/>
  <c r="C289" i="2" s="1"/>
  <c r="D225" i="2"/>
  <c r="C225" i="2" s="1"/>
  <c r="D153" i="2"/>
  <c r="C153" i="2" s="1"/>
  <c r="F182" i="2"/>
  <c r="E182" i="2" s="1"/>
  <c r="F189" i="2"/>
  <c r="E189" i="2" s="1"/>
  <c r="F23" i="2"/>
  <c r="E23" i="2" s="1"/>
  <c r="F77" i="2"/>
  <c r="F109" i="2"/>
  <c r="E109" i="2" s="1"/>
  <c r="F161" i="2"/>
  <c r="E161" i="2" s="1"/>
  <c r="D176" i="2"/>
  <c r="C176" i="2" s="1"/>
  <c r="D222" i="2"/>
  <c r="C222" i="2" s="1"/>
  <c r="F248" i="2"/>
  <c r="E248" i="2" s="1"/>
  <c r="D293" i="2"/>
  <c r="C293" i="2" s="1"/>
  <c r="V172" i="9"/>
  <c r="X172" i="9" s="1"/>
  <c r="Z48" i="1"/>
  <c r="Z47" i="1"/>
  <c r="Z43" i="1"/>
  <c r="Z46" i="1"/>
  <c r="AA61" i="1"/>
  <c r="Z122" i="1"/>
  <c r="Z121" i="1"/>
  <c r="Z141" i="1"/>
  <c r="Z139" i="1"/>
  <c r="AA164" i="1"/>
  <c r="AA163" i="1"/>
  <c r="Z45" i="1"/>
  <c r="AA51" i="1"/>
  <c r="Z70" i="1"/>
  <c r="Z69" i="1"/>
  <c r="Z68" i="1"/>
  <c r="Z130" i="1"/>
  <c r="Z129" i="1"/>
  <c r="Z126" i="1"/>
  <c r="AA149" i="1"/>
  <c r="AA147" i="1"/>
  <c r="Z183" i="1"/>
  <c r="Z178" i="1"/>
  <c r="AA55" i="1"/>
  <c r="AA59" i="1"/>
  <c r="AA111" i="1"/>
  <c r="Z119" i="1"/>
  <c r="Z116" i="1"/>
  <c r="Z118" i="1"/>
  <c r="Z117" i="1"/>
  <c r="Z138" i="1"/>
  <c r="AA161" i="1"/>
  <c r="Z78" i="1"/>
  <c r="AA89" i="1"/>
  <c r="AA87" i="1"/>
  <c r="AA115" i="1"/>
  <c r="AA119" i="1"/>
  <c r="AA123" i="1"/>
  <c r="AA146" i="1"/>
  <c r="AA145" i="1"/>
  <c r="AA158" i="1"/>
  <c r="AA155" i="1"/>
  <c r="AA63" i="1"/>
  <c r="AA143" i="1"/>
  <c r="AA141" i="1"/>
  <c r="T21" i="2"/>
  <c r="Z189" i="1"/>
  <c r="Z188" i="1"/>
  <c r="Z186" i="1"/>
  <c r="Z65" i="1"/>
  <c r="Z72" i="1"/>
  <c r="Z73" i="1"/>
  <c r="AA139" i="1"/>
  <c r="AA152" i="1"/>
  <c r="AA151" i="1"/>
  <c r="AA159" i="1"/>
  <c r="AA41" i="1"/>
  <c r="Z54" i="1"/>
  <c r="Z60" i="1"/>
  <c r="AA68" i="1"/>
  <c r="Z71" i="1"/>
  <c r="AA76" i="1"/>
  <c r="Z84" i="1"/>
  <c r="AA98" i="1"/>
  <c r="AA97" i="1"/>
  <c r="AA117" i="1"/>
  <c r="Z125" i="1"/>
  <c r="Z128" i="1"/>
  <c r="Z127" i="1"/>
  <c r="Z131" i="1"/>
  <c r="AA136" i="1"/>
  <c r="AA144" i="1"/>
  <c r="AA150" i="1"/>
  <c r="AA156" i="1"/>
  <c r="Z162" i="1"/>
  <c r="Z169" i="1"/>
  <c r="Z175" i="1"/>
  <c r="Z181" i="1"/>
  <c r="Z180" i="1"/>
  <c r="Z184" i="1"/>
  <c r="Z187" i="1"/>
  <c r="Z190" i="1"/>
  <c r="C22" i="15"/>
  <c r="Z30" i="2"/>
  <c r="K37" i="6" s="1" a="1"/>
  <c r="K37" i="6" s="1"/>
  <c r="AX30" i="2"/>
  <c r="U69" i="6" s="1" a="1"/>
  <c r="U69" i="6" s="1"/>
  <c r="AE30" i="2"/>
  <c r="G50" i="6" s="1" a="1"/>
  <c r="G50" i="6" s="1"/>
  <c r="BD30" i="2"/>
  <c r="AA69" i="6" s="1" a="1"/>
  <c r="AA69" i="6" s="1"/>
  <c r="D64" i="2"/>
  <c r="C64" i="2" s="1"/>
  <c r="F62" i="2"/>
  <c r="E62" i="2" s="1"/>
  <c r="Z44" i="1"/>
  <c r="AA52" i="1"/>
  <c r="AA60" i="1"/>
  <c r="AA82" i="1"/>
  <c r="AA81" i="1"/>
  <c r="Z90" i="1"/>
  <c r="AA101" i="1"/>
  <c r="Z112" i="1"/>
  <c r="Z111" i="1"/>
  <c r="Z115" i="1"/>
  <c r="AA120" i="1"/>
  <c r="AA128" i="1"/>
  <c r="Z136" i="1"/>
  <c r="Z145" i="1"/>
  <c r="Z151" i="1"/>
  <c r="Z157" i="1"/>
  <c r="Z156" i="1"/>
  <c r="AA178" i="1"/>
  <c r="AA184" i="1"/>
  <c r="C18" i="15"/>
  <c r="C28" i="15"/>
  <c r="C34" i="15"/>
  <c r="C51" i="15"/>
  <c r="BN27" i="2"/>
  <c r="F53" i="6" s="1" a="1"/>
  <c r="F53" i="6" s="1"/>
  <c r="BG27" i="2"/>
  <c r="AD66" i="6" s="1" a="1"/>
  <c r="AD66" i="6" s="1"/>
  <c r="Z27" i="2"/>
  <c r="K34" i="6" s="1" a="1"/>
  <c r="K34" i="6" s="1"/>
  <c r="BQ27" i="2"/>
  <c r="D59" i="6" s="1" a="1"/>
  <c r="D59" i="6" s="1"/>
  <c r="BF27" i="2"/>
  <c r="AC66" i="6" s="1" a="1"/>
  <c r="AC66" i="6" s="1"/>
  <c r="AP27" i="2"/>
  <c r="M66" i="6" s="1" a="1"/>
  <c r="M66" i="6" s="1"/>
  <c r="BI27" i="2"/>
  <c r="AF66" i="6" s="1" a="1"/>
  <c r="AF66" i="6" s="1"/>
  <c r="AX27" i="2"/>
  <c r="U66" i="6" s="1" a="1"/>
  <c r="U66" i="6" s="1"/>
  <c r="AT27" i="2"/>
  <c r="Q66" i="6" s="1" a="1"/>
  <c r="Q66" i="6" s="1"/>
  <c r="BJ27" i="2"/>
  <c r="AG66" i="6" s="1" a="1"/>
  <c r="AG66" i="6" s="1"/>
  <c r="BR27" i="2"/>
  <c r="C41" i="6" s="1" a="1"/>
  <c r="C41" i="6" s="1"/>
  <c r="AK30" i="2"/>
  <c r="H69" i="6" s="1" a="1"/>
  <c r="H69" i="6" s="1"/>
  <c r="BI30" i="2"/>
  <c r="AF69" i="6" s="1" a="1"/>
  <c r="AF69" i="6" s="1"/>
  <c r="AA36" i="1"/>
  <c r="AA44" i="1"/>
  <c r="AA66" i="1"/>
  <c r="AA65" i="1"/>
  <c r="Z74" i="1"/>
  <c r="Z82" i="1"/>
  <c r="AA85" i="1"/>
  <c r="Z93" i="1"/>
  <c r="Z96" i="1"/>
  <c r="Z95" i="1"/>
  <c r="Z99" i="1"/>
  <c r="Z101" i="1"/>
  <c r="AA104" i="1"/>
  <c r="AA112" i="1"/>
  <c r="Z120" i="1"/>
  <c r="AA137" i="1"/>
  <c r="AA154" i="1"/>
  <c r="AA160" i="1"/>
  <c r="AA166" i="1"/>
  <c r="AA169" i="1"/>
  <c r="AA172" i="1"/>
  <c r="AA175" i="1"/>
  <c r="Z185" i="1"/>
  <c r="AA187" i="1"/>
  <c r="Z191" i="1"/>
  <c r="C57" i="15"/>
  <c r="C53" i="15"/>
  <c r="C49" i="15"/>
  <c r="C45" i="15"/>
  <c r="C41" i="15"/>
  <c r="C37" i="15"/>
  <c r="C33" i="15"/>
  <c r="C29" i="15"/>
  <c r="C25" i="15"/>
  <c r="C21" i="15"/>
  <c r="C17" i="15"/>
  <c r="C13" i="15"/>
  <c r="C59" i="15"/>
  <c r="C55" i="15"/>
  <c r="C46" i="15"/>
  <c r="C32" i="15"/>
  <c r="C23" i="15"/>
  <c r="C14" i="15"/>
  <c r="C48" i="15"/>
  <c r="C39" i="15"/>
  <c r="C30" i="15"/>
  <c r="C16" i="15"/>
  <c r="C56" i="15"/>
  <c r="C47" i="15"/>
  <c r="C38" i="15"/>
  <c r="C24" i="15"/>
  <c r="C15" i="15"/>
  <c r="C40" i="15"/>
  <c r="AE27" i="2"/>
  <c r="G47" i="6" s="1" a="1"/>
  <c r="G47" i="6" s="1"/>
  <c r="AM27" i="2"/>
  <c r="J66" i="6" s="1" a="1"/>
  <c r="J66" i="6" s="1"/>
  <c r="AU27" i="2"/>
  <c r="R66" i="6" s="1" a="1"/>
  <c r="R66" i="6" s="1"/>
  <c r="BS27" i="2"/>
  <c r="D41" i="6" s="1" a="1"/>
  <c r="D41" i="6" s="1"/>
  <c r="AB30" i="2"/>
  <c r="D50" i="6" s="1" a="1"/>
  <c r="D50" i="6" s="1"/>
  <c r="AJ30" i="2"/>
  <c r="G69" i="6" s="1" a="1"/>
  <c r="G69" i="6" s="1"/>
  <c r="AR30" i="2"/>
  <c r="O69" i="6" s="1" a="1"/>
  <c r="O69" i="6" s="1"/>
  <c r="AZ30" i="2"/>
  <c r="W69" i="6" s="1" a="1"/>
  <c r="W69" i="6" s="1"/>
  <c r="BH30" i="2"/>
  <c r="AE69" i="6" s="1" a="1"/>
  <c r="AE69" i="6" s="1"/>
  <c r="BP30" i="2"/>
  <c r="C62" i="6" s="1" a="1"/>
  <c r="C62" i="6" s="1"/>
  <c r="AO27" i="2"/>
  <c r="L66" i="6" s="1" a="1"/>
  <c r="L66" i="6" s="1"/>
  <c r="AM30" i="2"/>
  <c r="J69" i="6" s="1" a="1"/>
  <c r="J69" i="6" s="1"/>
  <c r="BL30" i="2"/>
  <c r="D56" i="6" s="1" a="1"/>
  <c r="D56" i="6" s="1"/>
  <c r="F238" i="2"/>
  <c r="E238" i="2" s="1"/>
  <c r="D239" i="2"/>
  <c r="C239" i="2" s="1"/>
  <c r="Z36" i="1"/>
  <c r="AA50" i="1"/>
  <c r="AA49" i="1"/>
  <c r="AA69" i="1"/>
  <c r="Z80" i="1"/>
  <c r="Z79" i="1"/>
  <c r="Z83" i="1"/>
  <c r="AA88" i="1"/>
  <c r="AA96" i="1"/>
  <c r="Z104" i="1"/>
  <c r="AA121" i="1"/>
  <c r="Z137" i="1"/>
  <c r="Z140" i="1"/>
  <c r="AA148" i="1"/>
  <c r="Z154" i="1"/>
  <c r="Z161" i="1"/>
  <c r="Z167" i="1"/>
  <c r="Z173" i="1"/>
  <c r="Z172" i="1"/>
  <c r="Z176" i="1"/>
  <c r="Z179" i="1"/>
  <c r="Z182" i="1"/>
  <c r="C19" i="15"/>
  <c r="C35" i="15"/>
  <c r="C52" i="15"/>
  <c r="C58" i="15"/>
  <c r="BL27" i="2"/>
  <c r="D53" i="6" s="1" a="1"/>
  <c r="D53" i="6" s="1"/>
  <c r="AC30" i="2"/>
  <c r="E50" i="6" s="1" a="1"/>
  <c r="E50" i="6" s="1"/>
  <c r="BA30" i="2"/>
  <c r="X69" i="6" s="1" a="1"/>
  <c r="X69" i="6" s="1"/>
  <c r="AQ27" i="2"/>
  <c r="N66" i="6" s="1" a="1"/>
  <c r="N66" i="6" s="1"/>
  <c r="BO27" i="2"/>
  <c r="G53" i="6" s="1" a="1"/>
  <c r="G53" i="6" s="1"/>
  <c r="D38" i="2"/>
  <c r="C38" i="2" s="1"/>
  <c r="AP30" i="2"/>
  <c r="M69" i="6" s="1" a="1"/>
  <c r="M69" i="6" s="1"/>
  <c r="AA53" i="1"/>
  <c r="Z64" i="1"/>
  <c r="Z63" i="1"/>
  <c r="Z67" i="1"/>
  <c r="AA132" i="1"/>
  <c r="AA140" i="1"/>
  <c r="Z149" i="1"/>
  <c r="Z148" i="1"/>
  <c r="BK30" i="2"/>
  <c r="C56" i="6" s="1" a="1"/>
  <c r="C56" i="6" s="1"/>
  <c r="BS30" i="2"/>
  <c r="D44" i="6" s="1" a="1"/>
  <c r="D44" i="6" s="1"/>
  <c r="BF30" i="2"/>
  <c r="AC69" i="6" s="1" a="1"/>
  <c r="AC69" i="6" s="1"/>
  <c r="AU30" i="2"/>
  <c r="R69" i="6" s="1" a="1"/>
  <c r="R69" i="6" s="1"/>
  <c r="AH30" i="2"/>
  <c r="E69" i="6" s="1" a="1"/>
  <c r="E69" i="6" s="1"/>
  <c r="AN30" i="2"/>
  <c r="K69" i="6" s="1" a="1"/>
  <c r="K69" i="6" s="1"/>
  <c r="AL30" i="2"/>
  <c r="I69" i="6" s="1" a="1"/>
  <c r="I69" i="6" s="1"/>
  <c r="AT30" i="2"/>
  <c r="Q69" i="6" s="1" a="1"/>
  <c r="Q69" i="6" s="1"/>
  <c r="BB30" i="2"/>
  <c r="Y69" i="6" s="1" a="1"/>
  <c r="Y69" i="6" s="1"/>
  <c r="BJ30" i="2"/>
  <c r="AG69" i="6" s="1" a="1"/>
  <c r="AG69" i="6" s="1"/>
  <c r="BR30" i="2"/>
  <c r="C44" i="6" s="1" a="1"/>
  <c r="C44" i="6" s="1"/>
  <c r="AQ30" i="2"/>
  <c r="N69" i="6" s="1" a="1"/>
  <c r="N69" i="6" s="1"/>
  <c r="BO30" i="2"/>
  <c r="G56" i="6" s="1" a="1"/>
  <c r="G56" i="6" s="1"/>
  <c r="AA48" i="1"/>
  <c r="Z56" i="1"/>
  <c r="Z59" i="1"/>
  <c r="AA73" i="1"/>
  <c r="Z89" i="1"/>
  <c r="Z92" i="1"/>
  <c r="AA100" i="1"/>
  <c r="AA130" i="1"/>
  <c r="AA129" i="1"/>
  <c r="Z146" i="1"/>
  <c r="Z153" i="1"/>
  <c r="Z159" i="1"/>
  <c r="Z165" i="1"/>
  <c r="Z164" i="1"/>
  <c r="Z174" i="1"/>
  <c r="AA186" i="1"/>
  <c r="AY27" i="2"/>
  <c r="V66" i="6" s="1" a="1"/>
  <c r="V66" i="6" s="1"/>
  <c r="AA30" i="2"/>
  <c r="C50" i="6" s="1" a="1"/>
  <c r="C50" i="6" s="1"/>
  <c r="AY30" i="2"/>
  <c r="V69" i="6" s="1" a="1"/>
  <c r="V69" i="6" s="1"/>
  <c r="F168" i="2"/>
  <c r="E168" i="2" s="1"/>
  <c r="D169" i="2"/>
  <c r="C169" i="2" s="1"/>
  <c r="F167" i="2"/>
  <c r="E167" i="2" s="1"/>
  <c r="Z40" i="1"/>
  <c r="AA57" i="1"/>
  <c r="Z76" i="1"/>
  <c r="AA84" i="1"/>
  <c r="Z87" i="1"/>
  <c r="Z100" i="1"/>
  <c r="AA114" i="1"/>
  <c r="AA113" i="1"/>
  <c r="AA133" i="1"/>
  <c r="Z144" i="1"/>
  <c r="Z143" i="1"/>
  <c r="Z147" i="1"/>
  <c r="Z150" i="1"/>
  <c r="AA162" i="1"/>
  <c r="AA168" i="1"/>
  <c r="AA174" i="1"/>
  <c r="AA177" i="1"/>
  <c r="AA180" i="1"/>
  <c r="AA183" i="1"/>
  <c r="C27" i="15"/>
  <c r="C43" i="15"/>
  <c r="C50" i="15"/>
  <c r="AB27" i="2"/>
  <c r="D47" i="6" s="1" a="1"/>
  <c r="D47" i="6" s="1"/>
  <c r="AJ27" i="2"/>
  <c r="G66" i="6" s="1" a="1"/>
  <c r="G66" i="6" s="1"/>
  <c r="AZ27" i="2"/>
  <c r="W66" i="6" s="1" a="1"/>
  <c r="W66" i="6" s="1"/>
  <c r="Y30" i="2"/>
  <c r="J37" i="6" s="1" a="1"/>
  <c r="J37" i="6" s="1"/>
  <c r="AG30" i="2"/>
  <c r="D69" i="6" s="1" a="1"/>
  <c r="D69" i="6" s="1"/>
  <c r="AW30" i="2"/>
  <c r="T69" i="6" s="1" a="1"/>
  <c r="T69" i="6" s="1"/>
  <c r="BE30" i="2"/>
  <c r="AB69" i="6" s="1" a="1"/>
  <c r="AB69" i="6" s="1"/>
  <c r="BM30" i="2"/>
  <c r="E56" i="6" s="1" a="1"/>
  <c r="E56" i="6" s="1"/>
  <c r="AG27" i="2"/>
  <c r="D66" i="6" s="1" a="1"/>
  <c r="D66" i="6" s="1"/>
  <c r="BC30" i="2"/>
  <c r="Z69" i="6" s="1" a="1"/>
  <c r="Z69" i="6" s="1"/>
  <c r="AA42" i="1"/>
  <c r="AA58" i="1"/>
  <c r="AA74" i="1"/>
  <c r="AA90" i="1"/>
  <c r="AA106" i="1"/>
  <c r="AA122" i="1"/>
  <c r="AA138" i="1"/>
  <c r="AB28" i="2"/>
  <c r="D48" i="6" s="1" a="1"/>
  <c r="D48" i="6" s="1"/>
  <c r="AZ28" i="2"/>
  <c r="W67" i="6" s="1" a="1"/>
  <c r="W67" i="6" s="1"/>
  <c r="AJ29" i="2"/>
  <c r="G68" i="6" s="1" a="1"/>
  <c r="G68" i="6" s="1"/>
  <c r="BH29" i="2"/>
  <c r="AE68" i="6" s="1" a="1"/>
  <c r="AE68" i="6" s="1"/>
  <c r="AI30" i="2"/>
  <c r="F69" i="6" s="1" a="1"/>
  <c r="F69" i="6" s="1"/>
  <c r="BG30" i="2"/>
  <c r="AD69" i="6" s="1" a="1"/>
  <c r="AD69" i="6" s="1"/>
  <c r="D34" i="2"/>
  <c r="C34" i="2" s="1"/>
  <c r="BM28" i="2"/>
  <c r="E54" i="6" s="1" a="1"/>
  <c r="E54" i="6" s="1"/>
  <c r="BD29" i="2"/>
  <c r="AA68" i="6" s="1" a="1"/>
  <c r="AA68" i="6" s="1"/>
  <c r="D178" i="2"/>
  <c r="C178" i="2" s="1"/>
  <c r="F178" i="2"/>
  <c r="E178" i="2" s="1"/>
  <c r="D192" i="2"/>
  <c r="C192" i="2" s="1"/>
  <c r="D214" i="2"/>
  <c r="C214" i="2" s="1"/>
  <c r="F214" i="2"/>
  <c r="E214" i="2" s="1"/>
  <c r="D276" i="2"/>
  <c r="C276" i="2" s="1"/>
  <c r="F200" i="2"/>
  <c r="E200" i="2" s="1"/>
  <c r="D237" i="2"/>
  <c r="C237" i="2" s="1"/>
  <c r="F236" i="2"/>
  <c r="E236" i="2" s="1"/>
  <c r="AA38" i="1"/>
  <c r="AA54" i="1"/>
  <c r="AA70" i="1"/>
  <c r="AA86" i="1"/>
  <c r="AA102" i="1"/>
  <c r="AA118" i="1"/>
  <c r="AA134" i="1"/>
  <c r="AC27" i="2"/>
  <c r="E47" i="6" s="1" a="1"/>
  <c r="E47" i="6" s="1"/>
  <c r="AK27" i="2"/>
  <c r="H66" i="6" s="1" a="1"/>
  <c r="H66" i="6" s="1"/>
  <c r="AS27" i="2"/>
  <c r="P66" i="6" s="1" a="1"/>
  <c r="P66" i="6" s="1"/>
  <c r="BA27" i="2"/>
  <c r="X66" i="6" s="1" a="1"/>
  <c r="X66" i="6" s="1"/>
  <c r="AT28" i="2"/>
  <c r="Q67" i="6" s="1" a="1"/>
  <c r="Q67" i="6" s="1"/>
  <c r="BR28" i="2"/>
  <c r="C42" i="6" s="1" a="1"/>
  <c r="C42" i="6" s="1"/>
  <c r="BB29" i="2"/>
  <c r="Y68" i="6" s="1" a="1"/>
  <c r="Y68" i="6" s="1"/>
  <c r="AS30" i="2"/>
  <c r="P69" i="6" s="1" a="1"/>
  <c r="P69" i="6" s="1"/>
  <c r="BQ30" i="2"/>
  <c r="D62" i="6" s="1" a="1"/>
  <c r="D62" i="6" s="1"/>
  <c r="AR28" i="2"/>
  <c r="O67" i="6" s="1" a="1"/>
  <c r="O67" i="6" s="1"/>
  <c r="BP28" i="2"/>
  <c r="C60" i="6" s="1" a="1"/>
  <c r="C60" i="6" s="1"/>
  <c r="F192" i="2"/>
  <c r="E192" i="2" s="1"/>
  <c r="D238" i="2"/>
  <c r="C238" i="2" s="1"/>
  <c r="F101" i="2"/>
  <c r="E101" i="2" s="1"/>
  <c r="F237" i="2"/>
  <c r="E237" i="2" s="1"/>
  <c r="F277" i="2"/>
  <c r="E277" i="2" s="1"/>
  <c r="D278" i="2"/>
  <c r="C278" i="2" s="1"/>
  <c r="D21" i="2"/>
  <c r="C21" i="2" s="1"/>
  <c r="F27" i="2"/>
  <c r="E27" i="2" s="1"/>
  <c r="X27" i="2"/>
  <c r="I34" i="6" s="1" a="1"/>
  <c r="I34" i="6" s="1"/>
  <c r="AF27" i="2"/>
  <c r="C66" i="6" s="1" a="1"/>
  <c r="C66" i="6" s="1"/>
  <c r="AN27" i="2"/>
  <c r="K66" i="6" s="1" a="1"/>
  <c r="K66" i="6" s="1"/>
  <c r="AV27" i="2"/>
  <c r="S66" i="6" s="1" a="1"/>
  <c r="S66" i="6" s="1"/>
  <c r="BD27" i="2"/>
  <c r="AA66" i="6" s="1" a="1"/>
  <c r="AA66" i="6" s="1"/>
  <c r="AG28" i="2"/>
  <c r="D67" i="6" s="1" a="1"/>
  <c r="D67" i="6" s="1"/>
  <c r="AO29" i="2"/>
  <c r="L68" i="6" s="1" a="1"/>
  <c r="L68" i="6" s="1"/>
  <c r="D32" i="2"/>
  <c r="C32" i="2" s="1"/>
  <c r="AF30" i="2"/>
  <c r="C69" i="6" s="1" a="1"/>
  <c r="C69" i="6" s="1"/>
  <c r="BT30" i="2"/>
  <c r="E44" i="6" s="1" a="1"/>
  <c r="E44" i="6" s="1"/>
  <c r="AJ28" i="2"/>
  <c r="G67" i="6" s="1" a="1"/>
  <c r="G67" i="6" s="1"/>
  <c r="BL29" i="2"/>
  <c r="D55" i="6" s="1" a="1"/>
  <c r="D55" i="6" s="1"/>
  <c r="T30" i="2"/>
  <c r="F110" i="2"/>
  <c r="E110" i="2" s="1"/>
  <c r="F224" i="2"/>
  <c r="E224" i="2" s="1"/>
  <c r="AA46" i="1"/>
  <c r="AA62" i="1"/>
  <c r="AA78" i="1"/>
  <c r="AA94" i="1"/>
  <c r="AA110" i="1"/>
  <c r="AA126" i="1"/>
  <c r="AA142" i="1"/>
  <c r="BE27" i="2"/>
  <c r="AB66" i="6" s="1" a="1"/>
  <c r="AB66" i="6" s="1"/>
  <c r="BM27" i="2"/>
  <c r="E53" i="6" s="1" a="1"/>
  <c r="E53" i="6" s="1"/>
  <c r="D30" i="2"/>
  <c r="C30" i="2" s="1"/>
  <c r="AO30" i="2"/>
  <c r="L69" i="6" s="1" a="1"/>
  <c r="L69" i="6" s="1"/>
  <c r="F274" i="2"/>
  <c r="E274" i="2" s="1"/>
  <c r="D24" i="2"/>
  <c r="C24" i="2" s="1"/>
  <c r="AA29" i="2"/>
  <c r="C49" i="6" s="1" a="1"/>
  <c r="C49" i="6" s="1"/>
  <c r="AI29" i="2"/>
  <c r="F68" i="6" s="1" a="1"/>
  <c r="F68" i="6" s="1"/>
  <c r="AQ29" i="2"/>
  <c r="N68" i="6" s="1" a="1"/>
  <c r="N68" i="6" s="1"/>
  <c r="AY29" i="2"/>
  <c r="V68" i="6" s="1" a="1"/>
  <c r="V68" i="6" s="1"/>
  <c r="BG29" i="2"/>
  <c r="AD68" i="6" s="1" a="1"/>
  <c r="AD68" i="6" s="1"/>
  <c r="BO29" i="2"/>
  <c r="G55" i="6" s="1" a="1"/>
  <c r="G55" i="6" s="1"/>
  <c r="D37" i="2"/>
  <c r="C37" i="2" s="1"/>
  <c r="D88" i="2"/>
  <c r="C88" i="2" s="1"/>
  <c r="D96" i="2"/>
  <c r="C96" i="2" s="1"/>
  <c r="D118" i="2"/>
  <c r="C118" i="2" s="1"/>
  <c r="D126" i="2"/>
  <c r="C126" i="2" s="1"/>
  <c r="D177" i="2"/>
  <c r="C177" i="2" s="1"/>
  <c r="F254" i="2"/>
  <c r="E254" i="2" s="1"/>
  <c r="F290" i="2"/>
  <c r="E290" i="2" s="1"/>
  <c r="L123" i="9"/>
  <c r="F125" i="14" s="1"/>
  <c r="L158" i="9"/>
  <c r="F160" i="14" s="1"/>
  <c r="V158" i="9"/>
  <c r="X158" i="9" s="1"/>
  <c r="V31" i="9"/>
  <c r="X31" i="9" s="1"/>
  <c r="V157" i="9"/>
  <c r="X157" i="9" s="1"/>
  <c r="F293" i="2"/>
  <c r="E293" i="2" s="1"/>
  <c r="V105" i="9"/>
  <c r="X105" i="9" s="1"/>
  <c r="D43" i="2"/>
  <c r="C43" i="2" s="1"/>
  <c r="F135" i="2"/>
  <c r="E135" i="2" s="1"/>
  <c r="D165" i="2"/>
  <c r="C165" i="2" s="1"/>
  <c r="F215" i="2"/>
  <c r="E215" i="2" s="1"/>
  <c r="F222" i="2"/>
  <c r="E222" i="2" s="1"/>
  <c r="F226" i="2"/>
  <c r="E226" i="2" s="1"/>
  <c r="D285" i="2"/>
  <c r="C285" i="2" s="1"/>
  <c r="L172" i="9"/>
  <c r="F174" i="14" s="1"/>
  <c r="V145" i="9"/>
  <c r="X145" i="9" s="1"/>
  <c r="L167" i="9"/>
  <c r="F169" i="14" s="1"/>
  <c r="V155" i="9"/>
  <c r="X155" i="9" s="1"/>
  <c r="L192" i="9"/>
  <c r="F194" i="14" s="1"/>
  <c r="AA64" i="11"/>
  <c r="D70" i="2"/>
  <c r="C70" i="2" s="1"/>
  <c r="F140" i="2"/>
  <c r="E140" i="2" s="1"/>
  <c r="F183" i="2"/>
  <c r="E183" i="2" s="1"/>
  <c r="D198" i="2"/>
  <c r="C198" i="2" s="1"/>
  <c r="F234" i="2"/>
  <c r="E234" i="2" s="1"/>
  <c r="V47" i="9"/>
  <c r="X47" i="9" s="1"/>
  <c r="V107" i="9"/>
  <c r="X107" i="9" s="1"/>
  <c r="V144" i="9"/>
  <c r="X144" i="9" s="1"/>
  <c r="L166" i="9"/>
  <c r="F168" i="14" s="1"/>
  <c r="V154" i="9"/>
  <c r="X154" i="9" s="1"/>
  <c r="L197" i="9"/>
  <c r="F199" i="14" s="1"/>
  <c r="V250" i="9"/>
  <c r="X250" i="9" s="1"/>
  <c r="V104" i="9"/>
  <c r="X104" i="9" s="1"/>
  <c r="V141" i="9"/>
  <c r="X141" i="9" s="1"/>
  <c r="V237" i="9"/>
  <c r="X237" i="9" s="1"/>
  <c r="V233" i="9"/>
  <c r="X233" i="9" s="1"/>
  <c r="L65" i="10"/>
  <c r="G65" i="14" s="1"/>
  <c r="AA15" i="11"/>
  <c r="AA31" i="11"/>
  <c r="V22" i="9"/>
  <c r="X22" i="9" s="1"/>
  <c r="V90" i="9"/>
  <c r="X90" i="9" s="1"/>
  <c r="V186" i="9"/>
  <c r="X186" i="9" s="1"/>
  <c r="V52" i="9"/>
  <c r="X52" i="9" s="1"/>
  <c r="V67" i="9"/>
  <c r="X67" i="9" s="1"/>
  <c r="V136" i="9"/>
  <c r="X136" i="9" s="1"/>
  <c r="V149" i="9"/>
  <c r="X149" i="9" s="1"/>
  <c r="V150" i="9"/>
  <c r="X150" i="9" s="1"/>
  <c r="N54" i="11"/>
  <c r="H91" i="14" s="1"/>
  <c r="V19" i="9"/>
  <c r="V21" i="9"/>
  <c r="X21" i="9" s="1"/>
  <c r="V23" i="9"/>
  <c r="X23" i="9" s="1"/>
  <c r="V25" i="9"/>
  <c r="X25" i="9" s="1"/>
  <c r="V26" i="9"/>
  <c r="X26" i="9" s="1"/>
  <c r="V27" i="9"/>
  <c r="X27" i="9" s="1"/>
  <c r="V183" i="9"/>
  <c r="X183" i="9" s="1"/>
  <c r="V278" i="9"/>
  <c r="V62" i="9"/>
  <c r="X62" i="9" s="1"/>
  <c r="L87" i="9"/>
  <c r="F89" i="14" s="1"/>
  <c r="L135" i="9"/>
  <c r="F137" i="14" s="1"/>
  <c r="L199" i="9"/>
  <c r="F201" i="14" s="1"/>
  <c r="V273" i="9"/>
  <c r="X273" i="9" s="1"/>
  <c r="AA23" i="11"/>
  <c r="AA29" i="11"/>
  <c r="N46" i="11"/>
  <c r="H99" i="14" s="1"/>
  <c r="AA49" i="11"/>
  <c r="AA60" i="11"/>
  <c r="V174" i="9"/>
  <c r="X174" i="9" s="1"/>
  <c r="V207" i="9"/>
  <c r="X207" i="9" s="1"/>
  <c r="V211" i="9"/>
  <c r="X211" i="9" s="1"/>
  <c r="V231" i="9"/>
  <c r="X231" i="9" s="1"/>
  <c r="V239" i="9"/>
  <c r="X239" i="9" s="1"/>
  <c r="V254" i="9"/>
  <c r="X254" i="9" s="1"/>
  <c r="V270" i="9"/>
  <c r="V202" i="9"/>
  <c r="X202" i="9" s="1"/>
  <c r="V210" i="9"/>
  <c r="X210" i="9" s="1"/>
  <c r="V218" i="9"/>
  <c r="X218" i="9" s="1"/>
  <c r="V226" i="9"/>
  <c r="X226" i="9" s="1"/>
  <c r="V234" i="9"/>
  <c r="X234" i="9" s="1"/>
  <c r="V247" i="9"/>
  <c r="X247" i="9" s="1"/>
  <c r="V252" i="9"/>
  <c r="X252" i="9" s="1"/>
  <c r="V256" i="9"/>
  <c r="X256" i="9" s="1"/>
  <c r="V265" i="9"/>
  <c r="X265" i="9" s="1"/>
  <c r="K12" i="11"/>
  <c r="N12" i="11" s="1"/>
  <c r="X19" i="11"/>
  <c r="AA19" i="11" s="1"/>
  <c r="K20" i="11"/>
  <c r="X27" i="11"/>
  <c r="AA27" i="11" s="1"/>
  <c r="K28" i="11"/>
  <c r="N28" i="11" s="1"/>
  <c r="H119" i="14" s="1"/>
  <c r="X34" i="11"/>
  <c r="X38" i="11"/>
  <c r="AA38" i="11" s="1"/>
  <c r="X42" i="11"/>
  <c r="X46" i="11"/>
  <c r="AA46" i="11" s="1"/>
  <c r="X50" i="11"/>
  <c r="AA50" i="11" s="1"/>
  <c r="X54" i="11"/>
  <c r="AA54" i="11" s="1"/>
  <c r="X58" i="11"/>
  <c r="X62" i="11"/>
  <c r="AA62" i="11" s="1"/>
  <c r="X66" i="11"/>
  <c r="X70" i="11"/>
  <c r="AA70" i="11" s="1"/>
  <c r="AA73" i="11"/>
  <c r="W69" i="12"/>
  <c r="AB72" i="12"/>
  <c r="W85" i="12"/>
  <c r="V185" i="9"/>
  <c r="X185" i="9" s="1"/>
  <c r="V199" i="9"/>
  <c r="X199" i="9" s="1"/>
  <c r="V208" i="9"/>
  <c r="X208" i="9" s="1"/>
  <c r="V216" i="9"/>
  <c r="X216" i="9" s="1"/>
  <c r="V232" i="9"/>
  <c r="X232" i="9" s="1"/>
  <c r="V255" i="9"/>
  <c r="X255" i="9" s="1"/>
  <c r="V263" i="9"/>
  <c r="X263" i="9" s="1"/>
  <c r="V271" i="9"/>
  <c r="X271" i="9" s="1"/>
  <c r="V279" i="9"/>
  <c r="W50" i="12"/>
  <c r="AP73" i="12"/>
  <c r="AB90" i="12"/>
  <c r="V87" i="9"/>
  <c r="X87" i="9" s="1"/>
  <c r="V130" i="9"/>
  <c r="X130" i="9" s="1"/>
  <c r="V151" i="9"/>
  <c r="X151" i="9" s="1"/>
  <c r="V182" i="9"/>
  <c r="X182" i="9" s="1"/>
  <c r="V203" i="9"/>
  <c r="X203" i="9" s="1"/>
  <c r="V219" i="9"/>
  <c r="X219" i="9" s="1"/>
  <c r="V225" i="9"/>
  <c r="X225" i="9" s="1"/>
  <c r="V248" i="9"/>
  <c r="X248" i="9" s="1"/>
  <c r="V274" i="9"/>
  <c r="Y18" i="11"/>
  <c r="AA18" i="11" s="1"/>
  <c r="L19" i="11"/>
  <c r="N19" i="11" s="1"/>
  <c r="Y26" i="11"/>
  <c r="AA26" i="11" s="1"/>
  <c r="L27" i="11"/>
  <c r="N27" i="11" s="1"/>
  <c r="H120" i="14" s="1"/>
  <c r="L34" i="11"/>
  <c r="N34" i="11" s="1"/>
  <c r="H112" i="14" s="1"/>
  <c r="L38" i="11"/>
  <c r="L42" i="11"/>
  <c r="L46" i="11"/>
  <c r="L50" i="11"/>
  <c r="L54" i="11"/>
  <c r="L58" i="11"/>
  <c r="L62" i="11"/>
  <c r="N62" i="11" s="1"/>
  <c r="H82" i="14" s="1"/>
  <c r="L66" i="11"/>
  <c r="L70" i="11"/>
  <c r="Y73" i="11"/>
  <c r="M78" i="11"/>
  <c r="M82" i="11"/>
  <c r="M86" i="11"/>
  <c r="N86" i="11" s="1"/>
  <c r="H56" i="14" s="1"/>
  <c r="M90" i="11"/>
  <c r="M94" i="11"/>
  <c r="M98" i="11"/>
  <c r="M102" i="11"/>
  <c r="V180" i="9"/>
  <c r="X180" i="9" s="1"/>
  <c r="V198" i="9"/>
  <c r="X198" i="9" s="1"/>
  <c r="V206" i="9"/>
  <c r="X206" i="9" s="1"/>
  <c r="V221" i="9"/>
  <c r="X221" i="9" s="1"/>
  <c r="V230" i="9"/>
  <c r="X230" i="9" s="1"/>
  <c r="V238" i="9"/>
  <c r="X238" i="9" s="1"/>
  <c r="V261" i="9"/>
  <c r="X261" i="9" s="1"/>
  <c r="V269" i="9"/>
  <c r="X269" i="9" s="1"/>
  <c r="V277" i="9"/>
  <c r="Y17" i="11"/>
  <c r="AA17" i="11" s="1"/>
  <c r="L18" i="11"/>
  <c r="N18" i="11" s="1"/>
  <c r="Y25" i="11"/>
  <c r="AA25" i="11" s="1"/>
  <c r="L26" i="11"/>
  <c r="N26" i="11" s="1"/>
  <c r="H121" i="14" s="1"/>
  <c r="Y33" i="11"/>
  <c r="AA33" i="11" s="1"/>
  <c r="Y37" i="11"/>
  <c r="Y41" i="11"/>
  <c r="Y45" i="11"/>
  <c r="Y49" i="11"/>
  <c r="Y53" i="11"/>
  <c r="AA53" i="11" s="1"/>
  <c r="Y57" i="11"/>
  <c r="Y61" i="11"/>
  <c r="AA61" i="11" s="1"/>
  <c r="Y65" i="11"/>
  <c r="AA65" i="11" s="1"/>
  <c r="Y69" i="11"/>
  <c r="W35" i="12"/>
  <c r="R49" i="12"/>
  <c r="V176" i="9"/>
  <c r="X176" i="9" s="1"/>
  <c r="V201" i="9"/>
  <c r="X201" i="9" s="1"/>
  <c r="V209" i="9"/>
  <c r="X209" i="9" s="1"/>
  <c r="V217" i="9"/>
  <c r="X217" i="9" s="1"/>
  <c r="V241" i="9"/>
  <c r="X241" i="9" s="1"/>
  <c r="V245" i="9"/>
  <c r="X245" i="9" s="1"/>
  <c r="V240" i="9"/>
  <c r="X240" i="9" s="1"/>
  <c r="V272" i="9"/>
  <c r="X272" i="9" s="1"/>
  <c r="V280" i="9"/>
  <c r="Y16" i="11"/>
  <c r="AA16" i="11" s="1"/>
  <c r="L17" i="11"/>
  <c r="N17" i="11" s="1"/>
  <c r="Y24" i="11"/>
  <c r="AA24" i="11" s="1"/>
  <c r="L25" i="11"/>
  <c r="N25" i="11" s="1"/>
  <c r="H122" i="14" s="1"/>
  <c r="Y32" i="11"/>
  <c r="AA32" i="11" s="1"/>
  <c r="L33" i="11"/>
  <c r="N33" i="11" s="1"/>
  <c r="H114" i="14" s="1"/>
  <c r="H113" i="14" s="1"/>
  <c r="L37" i="11"/>
  <c r="L41" i="11"/>
  <c r="L45" i="11"/>
  <c r="L49" i="11"/>
  <c r="L53" i="11"/>
  <c r="L57" i="11"/>
  <c r="L61" i="11"/>
  <c r="N61" i="11" s="1"/>
  <c r="H83" i="14" s="1"/>
  <c r="L65" i="11"/>
  <c r="L69" i="11"/>
  <c r="L73" i="11"/>
  <c r="Y75" i="11"/>
  <c r="Y77" i="11"/>
  <c r="Y79" i="11"/>
  <c r="Y81" i="11"/>
  <c r="N83" i="11"/>
  <c r="H59" i="14" s="1"/>
  <c r="Y83" i="11"/>
  <c r="Y85" i="11"/>
  <c r="Y87" i="11"/>
  <c r="AA87" i="11" s="1"/>
  <c r="Y89" i="11"/>
  <c r="AA89" i="11" s="1"/>
  <c r="N91" i="11"/>
  <c r="H50" i="14" s="1"/>
  <c r="Y91" i="11"/>
  <c r="Y93" i="11"/>
  <c r="Y95" i="11"/>
  <c r="Y97" i="11"/>
  <c r="AA97" i="11" s="1"/>
  <c r="Y99" i="11"/>
  <c r="AA99" i="11" s="1"/>
  <c r="AP63" i="12"/>
  <c r="V196" i="9"/>
  <c r="X196" i="9" s="1"/>
  <c r="V228" i="9"/>
  <c r="X228" i="9" s="1"/>
  <c r="V236" i="9"/>
  <c r="X236" i="9" s="1"/>
  <c r="V249" i="9"/>
  <c r="X249" i="9" s="1"/>
  <c r="V258" i="9"/>
  <c r="X258" i="9" s="1"/>
  <c r="V275" i="9"/>
  <c r="AP22" i="12"/>
  <c r="AP30" i="12"/>
  <c r="R34" i="12"/>
  <c r="AP38" i="12"/>
  <c r="AP46" i="12"/>
  <c r="R50" i="12"/>
  <c r="AP54" i="12"/>
  <c r="AP76" i="12"/>
  <c r="AB82" i="12"/>
  <c r="AB98" i="12"/>
  <c r="W115" i="12"/>
  <c r="W70" i="12"/>
  <c r="R84" i="12"/>
  <c r="W86" i="12"/>
  <c r="R92" i="12"/>
  <c r="W94" i="12"/>
  <c r="R115" i="12"/>
  <c r="W116" i="12"/>
  <c r="I201" i="14" s="1"/>
  <c r="AB117" i="12"/>
  <c r="R163" i="12"/>
  <c r="W132" i="12"/>
  <c r="I183" i="14" s="1"/>
  <c r="AB133" i="12"/>
  <c r="R147" i="12"/>
  <c r="W148" i="12"/>
  <c r="I166" i="14" s="1"/>
  <c r="AB149" i="12"/>
  <c r="W189" i="12"/>
  <c r="I121" i="14" s="1"/>
  <c r="R208" i="12"/>
  <c r="AP89" i="12"/>
  <c r="R93" i="12"/>
  <c r="R131" i="12"/>
  <c r="AB110" i="12"/>
  <c r="R113" i="12"/>
  <c r="R161" i="12"/>
  <c r="R170" i="12"/>
  <c r="AB174" i="12"/>
  <c r="R188" i="12"/>
  <c r="AB188" i="12"/>
  <c r="AP66" i="12"/>
  <c r="AB70" i="12"/>
  <c r="AP74" i="12"/>
  <c r="AB78" i="12"/>
  <c r="AP82" i="12"/>
  <c r="AB86" i="12"/>
  <c r="AP90" i="12"/>
  <c r="AB94" i="12"/>
  <c r="AP98" i="12"/>
  <c r="W130" i="12"/>
  <c r="I186" i="14" s="1"/>
  <c r="I185" i="14" s="1"/>
  <c r="AB135" i="12"/>
  <c r="R145" i="12"/>
  <c r="AB151" i="12"/>
  <c r="AB158" i="12"/>
  <c r="R175" i="12"/>
  <c r="W109" i="12"/>
  <c r="W118" i="12"/>
  <c r="I199" i="14" s="1"/>
  <c r="AB119" i="12"/>
  <c r="AB126" i="12"/>
  <c r="R129" i="12"/>
  <c r="W180" i="12"/>
  <c r="I131" i="14" s="1"/>
  <c r="AB181" i="12"/>
  <c r="AB210" i="12"/>
  <c r="W126" i="12"/>
  <c r="I190" i="14" s="1"/>
  <c r="W142" i="12"/>
  <c r="I172" i="14" s="1"/>
  <c r="W158" i="12"/>
  <c r="I155" i="14" s="1"/>
  <c r="W174" i="12"/>
  <c r="I138" i="14" s="1"/>
  <c r="W190" i="12"/>
  <c r="I120" i="14" s="1"/>
  <c r="R197" i="12"/>
  <c r="W198" i="12"/>
  <c r="I111" i="14" s="1"/>
  <c r="AB203" i="12"/>
  <c r="R206" i="12"/>
  <c r="R234" i="12"/>
  <c r="R240" i="12"/>
  <c r="AB242" i="12"/>
  <c r="W250" i="12"/>
  <c r="I55" i="14" s="1"/>
  <c r="W251" i="12"/>
  <c r="I54" i="14" s="1"/>
  <c r="I53" i="14" s="1"/>
  <c r="AB265" i="12"/>
  <c r="E21" i="1" s="1"/>
  <c r="Q149" i="13"/>
  <c r="J145" i="14" s="1"/>
  <c r="W124" i="12"/>
  <c r="I192" i="14" s="1"/>
  <c r="W140" i="12"/>
  <c r="I175" i="14" s="1"/>
  <c r="W156" i="12"/>
  <c r="I157" i="14" s="1"/>
  <c r="W172" i="12"/>
  <c r="I140" i="14" s="1"/>
  <c r="W188" i="12"/>
  <c r="I122" i="14" s="1"/>
  <c r="AB212" i="12"/>
  <c r="W223" i="12"/>
  <c r="I84" i="14" s="1"/>
  <c r="R249" i="12"/>
  <c r="W261" i="12"/>
  <c r="I43" i="14" s="1"/>
  <c r="W205" i="12"/>
  <c r="I104" i="14" s="1"/>
  <c r="W211" i="12"/>
  <c r="I97" i="14" s="1"/>
  <c r="R250" i="12"/>
  <c r="W120" i="12"/>
  <c r="I196" i="14" s="1"/>
  <c r="W136" i="12"/>
  <c r="I179" i="14" s="1"/>
  <c r="W152" i="12"/>
  <c r="I162" i="14" s="1"/>
  <c r="I161" i="14" s="1"/>
  <c r="W184" i="12"/>
  <c r="I127" i="14" s="1"/>
  <c r="AB235" i="12"/>
  <c r="R238" i="12"/>
  <c r="O42" i="13"/>
  <c r="Q42" i="13" s="1"/>
  <c r="J38" i="14" s="1"/>
  <c r="W134" i="12"/>
  <c r="I181" i="14" s="1"/>
  <c r="W150" i="12"/>
  <c r="I164" i="14" s="1"/>
  <c r="W182" i="12"/>
  <c r="I129" i="14" s="1"/>
  <c r="R193" i="12"/>
  <c r="R201" i="12"/>
  <c r="AB201" i="12"/>
  <c r="W227" i="12"/>
  <c r="I80" i="14" s="1"/>
  <c r="AB244" i="12"/>
  <c r="O41" i="13"/>
  <c r="Q41" i="13" s="1"/>
  <c r="J37" i="14" s="1"/>
  <c r="W213" i="12"/>
  <c r="I95" i="14" s="1"/>
  <c r="W229" i="12"/>
  <c r="I78" i="14" s="1"/>
  <c r="I77" i="14" s="1"/>
  <c r="W263" i="12"/>
  <c r="I40" i="14" s="1"/>
  <c r="AB264" i="12"/>
  <c r="E20" i="1" s="1"/>
  <c r="O47" i="13"/>
  <c r="Q47" i="13" s="1"/>
  <c r="J43" i="14" s="1"/>
  <c r="O55" i="13"/>
  <c r="Q55" i="13" s="1"/>
  <c r="J51" i="14" s="1"/>
  <c r="O71" i="13"/>
  <c r="Q71" i="13" s="1"/>
  <c r="J67" i="14" s="1"/>
  <c r="O79" i="13"/>
  <c r="Q79" i="13" s="1"/>
  <c r="J75" i="14" s="1"/>
  <c r="O87" i="13"/>
  <c r="Q87" i="13" s="1"/>
  <c r="J83" i="14" s="1"/>
  <c r="Q100" i="13"/>
  <c r="J96" i="14" s="1"/>
  <c r="Q115" i="13"/>
  <c r="J111" i="14" s="1"/>
  <c r="O128" i="13"/>
  <c r="Q128" i="13" s="1"/>
  <c r="J124" i="14" s="1"/>
  <c r="Q165" i="13"/>
  <c r="J161" i="14" s="1"/>
  <c r="Q99" i="13"/>
  <c r="J95" i="14" s="1"/>
  <c r="Q139" i="13"/>
  <c r="J135" i="14" s="1"/>
  <c r="Q43" i="13"/>
  <c r="J39" i="14" s="1"/>
  <c r="O49" i="13"/>
  <c r="Q49" i="13" s="1"/>
  <c r="J45" i="14" s="1"/>
  <c r="Q51" i="13"/>
  <c r="J47" i="14" s="1"/>
  <c r="O57" i="13"/>
  <c r="Q57" i="13" s="1"/>
  <c r="J53" i="14" s="1"/>
  <c r="Q59" i="13"/>
  <c r="J55" i="14" s="1"/>
  <c r="O73" i="13"/>
  <c r="Q73" i="13" s="1"/>
  <c r="J69" i="14" s="1"/>
  <c r="O81" i="13"/>
  <c r="Q81" i="13" s="1"/>
  <c r="J77" i="14" s="1"/>
  <c r="O89" i="13"/>
  <c r="Q89" i="13" s="1"/>
  <c r="J85" i="14" s="1"/>
  <c r="Q121" i="13"/>
  <c r="J117" i="14" s="1"/>
  <c r="O130" i="13"/>
  <c r="Q130" i="13" s="1"/>
  <c r="J126" i="14" s="1"/>
  <c r="O137" i="13"/>
  <c r="Q137" i="13" s="1"/>
  <c r="J133" i="14" s="1"/>
  <c r="Q173" i="13"/>
  <c r="J169" i="14" s="1"/>
  <c r="W203" i="12"/>
  <c r="I106" i="14" s="1"/>
  <c r="W235" i="12"/>
  <c r="I71" i="14" s="1"/>
  <c r="Q105" i="13"/>
  <c r="J101" i="14" s="1"/>
  <c r="O129" i="13"/>
  <c r="Q129" i="13" s="1"/>
  <c r="J125" i="14" s="1"/>
  <c r="Q145" i="13"/>
  <c r="J141" i="14" s="1"/>
  <c r="W201" i="12"/>
  <c r="I108" i="14" s="1"/>
  <c r="W217" i="12"/>
  <c r="I91" i="14" s="1"/>
  <c r="W233" i="12"/>
  <c r="I73" i="14" s="1"/>
  <c r="W249" i="12"/>
  <c r="I56" i="14" s="1"/>
  <c r="AB250" i="12"/>
  <c r="W257" i="12"/>
  <c r="I47" i="14" s="1"/>
  <c r="W265" i="12"/>
  <c r="I38" i="14" s="1"/>
  <c r="O48" i="13"/>
  <c r="Q48" i="13" s="1"/>
  <c r="J44" i="14" s="1"/>
  <c r="O56" i="13"/>
  <c r="Q56" i="13" s="1"/>
  <c r="J52" i="14" s="1"/>
  <c r="O72" i="13"/>
  <c r="Q72" i="13" s="1"/>
  <c r="J68" i="14" s="1"/>
  <c r="O80" i="13"/>
  <c r="Q80" i="13" s="1"/>
  <c r="J76" i="14" s="1"/>
  <c r="O88" i="13"/>
  <c r="Q88" i="13" s="1"/>
  <c r="J84" i="14" s="1"/>
  <c r="Q97" i="13"/>
  <c r="J93" i="14" s="1"/>
  <c r="Q116" i="13"/>
  <c r="J112" i="14" s="1"/>
  <c r="O136" i="13"/>
  <c r="Q136" i="13" s="1"/>
  <c r="J132" i="14" s="1"/>
  <c r="Q213" i="13"/>
  <c r="Q229" i="13"/>
  <c r="Q237" i="13"/>
  <c r="Q155" i="13"/>
  <c r="J151" i="14" s="1"/>
  <c r="O201" i="13"/>
  <c r="Q201" i="13" s="1"/>
  <c r="J197" i="14" s="1"/>
  <c r="Q160" i="13"/>
  <c r="J156" i="14" s="1"/>
  <c r="O209" i="13"/>
  <c r="Q209" i="13" s="1"/>
  <c r="O161" i="13"/>
  <c r="Q161" i="13" s="1"/>
  <c r="J157" i="14" s="1"/>
  <c r="Q177" i="13"/>
  <c r="J173" i="14" s="1"/>
  <c r="Q185" i="13"/>
  <c r="J181" i="14" s="1"/>
  <c r="O217" i="13"/>
  <c r="Q217" i="13" s="1"/>
  <c r="Q219" i="13"/>
  <c r="O248" i="13"/>
  <c r="Q248" i="13" s="1"/>
  <c r="Q181" i="13"/>
  <c r="J177" i="14" s="1"/>
  <c r="Q193" i="13"/>
  <c r="J189" i="14" s="1"/>
  <c r="O169" i="13"/>
  <c r="Q169" i="13" s="1"/>
  <c r="J165" i="14" s="1"/>
  <c r="O174" i="13"/>
  <c r="Q174" i="13" s="1"/>
  <c r="J170" i="14" s="1"/>
  <c r="O199" i="13"/>
  <c r="Q199" i="13" s="1"/>
  <c r="J195" i="14" s="1"/>
  <c r="O240" i="13"/>
  <c r="Q240" i="13" s="1"/>
  <c r="O247" i="13"/>
  <c r="Q247" i="13" s="1"/>
  <c r="O251" i="13"/>
  <c r="Q251" i="13" s="1"/>
  <c r="O257" i="13"/>
  <c r="Q257" i="13" s="1"/>
  <c r="O264" i="13"/>
  <c r="Q264" i="13" s="1"/>
  <c r="O274" i="13"/>
  <c r="Q274" i="13" s="1"/>
  <c r="O278" i="13"/>
  <c r="Q278" i="13" s="1"/>
  <c r="Q280" i="13"/>
  <c r="O282" i="13"/>
  <c r="Q282" i="13" s="1"/>
  <c r="Q284" i="13"/>
  <c r="O286" i="13"/>
  <c r="Q286" i="13" s="1"/>
  <c r="Q288" i="13"/>
  <c r="O290" i="13"/>
  <c r="Q290" i="13" s="1"/>
  <c r="O294" i="13"/>
  <c r="Q294" i="13" s="1"/>
  <c r="O298" i="13"/>
  <c r="Q298" i="13" s="1"/>
  <c r="O302" i="13"/>
  <c r="Q302" i="13" s="1"/>
  <c r="O306" i="13"/>
  <c r="Q306" i="13" s="1"/>
  <c r="Q308" i="13"/>
  <c r="O310" i="13"/>
  <c r="Q310" i="13" s="1"/>
  <c r="Q312" i="13"/>
  <c r="O314" i="13"/>
  <c r="Q314" i="13" s="1"/>
  <c r="Q316" i="13"/>
  <c r="O318" i="13"/>
  <c r="Q318" i="13" s="1"/>
  <c r="O322" i="13"/>
  <c r="Q322" i="13" s="1"/>
  <c r="Q324" i="13"/>
  <c r="O326" i="13"/>
  <c r="Q326" i="13" s="1"/>
  <c r="Q328" i="13"/>
  <c r="O207" i="13"/>
  <c r="Q207" i="13" s="1"/>
  <c r="D48" i="2"/>
  <c r="C48" i="2" s="1"/>
  <c r="D55" i="2"/>
  <c r="C55" i="2" s="1"/>
  <c r="F54" i="2"/>
  <c r="E54" i="2" s="1"/>
  <c r="F94" i="2"/>
  <c r="E94" i="2" s="1"/>
  <c r="D133" i="2"/>
  <c r="C133" i="2" s="1"/>
  <c r="F145" i="2"/>
  <c r="E145" i="2" s="1"/>
  <c r="F190" i="2"/>
  <c r="E190" i="2" s="1"/>
  <c r="D191" i="2"/>
  <c r="C191" i="2" s="1"/>
  <c r="D247" i="2"/>
  <c r="C247" i="2" s="1"/>
  <c r="F246" i="2"/>
  <c r="E246" i="2" s="1"/>
  <c r="F265" i="2"/>
  <c r="E265" i="2" s="1"/>
  <c r="D266" i="2"/>
  <c r="C266" i="2" s="1"/>
  <c r="D277" i="2"/>
  <c r="C277" i="2" s="1"/>
  <c r="F276" i="2"/>
  <c r="E276" i="2" s="1"/>
  <c r="D248" i="2"/>
  <c r="C248" i="2" s="1"/>
  <c r="F247" i="2"/>
  <c r="E247" i="2" s="1"/>
  <c r="F24" i="2"/>
  <c r="E24" i="2" s="1"/>
  <c r="D26" i="2"/>
  <c r="C26" i="2" s="1"/>
  <c r="D28" i="2"/>
  <c r="C28" i="2" s="1"/>
  <c r="D29" i="2"/>
  <c r="C29" i="2" s="1"/>
  <c r="F36" i="2"/>
  <c r="E36" i="2" s="1"/>
  <c r="D71" i="2"/>
  <c r="C71" i="2" s="1"/>
  <c r="F70" i="2"/>
  <c r="E70" i="2" s="1"/>
  <c r="F117" i="2"/>
  <c r="E117" i="2" s="1"/>
  <c r="D160" i="2"/>
  <c r="C160" i="2" s="1"/>
  <c r="F159" i="2"/>
  <c r="E159" i="2" s="1"/>
  <c r="F199" i="2"/>
  <c r="E199" i="2" s="1"/>
  <c r="D200" i="2"/>
  <c r="C200" i="2" s="1"/>
  <c r="F232" i="2"/>
  <c r="E232" i="2" s="1"/>
  <c r="D233" i="2"/>
  <c r="C233" i="2" s="1"/>
  <c r="F261" i="2"/>
  <c r="E261" i="2" s="1"/>
  <c r="D262" i="2"/>
  <c r="C262" i="2" s="1"/>
  <c r="F273" i="2"/>
  <c r="E273" i="2" s="1"/>
  <c r="D274" i="2"/>
  <c r="C274" i="2" s="1"/>
  <c r="D288" i="2"/>
  <c r="C288" i="2" s="1"/>
  <c r="D287" i="2"/>
  <c r="C287" i="2" s="1"/>
  <c r="D103" i="2"/>
  <c r="F102" i="2"/>
  <c r="F37" i="2"/>
  <c r="E37" i="2" s="1"/>
  <c r="D39" i="2"/>
  <c r="C39" i="2" s="1"/>
  <c r="F25" i="2"/>
  <c r="E25" i="2" s="1"/>
  <c r="F38" i="2"/>
  <c r="E38" i="2" s="1"/>
  <c r="D86" i="2"/>
  <c r="C86" i="2" s="1"/>
  <c r="D119" i="2"/>
  <c r="C119" i="2" s="1"/>
  <c r="F118" i="2"/>
  <c r="E118" i="2" s="1"/>
  <c r="D128" i="2"/>
  <c r="C128" i="2" s="1"/>
  <c r="F128" i="2"/>
  <c r="E128" i="2" s="1"/>
  <c r="D159" i="2"/>
  <c r="C159" i="2" s="1"/>
  <c r="D206" i="2"/>
  <c r="C206" i="2" s="1"/>
  <c r="F205" i="2"/>
  <c r="E205" i="2" s="1"/>
  <c r="D232" i="2"/>
  <c r="C232" i="2" s="1"/>
  <c r="D263" i="2"/>
  <c r="C263" i="2" s="1"/>
  <c r="F262" i="2"/>
  <c r="E262" i="2" s="1"/>
  <c r="F69" i="2"/>
  <c r="E69" i="2" s="1"/>
  <c r="F31" i="2"/>
  <c r="E31" i="2" s="1"/>
  <c r="F78" i="2"/>
  <c r="E78" i="2" s="1"/>
  <c r="F85" i="2"/>
  <c r="E85" i="2" s="1"/>
  <c r="D107" i="2"/>
  <c r="C107" i="2" s="1"/>
  <c r="F149" i="2"/>
  <c r="F160" i="2"/>
  <c r="D173" i="2"/>
  <c r="C173" i="2" s="1"/>
  <c r="F172" i="2"/>
  <c r="E172" i="2" s="1"/>
  <c r="D193" i="2"/>
  <c r="C193" i="2" s="1"/>
  <c r="F284" i="2"/>
  <c r="E284" i="2" s="1"/>
  <c r="D272" i="2"/>
  <c r="C272" i="2" s="1"/>
  <c r="D33" i="2"/>
  <c r="C33" i="2" s="1"/>
  <c r="F32" i="2"/>
  <c r="E32" i="2" s="1"/>
  <c r="D54" i="2"/>
  <c r="C54" i="2" s="1"/>
  <c r="D87" i="2"/>
  <c r="C87" i="2" s="1"/>
  <c r="F86" i="2"/>
  <c r="E86" i="2" s="1"/>
  <c r="F119" i="2"/>
  <c r="E119" i="2" s="1"/>
  <c r="D121" i="2"/>
  <c r="C121" i="2" s="1"/>
  <c r="D144" i="2"/>
  <c r="C144" i="2" s="1"/>
  <c r="D143" i="2"/>
  <c r="C143" i="2" s="1"/>
  <c r="F143" i="2"/>
  <c r="E143" i="2" s="1"/>
  <c r="D174" i="2"/>
  <c r="C174" i="2" s="1"/>
  <c r="F173" i="2"/>
  <c r="E173" i="2" s="1"/>
  <c r="D195" i="2"/>
  <c r="C195" i="2" s="1"/>
  <c r="F194" i="2"/>
  <c r="E194" i="2" s="1"/>
  <c r="D271" i="2"/>
  <c r="C271" i="2" s="1"/>
  <c r="D270" i="2"/>
  <c r="C270" i="2" s="1"/>
  <c r="F270" i="2"/>
  <c r="E270" i="2" s="1"/>
  <c r="F278" i="2"/>
  <c r="E278" i="2" s="1"/>
  <c r="D146" i="2"/>
  <c r="C146" i="2" s="1"/>
  <c r="D18" i="2"/>
  <c r="C18" i="2" s="1"/>
  <c r="F46" i="2"/>
  <c r="E46" i="2" s="1"/>
  <c r="F53" i="2"/>
  <c r="E53" i="2" s="1"/>
  <c r="D75" i="2"/>
  <c r="C75" i="2" s="1"/>
  <c r="D102" i="2"/>
  <c r="C102" i="2" s="1"/>
  <c r="F144" i="2"/>
  <c r="E144" i="2" s="1"/>
  <c r="D221" i="2"/>
  <c r="C221" i="2" s="1"/>
  <c r="F220" i="2"/>
  <c r="E220" i="2" s="1"/>
  <c r="D253" i="2"/>
  <c r="C253" i="2" s="1"/>
  <c r="F252" i="2"/>
  <c r="E252" i="2" s="1"/>
  <c r="I41" i="14"/>
  <c r="F26" i="2"/>
  <c r="E26" i="2" s="1"/>
  <c r="D66" i="2"/>
  <c r="C66" i="2" s="1"/>
  <c r="F125" i="2"/>
  <c r="E125" i="2" s="1"/>
  <c r="D149" i="2"/>
  <c r="C149" i="2" s="1"/>
  <c r="F164" i="2"/>
  <c r="E164" i="2" s="1"/>
  <c r="F177" i="2"/>
  <c r="E177" i="2" s="1"/>
  <c r="D201" i="2"/>
  <c r="C201" i="2" s="1"/>
  <c r="F206" i="2"/>
  <c r="E206" i="2" s="1"/>
  <c r="D254" i="2"/>
  <c r="C254" i="2" s="1"/>
  <c r="F279" i="2"/>
  <c r="E279" i="2" s="1"/>
  <c r="D181" i="2"/>
  <c r="C181" i="2" s="1"/>
  <c r="F180" i="2"/>
  <c r="E180" i="2" s="1"/>
  <c r="F256" i="2"/>
  <c r="E256" i="2" s="1"/>
  <c r="F33" i="2"/>
  <c r="E33" i="2" s="1"/>
  <c r="D40" i="2"/>
  <c r="C40" i="2" s="1"/>
  <c r="D46" i="2"/>
  <c r="D62" i="2"/>
  <c r="C62" i="2" s="1"/>
  <c r="D78" i="2"/>
  <c r="D94" i="2"/>
  <c r="C94" i="2" s="1"/>
  <c r="D110" i="2"/>
  <c r="C110" i="2" s="1"/>
  <c r="F148" i="2"/>
  <c r="E148" i="2" s="1"/>
  <c r="D152" i="2"/>
  <c r="C152" i="2" s="1"/>
  <c r="F174" i="2"/>
  <c r="E174" i="2" s="1"/>
  <c r="D189" i="2"/>
  <c r="C189" i="2" s="1"/>
  <c r="F188" i="2"/>
  <c r="E188" i="2" s="1"/>
  <c r="F191" i="2"/>
  <c r="E191" i="2" s="1"/>
  <c r="F221" i="2"/>
  <c r="E221" i="2" s="1"/>
  <c r="F253" i="2"/>
  <c r="E253" i="2" s="1"/>
  <c r="F280" i="2"/>
  <c r="E280" i="2" s="1"/>
  <c r="D216" i="2"/>
  <c r="C216" i="2" s="1"/>
  <c r="D269" i="2"/>
  <c r="C269" i="2" s="1"/>
  <c r="F268" i="2"/>
  <c r="E268" i="2" s="1"/>
  <c r="F294" i="2"/>
  <c r="E294" i="2" s="1"/>
  <c r="D295" i="2"/>
  <c r="C295" i="2" s="1"/>
  <c r="D136" i="2"/>
  <c r="C136" i="2" s="1"/>
  <c r="F30" i="2"/>
  <c r="E30" i="2" s="1"/>
  <c r="D47" i="2"/>
  <c r="C47" i="2" s="1"/>
  <c r="D53" i="2"/>
  <c r="D63" i="2"/>
  <c r="C63" i="2" s="1"/>
  <c r="D69" i="2"/>
  <c r="C69" i="2" s="1"/>
  <c r="D79" i="2"/>
  <c r="C79" i="2" s="1"/>
  <c r="D85" i="2"/>
  <c r="C85" i="2" s="1"/>
  <c r="D95" i="2"/>
  <c r="C95" i="2" s="1"/>
  <c r="D101" i="2"/>
  <c r="C101" i="2" s="1"/>
  <c r="D111" i="2"/>
  <c r="C111" i="2" s="1"/>
  <c r="D117" i="2"/>
  <c r="C117" i="2" s="1"/>
  <c r="D122" i="2"/>
  <c r="C122" i="2" s="1"/>
  <c r="F136" i="2"/>
  <c r="E136" i="2" s="1"/>
  <c r="F152" i="2"/>
  <c r="E152" i="2" s="1"/>
  <c r="D184" i="2"/>
  <c r="C184" i="2" s="1"/>
  <c r="D207" i="2"/>
  <c r="C207" i="2" s="1"/>
  <c r="F213" i="2"/>
  <c r="E213" i="2" s="1"/>
  <c r="F231" i="2"/>
  <c r="E231" i="2" s="1"/>
  <c r="D256" i="2"/>
  <c r="C256" i="2" s="1"/>
  <c r="F269" i="2"/>
  <c r="E269" i="2" s="1"/>
  <c r="D294" i="2"/>
  <c r="C294" i="2" s="1"/>
  <c r="F275" i="2"/>
  <c r="E275" i="2" s="1"/>
  <c r="F281" i="2"/>
  <c r="E281" i="2" s="1"/>
  <c r="F287" i="2"/>
  <c r="E287" i="2" s="1"/>
  <c r="V18" i="9"/>
  <c r="X18" i="9" s="1"/>
  <c r="V44" i="9"/>
  <c r="X44" i="9" s="1"/>
  <c r="V45" i="9"/>
  <c r="X45" i="9" s="1"/>
  <c r="V46" i="9"/>
  <c r="X46" i="9" s="1"/>
  <c r="V63" i="9"/>
  <c r="X63" i="9" s="1"/>
  <c r="V65" i="9"/>
  <c r="X65" i="9" s="1"/>
  <c r="V66" i="9"/>
  <c r="X66" i="9" s="1"/>
  <c r="V82" i="9"/>
  <c r="X82" i="9" s="1"/>
  <c r="V83" i="9"/>
  <c r="X83" i="9" s="1"/>
  <c r="V74" i="9"/>
  <c r="X74" i="9" s="1"/>
  <c r="V86" i="9"/>
  <c r="X86" i="9" s="1"/>
  <c r="V102" i="9"/>
  <c r="X102" i="9" s="1"/>
  <c r="V103" i="9"/>
  <c r="X103" i="9" s="1"/>
  <c r="V94" i="9"/>
  <c r="X94" i="9" s="1"/>
  <c r="V106" i="9"/>
  <c r="X106" i="9" s="1"/>
  <c r="V119" i="9"/>
  <c r="X119" i="9" s="1"/>
  <c r="V132" i="9"/>
  <c r="X132" i="9" s="1"/>
  <c r="V134" i="9"/>
  <c r="X134" i="9" s="1"/>
  <c r="V135" i="9"/>
  <c r="X135" i="9" s="1"/>
  <c r="I113" i="14"/>
  <c r="V40" i="9"/>
  <c r="X40" i="9" s="1"/>
  <c r="V41" i="9"/>
  <c r="X41" i="9" s="1"/>
  <c r="V43" i="9"/>
  <c r="X43" i="9" s="1"/>
  <c r="V60" i="9"/>
  <c r="X60" i="9" s="1"/>
  <c r="V61" i="9"/>
  <c r="X61" i="9" s="1"/>
  <c r="V64" i="9"/>
  <c r="X64" i="9" s="1"/>
  <c r="V80" i="9"/>
  <c r="X80" i="9" s="1"/>
  <c r="V81" i="9"/>
  <c r="X81" i="9" s="1"/>
  <c r="V100" i="9"/>
  <c r="X100" i="9" s="1"/>
  <c r="V101" i="9"/>
  <c r="X101" i="9" s="1"/>
  <c r="V118" i="9"/>
  <c r="X118" i="9" s="1"/>
  <c r="V131" i="9"/>
  <c r="X131" i="9" s="1"/>
  <c r="V163" i="9"/>
  <c r="X163" i="9" s="1"/>
  <c r="V38" i="9"/>
  <c r="X38" i="9" s="1"/>
  <c r="V37" i="9"/>
  <c r="X37" i="9" s="1"/>
  <c r="V39" i="9"/>
  <c r="X39" i="9" s="1"/>
  <c r="V30" i="9"/>
  <c r="X30" i="9" s="1"/>
  <c r="V58" i="9"/>
  <c r="X58" i="9" s="1"/>
  <c r="V59" i="9"/>
  <c r="X59" i="9" s="1"/>
  <c r="V79" i="9"/>
  <c r="X79" i="9" s="1"/>
  <c r="V99" i="9"/>
  <c r="X99" i="9" s="1"/>
  <c r="V116" i="9"/>
  <c r="X116" i="9" s="1"/>
  <c r="V117" i="9"/>
  <c r="X117" i="9" s="1"/>
  <c r="V128" i="9"/>
  <c r="X128" i="9" s="1"/>
  <c r="V129" i="9"/>
  <c r="X129" i="9" s="1"/>
  <c r="V36" i="9"/>
  <c r="X36" i="9" s="1"/>
  <c r="V57" i="9"/>
  <c r="X57" i="9" s="1"/>
  <c r="V76" i="9"/>
  <c r="X76" i="9" s="1"/>
  <c r="V78" i="9"/>
  <c r="X78" i="9" s="1"/>
  <c r="V95" i="9"/>
  <c r="X95" i="9" s="1"/>
  <c r="V97" i="9"/>
  <c r="X97" i="9" s="1"/>
  <c r="V98" i="9"/>
  <c r="X98" i="9" s="1"/>
  <c r="V114" i="9"/>
  <c r="X114" i="9" s="1"/>
  <c r="V126" i="9"/>
  <c r="X126" i="9" s="1"/>
  <c r="V148" i="9"/>
  <c r="X148" i="9" s="1"/>
  <c r="V153" i="9"/>
  <c r="X153" i="9" s="1"/>
  <c r="V169" i="9"/>
  <c r="X169" i="9" s="1"/>
  <c r="D168" i="2"/>
  <c r="C168" i="2" s="1"/>
  <c r="D205" i="2"/>
  <c r="C205" i="2" s="1"/>
  <c r="D213" i="2"/>
  <c r="C213" i="2" s="1"/>
  <c r="D245" i="2"/>
  <c r="C245" i="2" s="1"/>
  <c r="V35" i="9"/>
  <c r="X35" i="9" s="1"/>
  <c r="V53" i="9"/>
  <c r="X53" i="9" s="1"/>
  <c r="V55" i="9"/>
  <c r="X55" i="9" s="1"/>
  <c r="V72" i="9"/>
  <c r="X72" i="9" s="1"/>
  <c r="V73" i="9"/>
  <c r="X73" i="9" s="1"/>
  <c r="V75" i="9"/>
  <c r="X75" i="9" s="1"/>
  <c r="V92" i="9"/>
  <c r="X92" i="9" s="1"/>
  <c r="V93" i="9"/>
  <c r="X93" i="9" s="1"/>
  <c r="V84" i="9"/>
  <c r="X84" i="9" s="1"/>
  <c r="V96" i="9"/>
  <c r="X96" i="9" s="1"/>
  <c r="V112" i="9"/>
  <c r="X112" i="9" s="1"/>
  <c r="V113" i="9"/>
  <c r="X113" i="9" s="1"/>
  <c r="V125" i="9"/>
  <c r="X125" i="9" s="1"/>
  <c r="V33" i="9"/>
  <c r="X33" i="9" s="1"/>
  <c r="V34" i="9"/>
  <c r="X34" i="9" s="1"/>
  <c r="V51" i="9"/>
  <c r="X51" i="9" s="1"/>
  <c r="V42" i="9"/>
  <c r="X42" i="9" s="1"/>
  <c r="V54" i="9"/>
  <c r="X54" i="9" s="1"/>
  <c r="V70" i="9"/>
  <c r="X70" i="9" s="1"/>
  <c r="V69" i="9"/>
  <c r="X69" i="9" s="1"/>
  <c r="V71" i="9"/>
  <c r="X71" i="9" s="1"/>
  <c r="V91" i="9"/>
  <c r="X91" i="9" s="1"/>
  <c r="V111" i="9"/>
  <c r="X111" i="9" s="1"/>
  <c r="V138" i="9"/>
  <c r="X138" i="9" s="1"/>
  <c r="V28" i="9"/>
  <c r="X28" i="9" s="1"/>
  <c r="V29" i="9"/>
  <c r="X29" i="9" s="1"/>
  <c r="X19" i="9"/>
  <c r="V20" i="9"/>
  <c r="X20" i="9" s="1"/>
  <c r="V32" i="9"/>
  <c r="X32" i="9" s="1"/>
  <c r="V48" i="9"/>
  <c r="X48" i="9" s="1"/>
  <c r="V49" i="9"/>
  <c r="X49" i="9" s="1"/>
  <c r="V68" i="9"/>
  <c r="X68" i="9" s="1"/>
  <c r="V89" i="9"/>
  <c r="X89" i="9" s="1"/>
  <c r="V108" i="9"/>
  <c r="X108" i="9" s="1"/>
  <c r="V110" i="9"/>
  <c r="X110" i="9" s="1"/>
  <c r="V121" i="9"/>
  <c r="X121" i="9" s="1"/>
  <c r="V122" i="9"/>
  <c r="X122" i="9" s="1"/>
  <c r="V123" i="9"/>
  <c r="X123" i="9" s="1"/>
  <c r="V142" i="9"/>
  <c r="X142" i="9" s="1"/>
  <c r="V156" i="9"/>
  <c r="X156" i="9" s="1"/>
  <c r="V171" i="9"/>
  <c r="X171" i="9" s="1"/>
  <c r="V190" i="9"/>
  <c r="X190" i="9" s="1"/>
  <c r="V192" i="9"/>
  <c r="X192" i="9" s="1"/>
  <c r="V193" i="9"/>
  <c r="X193" i="9" s="1"/>
  <c r="V56" i="9"/>
  <c r="X56" i="9" s="1"/>
  <c r="V88" i="9"/>
  <c r="X88" i="9" s="1"/>
  <c r="V143" i="9"/>
  <c r="X143" i="9" s="1"/>
  <c r="V159" i="9"/>
  <c r="X159" i="9" s="1"/>
  <c r="V165" i="9"/>
  <c r="X165" i="9" s="1"/>
  <c r="V168" i="9"/>
  <c r="X168" i="9" s="1"/>
  <c r="V170" i="9"/>
  <c r="X170" i="9" s="1"/>
  <c r="V77" i="9"/>
  <c r="X77" i="9" s="1"/>
  <c r="V133" i="9"/>
  <c r="X133" i="9" s="1"/>
  <c r="V162" i="9"/>
  <c r="X162" i="9" s="1"/>
  <c r="V164" i="9"/>
  <c r="X164" i="9" s="1"/>
  <c r="V166" i="9"/>
  <c r="X166" i="9" s="1"/>
  <c r="V167" i="9"/>
  <c r="X167" i="9" s="1"/>
  <c r="V187" i="9"/>
  <c r="X187" i="9" s="1"/>
  <c r="V146" i="9"/>
  <c r="X146" i="9" s="1"/>
  <c r="V161" i="9"/>
  <c r="X161" i="9" s="1"/>
  <c r="V191" i="9"/>
  <c r="X191" i="9" s="1"/>
  <c r="V24" i="9"/>
  <c r="X24" i="9" s="1"/>
  <c r="V109" i="9"/>
  <c r="X109" i="9" s="1"/>
  <c r="V127" i="9"/>
  <c r="X127" i="9" s="1"/>
  <c r="V139" i="9"/>
  <c r="X139" i="9" s="1"/>
  <c r="V147" i="9"/>
  <c r="X147" i="9" s="1"/>
  <c r="X16" i="9"/>
  <c r="X17" i="9"/>
  <c r="V140" i="9"/>
  <c r="X140" i="9" s="1"/>
  <c r="V152" i="9"/>
  <c r="X152" i="9" s="1"/>
  <c r="V177" i="9"/>
  <c r="X177" i="9" s="1"/>
  <c r="V178" i="9"/>
  <c r="X178" i="9" s="1"/>
  <c r="V179" i="9"/>
  <c r="X179" i="9" s="1"/>
  <c r="V181" i="9"/>
  <c r="X181" i="9" s="1"/>
  <c r="V194" i="9"/>
  <c r="X194" i="9" s="1"/>
  <c r="V195" i="9"/>
  <c r="X195" i="9" s="1"/>
  <c r="X50" i="9"/>
  <c r="V115" i="9"/>
  <c r="X115" i="9" s="1"/>
  <c r="V137" i="9"/>
  <c r="X137" i="9" s="1"/>
  <c r="V175" i="9"/>
  <c r="X175" i="9" s="1"/>
  <c r="V189" i="9"/>
  <c r="X189" i="9" s="1"/>
  <c r="V200" i="9"/>
  <c r="X200" i="9" s="1"/>
  <c r="V227" i="9"/>
  <c r="X227" i="9" s="1"/>
  <c r="V229" i="9"/>
  <c r="X229" i="9" s="1"/>
  <c r="V251" i="9"/>
  <c r="X251" i="9" s="1"/>
  <c r="V253" i="9"/>
  <c r="X253" i="9" s="1"/>
  <c r="V262" i="9"/>
  <c r="X262" i="9" s="1"/>
  <c r="V264" i="9"/>
  <c r="X264" i="9" s="1"/>
  <c r="V266" i="9"/>
  <c r="X266" i="9" s="1"/>
  <c r="V220" i="9"/>
  <c r="X220" i="9" s="1"/>
  <c r="V244" i="9"/>
  <c r="X244" i="9" s="1"/>
  <c r="V246" i="9"/>
  <c r="X246" i="9" s="1"/>
  <c r="V257" i="9"/>
  <c r="X257" i="9" s="1"/>
  <c r="V184" i="9"/>
  <c r="X184" i="9" s="1"/>
  <c r="V204" i="9"/>
  <c r="X204" i="9" s="1"/>
  <c r="V213" i="9"/>
  <c r="X213" i="9" s="1"/>
  <c r="V215" i="9"/>
  <c r="X215" i="9" s="1"/>
  <c r="V222" i="9"/>
  <c r="X222" i="9" s="1"/>
  <c r="V224" i="9"/>
  <c r="X224" i="9" s="1"/>
  <c r="V235" i="9"/>
  <c r="X235" i="9" s="1"/>
  <c r="V259" i="9"/>
  <c r="X259" i="9" s="1"/>
  <c r="V268" i="9"/>
  <c r="X268" i="9" s="1"/>
  <c r="X270" i="9"/>
  <c r="V243" i="9"/>
  <c r="X243" i="9" s="1"/>
  <c r="V212" i="9"/>
  <c r="X212" i="9" s="1"/>
  <c r="V214" i="9"/>
  <c r="X214" i="9" s="1"/>
  <c r="V223" i="9"/>
  <c r="X223" i="9" s="1"/>
  <c r="D58" i="2"/>
  <c r="C58" i="2" s="1"/>
  <c r="F57" i="2"/>
  <c r="E57" i="2" s="1"/>
  <c r="D57" i="2"/>
  <c r="C57" i="2" s="1"/>
  <c r="D83" i="2"/>
  <c r="C83" i="2" s="1"/>
  <c r="F82" i="2"/>
  <c r="E82" i="2" s="1"/>
  <c r="D158" i="2"/>
  <c r="C158" i="2" s="1"/>
  <c r="F157" i="2"/>
  <c r="E157" i="2" s="1"/>
  <c r="D98" i="2"/>
  <c r="C98" i="2" s="1"/>
  <c r="D20" i="2"/>
  <c r="C20" i="2" s="1"/>
  <c r="D19" i="2"/>
  <c r="C19" i="2" s="1"/>
  <c r="D74" i="2"/>
  <c r="C74" i="2" s="1"/>
  <c r="F73" i="2"/>
  <c r="E73" i="2" s="1"/>
  <c r="D73" i="2"/>
  <c r="C73" i="2" s="1"/>
  <c r="D99" i="2"/>
  <c r="C99" i="2" s="1"/>
  <c r="F98" i="2"/>
  <c r="E98" i="2" s="1"/>
  <c r="D50" i="2"/>
  <c r="C50" i="2" s="1"/>
  <c r="D114" i="2"/>
  <c r="C114" i="2" s="1"/>
  <c r="D134" i="2"/>
  <c r="C134" i="2" s="1"/>
  <c r="F134" i="2"/>
  <c r="E134" i="2" s="1"/>
  <c r="D135" i="2"/>
  <c r="C135" i="2" s="1"/>
  <c r="F133" i="2"/>
  <c r="E133" i="2" s="1"/>
  <c r="D51" i="2"/>
  <c r="C51" i="2" s="1"/>
  <c r="F50" i="2"/>
  <c r="E50" i="2" s="1"/>
  <c r="D90" i="2"/>
  <c r="C90" i="2" s="1"/>
  <c r="F89" i="2"/>
  <c r="E89" i="2" s="1"/>
  <c r="D89" i="2"/>
  <c r="C89" i="2" s="1"/>
  <c r="D115" i="2"/>
  <c r="C115" i="2" s="1"/>
  <c r="F114" i="2"/>
  <c r="E114" i="2" s="1"/>
  <c r="F163" i="2"/>
  <c r="E163" i="2" s="1"/>
  <c r="D164" i="2"/>
  <c r="C164" i="2" s="1"/>
  <c r="D42" i="2"/>
  <c r="C42" i="2" s="1"/>
  <c r="F41" i="2"/>
  <c r="E41" i="2" s="1"/>
  <c r="D41" i="2"/>
  <c r="D67" i="2"/>
  <c r="C67" i="2" s="1"/>
  <c r="F66" i="2"/>
  <c r="E66" i="2" s="1"/>
  <c r="D106" i="2"/>
  <c r="C106" i="2" s="1"/>
  <c r="F105" i="2"/>
  <c r="E105" i="2" s="1"/>
  <c r="D105" i="2"/>
  <c r="C105" i="2" s="1"/>
  <c r="D197" i="2"/>
  <c r="C197" i="2" s="1"/>
  <c r="F196" i="2"/>
  <c r="E196" i="2" s="1"/>
  <c r="D22" i="2"/>
  <c r="F21" i="2"/>
  <c r="D36" i="2"/>
  <c r="C36" i="2" s="1"/>
  <c r="F35" i="2"/>
  <c r="E35" i="2" s="1"/>
  <c r="D35" i="2"/>
  <c r="C35" i="2" s="1"/>
  <c r="D82" i="2"/>
  <c r="C82" i="2" s="1"/>
  <c r="F130" i="2"/>
  <c r="E130" i="2" s="1"/>
  <c r="D131" i="2"/>
  <c r="C131" i="2" s="1"/>
  <c r="D130" i="2"/>
  <c r="D49" i="2"/>
  <c r="C49" i="2" s="1"/>
  <c r="F58" i="2"/>
  <c r="E58" i="2" s="1"/>
  <c r="D65" i="2"/>
  <c r="C65" i="2" s="1"/>
  <c r="F74" i="2"/>
  <c r="E74" i="2" s="1"/>
  <c r="D81" i="2"/>
  <c r="C81" i="2" s="1"/>
  <c r="F90" i="2"/>
  <c r="E90" i="2" s="1"/>
  <c r="D97" i="2"/>
  <c r="C97" i="2" s="1"/>
  <c r="F106" i="2"/>
  <c r="E106" i="2" s="1"/>
  <c r="D113" i="2"/>
  <c r="C113" i="2" s="1"/>
  <c r="F129" i="2"/>
  <c r="D157" i="2"/>
  <c r="C157" i="2" s="1"/>
  <c r="F162" i="2"/>
  <c r="E162" i="2" s="1"/>
  <c r="D163" i="2"/>
  <c r="C163" i="2" s="1"/>
  <c r="D166" i="2"/>
  <c r="C166" i="2" s="1"/>
  <c r="F166" i="2"/>
  <c r="E166" i="2" s="1"/>
  <c r="F185" i="2"/>
  <c r="E185" i="2" s="1"/>
  <c r="D186" i="2"/>
  <c r="C186" i="2" s="1"/>
  <c r="D185" i="2"/>
  <c r="C185" i="2" s="1"/>
  <c r="F219" i="2"/>
  <c r="E219" i="2" s="1"/>
  <c r="D220" i="2"/>
  <c r="C220" i="2" s="1"/>
  <c r="F229" i="2"/>
  <c r="E229" i="2" s="1"/>
  <c r="D231" i="2"/>
  <c r="C231" i="2" s="1"/>
  <c r="F230" i="2"/>
  <c r="E230" i="2" s="1"/>
  <c r="D230" i="2"/>
  <c r="C230" i="2" s="1"/>
  <c r="D25" i="2"/>
  <c r="C25" i="2" s="1"/>
  <c r="F28" i="2"/>
  <c r="E28" i="2" s="1"/>
  <c r="F34" i="2"/>
  <c r="E34" i="2" s="1"/>
  <c r="F43" i="2"/>
  <c r="E43" i="2" s="1"/>
  <c r="D44" i="2"/>
  <c r="C44" i="2" s="1"/>
  <c r="F49" i="2"/>
  <c r="E49" i="2" s="1"/>
  <c r="F59" i="2"/>
  <c r="E59" i="2" s="1"/>
  <c r="D60" i="2"/>
  <c r="C60" i="2" s="1"/>
  <c r="F65" i="2"/>
  <c r="E65" i="2" s="1"/>
  <c r="F75" i="2"/>
  <c r="E75" i="2" s="1"/>
  <c r="D76" i="2"/>
  <c r="C76" i="2" s="1"/>
  <c r="F81" i="2"/>
  <c r="E81" i="2" s="1"/>
  <c r="F91" i="2"/>
  <c r="E91" i="2" s="1"/>
  <c r="D92" i="2"/>
  <c r="C92" i="2" s="1"/>
  <c r="F97" i="2"/>
  <c r="E97" i="2" s="1"/>
  <c r="F107" i="2"/>
  <c r="E107" i="2" s="1"/>
  <c r="D108" i="2"/>
  <c r="C108" i="2" s="1"/>
  <c r="F113" i="2"/>
  <c r="E113" i="2" s="1"/>
  <c r="D125" i="2"/>
  <c r="C125" i="2" s="1"/>
  <c r="D141" i="2"/>
  <c r="C141" i="2" s="1"/>
  <c r="F146" i="2"/>
  <c r="E146" i="2" s="1"/>
  <c r="D147" i="2"/>
  <c r="C147" i="2" s="1"/>
  <c r="D150" i="2"/>
  <c r="F150" i="2"/>
  <c r="E150" i="2" s="1"/>
  <c r="F156" i="2"/>
  <c r="E156" i="2" s="1"/>
  <c r="D162" i="2"/>
  <c r="C162" i="2" s="1"/>
  <c r="D261" i="2"/>
  <c r="C261" i="2" s="1"/>
  <c r="F260" i="2"/>
  <c r="E260" i="2" s="1"/>
  <c r="D260" i="2"/>
  <c r="C260" i="2" s="1"/>
  <c r="F209" i="2"/>
  <c r="E209" i="2" s="1"/>
  <c r="D210" i="2"/>
  <c r="C210" i="2" s="1"/>
  <c r="D209" i="2"/>
  <c r="C209" i="2" s="1"/>
  <c r="F208" i="2"/>
  <c r="E208" i="2" s="1"/>
  <c r="F267" i="2"/>
  <c r="E267" i="2" s="1"/>
  <c r="F266" i="2"/>
  <c r="E266" i="2" s="1"/>
  <c r="F283" i="2"/>
  <c r="E283" i="2" s="1"/>
  <c r="F282" i="2"/>
  <c r="E282" i="2" s="1"/>
  <c r="F22" i="2"/>
  <c r="E22" i="2" s="1"/>
  <c r="F48" i="2"/>
  <c r="E48" i="2" s="1"/>
  <c r="F47" i="2"/>
  <c r="E47" i="2" s="1"/>
  <c r="F52" i="2"/>
  <c r="F64" i="2"/>
  <c r="E64" i="2" s="1"/>
  <c r="F63" i="2"/>
  <c r="E63" i="2" s="1"/>
  <c r="F68" i="2"/>
  <c r="E68" i="2" s="1"/>
  <c r="F80" i="2"/>
  <c r="E80" i="2" s="1"/>
  <c r="F79" i="2"/>
  <c r="E79" i="2" s="1"/>
  <c r="F84" i="2"/>
  <c r="E84" i="2" s="1"/>
  <c r="F96" i="2"/>
  <c r="E96" i="2" s="1"/>
  <c r="F95" i="2"/>
  <c r="E95" i="2" s="1"/>
  <c r="F100" i="2"/>
  <c r="E100" i="2" s="1"/>
  <c r="F112" i="2"/>
  <c r="E112" i="2" s="1"/>
  <c r="F111" i="2"/>
  <c r="E111" i="2" s="1"/>
  <c r="F116" i="2"/>
  <c r="E116" i="2" s="1"/>
  <c r="F147" i="2"/>
  <c r="E147" i="2" s="1"/>
  <c r="D148" i="2"/>
  <c r="C148" i="2" s="1"/>
  <c r="D167" i="2"/>
  <c r="C167" i="2" s="1"/>
  <c r="F187" i="2"/>
  <c r="E187" i="2" s="1"/>
  <c r="D188" i="2"/>
  <c r="C188" i="2" s="1"/>
  <c r="F241" i="2"/>
  <c r="E241" i="2" s="1"/>
  <c r="D242" i="2"/>
  <c r="C242" i="2" s="1"/>
  <c r="F240" i="2"/>
  <c r="E240" i="2" s="1"/>
  <c r="D241" i="2"/>
  <c r="C241" i="2" s="1"/>
  <c r="D45" i="2"/>
  <c r="C45" i="2" s="1"/>
  <c r="D61" i="2"/>
  <c r="D77" i="2"/>
  <c r="C77" i="2" s="1"/>
  <c r="D93" i="2"/>
  <c r="C93" i="2" s="1"/>
  <c r="D109" i="2"/>
  <c r="F131" i="2"/>
  <c r="E131" i="2" s="1"/>
  <c r="D132" i="2"/>
  <c r="C132" i="2" s="1"/>
  <c r="F141" i="2"/>
  <c r="E141" i="2" s="1"/>
  <c r="F169" i="2"/>
  <c r="E169" i="2" s="1"/>
  <c r="D171" i="2"/>
  <c r="C171" i="2" s="1"/>
  <c r="F170" i="2"/>
  <c r="E170" i="2" s="1"/>
  <c r="D170" i="2"/>
  <c r="C170" i="2" s="1"/>
  <c r="D211" i="2"/>
  <c r="C211" i="2" s="1"/>
  <c r="F210" i="2"/>
  <c r="E210" i="2" s="1"/>
  <c r="D243" i="2"/>
  <c r="C243" i="2" s="1"/>
  <c r="F242" i="2"/>
  <c r="E242" i="2" s="1"/>
  <c r="D268" i="2"/>
  <c r="C268" i="2" s="1"/>
  <c r="D284" i="2"/>
  <c r="C284" i="2" s="1"/>
  <c r="F51" i="2"/>
  <c r="E51" i="2" s="1"/>
  <c r="D52" i="2"/>
  <c r="C52" i="2" s="1"/>
  <c r="F67" i="2"/>
  <c r="E67" i="2" s="1"/>
  <c r="D68" i="2"/>
  <c r="C68" i="2" s="1"/>
  <c r="F83" i="2"/>
  <c r="D84" i="2"/>
  <c r="F99" i="2"/>
  <c r="E99" i="2" s="1"/>
  <c r="D100" i="2"/>
  <c r="C100" i="2" s="1"/>
  <c r="F115" i="2"/>
  <c r="E115" i="2" s="1"/>
  <c r="D116" i="2"/>
  <c r="C116" i="2" s="1"/>
  <c r="D123" i="2"/>
  <c r="F122" i="2"/>
  <c r="F153" i="2"/>
  <c r="D155" i="2"/>
  <c r="C155" i="2" s="1"/>
  <c r="F154" i="2"/>
  <c r="E154" i="2" s="1"/>
  <c r="D154" i="2"/>
  <c r="F171" i="2"/>
  <c r="E171" i="2" s="1"/>
  <c r="D172" i="2"/>
  <c r="C172" i="2" s="1"/>
  <c r="F198" i="2"/>
  <c r="E198" i="2" s="1"/>
  <c r="F197" i="2"/>
  <c r="E197" i="2" s="1"/>
  <c r="D199" i="2"/>
  <c r="C199" i="2" s="1"/>
  <c r="F137" i="2"/>
  <c r="E137" i="2" s="1"/>
  <c r="D139" i="2"/>
  <c r="C139" i="2" s="1"/>
  <c r="F138" i="2"/>
  <c r="E138" i="2" s="1"/>
  <c r="D138" i="2"/>
  <c r="C138" i="2" s="1"/>
  <c r="F155" i="2"/>
  <c r="E155" i="2" s="1"/>
  <c r="D156" i="2"/>
  <c r="C156" i="2" s="1"/>
  <c r="D229" i="2"/>
  <c r="C229" i="2" s="1"/>
  <c r="F228" i="2"/>
  <c r="E228" i="2" s="1"/>
  <c r="F251" i="2"/>
  <c r="E251" i="2" s="1"/>
  <c r="D252" i="2"/>
  <c r="C252" i="2" s="1"/>
  <c r="F39" i="2"/>
  <c r="E39" i="2" s="1"/>
  <c r="F40" i="2"/>
  <c r="F44" i="2"/>
  <c r="E44" i="2" s="1"/>
  <c r="F55" i="2"/>
  <c r="E55" i="2" s="1"/>
  <c r="F56" i="2"/>
  <c r="E56" i="2" s="1"/>
  <c r="F60" i="2"/>
  <c r="F71" i="2"/>
  <c r="E71" i="2" s="1"/>
  <c r="F72" i="2"/>
  <c r="E72" i="2" s="1"/>
  <c r="F76" i="2"/>
  <c r="E76" i="2" s="1"/>
  <c r="F87" i="2"/>
  <c r="E87" i="2" s="1"/>
  <c r="F88" i="2"/>
  <c r="E88" i="2" s="1"/>
  <c r="F92" i="2"/>
  <c r="E92" i="2" s="1"/>
  <c r="F103" i="2"/>
  <c r="E103" i="2" s="1"/>
  <c r="F104" i="2"/>
  <c r="E104" i="2" s="1"/>
  <c r="F108" i="2"/>
  <c r="F123" i="2"/>
  <c r="E123" i="2" s="1"/>
  <c r="D124" i="2"/>
  <c r="C124" i="2" s="1"/>
  <c r="F132" i="2"/>
  <c r="E132" i="2" s="1"/>
  <c r="F139" i="2"/>
  <c r="D140" i="2"/>
  <c r="F165" i="2"/>
  <c r="E165" i="2" s="1"/>
  <c r="F184" i="2"/>
  <c r="E184" i="2" s="1"/>
  <c r="D219" i="2"/>
  <c r="C219" i="2" s="1"/>
  <c r="F218" i="2"/>
  <c r="E218" i="2" s="1"/>
  <c r="D129" i="2"/>
  <c r="C129" i="2" s="1"/>
  <c r="D145" i="2"/>
  <c r="C145" i="2" s="1"/>
  <c r="D161" i="2"/>
  <c r="F181" i="2"/>
  <c r="E181" i="2" s="1"/>
  <c r="D187" i="2"/>
  <c r="C187" i="2" s="1"/>
  <c r="F195" i="2"/>
  <c r="E195" i="2" s="1"/>
  <c r="D196" i="2"/>
  <c r="C196" i="2" s="1"/>
  <c r="F212" i="2"/>
  <c r="E212" i="2" s="1"/>
  <c r="F217" i="2"/>
  <c r="E217" i="2" s="1"/>
  <c r="D218" i="2"/>
  <c r="C218" i="2" s="1"/>
  <c r="F245" i="2"/>
  <c r="E245" i="2" s="1"/>
  <c r="D251" i="2"/>
  <c r="C251" i="2" s="1"/>
  <c r="F259" i="2"/>
  <c r="E259" i="2" s="1"/>
  <c r="F272" i="2"/>
  <c r="E272" i="2" s="1"/>
  <c r="D282" i="2"/>
  <c r="C282" i="2" s="1"/>
  <c r="F291" i="2"/>
  <c r="E291" i="2" s="1"/>
  <c r="F120" i="2"/>
  <c r="E120" i="2" s="1"/>
  <c r="F193" i="2"/>
  <c r="E193" i="2" s="1"/>
  <c r="D194" i="2"/>
  <c r="C194" i="2" s="1"/>
  <c r="D227" i="2"/>
  <c r="C227" i="2" s="1"/>
  <c r="F235" i="2"/>
  <c r="E235" i="2" s="1"/>
  <c r="D236" i="2"/>
  <c r="C236" i="2" s="1"/>
  <c r="F257" i="2"/>
  <c r="E257" i="2" s="1"/>
  <c r="D258" i="2"/>
  <c r="C258" i="2" s="1"/>
  <c r="F289" i="2"/>
  <c r="E289" i="2" s="1"/>
  <c r="D290" i="2"/>
  <c r="C290" i="2" s="1"/>
  <c r="F176" i="2"/>
  <c r="E176" i="2" s="1"/>
  <c r="D182" i="2"/>
  <c r="C182" i="2" s="1"/>
  <c r="F186" i="2"/>
  <c r="E186" i="2" s="1"/>
  <c r="D203" i="2"/>
  <c r="C203" i="2" s="1"/>
  <c r="F211" i="2"/>
  <c r="E211" i="2" s="1"/>
  <c r="D212" i="2"/>
  <c r="C212" i="2" s="1"/>
  <c r="D215" i="2"/>
  <c r="C215" i="2" s="1"/>
  <c r="D217" i="2"/>
  <c r="C217" i="2" s="1"/>
  <c r="F233" i="2"/>
  <c r="E233" i="2" s="1"/>
  <c r="D234" i="2"/>
  <c r="C234" i="2" s="1"/>
  <c r="D246" i="2"/>
  <c r="C246" i="2" s="1"/>
  <c r="F250" i="2"/>
  <c r="E250" i="2" s="1"/>
  <c r="F263" i="2"/>
  <c r="E263" i="2" s="1"/>
  <c r="F264" i="2"/>
  <c r="E264" i="2" s="1"/>
  <c r="D273" i="2"/>
  <c r="C273" i="2" s="1"/>
  <c r="D280" i="2"/>
  <c r="C280" i="2" s="1"/>
  <c r="F227" i="2"/>
  <c r="E227" i="2" s="1"/>
  <c r="D228" i="2"/>
  <c r="C228" i="2" s="1"/>
  <c r="F244" i="2"/>
  <c r="E244" i="2" s="1"/>
  <c r="F249" i="2"/>
  <c r="E249" i="2" s="1"/>
  <c r="D250" i="2"/>
  <c r="C250" i="2" s="1"/>
  <c r="D292" i="2"/>
  <c r="C292" i="2" s="1"/>
  <c r="F179" i="2"/>
  <c r="E179" i="2" s="1"/>
  <c r="D180" i="2"/>
  <c r="C180" i="2" s="1"/>
  <c r="F203" i="2"/>
  <c r="E203" i="2" s="1"/>
  <c r="D204" i="2"/>
  <c r="C204" i="2" s="1"/>
  <c r="F225" i="2"/>
  <c r="E225" i="2" s="1"/>
  <c r="D226" i="2"/>
  <c r="C226" i="2" s="1"/>
  <c r="F292" i="2"/>
  <c r="E292" i="2" s="1"/>
  <c r="F201" i="2"/>
  <c r="E201" i="2" s="1"/>
  <c r="D202" i="2"/>
  <c r="C202" i="2" s="1"/>
  <c r="D235" i="2"/>
  <c r="C235" i="2" s="1"/>
  <c r="F243" i="2"/>
  <c r="E243" i="2" s="1"/>
  <c r="D244" i="2"/>
  <c r="C244" i="2" s="1"/>
  <c r="D249" i="2"/>
  <c r="C249" i="2" s="1"/>
  <c r="D265" i="2"/>
  <c r="C265" i="2" s="1"/>
  <c r="D281" i="2"/>
  <c r="C281" i="2" s="1"/>
  <c r="D259" i="2"/>
  <c r="C259" i="2" s="1"/>
  <c r="D267" i="2"/>
  <c r="C267" i="2" s="1"/>
  <c r="D275" i="2"/>
  <c r="C275" i="2" s="1"/>
  <c r="D283" i="2"/>
  <c r="C283" i="2" s="1"/>
  <c r="D291" i="2"/>
  <c r="C291" i="2" s="1"/>
  <c r="W274" i="9"/>
  <c r="W277" i="9"/>
  <c r="W280" i="9"/>
  <c r="X280" i="9" s="1"/>
  <c r="W275" i="9"/>
  <c r="W279" i="9"/>
  <c r="W278" i="9"/>
  <c r="W276" i="9"/>
  <c r="AY19" i="2"/>
  <c r="AO9" i="2"/>
  <c r="AC11" i="2"/>
  <c r="BT5" i="2"/>
  <c r="BN9" i="2"/>
  <c r="BL4" i="2"/>
  <c r="BI4" i="2"/>
  <c r="BS3" i="2"/>
  <c r="V11" i="2"/>
  <c r="AK9" i="2"/>
  <c r="BR17" i="2"/>
  <c r="AZ4" i="2"/>
  <c r="BH4" i="2"/>
  <c r="BJ15" i="2"/>
  <c r="BI9" i="2"/>
  <c r="AF3" i="2"/>
  <c r="Y3" i="2"/>
  <c r="AX16" i="2"/>
  <c r="BL11" i="2"/>
  <c r="AF10" i="2"/>
  <c r="AC16" i="2"/>
  <c r="AR19" i="2"/>
  <c r="BR11" i="2"/>
  <c r="BQ3" i="2"/>
  <c r="AR18" i="2"/>
  <c r="AT13" i="2"/>
  <c r="BT3" i="2"/>
  <c r="BH17" i="2"/>
  <c r="BL18" i="2"/>
  <c r="AA3" i="2"/>
  <c r="BD11" i="2"/>
  <c r="BB7" i="2"/>
  <c r="BF18" i="2"/>
  <c r="BP17" i="2"/>
  <c r="AY18" i="2"/>
  <c r="BD16" i="2"/>
  <c r="Y9" i="2"/>
  <c r="BE16" i="2"/>
  <c r="BO12" i="2"/>
  <c r="AU3" i="2"/>
  <c r="BI19" i="2"/>
  <c r="AO11" i="2"/>
  <c r="AO13" i="2"/>
  <c r="AQ17" i="2"/>
  <c r="BJ18" i="2"/>
  <c r="BN14" i="2"/>
  <c r="Z17" i="2"/>
  <c r="AG18" i="2"/>
  <c r="AY17" i="2"/>
  <c r="AM7" i="2"/>
  <c r="Y17" i="2"/>
  <c r="AD16" i="2"/>
  <c r="AY11" i="2"/>
  <c r="V14" i="2"/>
  <c r="AD5" i="2"/>
  <c r="AF17" i="2"/>
  <c r="AN16" i="2"/>
  <c r="V16" i="2"/>
  <c r="W3" i="2"/>
  <c r="AU18" i="2"/>
  <c r="BC7" i="2"/>
  <c r="AY14" i="2"/>
  <c r="BM19" i="2"/>
  <c r="AB6" i="2"/>
  <c r="W17" i="2"/>
  <c r="AP17" i="2"/>
  <c r="AB12" i="2"/>
  <c r="BP6" i="2"/>
  <c r="BM18" i="2"/>
  <c r="BC12" i="2"/>
  <c r="BR13" i="2"/>
  <c r="AL11" i="2"/>
  <c r="BE6" i="2"/>
  <c r="AA9" i="2"/>
  <c r="BN13" i="2"/>
  <c r="AN4" i="2"/>
  <c r="BJ14" i="2"/>
  <c r="AX9" i="2"/>
  <c r="AU4" i="2"/>
  <c r="BP15" i="2"/>
  <c r="AF14" i="2"/>
  <c r="W14" i="2"/>
  <c r="R2" i="9"/>
  <c r="AK5" i="2"/>
  <c r="BL17" i="2"/>
  <c r="X9" i="2"/>
  <c r="AJ6" i="2"/>
  <c r="AL3" i="2"/>
  <c r="AX17" i="2"/>
  <c r="BH16" i="2"/>
  <c r="BS15" i="2"/>
  <c r="AX3" i="2"/>
  <c r="BG7" i="2"/>
  <c r="AQ6" i="2"/>
  <c r="BE10" i="2"/>
  <c r="AR13" i="2"/>
  <c r="AZ17" i="2"/>
  <c r="BK14" i="2"/>
  <c r="AA5" i="2"/>
  <c r="BK7" i="2"/>
  <c r="AO5" i="2"/>
  <c r="BL15" i="2"/>
  <c r="BJ5" i="2"/>
  <c r="AD10" i="2"/>
  <c r="BA10" i="2"/>
  <c r="AS6" i="2"/>
  <c r="AA7" i="2"/>
  <c r="AZ3" i="2"/>
  <c r="Y5" i="2"/>
  <c r="AP6" i="2"/>
  <c r="AB18" i="2"/>
  <c r="AN12" i="2"/>
  <c r="V4" i="2"/>
  <c r="X11" i="2"/>
  <c r="BL13" i="2"/>
  <c r="W13" i="2"/>
  <c r="Z3" i="2"/>
  <c r="BF15" i="2"/>
  <c r="AK18" i="2"/>
  <c r="AQ16" i="2"/>
  <c r="X15" i="2"/>
  <c r="BD19" i="2"/>
  <c r="AC18" i="2"/>
  <c r="BN4" i="2"/>
  <c r="AN9" i="2"/>
  <c r="AZ13" i="2"/>
  <c r="AA4" i="2"/>
  <c r="Y15" i="2"/>
  <c r="AQ3" i="2"/>
  <c r="BI17" i="2"/>
  <c r="BE4" i="2"/>
  <c r="BC3" i="2"/>
  <c r="AL13" i="2"/>
  <c r="BF13" i="2"/>
  <c r="BA7" i="2"/>
  <c r="AP10" i="2"/>
  <c r="W11" i="2"/>
  <c r="BG5" i="2"/>
  <c r="AO7" i="2"/>
  <c r="BI18" i="2"/>
  <c r="AI3" i="2"/>
  <c r="BB19" i="2"/>
  <c r="AF18" i="2"/>
  <c r="AW13" i="2"/>
  <c r="AZ18" i="2"/>
  <c r="AD15" i="2"/>
  <c r="AW11" i="2"/>
  <c r="W7" i="2"/>
  <c r="BO13" i="2"/>
  <c r="BS5" i="2"/>
  <c r="AG19" i="2"/>
  <c r="BA15" i="2"/>
  <c r="AK14" i="2"/>
  <c r="BC14" i="2"/>
  <c r="AM4" i="2"/>
  <c r="AL16" i="2"/>
  <c r="AC5" i="2"/>
  <c r="AI16" i="2"/>
  <c r="AF4" i="2"/>
  <c r="X14" i="2"/>
  <c r="BN19" i="2"/>
  <c r="AI10" i="2"/>
  <c r="BK3" i="2"/>
  <c r="BD13" i="2"/>
  <c r="AL10" i="2"/>
  <c r="AT15" i="2"/>
  <c r="AL19" i="2"/>
  <c r="BD15" i="2"/>
  <c r="BK19" i="2"/>
  <c r="AU12" i="2"/>
  <c r="Z16" i="2"/>
  <c r="AS15" i="2"/>
  <c r="AC13" i="2"/>
  <c r="BT11" i="2"/>
  <c r="BR19" i="2"/>
  <c r="AY6" i="2"/>
  <c r="AX14" i="2"/>
  <c r="BT15" i="2"/>
  <c r="BA6" i="2"/>
  <c r="BA3" i="2"/>
  <c r="BT7" i="2"/>
  <c r="AM15" i="2"/>
  <c r="AS19" i="2"/>
  <c r="BN12" i="2"/>
  <c r="AK7" i="2"/>
  <c r="AO17" i="2"/>
  <c r="BS6" i="2"/>
  <c r="BN7" i="2"/>
  <c r="AF12" i="2"/>
  <c r="AK17" i="2"/>
  <c r="BJ9" i="2"/>
  <c r="BL7" i="2"/>
  <c r="BD6" i="2"/>
  <c r="Z14" i="2"/>
  <c r="AI9" i="2"/>
  <c r="AV14" i="2"/>
  <c r="BE11" i="2"/>
  <c r="AU6" i="2"/>
  <c r="AN6" i="2"/>
  <c r="BC16" i="2"/>
  <c r="V17" i="2"/>
  <c r="AE9" i="2"/>
  <c r="AD13" i="2"/>
  <c r="Z5" i="2"/>
  <c r="AS17" i="2"/>
  <c r="Y12" i="2"/>
  <c r="Z4" i="2"/>
  <c r="AW12" i="2"/>
  <c r="AR9" i="2"/>
  <c r="AY3" i="2"/>
  <c r="AH15" i="2"/>
  <c r="BJ17" i="2"/>
  <c r="AO3" i="2"/>
  <c r="BB15" i="2"/>
  <c r="AT10" i="2"/>
  <c r="W19" i="2"/>
  <c r="W12" i="2"/>
  <c r="AW5" i="2"/>
  <c r="AZ19" i="2"/>
  <c r="BS18" i="2"/>
  <c r="AY10" i="2"/>
  <c r="Y6" i="2"/>
  <c r="AL14" i="2"/>
  <c r="AY12" i="2"/>
  <c r="BA5" i="2"/>
  <c r="Z9" i="2"/>
  <c r="AG10" i="2"/>
  <c r="BH11" i="2"/>
  <c r="AY4" i="2"/>
  <c r="BS14" i="2"/>
  <c r="BT9" i="2"/>
  <c r="BM13" i="2"/>
  <c r="Z6" i="2"/>
  <c r="BC17" i="2"/>
  <c r="BN10" i="2"/>
  <c r="AJ18" i="2"/>
  <c r="AR7" i="2"/>
  <c r="AV4" i="2"/>
  <c r="BN11" i="2"/>
  <c r="AA10" i="2"/>
  <c r="BO16" i="2"/>
  <c r="AN11" i="2"/>
  <c r="BN18" i="2"/>
  <c r="BI6" i="2"/>
  <c r="BG12" i="2"/>
  <c r="BA19" i="2"/>
  <c r="AW19" i="2"/>
  <c r="BH13" i="2"/>
  <c r="BB6" i="2"/>
  <c r="BP7" i="2"/>
  <c r="AG7" i="2"/>
  <c r="BM7" i="2"/>
  <c r="AT12" i="2"/>
  <c r="AJ13" i="2"/>
  <c r="AQ11" i="2"/>
  <c r="AB17" i="2"/>
  <c r="Y11" i="2"/>
  <c r="AB13" i="2"/>
  <c r="V5" i="2"/>
  <c r="AT16" i="2"/>
  <c r="BB17" i="2"/>
  <c r="W9" i="2"/>
  <c r="R2" i="10"/>
  <c r="AD7" i="2"/>
  <c r="AB15" i="2"/>
  <c r="BG14" i="2"/>
  <c r="V12" i="2"/>
  <c r="AB9" i="2"/>
  <c r="AP14" i="2"/>
  <c r="AW7" i="2"/>
  <c r="BS10" i="2"/>
  <c r="BI15" i="2"/>
  <c r="BP16" i="2"/>
  <c r="BI12" i="2"/>
  <c r="BJ11" i="2"/>
  <c r="AX7" i="2"/>
  <c r="BL10" i="2"/>
  <c r="BE18" i="2"/>
  <c r="AE3" i="2"/>
  <c r="BB4" i="2"/>
  <c r="BG10" i="2"/>
  <c r="AD11" i="2"/>
  <c r="BN16" i="2"/>
  <c r="BE12" i="2"/>
  <c r="BH19" i="2"/>
  <c r="X19" i="2"/>
  <c r="AE12" i="2"/>
  <c r="AW16" i="2"/>
  <c r="AQ10" i="2"/>
  <c r="V15" i="2"/>
  <c r="BP4" i="2"/>
  <c r="AI13" i="2"/>
  <c r="AM13" i="2"/>
  <c r="AX13" i="2"/>
  <c r="BM14" i="2"/>
  <c r="BI13" i="2"/>
  <c r="BF7" i="2"/>
  <c r="AO16" i="2"/>
  <c r="AM11" i="2"/>
  <c r="AB19" i="2"/>
  <c r="AI4" i="2"/>
  <c r="AP18" i="2"/>
  <c r="AA14" i="2"/>
  <c r="W10" i="2"/>
  <c r="BG6" i="2"/>
  <c r="V13" i="2"/>
  <c r="AS12" i="2"/>
  <c r="AU5" i="2"/>
  <c r="AR15" i="2"/>
  <c r="AR5" i="2"/>
  <c r="AM18" i="2"/>
  <c r="BL16" i="2"/>
  <c r="AA12" i="2"/>
  <c r="BR7" i="2"/>
  <c r="AU11" i="2"/>
  <c r="BE19" i="2"/>
  <c r="BT14" i="2"/>
  <c r="BH3" i="2"/>
  <c r="AH10" i="2"/>
  <c r="AM19" i="2"/>
  <c r="BG19" i="2"/>
  <c r="AZ10" i="2"/>
  <c r="BQ14" i="2"/>
  <c r="AW18" i="2"/>
  <c r="AS16" i="2"/>
  <c r="AJ5" i="2"/>
  <c r="AT9" i="2"/>
  <c r="AS3" i="2"/>
  <c r="AR16" i="2"/>
  <c r="AT3" i="2"/>
  <c r="AE5" i="2"/>
  <c r="BK9" i="2"/>
  <c r="AK4" i="2"/>
  <c r="Z11" i="2"/>
  <c r="BS17" i="2"/>
  <c r="AX5" i="2"/>
  <c r="AK11" i="2"/>
  <c r="AT17" i="2"/>
  <c r="AM10" i="2"/>
  <c r="BD9" i="2"/>
  <c r="AU17" i="2"/>
  <c r="BT17" i="2"/>
  <c r="AU15" i="2"/>
  <c r="BL14" i="2"/>
  <c r="BM6" i="2"/>
  <c r="BC11" i="2"/>
  <c r="AW15" i="2"/>
  <c r="AC4" i="2"/>
  <c r="BD5" i="2"/>
  <c r="AS14" i="2"/>
  <c r="AS7" i="2"/>
  <c r="W15" i="2"/>
  <c r="AY9" i="2"/>
  <c r="AN14" i="2"/>
  <c r="AG16" i="2"/>
  <c r="BA12" i="2"/>
  <c r="AH9" i="2"/>
  <c r="AC15" i="2"/>
  <c r="AH6" i="2"/>
  <c r="BL9" i="2"/>
  <c r="AS11" i="2"/>
  <c r="AP11" i="2"/>
  <c r="AI6" i="2"/>
  <c r="AV6" i="2"/>
  <c r="BN6" i="2"/>
  <c r="AJ3" i="2"/>
  <c r="AC10" i="2"/>
  <c r="BO10" i="2"/>
  <c r="BG16" i="2"/>
  <c r="BG4" i="2"/>
  <c r="AJ4" i="2"/>
  <c r="AO6" i="2"/>
  <c r="BI3" i="2"/>
  <c r="BD14" i="2"/>
  <c r="AI15" i="2"/>
  <c r="BG9" i="2"/>
  <c r="BB3" i="2"/>
  <c r="AU14" i="2"/>
  <c r="AK10" i="2"/>
  <c r="BB12" i="2"/>
  <c r="BD7" i="2"/>
  <c r="BH18" i="2"/>
  <c r="W5" i="2"/>
  <c r="U1" i="15"/>
  <c r="AN13" i="2"/>
  <c r="AP5" i="2"/>
  <c r="AG4" i="2"/>
  <c r="BJ19" i="2"/>
  <c r="AP3" i="2"/>
  <c r="X10" i="2"/>
  <c r="BJ4" i="2"/>
  <c r="AV5" i="2"/>
  <c r="AY15" i="2"/>
  <c r="BJ16" i="2"/>
  <c r="BO17" i="2"/>
  <c r="Y10" i="2"/>
  <c r="BP5" i="2"/>
  <c r="AA15" i="2"/>
  <c r="AY7" i="2"/>
  <c r="AJ12" i="2"/>
  <c r="AI11" i="2"/>
  <c r="BL12" i="2"/>
  <c r="BN3" i="2"/>
  <c r="BO6" i="2"/>
  <c r="BH7" i="2"/>
  <c r="AV7" i="2"/>
  <c r="AV18" i="2"/>
  <c r="AC6" i="2"/>
  <c r="AG11" i="2"/>
  <c r="AG14" i="2"/>
  <c r="AH17" i="2"/>
  <c r="AD17" i="2"/>
  <c r="AG17" i="2"/>
  <c r="AN19" i="2"/>
  <c r="AZ5" i="2"/>
  <c r="AJ11" i="2"/>
  <c r="AS4" i="2"/>
  <c r="BF12" i="2"/>
  <c r="AO4" i="2"/>
  <c r="AN15" i="2"/>
  <c r="BH5" i="2"/>
  <c r="AE14" i="2"/>
  <c r="AC17" i="2"/>
  <c r="BQ13" i="2"/>
  <c r="BA13" i="2"/>
  <c r="Y13" i="2"/>
  <c r="Y4" i="2"/>
  <c r="BA17" i="2"/>
  <c r="AF13" i="2"/>
  <c r="BE3" i="2"/>
  <c r="BT19" i="2"/>
  <c r="AQ19" i="2"/>
  <c r="AI7" i="2"/>
  <c r="BM16" i="2"/>
  <c r="AA17" i="2"/>
  <c r="BC15" i="2"/>
  <c r="Y19" i="2"/>
  <c r="BM11" i="2"/>
  <c r="AE18" i="2"/>
  <c r="BF14" i="2"/>
  <c r="AE16" i="2"/>
  <c r="AQ18" i="2"/>
  <c r="BG18" i="2"/>
  <c r="AK19" i="2"/>
  <c r="AS10" i="2"/>
  <c r="X18" i="2"/>
  <c r="AQ13" i="2"/>
  <c r="Y7" i="2"/>
  <c r="W16" i="2"/>
  <c r="AC2" i="9"/>
  <c r="BL19" i="2"/>
  <c r="AV19" i="2"/>
  <c r="BR3" i="2"/>
  <c r="BE13" i="2"/>
  <c r="BF6" i="2"/>
  <c r="AM9" i="2"/>
  <c r="BT12" i="2"/>
  <c r="AW6" i="2"/>
  <c r="AJ19" i="2"/>
  <c r="BR14" i="2"/>
  <c r="X16" i="2"/>
  <c r="AK3" i="2"/>
  <c r="BO19" i="2"/>
  <c r="AJ10" i="2"/>
  <c r="X6" i="2"/>
  <c r="AP15" i="2"/>
  <c r="BH10" i="2"/>
  <c r="AC19" i="2"/>
  <c r="BQ7" i="2"/>
  <c r="BF10" i="2"/>
  <c r="BF16" i="2"/>
  <c r="BT4" i="2"/>
  <c r="BF3" i="2"/>
  <c r="AN17" i="2"/>
  <c r="AH18" i="2"/>
  <c r="BQ5" i="2"/>
  <c r="AS5" i="2"/>
  <c r="AL9" i="2"/>
  <c r="BG13" i="2"/>
  <c r="AT4" i="2"/>
  <c r="AV3" i="2"/>
  <c r="BH6" i="2"/>
  <c r="AZ14" i="2"/>
  <c r="BL3" i="2"/>
  <c r="AF6" i="2"/>
  <c r="BK10" i="2"/>
  <c r="AZ15" i="2"/>
  <c r="AH4" i="2"/>
  <c r="BJ10" i="2"/>
  <c r="AW9" i="2"/>
  <c r="AY5" i="2"/>
  <c r="BH14" i="2"/>
  <c r="AW3" i="2"/>
  <c r="AF19" i="2"/>
  <c r="BJ13" i="2"/>
  <c r="AI12" i="2"/>
  <c r="AL6" i="2"/>
  <c r="AV17" i="2"/>
  <c r="BC5" i="2"/>
  <c r="AM17" i="2"/>
  <c r="AW4" i="2"/>
  <c r="AE17" i="2"/>
  <c r="AH3" i="2"/>
  <c r="BD12" i="2"/>
  <c r="AM5" i="2"/>
  <c r="BD10" i="2"/>
  <c r="AQ15" i="2"/>
  <c r="BP14" i="2"/>
  <c r="BQ10" i="2"/>
  <c r="AH12" i="2"/>
  <c r="BQ6" i="2"/>
  <c r="AI17" i="2"/>
  <c r="BO11" i="2"/>
  <c r="BO14" i="2"/>
  <c r="BS16" i="2"/>
  <c r="Q1" i="15"/>
  <c r="BP9" i="2"/>
  <c r="AL15" i="2"/>
  <c r="AZ12" i="2"/>
  <c r="AH7" i="2"/>
  <c r="BM3" i="2"/>
  <c r="BS11" i="2"/>
  <c r="AY13" i="2"/>
  <c r="BN5" i="2"/>
  <c r="BS7" i="2"/>
  <c r="AE10" i="2"/>
  <c r="BP18" i="2"/>
  <c r="BM15" i="2"/>
  <c r="AD4" i="2"/>
  <c r="BR5" i="2"/>
  <c r="Z18" i="2"/>
  <c r="AP9" i="2"/>
  <c r="AG12" i="2"/>
  <c r="BB13" i="2"/>
  <c r="AR12" i="2"/>
  <c r="BO5" i="2"/>
  <c r="BQ4" i="2"/>
  <c r="AS9" i="2"/>
  <c r="BI10" i="2"/>
  <c r="AR3" i="2"/>
  <c r="W18" i="2"/>
  <c r="BC18" i="2"/>
  <c r="BC10" i="2"/>
  <c r="AV13" i="2"/>
  <c r="AM3" i="2"/>
  <c r="BR16" i="2"/>
  <c r="BO9" i="2"/>
  <c r="W6" i="2"/>
  <c r="BA9" i="2"/>
  <c r="AL17" i="2"/>
  <c r="BD18" i="2"/>
  <c r="BO7" i="2"/>
  <c r="AG13" i="2"/>
  <c r="AD3" i="2"/>
  <c r="AT7" i="2"/>
  <c r="AA13" i="2"/>
  <c r="BB5" i="2"/>
  <c r="X12" i="2"/>
  <c r="BE9" i="2"/>
  <c r="BE17" i="2"/>
  <c r="BE14" i="2"/>
  <c r="AM14" i="2"/>
  <c r="BF17" i="2"/>
  <c r="AJ7" i="2"/>
  <c r="AH5" i="2"/>
  <c r="AG9" i="2"/>
  <c r="AW10" i="2"/>
  <c r="AP4" i="2"/>
  <c r="AL12" i="2"/>
  <c r="BK11" i="2"/>
  <c r="BD17" i="2"/>
  <c r="S2" i="13"/>
  <c r="AA11" i="2"/>
  <c r="AH16" i="2"/>
  <c r="AE6" i="2"/>
  <c r="AQ4" i="2"/>
  <c r="BQ17" i="2"/>
  <c r="AV12" i="2"/>
  <c r="AU19" i="2"/>
  <c r="BI16" i="2"/>
  <c r="BS19" i="2"/>
  <c r="AM12" i="2"/>
  <c r="AR4" i="2"/>
  <c r="BQ9" i="2"/>
  <c r="BG17" i="2"/>
  <c r="AT5" i="2"/>
  <c r="AO12" i="2"/>
  <c r="BH15" i="2"/>
  <c r="BN17" i="2"/>
  <c r="BR10" i="2"/>
  <c r="Y14" i="2"/>
  <c r="BH9" i="2"/>
  <c r="AI18" i="2"/>
  <c r="AX15" i="2"/>
  <c r="BB18" i="2"/>
  <c r="BM4" i="2"/>
  <c r="AU16" i="2"/>
  <c r="AH14" i="2"/>
  <c r="BR6" i="2"/>
  <c r="Z10" i="2"/>
  <c r="AU9" i="2"/>
  <c r="AZ16" i="2"/>
  <c r="AX4" i="2"/>
  <c r="AQ7" i="2"/>
  <c r="BR12" i="2"/>
  <c r="BK6" i="2"/>
  <c r="AH19" i="2"/>
  <c r="AQ5" i="2"/>
  <c r="BO3" i="2"/>
  <c r="AM16" i="2"/>
  <c r="Z13" i="2"/>
  <c r="AJ14" i="2"/>
  <c r="BP12" i="2"/>
  <c r="AG15" i="2"/>
  <c r="AH11" i="2"/>
  <c r="X3" i="2"/>
  <c r="AA16" i="2"/>
  <c r="AQ9" i="2"/>
  <c r="AC3" i="2"/>
  <c r="AT19" i="2"/>
  <c r="AK6" i="2"/>
  <c r="BQ16" i="2"/>
  <c r="AI5" i="2"/>
  <c r="AL4" i="2"/>
  <c r="AY16" i="2"/>
  <c r="X17" i="2"/>
  <c r="BI7" i="2"/>
  <c r="Z19" i="2"/>
  <c r="AD6" i="2"/>
  <c r="BM5" i="2"/>
  <c r="Y18" i="2"/>
  <c r="BA11" i="2"/>
  <c r="BK18" i="2"/>
  <c r="BQ11" i="2"/>
  <c r="BP13" i="2"/>
  <c r="BA16" i="2"/>
  <c r="AX10" i="2"/>
  <c r="AP19" i="2"/>
  <c r="BF4" i="2"/>
  <c r="AV9" i="2"/>
  <c r="BK5" i="2"/>
  <c r="AP16" i="2"/>
  <c r="BO4" i="2"/>
  <c r="AJ15" i="2"/>
  <c r="BE7" i="2"/>
  <c r="BD3" i="2"/>
  <c r="AV16" i="2"/>
  <c r="BJ3" i="2"/>
  <c r="AL7" i="2"/>
  <c r="AL5" i="2"/>
  <c r="AZ6" i="2"/>
  <c r="AL18" i="2"/>
  <c r="BI5" i="2"/>
  <c r="AI19" i="2"/>
  <c r="AN18" i="2"/>
  <c r="AV11" i="2"/>
  <c r="AB14" i="2"/>
  <c r="AO19" i="2"/>
  <c r="BC4" i="2"/>
  <c r="AG3" i="2"/>
  <c r="AF15" i="2"/>
  <c r="BT16" i="2"/>
  <c r="AO15" i="2"/>
  <c r="AC7" i="2"/>
  <c r="BT18" i="2"/>
  <c r="BN15" i="2"/>
  <c r="AU13" i="2"/>
  <c r="AC9" i="2"/>
  <c r="AD12" i="2"/>
  <c r="AB4" i="2"/>
  <c r="BQ15" i="2"/>
  <c r="AA18" i="2"/>
  <c r="Z12" i="2"/>
  <c r="BK16" i="2"/>
  <c r="AE11" i="2"/>
  <c r="AD18" i="2"/>
  <c r="AD9" i="2"/>
  <c r="BM9" i="2"/>
  <c r="AE7" i="2"/>
  <c r="AC14" i="2"/>
  <c r="AU7" i="2"/>
  <c r="AB16" i="2"/>
  <c r="BM10" i="2"/>
  <c r="BK4" i="2"/>
  <c r="AE15" i="2"/>
  <c r="BJ6" i="2"/>
  <c r="X13" i="2"/>
  <c r="AP12" i="2"/>
  <c r="AA6" i="2"/>
  <c r="BC6" i="2"/>
  <c r="BQ12" i="2"/>
  <c r="AR11" i="2"/>
  <c r="X5" i="2"/>
  <c r="BJ12" i="2"/>
  <c r="AT11" i="2"/>
  <c r="BS13" i="2"/>
  <c r="AO14" i="2"/>
  <c r="AW14" i="2"/>
  <c r="AZ11" i="2"/>
  <c r="BP11" i="2"/>
  <c r="BL5" i="2"/>
  <c r="AQ12" i="2"/>
  <c r="BE5" i="2"/>
  <c r="BD4" i="2"/>
  <c r="AI14" i="2"/>
  <c r="BC13" i="2"/>
  <c r="AF7" i="2"/>
  <c r="W4" i="2"/>
  <c r="AB11" i="2"/>
  <c r="BS9" i="2"/>
  <c r="BB14" i="2"/>
  <c r="AB10" i="2"/>
  <c r="BP19" i="2"/>
  <c r="BG11" i="2"/>
  <c r="BG15" i="2"/>
  <c r="AV10" i="2"/>
  <c r="BP10" i="2"/>
  <c r="BT10" i="2"/>
  <c r="AO18" i="2"/>
  <c r="AU10" i="2"/>
  <c r="AX6" i="2"/>
  <c r="AD14" i="2"/>
  <c r="BF9" i="2"/>
  <c r="BR4" i="2"/>
  <c r="AK16" i="2"/>
  <c r="AK15" i="2"/>
  <c r="AG5" i="2"/>
  <c r="BT13" i="2"/>
  <c r="BL6" i="2"/>
  <c r="AJ16" i="2"/>
  <c r="Z7" i="2"/>
  <c r="BH12" i="2"/>
  <c r="AN5" i="2"/>
  <c r="AR10" i="2"/>
  <c r="BB9" i="2"/>
  <c r="AF5" i="2"/>
  <c r="BR15" i="2"/>
  <c r="AX11" i="2"/>
  <c r="AR17" i="2"/>
  <c r="AA19" i="2"/>
  <c r="AM6" i="2"/>
  <c r="AX12" i="2"/>
  <c r="AP13" i="2"/>
  <c r="AQ14" i="2"/>
  <c r="BT6" i="2"/>
  <c r="AS18" i="2"/>
  <c r="BM12" i="2"/>
  <c r="AN10" i="2"/>
  <c r="AJ17" i="2"/>
  <c r="AX18" i="2"/>
  <c r="BA18" i="2"/>
  <c r="AK12" i="2"/>
  <c r="AO10" i="2"/>
  <c r="AE19" i="2"/>
  <c r="AB3" i="2"/>
  <c r="AP7" i="2"/>
  <c r="Y16" i="2"/>
  <c r="BI14" i="2"/>
  <c r="BK13" i="2"/>
  <c r="BO15" i="2"/>
  <c r="BC19" i="2"/>
  <c r="AT6" i="2"/>
  <c r="AT18" i="2"/>
  <c r="BE15" i="2"/>
  <c r="BG3" i="2"/>
  <c r="X7" i="2"/>
  <c r="BK17" i="2"/>
  <c r="V18" i="2"/>
  <c r="V10" i="2"/>
  <c r="BB10" i="2"/>
  <c r="BM17" i="2"/>
  <c r="AF11" i="2"/>
  <c r="BB11" i="2"/>
  <c r="BF19" i="2"/>
  <c r="AN3" i="2"/>
  <c r="BQ18" i="2"/>
  <c r="AV15" i="2"/>
  <c r="AD19" i="2"/>
  <c r="BK15" i="2"/>
  <c r="BC9" i="2"/>
  <c r="AN7" i="2"/>
  <c r="BQ19" i="2"/>
  <c r="AG6" i="2"/>
  <c r="BS4" i="2"/>
  <c r="AJ9" i="2"/>
  <c r="BB16" i="2"/>
  <c r="AK13" i="2"/>
  <c r="X4" i="2"/>
  <c r="BR9" i="2"/>
  <c r="AR14" i="2"/>
  <c r="AB7" i="2"/>
  <c r="BO18" i="2"/>
  <c r="AH13" i="2"/>
  <c r="BJ7" i="2"/>
  <c r="AZ9" i="2"/>
  <c r="AR6" i="2"/>
  <c r="BK12" i="2"/>
  <c r="AE13" i="2"/>
  <c r="AS13" i="2"/>
  <c r="AC12" i="2"/>
  <c r="BA14" i="2"/>
  <c r="BA4" i="2"/>
  <c r="Z15" i="2"/>
  <c r="AE4" i="2"/>
  <c r="BS12" i="2"/>
  <c r="BF5" i="2"/>
  <c r="AX19" i="2"/>
  <c r="BR18" i="2"/>
  <c r="BF11" i="2"/>
  <c r="AZ7" i="2"/>
  <c r="AB5" i="2"/>
  <c r="BP3" i="2"/>
  <c r="AF9" i="2"/>
  <c r="AW17" i="2"/>
  <c r="AF16" i="2"/>
  <c r="AT14" i="2"/>
  <c r="T10" i="1" l="1"/>
  <c r="T12" i="1"/>
  <c r="T15" i="1"/>
  <c r="T7" i="1"/>
  <c r="U13" i="1"/>
  <c r="T9" i="1"/>
  <c r="V9" i="1" s="1"/>
  <c r="U8" i="1"/>
  <c r="U11" i="1"/>
  <c r="U10" i="1"/>
  <c r="V10" i="1" s="1"/>
  <c r="T8" i="1"/>
  <c r="T16" i="1"/>
  <c r="U16" i="1"/>
  <c r="T14" i="1"/>
  <c r="U14" i="1"/>
  <c r="U12" i="1"/>
  <c r="V12" i="1" s="1"/>
  <c r="U7" i="1"/>
  <c r="V7" i="1" s="1"/>
  <c r="T11" i="1"/>
  <c r="V11" i="1" s="1"/>
  <c r="V15" i="1"/>
  <c r="V13" i="1"/>
  <c r="AA283" i="12"/>
  <c r="Z283" i="12"/>
  <c r="AB283" i="12" s="1"/>
  <c r="L22" i="10"/>
  <c r="G22" i="14" s="1"/>
  <c r="X276" i="12"/>
  <c r="AB276" i="12" s="1"/>
  <c r="X276" i="9"/>
  <c r="AA278" i="12"/>
  <c r="L28" i="10"/>
  <c r="G28" i="14" s="1"/>
  <c r="Z284" i="12"/>
  <c r="AB284" i="12" s="1"/>
  <c r="AA284" i="12"/>
  <c r="L29" i="10"/>
  <c r="G29" i="14" s="1"/>
  <c r="AA55" i="11"/>
  <c r="W275" i="12"/>
  <c r="AB277" i="12"/>
  <c r="AB268" i="12"/>
  <c r="E24" i="1" s="1"/>
  <c r="Z269" i="12"/>
  <c r="AA269" i="12"/>
  <c r="N20" i="11"/>
  <c r="H128" i="14" s="1"/>
  <c r="AB281" i="12"/>
  <c r="W268" i="12"/>
  <c r="U23" i="2"/>
  <c r="T23" i="2"/>
  <c r="Y271" i="12"/>
  <c r="X271" i="12"/>
  <c r="AB271" i="12" s="1"/>
  <c r="X274" i="9"/>
  <c r="C34" i="9" s="1"/>
  <c r="U22" i="2"/>
  <c r="C154" i="2"/>
  <c r="C61" i="2"/>
  <c r="C22" i="2"/>
  <c r="C41" i="2"/>
  <c r="F5" i="15"/>
  <c r="F7" i="15"/>
  <c r="F9" i="15"/>
  <c r="F11" i="15"/>
  <c r="F10" i="15"/>
  <c r="F12" i="15"/>
  <c r="F8" i="15"/>
  <c r="F6" i="15"/>
  <c r="E5" i="15"/>
  <c r="E7" i="15"/>
  <c r="D9" i="15"/>
  <c r="D11" i="15"/>
  <c r="E9" i="15"/>
  <c r="E11" i="15"/>
  <c r="E6" i="15"/>
  <c r="E8" i="15"/>
  <c r="D10" i="15"/>
  <c r="D12" i="15"/>
  <c r="D7" i="15"/>
  <c r="E12" i="15"/>
  <c r="D8" i="15"/>
  <c r="D5" i="15"/>
  <c r="E10" i="15"/>
  <c r="D6" i="15"/>
  <c r="I36" i="14"/>
  <c r="I35" i="14" s="1"/>
  <c r="I34" i="14" s="1"/>
  <c r="S34" i="14" s="1"/>
  <c r="K33" i="1" s="1" a="1"/>
  <c r="K33" i="1" s="1"/>
  <c r="E40" i="2"/>
  <c r="E52" i="2"/>
  <c r="E21" i="2"/>
  <c r="E160" i="2"/>
  <c r="R268" i="12"/>
  <c r="Y269" i="12"/>
  <c r="X269" i="12"/>
  <c r="C150" i="2"/>
  <c r="E108" i="2"/>
  <c r="C84" i="2"/>
  <c r="C78" i="2"/>
  <c r="E45" i="2"/>
  <c r="E60" i="2"/>
  <c r="E153" i="2"/>
  <c r="E83" i="2"/>
  <c r="E77" i="2"/>
  <c r="N60" i="11"/>
  <c r="H84" i="14" s="1"/>
  <c r="R54" i="14" s="1"/>
  <c r="O51" i="1" s="1" a="1"/>
  <c r="O51" i="1" s="1"/>
  <c r="P23" i="14"/>
  <c r="M22" i="1" s="1" a="1"/>
  <c r="M22" i="1" s="1"/>
  <c r="O28" i="13"/>
  <c r="Q28" i="13" s="1"/>
  <c r="J24" i="14" s="1"/>
  <c r="O21" i="14" s="1"/>
  <c r="R20" i="1" s="1" a="1"/>
  <c r="R20" i="1" s="1"/>
  <c r="C130" i="2"/>
  <c r="E149" i="2"/>
  <c r="C46" i="2"/>
  <c r="E23" i="1"/>
  <c r="E35" i="1"/>
  <c r="E122" i="2"/>
  <c r="C140" i="2"/>
  <c r="C123" i="2"/>
  <c r="C109" i="2"/>
  <c r="E102" i="2"/>
  <c r="C161" i="2"/>
  <c r="E139" i="2"/>
  <c r="E129" i="2"/>
  <c r="C53" i="2"/>
  <c r="C103" i="2"/>
  <c r="U30" i="2"/>
  <c r="C24" i="10"/>
  <c r="C25" i="10"/>
  <c r="C26" i="10"/>
  <c r="C27" i="10"/>
  <c r="C20" i="10"/>
  <c r="C28" i="10"/>
  <c r="C21" i="10"/>
  <c r="C29" i="10"/>
  <c r="C22" i="10"/>
  <c r="C30" i="10"/>
  <c r="C23" i="10"/>
  <c r="C16" i="9"/>
  <c r="C24" i="9"/>
  <c r="C17" i="9"/>
  <c r="C25" i="9"/>
  <c r="C20" i="9"/>
  <c r="C28" i="9"/>
  <c r="C23" i="9"/>
  <c r="C18" i="9"/>
  <c r="C26" i="9"/>
  <c r="C19" i="9"/>
  <c r="C27" i="9"/>
  <c r="C21" i="9"/>
  <c r="C22" i="9"/>
  <c r="C32" i="9"/>
  <c r="K19" i="14"/>
  <c r="L18" i="1" s="1" a="1"/>
  <c r="L18" i="1" s="1"/>
  <c r="P25" i="14"/>
  <c r="M24" i="1" s="1" a="1"/>
  <c r="M24" i="1" s="1"/>
  <c r="O25" i="14"/>
  <c r="R24" i="1" s="1" a="1"/>
  <c r="R24" i="1" s="1"/>
  <c r="O26" i="14"/>
  <c r="R25" i="1" s="1" a="1"/>
  <c r="R25" i="1" s="1"/>
  <c r="O27" i="14"/>
  <c r="R26" i="1" s="1" a="1"/>
  <c r="R26" i="1" s="1"/>
  <c r="O28" i="14"/>
  <c r="R27" i="1" s="1" a="1"/>
  <c r="R27" i="1" s="1"/>
  <c r="O23" i="14"/>
  <c r="R22" i="1" s="1" a="1"/>
  <c r="R22" i="1" s="1"/>
  <c r="L17" i="1" a="1"/>
  <c r="L17" i="1" s="1"/>
  <c r="P24" i="14"/>
  <c r="M23" i="1" s="1" a="1"/>
  <c r="M23" i="1" s="1"/>
  <c r="P22" i="14"/>
  <c r="M21" i="1" s="1" a="1"/>
  <c r="M21" i="1" s="1"/>
  <c r="K25" i="14"/>
  <c r="L24" i="1" s="1" a="1"/>
  <c r="L24" i="1" s="1"/>
  <c r="P20" i="14"/>
  <c r="M19" i="1" s="1" a="1"/>
  <c r="M19" i="1" s="1"/>
  <c r="K24" i="14"/>
  <c r="L23" i="1" s="1" a="1"/>
  <c r="L23" i="1" s="1"/>
  <c r="K21" i="14"/>
  <c r="L20" i="1" s="1" a="1"/>
  <c r="L20" i="1" s="1"/>
  <c r="M17" i="1" a="1"/>
  <c r="M17" i="1" s="1"/>
  <c r="K22" i="14"/>
  <c r="L21" i="1" s="1" a="1"/>
  <c r="L21" i="1" s="1"/>
  <c r="T27" i="14"/>
  <c r="S26" i="1" s="1" a="1"/>
  <c r="S26" i="1" s="1"/>
  <c r="T25" i="14"/>
  <c r="S24" i="1" s="1" a="1"/>
  <c r="S24" i="1" s="1"/>
  <c r="T28" i="14"/>
  <c r="S27" i="1" s="1" a="1"/>
  <c r="S27" i="1" s="1"/>
  <c r="T26" i="14"/>
  <c r="S25" i="1" s="1" a="1"/>
  <c r="S25" i="1" s="1"/>
  <c r="T23" i="14"/>
  <c r="S22" i="1" s="1" a="1"/>
  <c r="S22" i="1" s="1"/>
  <c r="P19" i="14"/>
  <c r="M18" i="1" s="1" a="1"/>
  <c r="M18" i="1" s="1"/>
  <c r="P26" i="14"/>
  <c r="M25" i="1" s="1" a="1"/>
  <c r="M25" i="1" s="1"/>
  <c r="P21" i="14"/>
  <c r="M20" i="1" s="1" a="1"/>
  <c r="M20" i="1" s="1"/>
  <c r="K26" i="14"/>
  <c r="L25" i="1" s="1" a="1"/>
  <c r="L25" i="1" s="1"/>
  <c r="K20" i="14"/>
  <c r="L19" i="1" s="1" a="1"/>
  <c r="L19" i="1" s="1"/>
  <c r="K23" i="14"/>
  <c r="L22" i="1" s="1" a="1"/>
  <c r="L22" i="1" s="1"/>
  <c r="L20" i="10"/>
  <c r="G20" i="14" s="1"/>
  <c r="L24" i="10"/>
  <c r="G24" i="14" s="1"/>
  <c r="L21" i="10"/>
  <c r="G21" i="14" s="1"/>
  <c r="R278" i="12"/>
  <c r="AB278" i="12"/>
  <c r="Z274" i="12"/>
  <c r="AA274" i="12"/>
  <c r="X279" i="12"/>
  <c r="Z279" i="12"/>
  <c r="AA279" i="12"/>
  <c r="E30" i="1"/>
  <c r="E28" i="1"/>
  <c r="AB275" i="12"/>
  <c r="W278" i="12"/>
  <c r="AB282" i="12"/>
  <c r="B38" i="13"/>
  <c r="B39" i="13"/>
  <c r="B34" i="13"/>
  <c r="B35" i="13"/>
  <c r="B36" i="13"/>
  <c r="B37" i="13"/>
  <c r="C36" i="10"/>
  <c r="C31" i="10"/>
  <c r="C32" i="10"/>
  <c r="C33" i="10"/>
  <c r="C34" i="10"/>
  <c r="C35" i="10"/>
  <c r="B28" i="9"/>
  <c r="B29" i="9"/>
  <c r="B31" i="9"/>
  <c r="B32" i="9"/>
  <c r="B33" i="9"/>
  <c r="K124" i="14"/>
  <c r="K40" i="14"/>
  <c r="P44" i="14"/>
  <c r="M42" i="1" s="1" a="1"/>
  <c r="M42" i="1" s="1"/>
  <c r="K44" i="14"/>
  <c r="P47" i="14"/>
  <c r="M45" i="1" s="1" a="1"/>
  <c r="M45" i="1" s="1"/>
  <c r="P129" i="14"/>
  <c r="K89" i="14"/>
  <c r="P46" i="14"/>
  <c r="M44" i="1" s="1" a="1"/>
  <c r="M44" i="1" s="1"/>
  <c r="P125" i="14"/>
  <c r="P70" i="14"/>
  <c r="K111" i="14"/>
  <c r="L104" i="1" s="1" a="1"/>
  <c r="L104" i="1" s="1"/>
  <c r="K81" i="14"/>
  <c r="L76" i="1" s="1" a="1"/>
  <c r="L76" i="1" s="1"/>
  <c r="K47" i="14"/>
  <c r="L45" i="1" s="1" a="1"/>
  <c r="L45" i="1" s="1"/>
  <c r="K65" i="14"/>
  <c r="P80" i="14"/>
  <c r="M75" i="1" s="1" a="1"/>
  <c r="M75" i="1" s="1"/>
  <c r="K107" i="14"/>
  <c r="L100" i="1" s="1" a="1"/>
  <c r="L100" i="1" s="1"/>
  <c r="K42" i="14"/>
  <c r="K80" i="14"/>
  <c r="L75" i="1" s="1" a="1"/>
  <c r="L75" i="1" s="1"/>
  <c r="P94" i="14"/>
  <c r="K57" i="14"/>
  <c r="P40" i="14"/>
  <c r="M39" i="1" s="1" a="1"/>
  <c r="M39" i="1" s="1"/>
  <c r="K59" i="14"/>
  <c r="L56" i="1" s="1" a="1"/>
  <c r="L56" i="1" s="1"/>
  <c r="P67" i="14"/>
  <c r="P41" i="14"/>
  <c r="P51" i="14"/>
  <c r="P128" i="14"/>
  <c r="P43" i="14"/>
  <c r="K45" i="14"/>
  <c r="K56" i="14"/>
  <c r="K125" i="14"/>
  <c r="K116" i="14"/>
  <c r="L108" i="1" s="1" a="1"/>
  <c r="L108" i="1" s="1"/>
  <c r="P84" i="14"/>
  <c r="K64" i="14"/>
  <c r="L61" i="1" s="1" a="1"/>
  <c r="L61" i="1" s="1"/>
  <c r="P90" i="14"/>
  <c r="K85" i="14"/>
  <c r="L80" i="1" s="1" a="1"/>
  <c r="L80" i="1" s="1"/>
  <c r="P75" i="14"/>
  <c r="M71" i="1" s="1" a="1"/>
  <c r="M71" i="1" s="1"/>
  <c r="K114" i="14"/>
  <c r="P86" i="14"/>
  <c r="M81" i="1" s="1" a="1"/>
  <c r="M81" i="1" s="1"/>
  <c r="P59" i="14"/>
  <c r="M56" i="1" s="1" a="1"/>
  <c r="M56" i="1" s="1"/>
  <c r="P100" i="14"/>
  <c r="P92" i="14"/>
  <c r="M86" i="1" s="1" a="1"/>
  <c r="M86" i="1" s="1"/>
  <c r="K76" i="14"/>
  <c r="L72" i="1" s="1" a="1"/>
  <c r="L72" i="1" s="1"/>
  <c r="P53" i="14"/>
  <c r="P96" i="14"/>
  <c r="M90" i="1" s="1" a="1"/>
  <c r="M90" i="1" s="1"/>
  <c r="K83" i="14"/>
  <c r="L78" i="1" s="1" a="1"/>
  <c r="L78" i="1" s="1"/>
  <c r="K55" i="14"/>
  <c r="L52" i="1" s="1" a="1"/>
  <c r="L52" i="1" s="1"/>
  <c r="K96" i="14"/>
  <c r="L90" i="1" s="1" a="1"/>
  <c r="L90" i="1" s="1"/>
  <c r="P60" i="14"/>
  <c r="K58" i="14"/>
  <c r="L55" i="1" s="1" a="1"/>
  <c r="L55" i="1" s="1"/>
  <c r="K60" i="14"/>
  <c r="L57" i="1" s="1" a="1"/>
  <c r="L57" i="1" s="1"/>
  <c r="K61" i="14"/>
  <c r="L58" i="1" s="1" a="1"/>
  <c r="L58" i="1" s="1"/>
  <c r="K113" i="14"/>
  <c r="P71" i="14"/>
  <c r="M67" i="1" s="1" a="1"/>
  <c r="M67" i="1" s="1"/>
  <c r="P62" i="14"/>
  <c r="K51" i="14"/>
  <c r="K95" i="14"/>
  <c r="L89" i="1" s="1" a="1"/>
  <c r="L89" i="1" s="1"/>
  <c r="K94" i="14"/>
  <c r="L88" i="1" s="1" a="1"/>
  <c r="L88" i="1" s="1"/>
  <c r="K91" i="14"/>
  <c r="K66" i="14"/>
  <c r="K62" i="14"/>
  <c r="L59" i="1" s="1" a="1"/>
  <c r="L59" i="1" s="1"/>
  <c r="K115" i="14"/>
  <c r="L107" i="1" s="1" a="1"/>
  <c r="L107" i="1" s="1"/>
  <c r="D46" i="13"/>
  <c r="L108" i="14"/>
  <c r="Q108" i="14"/>
  <c r="Q95" i="14"/>
  <c r="Q86" i="14"/>
  <c r="Q81" i="1" s="1" a="1"/>
  <c r="Q81" i="1" s="1"/>
  <c r="L113" i="14"/>
  <c r="Q100" i="14"/>
  <c r="Q94" i="1" s="1" a="1"/>
  <c r="Q94" i="1" s="1"/>
  <c r="Q87" i="14"/>
  <c r="L120" i="14"/>
  <c r="L127" i="14"/>
  <c r="L56" i="14"/>
  <c r="L102" i="14"/>
  <c r="Q117" i="14"/>
  <c r="Q109" i="1" s="1" a="1"/>
  <c r="Q109" i="1" s="1"/>
  <c r="L129" i="14"/>
  <c r="L71" i="14"/>
  <c r="P67" i="1" s="1" a="1"/>
  <c r="P67" i="1" s="1"/>
  <c r="L68" i="14"/>
  <c r="L92" i="14"/>
  <c r="P86" i="1" s="1" a="1"/>
  <c r="P86" i="1" s="1"/>
  <c r="Q129" i="14"/>
  <c r="Q120" i="1" s="1" a="1"/>
  <c r="Q120" i="1" s="1"/>
  <c r="Q112" i="14"/>
  <c r="Q105" i="1" s="1" a="1"/>
  <c r="Q105" i="1" s="1"/>
  <c r="L40" i="14"/>
  <c r="P39" i="1" s="1" a="1"/>
  <c r="P39" i="1" s="1"/>
  <c r="Q85" i="14"/>
  <c r="Q50" i="14"/>
  <c r="Q48" i="1" s="1" a="1"/>
  <c r="Q48" i="1" s="1"/>
  <c r="Q74" i="14"/>
  <c r="Q70" i="1" s="1" a="1"/>
  <c r="Q70" i="1" s="1"/>
  <c r="Q111" i="14"/>
  <c r="L85" i="14"/>
  <c r="L125" i="14"/>
  <c r="L132" i="14"/>
  <c r="P123" i="1" s="1" a="1"/>
  <c r="P123" i="1" s="1"/>
  <c r="Q113" i="14"/>
  <c r="Q81" i="14"/>
  <c r="Q76" i="1" s="1" a="1"/>
  <c r="Q76" i="1" s="1"/>
  <c r="Q116" i="14"/>
  <c r="Q108" i="1" s="1" a="1"/>
  <c r="Q108" i="1" s="1"/>
  <c r="Q124" i="14"/>
  <c r="Q116" i="1" s="1" a="1"/>
  <c r="Q116" i="1" s="1"/>
  <c r="Q67" i="14"/>
  <c r="Q63" i="1" s="1" a="1"/>
  <c r="Q63" i="1" s="1"/>
  <c r="L95" i="14"/>
  <c r="P89" i="1" s="1" a="1"/>
  <c r="P89" i="1" s="1"/>
  <c r="Q91" i="14"/>
  <c r="Q85" i="1" s="1" a="1"/>
  <c r="Q85" i="1" s="1"/>
  <c r="Q39" i="14"/>
  <c r="L104" i="14"/>
  <c r="Q102" i="14"/>
  <c r="Q95" i="1" s="1" a="1"/>
  <c r="Q95" i="1" s="1"/>
  <c r="L70" i="14"/>
  <c r="Q61" i="14"/>
  <c r="Q60" i="14" s="1"/>
  <c r="Q59" i="14" s="1"/>
  <c r="Q56" i="1" s="1" a="1"/>
  <c r="Q56" i="1" s="1"/>
  <c r="Q69" i="14"/>
  <c r="Q65" i="1" s="1" a="1"/>
  <c r="Q65" i="1" s="1"/>
  <c r="L79" i="14"/>
  <c r="L82" i="14"/>
  <c r="P77" i="1" s="1" a="1"/>
  <c r="P77" i="1" s="1"/>
  <c r="Q44" i="14"/>
  <c r="Q42" i="1" s="1" a="1"/>
  <c r="Q42" i="1" s="1"/>
  <c r="Q43" i="14"/>
  <c r="Q41" i="1" s="1" a="1"/>
  <c r="Q41" i="1" s="1"/>
  <c r="Q64" i="14"/>
  <c r="Q61" i="1" s="1" a="1"/>
  <c r="Q61" i="1" s="1"/>
  <c r="Q135" i="14"/>
  <c r="Q126" i="1" s="1" a="1"/>
  <c r="Q126" i="1" s="1"/>
  <c r="Q37" i="14"/>
  <c r="Q36" i="1" s="1" a="1"/>
  <c r="Q36" i="1" s="1"/>
  <c r="L74" i="14"/>
  <c r="Q40" i="14"/>
  <c r="L130" i="14"/>
  <c r="Q54" i="14"/>
  <c r="L87" i="14"/>
  <c r="P82" i="1" s="1" a="1"/>
  <c r="P82" i="1" s="1"/>
  <c r="L42" i="14"/>
  <c r="P40" i="1" s="1" a="1"/>
  <c r="P40" i="1" s="1"/>
  <c r="L78" i="14"/>
  <c r="P73" i="1" s="1" a="1"/>
  <c r="P73" i="1" s="1"/>
  <c r="L54" i="14"/>
  <c r="P51" i="1" s="1" a="1"/>
  <c r="P51" i="1" s="1"/>
  <c r="L116" i="14"/>
  <c r="P108" i="1" s="1" a="1"/>
  <c r="P108" i="1" s="1"/>
  <c r="L65" i="14"/>
  <c r="Q66" i="14"/>
  <c r="Q62" i="1" s="1" a="1"/>
  <c r="Q62" i="1" s="1"/>
  <c r="L131" i="14"/>
  <c r="P122" i="1" s="1" a="1"/>
  <c r="P122" i="1" s="1"/>
  <c r="Q70" i="14"/>
  <c r="Q66" i="1" s="1" a="1"/>
  <c r="Q66" i="1" s="1"/>
  <c r="L109" i="14"/>
  <c r="Q73" i="14"/>
  <c r="Q69" i="1" s="1" a="1"/>
  <c r="Q69" i="1" s="1"/>
  <c r="L137" i="14"/>
  <c r="L107" i="14"/>
  <c r="Q51" i="14"/>
  <c r="L139" i="14"/>
  <c r="P129" i="1" s="1" a="1"/>
  <c r="P129" i="1" s="1"/>
  <c r="Q137" i="14"/>
  <c r="L97" i="14"/>
  <c r="Q114" i="14"/>
  <c r="L86" i="14"/>
  <c r="P81" i="1" s="1" a="1"/>
  <c r="P81" i="1" s="1"/>
  <c r="L94" i="14"/>
  <c r="Q94" i="14"/>
  <c r="L45" i="14"/>
  <c r="L48" i="14"/>
  <c r="L49" i="14"/>
  <c r="P47" i="1" s="1" a="1"/>
  <c r="P47" i="1" s="1"/>
  <c r="Q125" i="14"/>
  <c r="Q104" i="14"/>
  <c r="Q97" i="1" s="1" a="1"/>
  <c r="Q97" i="1" s="1"/>
  <c r="L46" i="14"/>
  <c r="P44" i="1" s="1" a="1"/>
  <c r="P44" i="1" s="1"/>
  <c r="Q131" i="14"/>
  <c r="Q122" i="1" s="1" a="1"/>
  <c r="Q122" i="1" s="1"/>
  <c r="Q121" i="14"/>
  <c r="Q113" i="1" s="1" a="1"/>
  <c r="Q113" i="1" s="1"/>
  <c r="L37" i="14"/>
  <c r="L134" i="14"/>
  <c r="L140" i="14"/>
  <c r="Q92" i="14"/>
  <c r="Q77" i="14"/>
  <c r="Q128" i="14"/>
  <c r="L73" i="14"/>
  <c r="L90" i="14"/>
  <c r="P84" i="1" s="1" a="1"/>
  <c r="P84" i="1" s="1"/>
  <c r="L66" i="14"/>
  <c r="P62" i="1" s="1" a="1"/>
  <c r="P62" i="1" s="1"/>
  <c r="Q46" i="14"/>
  <c r="Q44" i="1" s="1" a="1"/>
  <c r="Q44" i="1" s="1"/>
  <c r="L47" i="14"/>
  <c r="P45" i="1" s="1" a="1"/>
  <c r="P45" i="1" s="1"/>
  <c r="L96" i="14"/>
  <c r="P90" i="1" s="1" a="1"/>
  <c r="P90" i="1" s="1"/>
  <c r="L126" i="14"/>
  <c r="P117" i="1" s="1" a="1"/>
  <c r="P117" i="1" s="1"/>
  <c r="Q107" i="14"/>
  <c r="Q100" i="1" s="1" a="1"/>
  <c r="Q100" i="1" s="1"/>
  <c r="Q41" i="14"/>
  <c r="L81" i="14"/>
  <c r="P76" i="1" s="1" a="1"/>
  <c r="P76" i="1" s="1"/>
  <c r="L67" i="14"/>
  <c r="Q80" i="14"/>
  <c r="L39" i="14"/>
  <c r="L61" i="14"/>
  <c r="P58" i="1" s="1" a="1"/>
  <c r="P58" i="1" s="1"/>
  <c r="Q79" i="14"/>
  <c r="Q74" i="1" s="1" a="1"/>
  <c r="Q74" i="1" s="1"/>
  <c r="Q89" i="14"/>
  <c r="L62" i="14"/>
  <c r="Q109" i="14"/>
  <c r="Q102" i="1" s="1" a="1"/>
  <c r="Q102" i="1" s="1"/>
  <c r="L76" i="14"/>
  <c r="Q45" i="14"/>
  <c r="Q43" i="1" s="1" a="1"/>
  <c r="Q43" i="1" s="1"/>
  <c r="L128" i="14"/>
  <c r="Q127" i="14"/>
  <c r="L136" i="14"/>
  <c r="L84" i="14"/>
  <c r="L119" i="14"/>
  <c r="Q136" i="14"/>
  <c r="Q127" i="1" s="1" a="1"/>
  <c r="Q127" i="1" s="1"/>
  <c r="L133" i="14"/>
  <c r="P124" i="1" s="1" a="1"/>
  <c r="P124" i="1" s="1"/>
  <c r="Q103" i="14"/>
  <c r="Q96" i="1" s="1" a="1"/>
  <c r="Q96" i="1" s="1"/>
  <c r="Q38" i="14"/>
  <c r="Q133" i="14"/>
  <c r="Q126" i="14"/>
  <c r="Q82" i="14"/>
  <c r="Q77" i="1" s="1" a="1"/>
  <c r="Q77" i="1" s="1"/>
  <c r="Q98" i="14"/>
  <c r="Q92" i="1" s="1" a="1"/>
  <c r="Q92" i="1" s="1"/>
  <c r="L93" i="14"/>
  <c r="L55" i="14"/>
  <c r="L98" i="14"/>
  <c r="Q119" i="14"/>
  <c r="Q111" i="1" s="1" a="1"/>
  <c r="Q111" i="1" s="1"/>
  <c r="L99" i="14"/>
  <c r="P93" i="1" s="1" a="1"/>
  <c r="P93" i="1" s="1"/>
  <c r="L101" i="14"/>
  <c r="L41" i="14"/>
  <c r="Q71" i="14"/>
  <c r="Q67" i="1" s="1" a="1"/>
  <c r="Q67" i="1" s="1"/>
  <c r="Q75" i="14"/>
  <c r="Q71" i="1" s="1" a="1"/>
  <c r="Q71" i="1" s="1"/>
  <c r="Q42" i="14"/>
  <c r="L44" i="14"/>
  <c r="P42" i="1" s="1" a="1"/>
  <c r="P42" i="1" s="1"/>
  <c r="L43" i="14"/>
  <c r="L123" i="14"/>
  <c r="P115" i="1" s="1" a="1"/>
  <c r="P115" i="1" s="1"/>
  <c r="L118" i="14"/>
  <c r="P110" i="1" s="1" a="1"/>
  <c r="P110" i="1" s="1"/>
  <c r="Q122" i="14"/>
  <c r="Q114" i="1" s="1" a="1"/>
  <c r="Q114" i="1" s="1"/>
  <c r="Q123" i="14"/>
  <c r="Q115" i="1" s="1" a="1"/>
  <c r="Q115" i="1" s="1"/>
  <c r="Q76" i="14"/>
  <c r="Q72" i="1" s="1" a="1"/>
  <c r="Q72" i="1" s="1"/>
  <c r="L53" i="14"/>
  <c r="Q84" i="14"/>
  <c r="Q79" i="1" s="1" a="1"/>
  <c r="Q79" i="1" s="1"/>
  <c r="L52" i="14"/>
  <c r="Q57" i="14"/>
  <c r="Q54" i="1" s="1" a="1"/>
  <c r="Q54" i="1" s="1"/>
  <c r="L117" i="14"/>
  <c r="P109" i="1" s="1" a="1"/>
  <c r="P109" i="1" s="1"/>
  <c r="L112" i="14"/>
  <c r="P105" i="1" s="1" a="1"/>
  <c r="P105" i="1" s="1"/>
  <c r="L77" i="14"/>
  <c r="L121" i="14"/>
  <c r="Q52" i="14"/>
  <c r="L50" i="14"/>
  <c r="Q140" i="14"/>
  <c r="L105" i="14"/>
  <c r="P98" i="1" s="1" a="1"/>
  <c r="P98" i="1" s="1"/>
  <c r="L51" i="14"/>
  <c r="Q134" i="14"/>
  <c r="Q125" i="1" s="1" a="1"/>
  <c r="Q125" i="1" s="1"/>
  <c r="L114" i="14"/>
  <c r="P106" i="1" s="1" a="1"/>
  <c r="P106" i="1" s="1"/>
  <c r="Q58" i="14"/>
  <c r="Q55" i="1" s="1" a="1"/>
  <c r="Q55" i="1" s="1"/>
  <c r="L103" i="14"/>
  <c r="P96" i="1" s="1" a="1"/>
  <c r="P96" i="1" s="1"/>
  <c r="L115" i="14"/>
  <c r="P107" i="1" s="1" a="1"/>
  <c r="P107" i="1" s="1"/>
  <c r="Q132" i="14"/>
  <c r="L124" i="14"/>
  <c r="P116" i="1" s="1" a="1"/>
  <c r="P116" i="1" s="1"/>
  <c r="Q62" i="14"/>
  <c r="Q110" i="14"/>
  <c r="L91" i="14"/>
  <c r="L122" i="14"/>
  <c r="P114" i="1" s="1" a="1"/>
  <c r="P114" i="1" s="1"/>
  <c r="L75" i="14"/>
  <c r="P71" i="1" s="1" a="1"/>
  <c r="P71" i="1" s="1"/>
  <c r="Q93" i="14"/>
  <c r="Q87" i="1" s="1" a="1"/>
  <c r="Q87" i="1" s="1"/>
  <c r="Q106" i="14"/>
  <c r="Q99" i="1" s="1" a="1"/>
  <c r="Q99" i="1" s="1"/>
  <c r="Q101" i="14"/>
  <c r="L69" i="14"/>
  <c r="P65" i="1" s="1" a="1"/>
  <c r="P65" i="1" s="1"/>
  <c r="Q72" i="14"/>
  <c r="Q68" i="1" s="1" a="1"/>
  <c r="Q68" i="1" s="1"/>
  <c r="Q83" i="14"/>
  <c r="Q78" i="1" s="1" a="1"/>
  <c r="Q78" i="1" s="1"/>
  <c r="L57" i="14"/>
  <c r="Q47" i="14"/>
  <c r="Q45" i="1" s="1" a="1"/>
  <c r="Q45" i="1" s="1"/>
  <c r="Q139" i="14"/>
  <c r="Q129" i="1" s="1" a="1"/>
  <c r="Q129" i="1" s="1"/>
  <c r="Q120" i="14"/>
  <c r="Q112" i="1" s="1" a="1"/>
  <c r="Q112" i="1" s="1"/>
  <c r="Q49" i="14"/>
  <c r="Q47" i="1" s="1" a="1"/>
  <c r="Q47" i="1" s="1"/>
  <c r="B37" i="10"/>
  <c r="Q55" i="14"/>
  <c r="Q52" i="1" s="1" a="1"/>
  <c r="Q52" i="1" s="1"/>
  <c r="L38" i="14"/>
  <c r="P37" i="1" s="1" a="1"/>
  <c r="P37" i="1" s="1"/>
  <c r="Q115" i="14"/>
  <c r="Q107" i="1" s="1" a="1"/>
  <c r="Q107" i="1" s="1"/>
  <c r="L88" i="14"/>
  <c r="P83" i="1" s="1" a="1"/>
  <c r="P83" i="1" s="1"/>
  <c r="Q96" i="14"/>
  <c r="Q90" i="1" s="1" a="1"/>
  <c r="Q90" i="1" s="1"/>
  <c r="Q68" i="14"/>
  <c r="Q64" i="1" s="1" a="1"/>
  <c r="Q64" i="1" s="1"/>
  <c r="L106" i="14"/>
  <c r="L138" i="14"/>
  <c r="P128" i="1" s="1" a="1"/>
  <c r="P128" i="1" s="1"/>
  <c r="L111" i="14"/>
  <c r="P104" i="1" s="1" a="1"/>
  <c r="P104" i="1" s="1"/>
  <c r="Q90" i="14"/>
  <c r="Q84" i="1" s="1" a="1"/>
  <c r="Q84" i="1" s="1"/>
  <c r="D13" i="15"/>
  <c r="P121" i="14"/>
  <c r="P124" i="14"/>
  <c r="P120" i="14"/>
  <c r="M112" i="1" s="1" a="1"/>
  <c r="M112" i="1" s="1"/>
  <c r="P139" i="14"/>
  <c r="M129" i="1" s="1" a="1"/>
  <c r="M129" i="1" s="1"/>
  <c r="P108" i="14"/>
  <c r="P104" i="14"/>
  <c r="M97" i="1" s="1" a="1"/>
  <c r="M97" i="1" s="1"/>
  <c r="P115" i="14"/>
  <c r="M107" i="1" s="1" a="1"/>
  <c r="M107" i="1" s="1"/>
  <c r="P102" i="14"/>
  <c r="M95" i="1" s="1" a="1"/>
  <c r="M95" i="1" s="1"/>
  <c r="K102" i="14"/>
  <c r="L95" i="1" s="1" a="1"/>
  <c r="L95" i="1" s="1"/>
  <c r="P99" i="14"/>
  <c r="M93" i="1" s="1" a="1"/>
  <c r="M93" i="1" s="1"/>
  <c r="P61" i="14"/>
  <c r="M58" i="1" s="1" a="1"/>
  <c r="M58" i="1" s="1"/>
  <c r="K140" i="14"/>
  <c r="L130" i="1" s="1" a="1"/>
  <c r="L130" i="1" s="1"/>
  <c r="K126" i="14"/>
  <c r="L117" i="1" s="1" a="1"/>
  <c r="L117" i="1" s="1"/>
  <c r="K109" i="14"/>
  <c r="K137" i="14"/>
  <c r="P87" i="14"/>
  <c r="M82" i="1" s="1" a="1"/>
  <c r="M82" i="1" s="1"/>
  <c r="P52" i="14"/>
  <c r="M50" i="1" s="1" a="1"/>
  <c r="M50" i="1" s="1"/>
  <c r="P68" i="14"/>
  <c r="M64" i="1" s="1" a="1"/>
  <c r="M64" i="1" s="1"/>
  <c r="P39" i="14"/>
  <c r="P55" i="14"/>
  <c r="M52" i="1" s="1" a="1"/>
  <c r="M52" i="1" s="1"/>
  <c r="P58" i="14"/>
  <c r="M55" i="1" s="1" a="1"/>
  <c r="M55" i="1" s="1"/>
  <c r="K50" i="14"/>
  <c r="P82" i="14"/>
  <c r="M77" i="1" s="1" a="1"/>
  <c r="M77" i="1" s="1"/>
  <c r="K38" i="14"/>
  <c r="L37" i="1" s="1" a="1"/>
  <c r="L37" i="1" s="1"/>
  <c r="K52" i="14"/>
  <c r="P78" i="14"/>
  <c r="M73" i="1" s="1" a="1"/>
  <c r="M73" i="1" s="1"/>
  <c r="P73" i="14"/>
  <c r="M69" i="1" s="1" a="1"/>
  <c r="M69" i="1" s="1"/>
  <c r="P42" i="14"/>
  <c r="P49" i="14"/>
  <c r="M47" i="1" s="1" a="1"/>
  <c r="M47" i="1" s="1"/>
  <c r="K53" i="14"/>
  <c r="P54" i="14"/>
  <c r="M51" i="1" s="1" a="1"/>
  <c r="M51" i="1" s="1"/>
  <c r="K75" i="14"/>
  <c r="L71" i="1" s="1" a="1"/>
  <c r="L71" i="1" s="1"/>
  <c r="P69" i="14"/>
  <c r="M65" i="1" s="1" a="1"/>
  <c r="M65" i="1" s="1"/>
  <c r="P89" i="14"/>
  <c r="P48" i="14"/>
  <c r="M46" i="1" s="1" a="1"/>
  <c r="M46" i="1" s="1"/>
  <c r="P63" i="14"/>
  <c r="M60" i="1" s="1" a="1"/>
  <c r="M60" i="1" s="1"/>
  <c r="K70" i="14"/>
  <c r="L66" i="1" s="1" a="1"/>
  <c r="L66" i="1" s="1"/>
  <c r="P50" i="14"/>
  <c r="M48" i="1" s="1" a="1"/>
  <c r="M48" i="1" s="1"/>
  <c r="K68" i="14"/>
  <c r="L64" i="1" s="1" a="1"/>
  <c r="L64" i="1" s="1"/>
  <c r="K69" i="14"/>
  <c r="L65" i="1" s="1" a="1"/>
  <c r="L65" i="1" s="1"/>
  <c r="K37" i="14"/>
  <c r="K36" i="14" s="1"/>
  <c r="K35" i="14" s="1"/>
  <c r="L34" i="1" s="1" a="1"/>
  <c r="L34" i="1" s="1"/>
  <c r="K67" i="14"/>
  <c r="L63" i="1" s="1" a="1"/>
  <c r="L63" i="1" s="1"/>
  <c r="K46" i="14"/>
  <c r="L44" i="1" s="1" a="1"/>
  <c r="L44" i="1" s="1"/>
  <c r="P45" i="14"/>
  <c r="M43" i="1" s="1" a="1"/>
  <c r="M43" i="1" s="1"/>
  <c r="K49" i="14"/>
  <c r="L47" i="1" s="1" a="1"/>
  <c r="L47" i="1" s="1"/>
  <c r="P77" i="14"/>
  <c r="P38" i="14"/>
  <c r="K41" i="14"/>
  <c r="K72" i="14"/>
  <c r="O97" i="14"/>
  <c r="K112" i="14"/>
  <c r="L105" i="1" s="1" a="1"/>
  <c r="L105" i="1" s="1"/>
  <c r="K106" i="14"/>
  <c r="L99" i="1" s="1" a="1"/>
  <c r="L99" i="1" s="1"/>
  <c r="K138" i="14"/>
  <c r="L128" i="1" s="1" a="1"/>
  <c r="L128" i="1" s="1"/>
  <c r="K98" i="14"/>
  <c r="L92" i="1" s="1" a="1"/>
  <c r="L92" i="1" s="1"/>
  <c r="K73" i="14"/>
  <c r="L69" i="1" s="1" a="1"/>
  <c r="L69" i="1" s="1"/>
  <c r="X278" i="9"/>
  <c r="C30" i="9" s="1"/>
  <c r="K108" i="14"/>
  <c r="K123" i="14"/>
  <c r="L115" i="1" s="1" a="1"/>
  <c r="L115" i="1" s="1"/>
  <c r="K103" i="14"/>
  <c r="X275" i="9"/>
  <c r="C33" i="9" s="1"/>
  <c r="P132" i="14"/>
  <c r="M123" i="1" s="1" a="1"/>
  <c r="M123" i="1" s="1"/>
  <c r="Q138" i="14"/>
  <c r="Q128" i="1" s="1" a="1"/>
  <c r="Q128" i="1" s="1"/>
  <c r="L83" i="14"/>
  <c r="P78" i="1" s="1" a="1"/>
  <c r="P78" i="1" s="1"/>
  <c r="L135" i="14"/>
  <c r="P126" i="1" s="1" a="1"/>
  <c r="P126" i="1" s="1"/>
  <c r="P117" i="14"/>
  <c r="Q105" i="14"/>
  <c r="Q98" i="1" s="1" a="1"/>
  <c r="Q98" i="1" s="1"/>
  <c r="P56" i="14"/>
  <c r="Q118" i="14"/>
  <c r="Q110" i="1" s="1" a="1"/>
  <c r="Q110" i="1" s="1"/>
  <c r="Q97" i="14"/>
  <c r="L58" i="14"/>
  <c r="Q99" i="14"/>
  <c r="Q93" i="1" s="1" a="1"/>
  <c r="Q93" i="1" s="1"/>
  <c r="Q88" i="14"/>
  <c r="Q83" i="1" s="1" a="1"/>
  <c r="Q83" i="1" s="1"/>
  <c r="L72" i="14"/>
  <c r="L110" i="14"/>
  <c r="P103" i="1" s="1" a="1"/>
  <c r="P103" i="1" s="1"/>
  <c r="K99" i="14"/>
  <c r="Q78" i="14"/>
  <c r="K48" i="14"/>
  <c r="L46" i="1" s="1" a="1"/>
  <c r="L46" i="1" s="1"/>
  <c r="L89" i="14"/>
  <c r="Q53" i="14"/>
  <c r="P64" i="14"/>
  <c r="M61" i="1" s="1" a="1"/>
  <c r="M61" i="1" s="1"/>
  <c r="Q65" i="14"/>
  <c r="L80" i="14"/>
  <c r="P75" i="1" s="1" a="1"/>
  <c r="P75" i="1" s="1"/>
  <c r="K54" i="14"/>
  <c r="L51" i="1" s="1" a="1"/>
  <c r="L51" i="1" s="1"/>
  <c r="L64" i="14"/>
  <c r="P61" i="1" s="1" a="1"/>
  <c r="P61" i="1" s="1"/>
  <c r="L63" i="14"/>
  <c r="P60" i="1" s="1" a="1"/>
  <c r="P60" i="1" s="1"/>
  <c r="K43" i="14"/>
  <c r="K39" i="14"/>
  <c r="L38" i="1" s="1" a="1"/>
  <c r="L38" i="1" s="1"/>
  <c r="P57" i="14"/>
  <c r="M54" i="1" s="1" a="1"/>
  <c r="M54" i="1" s="1"/>
  <c r="Q130" i="14"/>
  <c r="Q121" i="1" s="1" a="1"/>
  <c r="Q121" i="1" s="1"/>
  <c r="L100" i="14"/>
  <c r="P94" i="1" s="1" a="1"/>
  <c r="P94" i="1" s="1"/>
  <c r="S46" i="14"/>
  <c r="K44" i="1" s="1" a="1"/>
  <c r="K44" i="1" s="1"/>
  <c r="T79" i="14"/>
  <c r="X277" i="9"/>
  <c r="C31" i="9" s="1"/>
  <c r="K130" i="14"/>
  <c r="P135" i="14"/>
  <c r="M126" i="1" s="1" a="1"/>
  <c r="M126" i="1" s="1"/>
  <c r="P127" i="14"/>
  <c r="M118" i="1" s="1" a="1"/>
  <c r="M118" i="1" s="1"/>
  <c r="P112" i="14"/>
  <c r="P118" i="14"/>
  <c r="M110" i="1" s="1" a="1"/>
  <c r="M110" i="1" s="1"/>
  <c r="K131" i="14"/>
  <c r="L122" i="1" s="1" a="1"/>
  <c r="L122" i="1" s="1"/>
  <c r="P138" i="14"/>
  <c r="M128" i="1" s="1" a="1"/>
  <c r="M128" i="1" s="1"/>
  <c r="K135" i="14"/>
  <c r="L126" i="1" s="1" a="1"/>
  <c r="L126" i="1" s="1"/>
  <c r="K88" i="14"/>
  <c r="L83" i="1" s="1" a="1"/>
  <c r="L83" i="1" s="1"/>
  <c r="P65" i="14"/>
  <c r="K104" i="14"/>
  <c r="L97" i="1" s="1" a="1"/>
  <c r="L97" i="1" s="1"/>
  <c r="K129" i="14"/>
  <c r="L120" i="1" s="1" a="1"/>
  <c r="L120" i="1" s="1"/>
  <c r="P83" i="14"/>
  <c r="P81" i="14"/>
  <c r="M76" i="1" s="1" a="1"/>
  <c r="M76" i="1" s="1"/>
  <c r="K78" i="14"/>
  <c r="L73" i="1" s="1" a="1"/>
  <c r="L73" i="1" s="1"/>
  <c r="K92" i="14"/>
  <c r="L86" i="1" s="1" a="1"/>
  <c r="L86" i="1" s="1"/>
  <c r="P85" i="14"/>
  <c r="M80" i="1" s="1" a="1"/>
  <c r="M80" i="1" s="1"/>
  <c r="T140" i="14"/>
  <c r="S130" i="1" s="1" a="1"/>
  <c r="S130" i="1" s="1"/>
  <c r="P37" i="14"/>
  <c r="P36" i="14" s="1"/>
  <c r="P35" i="14" s="1"/>
  <c r="M34" i="1" s="1" a="1"/>
  <c r="M34" i="1" s="1"/>
  <c r="U29" i="2"/>
  <c r="K134" i="14"/>
  <c r="L125" i="1" s="1" a="1"/>
  <c r="L125" i="1" s="1"/>
  <c r="K119" i="14"/>
  <c r="L111" i="1" s="1" a="1"/>
  <c r="L111" i="1" s="1"/>
  <c r="P119" i="14"/>
  <c r="M111" i="1" s="1" a="1"/>
  <c r="M111" i="1" s="1"/>
  <c r="O112" i="14"/>
  <c r="R105" i="1" s="1" a="1"/>
  <c r="R105" i="1" s="1"/>
  <c r="T129" i="14"/>
  <c r="S120" i="1" s="1" a="1"/>
  <c r="S120" i="1" s="1"/>
  <c r="O102" i="14"/>
  <c r="R95" i="1" s="1" a="1"/>
  <c r="R95" i="1" s="1"/>
  <c r="K121" i="14"/>
  <c r="L113" i="1" s="1" a="1"/>
  <c r="L113" i="1" s="1"/>
  <c r="X279" i="9"/>
  <c r="C29" i="9" s="1"/>
  <c r="P140" i="14"/>
  <c r="M130" i="1" s="1" a="1"/>
  <c r="M130" i="1" s="1"/>
  <c r="P110" i="14"/>
  <c r="M103" i="1" s="1" a="1"/>
  <c r="M103" i="1" s="1"/>
  <c r="K128" i="14"/>
  <c r="L119" i="1" s="1" a="1"/>
  <c r="L119" i="1" s="1"/>
  <c r="K120" i="14"/>
  <c r="P72" i="14"/>
  <c r="M68" i="1" s="1" a="1"/>
  <c r="M68" i="1" s="1"/>
  <c r="P122" i="14"/>
  <c r="M114" i="1" s="1" a="1"/>
  <c r="M114" i="1" s="1"/>
  <c r="K118" i="14"/>
  <c r="L110" i="1" s="1" a="1"/>
  <c r="L110" i="1" s="1"/>
  <c r="K97" i="14"/>
  <c r="L91" i="1" s="1" a="1"/>
  <c r="L91" i="1" s="1"/>
  <c r="K105" i="14"/>
  <c r="L98" i="1" s="1" a="1"/>
  <c r="L98" i="1" s="1"/>
  <c r="P126" i="14"/>
  <c r="M117" i="1" s="1" a="1"/>
  <c r="M117" i="1" s="1"/>
  <c r="P74" i="14"/>
  <c r="K100" i="14"/>
  <c r="L94" i="1" s="1" a="1"/>
  <c r="L94" i="1" s="1"/>
  <c r="K82" i="14"/>
  <c r="L77" i="1" s="1" a="1"/>
  <c r="L77" i="1" s="1"/>
  <c r="K71" i="14"/>
  <c r="L67" i="1" s="1" a="1"/>
  <c r="L67" i="1" s="1"/>
  <c r="P76" i="14"/>
  <c r="M72" i="1" s="1" a="1"/>
  <c r="M72" i="1" s="1"/>
  <c r="Q56" i="14"/>
  <c r="Q53" i="1" s="1" a="1"/>
  <c r="Q53" i="1" s="1"/>
  <c r="T66" i="14"/>
  <c r="O123" i="14"/>
  <c r="R115" i="1" s="1" a="1"/>
  <c r="R115" i="1" s="1"/>
  <c r="O70" i="14"/>
  <c r="R66" i="1" s="1" a="1"/>
  <c r="R66" i="1" s="1"/>
  <c r="S53" i="14"/>
  <c r="O64" i="14"/>
  <c r="R61" i="1" s="1" a="1"/>
  <c r="R61" i="1" s="1"/>
  <c r="P136" i="14"/>
  <c r="M127" i="1" s="1" a="1"/>
  <c r="M127" i="1" s="1"/>
  <c r="K132" i="14"/>
  <c r="L123" i="1" s="1" a="1"/>
  <c r="L123" i="1" s="1"/>
  <c r="P88" i="14"/>
  <c r="M83" i="1" s="1" a="1"/>
  <c r="M83" i="1" s="1"/>
  <c r="K127" i="14"/>
  <c r="L118" i="1" s="1" a="1"/>
  <c r="L118" i="1" s="1"/>
  <c r="P123" i="14"/>
  <c r="M115" i="1" s="1" a="1"/>
  <c r="M115" i="1" s="1"/>
  <c r="P116" i="14"/>
  <c r="M108" i="1" s="1" a="1"/>
  <c r="M108" i="1" s="1"/>
  <c r="P109" i="14"/>
  <c r="M102" i="1" s="1" a="1"/>
  <c r="M102" i="1" s="1"/>
  <c r="K84" i="14"/>
  <c r="L79" i="1" s="1" a="1"/>
  <c r="L79" i="1" s="1"/>
  <c r="K74" i="14"/>
  <c r="L70" i="1" s="1" a="1"/>
  <c r="L70" i="1" s="1"/>
  <c r="P95" i="14"/>
  <c r="M89" i="1" s="1" a="1"/>
  <c r="M89" i="1" s="1"/>
  <c r="K77" i="14"/>
  <c r="K86" i="14"/>
  <c r="L81" i="1" s="1" a="1"/>
  <c r="L81" i="1" s="1"/>
  <c r="P79" i="14"/>
  <c r="M74" i="1" s="1" a="1"/>
  <c r="M74" i="1" s="1"/>
  <c r="P101" i="14"/>
  <c r="S136" i="14"/>
  <c r="K127" i="1" s="1" a="1"/>
  <c r="K127" i="1" s="1"/>
  <c r="E46" i="15"/>
  <c r="E79" i="15"/>
  <c r="E31" i="15"/>
  <c r="E61" i="15"/>
  <c r="D35" i="15"/>
  <c r="E85" i="15"/>
  <c r="D34" i="15"/>
  <c r="E30" i="15"/>
  <c r="E59" i="15"/>
  <c r="D62" i="15"/>
  <c r="E90" i="15"/>
  <c r="E39" i="15"/>
  <c r="D70" i="15"/>
  <c r="D85" i="15"/>
  <c r="E92" i="15"/>
  <c r="E56" i="15"/>
  <c r="E91" i="15"/>
  <c r="E51" i="15"/>
  <c r="D72" i="15"/>
  <c r="E33" i="15"/>
  <c r="E68" i="15"/>
  <c r="E41" i="15"/>
  <c r="D63" i="15"/>
  <c r="D22" i="15"/>
  <c r="E53" i="15"/>
  <c r="E82" i="15"/>
  <c r="D25" i="15"/>
  <c r="E42" i="15"/>
  <c r="E21" i="15"/>
  <c r="E35" i="15"/>
  <c r="D60" i="15"/>
  <c r="D43" i="15"/>
  <c r="D73" i="15"/>
  <c r="E80" i="15"/>
  <c r="D86" i="15"/>
  <c r="D55" i="15"/>
  <c r="D89" i="15"/>
  <c r="D50" i="15"/>
  <c r="E70" i="15"/>
  <c r="D37" i="15"/>
  <c r="D71" i="15"/>
  <c r="D100" i="15"/>
  <c r="E36" i="15"/>
  <c r="D57" i="15"/>
  <c r="D20" i="15"/>
  <c r="D28" i="15"/>
  <c r="D59" i="15"/>
  <c r="D17" i="15"/>
  <c r="D32" i="15"/>
  <c r="E17" i="15"/>
  <c r="E69" i="15"/>
  <c r="D99" i="15"/>
  <c r="E44" i="15"/>
  <c r="D76" i="15"/>
  <c r="D110" i="15"/>
  <c r="D77" i="15"/>
  <c r="E84" i="15"/>
  <c r="E48" i="15"/>
  <c r="E87" i="15"/>
  <c r="D108" i="15"/>
  <c r="D97" i="15"/>
  <c r="E22" i="15"/>
  <c r="D46" i="15"/>
  <c r="D18" i="15"/>
  <c r="D26" i="15"/>
  <c r="E15" i="15"/>
  <c r="E71" i="15"/>
  <c r="D29" i="15"/>
  <c r="D107" i="15"/>
  <c r="D45" i="15"/>
  <c r="D40" i="15"/>
  <c r="E75" i="15"/>
  <c r="E67" i="15"/>
  <c r="D104" i="15"/>
  <c r="D79" i="15"/>
  <c r="D102" i="15"/>
  <c r="E72" i="15"/>
  <c r="D75" i="15"/>
  <c r="D47" i="15"/>
  <c r="D78" i="15"/>
  <c r="D105" i="15"/>
  <c r="D19" i="15"/>
  <c r="D80" i="15"/>
  <c r="E18" i="15"/>
  <c r="E43" i="15"/>
  <c r="D16" i="15"/>
  <c r="E83" i="15"/>
  <c r="D33" i="15"/>
  <c r="D53" i="15"/>
  <c r="E19" i="15"/>
  <c r="E13" i="15"/>
  <c r="D23" i="15"/>
  <c r="E45" i="15"/>
  <c r="E78" i="15"/>
  <c r="D109" i="15"/>
  <c r="D51" i="15"/>
  <c r="D82" i="15"/>
  <c r="D94" i="15"/>
  <c r="D69" i="15"/>
  <c r="E73" i="15"/>
  <c r="E40" i="15"/>
  <c r="E76" i="15"/>
  <c r="D93" i="15"/>
  <c r="E20" i="15"/>
  <c r="E66" i="15"/>
  <c r="E16" i="15"/>
  <c r="D41" i="15"/>
  <c r="D14" i="15"/>
  <c r="E52" i="15"/>
  <c r="E23" i="15"/>
  <c r="D44" i="15"/>
  <c r="D68" i="15"/>
  <c r="E37" i="15"/>
  <c r="D49" i="15"/>
  <c r="E93" i="15"/>
  <c r="E24" i="15"/>
  <c r="E49" i="15"/>
  <c r="D81" i="15"/>
  <c r="E29" i="15"/>
  <c r="E55" i="15"/>
  <c r="D91" i="15"/>
  <c r="D92" i="15"/>
  <c r="E64" i="15"/>
  <c r="D66" i="15"/>
  <c r="D39" i="15"/>
  <c r="D67" i="15"/>
  <c r="D83" i="15"/>
  <c r="E47" i="15"/>
  <c r="E57" i="15"/>
  <c r="E14" i="15"/>
  <c r="D38" i="15"/>
  <c r="E86" i="15"/>
  <c r="E26" i="15"/>
  <c r="D15" i="15"/>
  <c r="E27" i="15"/>
  <c r="E25" i="15"/>
  <c r="D24" i="15"/>
  <c r="D98" i="15"/>
  <c r="D52" i="15"/>
  <c r="D84" i="15"/>
  <c r="E60" i="15"/>
  <c r="D95" i="15"/>
  <c r="D90" i="15"/>
  <c r="D61" i="15"/>
  <c r="D64" i="15"/>
  <c r="E32" i="15"/>
  <c r="E65" i="15"/>
  <c r="E81" i="15"/>
  <c r="D27" i="15"/>
  <c r="E54" i="15"/>
  <c r="D88" i="15"/>
  <c r="D31" i="15"/>
  <c r="D48" i="15"/>
  <c r="D87" i="15"/>
  <c r="E58" i="15"/>
  <c r="D96" i="15"/>
  <c r="D54" i="15"/>
  <c r="E50" i="15"/>
  <c r="D56" i="15"/>
  <c r="E34" i="15"/>
  <c r="D74" i="15"/>
  <c r="D101" i="15"/>
  <c r="E89" i="15"/>
  <c r="D103" i="15"/>
  <c r="D65" i="15"/>
  <c r="E28" i="15"/>
  <c r="D106" i="15"/>
  <c r="D36" i="15"/>
  <c r="E38" i="15"/>
  <c r="D21" i="15"/>
  <c r="D58" i="15"/>
  <c r="E74" i="15"/>
  <c r="D30" i="15"/>
  <c r="E62" i="15"/>
  <c r="E63" i="15"/>
  <c r="E77" i="15"/>
  <c r="E88" i="15"/>
  <c r="D42" i="15"/>
  <c r="B73" i="13"/>
  <c r="B100" i="13"/>
  <c r="B205" i="13"/>
  <c r="B243" i="13"/>
  <c r="B81" i="13"/>
  <c r="B67" i="13"/>
  <c r="B144" i="13"/>
  <c r="B51" i="13"/>
  <c r="B199" i="13"/>
  <c r="B76" i="13"/>
  <c r="B63" i="13"/>
  <c r="B72" i="13"/>
  <c r="B192" i="13"/>
  <c r="B176" i="13"/>
  <c r="B68" i="13"/>
  <c r="B60" i="13"/>
  <c r="B128" i="13"/>
  <c r="B43" i="13"/>
  <c r="B187" i="13"/>
  <c r="B64" i="13"/>
  <c r="B56" i="13"/>
  <c r="B62" i="13"/>
  <c r="B84" i="13"/>
  <c r="B160" i="13"/>
  <c r="B53" i="13"/>
  <c r="B52" i="13"/>
  <c r="B108" i="13"/>
  <c r="B212" i="13"/>
  <c r="B185" i="13"/>
  <c r="B57" i="13"/>
  <c r="B48" i="13"/>
  <c r="B55" i="13"/>
  <c r="B71" i="13"/>
  <c r="B140" i="13"/>
  <c r="B45" i="13"/>
  <c r="B44" i="13"/>
  <c r="B92" i="13"/>
  <c r="B148" i="13"/>
  <c r="B168" i="13"/>
  <c r="B49" i="13"/>
  <c r="B172" i="13"/>
  <c r="B47" i="13"/>
  <c r="B69" i="13"/>
  <c r="B124" i="13"/>
  <c r="B264" i="13"/>
  <c r="B267" i="13"/>
  <c r="B79" i="13"/>
  <c r="B65" i="13"/>
  <c r="B152" i="13"/>
  <c r="B378" i="13"/>
  <c r="B156" i="13"/>
  <c r="B40" i="13"/>
  <c r="B61" i="13"/>
  <c r="B104" i="13"/>
  <c r="B240" i="13"/>
  <c r="B231" i="13"/>
  <c r="B77" i="13"/>
  <c r="B58" i="13"/>
  <c r="B132" i="13"/>
  <c r="B116" i="13"/>
  <c r="B136" i="13"/>
  <c r="B380" i="13"/>
  <c r="B54" i="13"/>
  <c r="B88" i="13"/>
  <c r="B220" i="13"/>
  <c r="B181" i="13"/>
  <c r="B66" i="13"/>
  <c r="B50" i="13"/>
  <c r="B112" i="13"/>
  <c r="B80" i="13"/>
  <c r="B164" i="13"/>
  <c r="B59" i="13"/>
  <c r="B75" i="13"/>
  <c r="B42" i="13"/>
  <c r="B120" i="13"/>
  <c r="B96" i="13"/>
  <c r="B46" i="13"/>
  <c r="B83" i="13"/>
  <c r="B180" i="13"/>
  <c r="B99" i="13"/>
  <c r="B115" i="13"/>
  <c r="B131" i="13"/>
  <c r="B147" i="13"/>
  <c r="B163" i="13"/>
  <c r="B184" i="13"/>
  <c r="B239" i="13"/>
  <c r="B87" i="13"/>
  <c r="B103" i="13"/>
  <c r="B119" i="13"/>
  <c r="B135" i="13"/>
  <c r="B151" i="13"/>
  <c r="B167" i="13"/>
  <c r="B191" i="13"/>
  <c r="B248" i="13"/>
  <c r="B252" i="13"/>
  <c r="B91" i="13"/>
  <c r="B107" i="13"/>
  <c r="B123" i="13"/>
  <c r="B139" i="13"/>
  <c r="B155" i="13"/>
  <c r="B171" i="13"/>
  <c r="B209" i="13"/>
  <c r="B127" i="13"/>
  <c r="B216" i="13"/>
  <c r="B197" i="13"/>
  <c r="B228" i="13"/>
  <c r="B188" i="13"/>
  <c r="B244" i="13"/>
  <c r="B78" i="13"/>
  <c r="B94" i="13"/>
  <c r="B110" i="13"/>
  <c r="B126" i="13"/>
  <c r="B142" i="13"/>
  <c r="B158" i="13"/>
  <c r="B174" i="13"/>
  <c r="B215" i="13"/>
  <c r="B266" i="13"/>
  <c r="B234" i="13"/>
  <c r="B202" i="13"/>
  <c r="B375" i="13"/>
  <c r="B249" i="13"/>
  <c r="B217" i="13"/>
  <c r="B203" i="13"/>
  <c r="B272" i="13"/>
  <c r="B207" i="13"/>
  <c r="B381" i="13"/>
  <c r="B117" i="13"/>
  <c r="B182" i="13"/>
  <c r="B206" i="13"/>
  <c r="B89" i="13"/>
  <c r="B105" i="13"/>
  <c r="B121" i="13"/>
  <c r="B137" i="13"/>
  <c r="B153" i="13"/>
  <c r="B169" i="13"/>
  <c r="B193" i="13"/>
  <c r="B232" i="13"/>
  <c r="B262" i="13"/>
  <c r="B230" i="13"/>
  <c r="B198" i="13"/>
  <c r="B373" i="13"/>
  <c r="B245" i="13"/>
  <c r="B179" i="13"/>
  <c r="B265" i="13"/>
  <c r="B97" i="13"/>
  <c r="B129" i="13"/>
  <c r="B229" i="13"/>
  <c r="B85" i="13"/>
  <c r="B221" i="13"/>
  <c r="B143" i="13"/>
  <c r="B204" i="13"/>
  <c r="B251" i="13"/>
  <c r="B195" i="13"/>
  <c r="B268" i="13"/>
  <c r="B82" i="13"/>
  <c r="B98" i="13"/>
  <c r="B114" i="13"/>
  <c r="B130" i="13"/>
  <c r="B146" i="13"/>
  <c r="B162" i="13"/>
  <c r="B183" i="13"/>
  <c r="B224" i="13"/>
  <c r="B258" i="13"/>
  <c r="B226" i="13"/>
  <c r="B194" i="13"/>
  <c r="B273" i="13"/>
  <c r="B241" i="13"/>
  <c r="B227" i="13"/>
  <c r="B186" i="13"/>
  <c r="B236" i="13"/>
  <c r="B376" i="13"/>
  <c r="B177" i="13"/>
  <c r="B246" i="13"/>
  <c r="B149" i="13"/>
  <c r="B238" i="13"/>
  <c r="B93" i="13"/>
  <c r="B109" i="13"/>
  <c r="B125" i="13"/>
  <c r="B141" i="13"/>
  <c r="B157" i="13"/>
  <c r="B173" i="13"/>
  <c r="B200" i="13"/>
  <c r="B255" i="13"/>
  <c r="B374" i="13"/>
  <c r="B254" i="13"/>
  <c r="B222" i="13"/>
  <c r="B190" i="13"/>
  <c r="B269" i="13"/>
  <c r="B237" i="13"/>
  <c r="B247" i="13"/>
  <c r="B218" i="13"/>
  <c r="B189" i="13"/>
  <c r="B113" i="13"/>
  <c r="B161" i="13"/>
  <c r="B214" i="13"/>
  <c r="B101" i="13"/>
  <c r="B223" i="13"/>
  <c r="B253" i="13"/>
  <c r="B95" i="13"/>
  <c r="B159" i="13"/>
  <c r="B211" i="13"/>
  <c r="B260" i="13"/>
  <c r="B41" i="13"/>
  <c r="B213" i="13"/>
  <c r="B271" i="13"/>
  <c r="B70" i="13"/>
  <c r="B86" i="13"/>
  <c r="B102" i="13"/>
  <c r="B118" i="13"/>
  <c r="B134" i="13"/>
  <c r="B150" i="13"/>
  <c r="B166" i="13"/>
  <c r="B201" i="13"/>
  <c r="B250" i="13"/>
  <c r="B233" i="13"/>
  <c r="B145" i="13"/>
  <c r="B261" i="13"/>
  <c r="B165" i="13"/>
  <c r="B377" i="13"/>
  <c r="B111" i="13"/>
  <c r="B175" i="13"/>
  <c r="B219" i="13"/>
  <c r="B263" i="13"/>
  <c r="B178" i="13"/>
  <c r="B235" i="13"/>
  <c r="B74" i="13"/>
  <c r="B90" i="13"/>
  <c r="B106" i="13"/>
  <c r="B122" i="13"/>
  <c r="B138" i="13"/>
  <c r="B154" i="13"/>
  <c r="B170" i="13"/>
  <c r="B208" i="13"/>
  <c r="B256" i="13"/>
  <c r="B242" i="13"/>
  <c r="B210" i="13"/>
  <c r="B379" i="13"/>
  <c r="B257" i="13"/>
  <c r="B225" i="13"/>
  <c r="B196" i="13"/>
  <c r="B259" i="13"/>
  <c r="B133" i="13"/>
  <c r="B270" i="13"/>
  <c r="D74" i="13"/>
  <c r="D135" i="13"/>
  <c r="D323" i="13"/>
  <c r="D60" i="13"/>
  <c r="D123" i="13"/>
  <c r="D44" i="13"/>
  <c r="D59" i="13"/>
  <c r="D163" i="13"/>
  <c r="D58" i="13"/>
  <c r="D49" i="13"/>
  <c r="D167" i="13"/>
  <c r="D48" i="13"/>
  <c r="D72" i="13"/>
  <c r="D119" i="13"/>
  <c r="D275" i="13"/>
  <c r="D53" i="13"/>
  <c r="D103" i="13"/>
  <c r="D346" i="13"/>
  <c r="D51" i="13"/>
  <c r="D143" i="13"/>
  <c r="D50" i="13"/>
  <c r="D151" i="13"/>
  <c r="D40" i="13"/>
  <c r="D62" i="13"/>
  <c r="D99" i="13"/>
  <c r="D251" i="13"/>
  <c r="D45" i="13"/>
  <c r="D87" i="13"/>
  <c r="D315" i="13"/>
  <c r="D43" i="13"/>
  <c r="D127" i="13"/>
  <c r="D42" i="13"/>
  <c r="D376" i="13"/>
  <c r="D131" i="13"/>
  <c r="D55" i="13"/>
  <c r="D71" i="13"/>
  <c r="D204" i="13"/>
  <c r="D354" i="13"/>
  <c r="D86" i="13"/>
  <c r="D263" i="13"/>
  <c r="D338" i="13"/>
  <c r="D107" i="13"/>
  <c r="D299" i="13"/>
  <c r="D330" i="13"/>
  <c r="D111" i="13"/>
  <c r="D47" i="13"/>
  <c r="D61" i="13"/>
  <c r="D191" i="13"/>
  <c r="D242" i="13"/>
  <c r="D82" i="13"/>
  <c r="D239" i="13"/>
  <c r="D307" i="13"/>
  <c r="D91" i="13"/>
  <c r="D211" i="13"/>
  <c r="D291" i="13"/>
  <c r="D95" i="13"/>
  <c r="D378" i="13"/>
  <c r="D283" i="13"/>
  <c r="D54" i="13"/>
  <c r="D83" i="13"/>
  <c r="D175" i="13"/>
  <c r="D80" i="13"/>
  <c r="D219" i="13"/>
  <c r="D266" i="13"/>
  <c r="D78" i="13"/>
  <c r="D147" i="13"/>
  <c r="D198" i="13"/>
  <c r="D75" i="13"/>
  <c r="D370" i="13"/>
  <c r="D171" i="13"/>
  <c r="D70" i="13"/>
  <c r="D159" i="13"/>
  <c r="D67" i="13"/>
  <c r="D79" i="13"/>
  <c r="D230" i="13"/>
  <c r="D76" i="13"/>
  <c r="D64" i="13"/>
  <c r="D186" i="13"/>
  <c r="D63" i="13"/>
  <c r="D155" i="13"/>
  <c r="D57" i="13"/>
  <c r="D362" i="13"/>
  <c r="D184" i="13"/>
  <c r="D68" i="13"/>
  <c r="D56" i="13"/>
  <c r="D139" i="13"/>
  <c r="D52" i="13"/>
  <c r="D180" i="13"/>
  <c r="D115" i="13"/>
  <c r="D65" i="13"/>
  <c r="D98" i="13"/>
  <c r="D114" i="13"/>
  <c r="D130" i="13"/>
  <c r="D146" i="13"/>
  <c r="D162" i="13"/>
  <c r="D183" i="13"/>
  <c r="D238" i="13"/>
  <c r="D306" i="13"/>
  <c r="D371" i="13"/>
  <c r="D355" i="13"/>
  <c r="D339" i="13"/>
  <c r="D317" i="13"/>
  <c r="D285" i="13"/>
  <c r="D253" i="13"/>
  <c r="D221" i="13"/>
  <c r="D189" i="13"/>
  <c r="D304" i="13"/>
  <c r="D272" i="13"/>
  <c r="D240" i="13"/>
  <c r="D314" i="13"/>
  <c r="D369" i="13"/>
  <c r="D353" i="13"/>
  <c r="D337" i="13"/>
  <c r="D313" i="13"/>
  <c r="D281" i="13"/>
  <c r="D249" i="13"/>
  <c r="D217" i="13"/>
  <c r="D185" i="13"/>
  <c r="D102" i="13"/>
  <c r="D118" i="13"/>
  <c r="D134" i="13"/>
  <c r="D150" i="13"/>
  <c r="D166" i="13"/>
  <c r="D190" i="13"/>
  <c r="D247" i="13"/>
  <c r="D322" i="13"/>
  <c r="D367" i="13"/>
  <c r="D351" i="13"/>
  <c r="D335" i="13"/>
  <c r="D309" i="13"/>
  <c r="D277" i="13"/>
  <c r="D245" i="13"/>
  <c r="D213" i="13"/>
  <c r="D328" i="13"/>
  <c r="D296" i="13"/>
  <c r="D381" i="13"/>
  <c r="D365" i="13"/>
  <c r="D349" i="13"/>
  <c r="D333" i="13"/>
  <c r="D305" i="13"/>
  <c r="D273" i="13"/>
  <c r="D241" i="13"/>
  <c r="D209" i="13"/>
  <c r="D324" i="13"/>
  <c r="D292" i="13"/>
  <c r="D260" i="13"/>
  <c r="D90" i="13"/>
  <c r="D106" i="13"/>
  <c r="D122" i="13"/>
  <c r="D138" i="13"/>
  <c r="D154" i="13"/>
  <c r="D170" i="13"/>
  <c r="D208" i="13"/>
  <c r="D274" i="13"/>
  <c r="D379" i="13"/>
  <c r="D282" i="13"/>
  <c r="D377" i="13"/>
  <c r="D357" i="13"/>
  <c r="D321" i="13"/>
  <c r="D257" i="13"/>
  <c r="D193" i="13"/>
  <c r="D280" i="13"/>
  <c r="D236" i="13"/>
  <c r="D340" i="13"/>
  <c r="D88" i="13"/>
  <c r="D104" i="13"/>
  <c r="D120" i="13"/>
  <c r="D136" i="13"/>
  <c r="D152" i="13"/>
  <c r="D168" i="13"/>
  <c r="D192" i="13"/>
  <c r="D231" i="13"/>
  <c r="D310" i="13"/>
  <c r="D360" i="13"/>
  <c r="D287" i="13"/>
  <c r="D252" i="13"/>
  <c r="D105" i="13"/>
  <c r="D207" i="13"/>
  <c r="D366" i="13"/>
  <c r="D284" i="13"/>
  <c r="D352" i="13"/>
  <c r="D157" i="13"/>
  <c r="D142" i="13"/>
  <c r="D290" i="13"/>
  <c r="D347" i="13"/>
  <c r="D301" i="13"/>
  <c r="D237" i="13"/>
  <c r="D320" i="13"/>
  <c r="D276" i="13"/>
  <c r="D232" i="13"/>
  <c r="D203" i="13"/>
  <c r="D250" i="13"/>
  <c r="D348" i="13"/>
  <c r="D318" i="13"/>
  <c r="D194" i="13"/>
  <c r="D267" i="13"/>
  <c r="D368" i="13"/>
  <c r="D81" i="13"/>
  <c r="D97" i="13"/>
  <c r="D113" i="13"/>
  <c r="D129" i="13"/>
  <c r="D145" i="13"/>
  <c r="D161" i="13"/>
  <c r="D182" i="13"/>
  <c r="D223" i="13"/>
  <c r="D295" i="13"/>
  <c r="D178" i="13"/>
  <c r="D226" i="13"/>
  <c r="D334" i="13"/>
  <c r="D342" i="13"/>
  <c r="D358" i="13"/>
  <c r="D363" i="13"/>
  <c r="D216" i="13"/>
  <c r="D286" i="13"/>
  <c r="D73" i="13"/>
  <c r="D153" i="13"/>
  <c r="D327" i="13"/>
  <c r="D215" i="13"/>
  <c r="D302" i="13"/>
  <c r="D109" i="13"/>
  <c r="D279" i="13"/>
  <c r="D298" i="13"/>
  <c r="D345" i="13"/>
  <c r="D297" i="13"/>
  <c r="D233" i="13"/>
  <c r="D316" i="13"/>
  <c r="D268" i="13"/>
  <c r="D228" i="13"/>
  <c r="D356" i="13"/>
  <c r="D92" i="13"/>
  <c r="D108" i="13"/>
  <c r="D124" i="13"/>
  <c r="D140" i="13"/>
  <c r="D156" i="13"/>
  <c r="D172" i="13"/>
  <c r="D199" i="13"/>
  <c r="D254" i="13"/>
  <c r="D326" i="13"/>
  <c r="D380" i="13"/>
  <c r="D303" i="13"/>
  <c r="D205" i="13"/>
  <c r="D336" i="13"/>
  <c r="D137" i="13"/>
  <c r="D258" i="13"/>
  <c r="D197" i="13"/>
  <c r="D332" i="13"/>
  <c r="D243" i="13"/>
  <c r="D141" i="13"/>
  <c r="D202" i="13"/>
  <c r="D66" i="13"/>
  <c r="D94" i="13"/>
  <c r="D158" i="13"/>
  <c r="D375" i="13"/>
  <c r="D343" i="13"/>
  <c r="D293" i="13"/>
  <c r="D229" i="13"/>
  <c r="D312" i="13"/>
  <c r="D264" i="13"/>
  <c r="D224" i="13"/>
  <c r="D210" i="13"/>
  <c r="D259" i="13"/>
  <c r="D364" i="13"/>
  <c r="D212" i="13"/>
  <c r="D270" i="13"/>
  <c r="D69" i="13"/>
  <c r="D85" i="13"/>
  <c r="D101" i="13"/>
  <c r="D117" i="13"/>
  <c r="D133" i="13"/>
  <c r="D149" i="13"/>
  <c r="D165" i="13"/>
  <c r="D200" i="13"/>
  <c r="D246" i="13"/>
  <c r="D311" i="13"/>
  <c r="D188" i="13"/>
  <c r="D235" i="13"/>
  <c r="D350" i="13"/>
  <c r="D110" i="13"/>
  <c r="D174" i="13"/>
  <c r="D269" i="13"/>
  <c r="D300" i="13"/>
  <c r="D218" i="13"/>
  <c r="D177" i="13"/>
  <c r="D89" i="13"/>
  <c r="D169" i="13"/>
  <c r="D195" i="13"/>
  <c r="D359" i="13"/>
  <c r="D93" i="13"/>
  <c r="D214" i="13"/>
  <c r="D373" i="13"/>
  <c r="D341" i="13"/>
  <c r="D289" i="13"/>
  <c r="D225" i="13"/>
  <c r="D308" i="13"/>
  <c r="D256" i="13"/>
  <c r="D220" i="13"/>
  <c r="D372" i="13"/>
  <c r="D96" i="13"/>
  <c r="D112" i="13"/>
  <c r="D128" i="13"/>
  <c r="D144" i="13"/>
  <c r="D160" i="13"/>
  <c r="D176" i="13"/>
  <c r="D206" i="13"/>
  <c r="D278" i="13"/>
  <c r="D319" i="13"/>
  <c r="D331" i="13"/>
  <c r="D262" i="13"/>
  <c r="D234" i="13"/>
  <c r="D121" i="13"/>
  <c r="D255" i="13"/>
  <c r="D261" i="13"/>
  <c r="D227" i="13"/>
  <c r="D77" i="13"/>
  <c r="D173" i="13"/>
  <c r="D361" i="13"/>
  <c r="D329" i="13"/>
  <c r="D265" i="13"/>
  <c r="D201" i="13"/>
  <c r="D288" i="13"/>
  <c r="D248" i="13"/>
  <c r="D179" i="13"/>
  <c r="D84" i="13"/>
  <c r="D100" i="13"/>
  <c r="D116" i="13"/>
  <c r="D132" i="13"/>
  <c r="D148" i="13"/>
  <c r="D164" i="13"/>
  <c r="D181" i="13"/>
  <c r="D222" i="13"/>
  <c r="D294" i="13"/>
  <c r="D344" i="13"/>
  <c r="D374" i="13"/>
  <c r="D126" i="13"/>
  <c r="D325" i="13"/>
  <c r="D244" i="13"/>
  <c r="D196" i="13"/>
  <c r="D187" i="13"/>
  <c r="D125" i="13"/>
  <c r="D271" i="13"/>
  <c r="C176" i="13"/>
  <c r="C199" i="13"/>
  <c r="C316" i="13"/>
  <c r="C112" i="13"/>
  <c r="C240" i="13"/>
  <c r="C76" i="13"/>
  <c r="C60" i="13"/>
  <c r="C211" i="13"/>
  <c r="C354" i="13"/>
  <c r="C242" i="13"/>
  <c r="C116" i="13"/>
  <c r="C284" i="13"/>
  <c r="C144" i="13"/>
  <c r="C148" i="13"/>
  <c r="C263" i="13"/>
  <c r="C56" i="13"/>
  <c r="C324" i="13"/>
  <c r="C338" i="13"/>
  <c r="C136" i="13"/>
  <c r="C168" i="13"/>
  <c r="C222" i="13"/>
  <c r="C322" i="13"/>
  <c r="C290" i="13"/>
  <c r="C381" i="13"/>
  <c r="C365" i="13"/>
  <c r="C349" i="13"/>
  <c r="C333" i="13"/>
  <c r="C305" i="13"/>
  <c r="C273" i="13"/>
  <c r="C241" i="13"/>
  <c r="C209" i="13"/>
  <c r="C177" i="13"/>
  <c r="C280" i="13"/>
  <c r="C183" i="13"/>
  <c r="C146" i="13"/>
  <c r="C114" i="13"/>
  <c r="C82" i="13"/>
  <c r="C50" i="13"/>
  <c r="C271" i="13"/>
  <c r="C188" i="13"/>
  <c r="C287" i="13"/>
  <c r="C200" i="13"/>
  <c r="C149" i="13"/>
  <c r="C117" i="13"/>
  <c r="C85" i="13"/>
  <c r="C53" i="13"/>
  <c r="C336" i="13"/>
  <c r="C194" i="13"/>
  <c r="C275" i="13"/>
  <c r="C175" i="13"/>
  <c r="C143" i="13"/>
  <c r="C111" i="13"/>
  <c r="C79" i="13"/>
  <c r="C47" i="13"/>
  <c r="C272" i="13"/>
  <c r="C196" i="13"/>
  <c r="C260" i="13"/>
  <c r="C64" i="13"/>
  <c r="C88" i="13"/>
  <c r="C254" i="13"/>
  <c r="C292" i="13"/>
  <c r="C80" i="13"/>
  <c r="C318" i="13"/>
  <c r="C286" i="13"/>
  <c r="C379" i="13"/>
  <c r="C363" i="13"/>
  <c r="C347" i="13"/>
  <c r="C331" i="13"/>
  <c r="C301" i="13"/>
  <c r="C269" i="13"/>
  <c r="C237" i="13"/>
  <c r="C205" i="13"/>
  <c r="C378" i="13"/>
  <c r="C256" i="13"/>
  <c r="C174" i="13"/>
  <c r="C142" i="13"/>
  <c r="C110" i="13"/>
  <c r="C78" i="13"/>
  <c r="C46" i="13"/>
  <c r="C268" i="13"/>
  <c r="C178" i="13"/>
  <c r="C279" i="13"/>
  <c r="C182" i="13"/>
  <c r="C145" i="13"/>
  <c r="C113" i="13"/>
  <c r="C81" i="13"/>
  <c r="C49" i="13"/>
  <c r="C267" i="13"/>
  <c r="C187" i="13"/>
  <c r="C248" i="13"/>
  <c r="C171" i="13"/>
  <c r="C139" i="13"/>
  <c r="C107" i="13"/>
  <c r="C75" i="13"/>
  <c r="C43" i="13"/>
  <c r="C259" i="13"/>
  <c r="C179" i="13"/>
  <c r="C300" i="13"/>
  <c r="C72" i="13"/>
  <c r="C120" i="13"/>
  <c r="C346" i="13"/>
  <c r="C100" i="13"/>
  <c r="C314" i="13"/>
  <c r="C282" i="13"/>
  <c r="C377" i="13"/>
  <c r="C361" i="13"/>
  <c r="C345" i="13"/>
  <c r="C329" i="13"/>
  <c r="C297" i="13"/>
  <c r="C265" i="13"/>
  <c r="C233" i="13"/>
  <c r="C201" i="13"/>
  <c r="C328" i="13"/>
  <c r="C247" i="13"/>
  <c r="C170" i="13"/>
  <c r="C138" i="13"/>
  <c r="C106" i="13"/>
  <c r="C74" i="13"/>
  <c r="C42" i="13"/>
  <c r="C258" i="13"/>
  <c r="C374" i="13"/>
  <c r="C255" i="13"/>
  <c r="C173" i="13"/>
  <c r="C141" i="13"/>
  <c r="C109" i="13"/>
  <c r="C77" i="13"/>
  <c r="C45" i="13"/>
  <c r="C264" i="13"/>
  <c r="C323" i="13"/>
  <c r="C239" i="13"/>
  <c r="C167" i="13"/>
  <c r="C135" i="13"/>
  <c r="C103" i="13"/>
  <c r="C71" i="13"/>
  <c r="C372" i="13"/>
  <c r="C250" i="13"/>
  <c r="C44" i="13"/>
  <c r="C92" i="13"/>
  <c r="C152" i="13"/>
  <c r="C376" i="13"/>
  <c r="C132" i="13"/>
  <c r="C310" i="13"/>
  <c r="C278" i="13"/>
  <c r="C375" i="13"/>
  <c r="C359" i="13"/>
  <c r="C343" i="13"/>
  <c r="C325" i="13"/>
  <c r="C293" i="13"/>
  <c r="C261" i="13"/>
  <c r="C229" i="13"/>
  <c r="C197" i="13"/>
  <c r="C320" i="13"/>
  <c r="C238" i="13"/>
  <c r="C166" i="13"/>
  <c r="C134" i="13"/>
  <c r="C102" i="13"/>
  <c r="C70" i="13"/>
  <c r="C366" i="13"/>
  <c r="C244" i="13"/>
  <c r="C327" i="13"/>
  <c r="C246" i="13"/>
  <c r="C169" i="13"/>
  <c r="C137" i="13"/>
  <c r="C105" i="13"/>
  <c r="C73" i="13"/>
  <c r="C380" i="13"/>
  <c r="C252" i="13"/>
  <c r="C315" i="13"/>
  <c r="C230" i="13"/>
  <c r="C163" i="13"/>
  <c r="C131" i="13"/>
  <c r="C99" i="13"/>
  <c r="C67" i="13"/>
  <c r="C364" i="13"/>
  <c r="C236" i="13"/>
  <c r="C96" i="13"/>
  <c r="C124" i="13"/>
  <c r="C228" i="13"/>
  <c r="C48" i="13"/>
  <c r="C164" i="13"/>
  <c r="C306" i="13"/>
  <c r="C274" i="13"/>
  <c r="C373" i="13"/>
  <c r="C357" i="13"/>
  <c r="C341" i="13"/>
  <c r="C321" i="13"/>
  <c r="C289" i="13"/>
  <c r="C257" i="13"/>
  <c r="C225" i="13"/>
  <c r="C193" i="13"/>
  <c r="C312" i="13"/>
  <c r="C224" i="13"/>
  <c r="C162" i="13"/>
  <c r="C130" i="13"/>
  <c r="C98" i="13"/>
  <c r="C66" i="13"/>
  <c r="C358" i="13"/>
  <c r="C235" i="13"/>
  <c r="C319" i="13"/>
  <c r="C232" i="13"/>
  <c r="C165" i="13"/>
  <c r="C133" i="13"/>
  <c r="C101" i="13"/>
  <c r="C69" i="13"/>
  <c r="C368" i="13"/>
  <c r="C243" i="13"/>
  <c r="C307" i="13"/>
  <c r="C216" i="13"/>
  <c r="C159" i="13"/>
  <c r="C127" i="13"/>
  <c r="C95" i="13"/>
  <c r="C63" i="13"/>
  <c r="C356" i="13"/>
  <c r="C227" i="13"/>
  <c r="C128" i="13"/>
  <c r="C156" i="13"/>
  <c r="C231" i="13"/>
  <c r="C108" i="13"/>
  <c r="C192" i="13"/>
  <c r="C302" i="13"/>
  <c r="C270" i="13"/>
  <c r="C371" i="13"/>
  <c r="C355" i="13"/>
  <c r="C339" i="13"/>
  <c r="C317" i="13"/>
  <c r="C285" i="13"/>
  <c r="C253" i="13"/>
  <c r="C221" i="13"/>
  <c r="C189" i="13"/>
  <c r="C304" i="13"/>
  <c r="C215" i="13"/>
  <c r="C158" i="13"/>
  <c r="C126" i="13"/>
  <c r="C94" i="13"/>
  <c r="C62" i="13"/>
  <c r="C350" i="13"/>
  <c r="C226" i="13"/>
  <c r="C311" i="13"/>
  <c r="C223" i="13"/>
  <c r="C161" i="13"/>
  <c r="C129" i="13"/>
  <c r="C97" i="13"/>
  <c r="C65" i="13"/>
  <c r="C360" i="13"/>
  <c r="C234" i="13"/>
  <c r="C299" i="13"/>
  <c r="C198" i="13"/>
  <c r="C155" i="13"/>
  <c r="C123" i="13"/>
  <c r="C91" i="13"/>
  <c r="C59" i="13"/>
  <c r="C348" i="13"/>
  <c r="C218" i="13"/>
  <c r="C160" i="13"/>
  <c r="C180" i="13"/>
  <c r="C276" i="13"/>
  <c r="C140" i="13"/>
  <c r="C219" i="13"/>
  <c r="C294" i="13"/>
  <c r="C335" i="13"/>
  <c r="C213" i="13"/>
  <c r="C150" i="13"/>
  <c r="C334" i="13"/>
  <c r="C153" i="13"/>
  <c r="C344" i="13"/>
  <c r="C147" i="13"/>
  <c r="C332" i="13"/>
  <c r="C68" i="13"/>
  <c r="C266" i="13"/>
  <c r="C313" i="13"/>
  <c r="C185" i="13"/>
  <c r="C122" i="13"/>
  <c r="C202" i="13"/>
  <c r="C125" i="13"/>
  <c r="C220" i="13"/>
  <c r="C119" i="13"/>
  <c r="C210" i="13"/>
  <c r="C52" i="13"/>
  <c r="C172" i="13"/>
  <c r="C249" i="13"/>
  <c r="C61" i="13"/>
  <c r="C370" i="13"/>
  <c r="C104" i="13"/>
  <c r="C262" i="13"/>
  <c r="C309" i="13"/>
  <c r="C181" i="13"/>
  <c r="C118" i="13"/>
  <c r="C195" i="13"/>
  <c r="C121" i="13"/>
  <c r="C212" i="13"/>
  <c r="C115" i="13"/>
  <c r="C203" i="13"/>
  <c r="C84" i="13"/>
  <c r="C251" i="13"/>
  <c r="C208" i="13"/>
  <c r="C191" i="13"/>
  <c r="C369" i="13"/>
  <c r="C281" i="13"/>
  <c r="C296" i="13"/>
  <c r="C90" i="13"/>
  <c r="C303" i="13"/>
  <c r="C93" i="13"/>
  <c r="C291" i="13"/>
  <c r="C87" i="13"/>
  <c r="C186" i="13"/>
  <c r="C330" i="13"/>
  <c r="C308" i="13"/>
  <c r="C353" i="13"/>
  <c r="C214" i="13"/>
  <c r="C55" i="13"/>
  <c r="C367" i="13"/>
  <c r="C277" i="13"/>
  <c r="C288" i="13"/>
  <c r="C86" i="13"/>
  <c r="C295" i="13"/>
  <c r="C89" i="13"/>
  <c r="C283" i="13"/>
  <c r="C83" i="13"/>
  <c r="C206" i="13"/>
  <c r="C362" i="13"/>
  <c r="C58" i="13"/>
  <c r="C326" i="13"/>
  <c r="C351" i="13"/>
  <c r="C245" i="13"/>
  <c r="C190" i="13"/>
  <c r="C54" i="13"/>
  <c r="C207" i="13"/>
  <c r="C57" i="13"/>
  <c r="C184" i="13"/>
  <c r="C51" i="13"/>
  <c r="C204" i="13"/>
  <c r="C298" i="13"/>
  <c r="C337" i="13"/>
  <c r="C217" i="13"/>
  <c r="C154" i="13"/>
  <c r="C342" i="13"/>
  <c r="C157" i="13"/>
  <c r="C352" i="13"/>
  <c r="C151" i="13"/>
  <c r="C340" i="13"/>
  <c r="C86" i="10"/>
  <c r="C134" i="10"/>
  <c r="C181" i="10"/>
  <c r="C117" i="10"/>
  <c r="C53" i="10"/>
  <c r="C168" i="10"/>
  <c r="C104" i="10"/>
  <c r="C40" i="10"/>
  <c r="C153" i="10"/>
  <c r="C89" i="10"/>
  <c r="C194" i="10"/>
  <c r="C130" i="10"/>
  <c r="C66" i="10"/>
  <c r="C171" i="10"/>
  <c r="C107" i="10"/>
  <c r="C43" i="10"/>
  <c r="C148" i="10"/>
  <c r="C84" i="10"/>
  <c r="C167" i="10"/>
  <c r="C39" i="10"/>
  <c r="C94" i="10"/>
  <c r="C143" i="10"/>
  <c r="C166" i="10"/>
  <c r="C118" i="10"/>
  <c r="C173" i="10"/>
  <c r="C109" i="10"/>
  <c r="C45" i="10"/>
  <c r="C160" i="10"/>
  <c r="C96" i="10"/>
  <c r="C209" i="10"/>
  <c r="C145" i="10"/>
  <c r="C81" i="10"/>
  <c r="C186" i="10"/>
  <c r="C122" i="10"/>
  <c r="C58" i="10"/>
  <c r="C163" i="10"/>
  <c r="C99" i="10"/>
  <c r="C204" i="10"/>
  <c r="C140" i="10"/>
  <c r="C76" i="10"/>
  <c r="C151" i="10"/>
  <c r="C206" i="10"/>
  <c r="C78" i="10"/>
  <c r="C127" i="10"/>
  <c r="C165" i="10"/>
  <c r="C101" i="10"/>
  <c r="C37" i="10"/>
  <c r="C152" i="10"/>
  <c r="C88" i="10"/>
  <c r="C201" i="10"/>
  <c r="C137" i="10"/>
  <c r="C73" i="10"/>
  <c r="C178" i="10"/>
  <c r="C114" i="10"/>
  <c r="C50" i="10"/>
  <c r="C155" i="10"/>
  <c r="C91" i="10"/>
  <c r="C196" i="10"/>
  <c r="C132" i="10"/>
  <c r="C68" i="10"/>
  <c r="C135" i="10"/>
  <c r="C190" i="10"/>
  <c r="C62" i="10"/>
  <c r="C111" i="10"/>
  <c r="C157" i="10"/>
  <c r="C93" i="10"/>
  <c r="C208" i="10"/>
  <c r="C144" i="10"/>
  <c r="C80" i="10"/>
  <c r="C193" i="10"/>
  <c r="C129" i="10"/>
  <c r="C65" i="10"/>
  <c r="C170" i="10"/>
  <c r="C106" i="10"/>
  <c r="C42" i="10"/>
  <c r="C147" i="10"/>
  <c r="C83" i="10"/>
  <c r="C188" i="10"/>
  <c r="C124" i="10"/>
  <c r="C60" i="10"/>
  <c r="C119" i="10"/>
  <c r="C174" i="10"/>
  <c r="C46" i="10"/>
  <c r="C95" i="10"/>
  <c r="C149" i="10"/>
  <c r="C85" i="10"/>
  <c r="C200" i="10"/>
  <c r="C136" i="10"/>
  <c r="C72" i="10"/>
  <c r="C185" i="10"/>
  <c r="C121" i="10"/>
  <c r="C57" i="10"/>
  <c r="C162" i="10"/>
  <c r="C98" i="10"/>
  <c r="C203" i="10"/>
  <c r="C139" i="10"/>
  <c r="C75" i="10"/>
  <c r="C180" i="10"/>
  <c r="C116" i="10"/>
  <c r="C52" i="10"/>
  <c r="C103" i="10"/>
  <c r="C158" i="10"/>
  <c r="C207" i="10"/>
  <c r="C79" i="10"/>
  <c r="C197" i="10"/>
  <c r="C133" i="10"/>
  <c r="C69" i="10"/>
  <c r="C184" i="10"/>
  <c r="C120" i="10"/>
  <c r="C56" i="10"/>
  <c r="C169" i="10"/>
  <c r="C105" i="10"/>
  <c r="C41" i="10"/>
  <c r="C146" i="10"/>
  <c r="C82" i="10"/>
  <c r="C187" i="10"/>
  <c r="C123" i="10"/>
  <c r="C59" i="10"/>
  <c r="C164" i="10"/>
  <c r="C100" i="10"/>
  <c r="C199" i="10"/>
  <c r="C71" i="10"/>
  <c r="C126" i="10"/>
  <c r="C175" i="10"/>
  <c r="C47" i="10"/>
  <c r="C189" i="10"/>
  <c r="C125" i="10"/>
  <c r="C61" i="10"/>
  <c r="C176" i="10"/>
  <c r="C112" i="10"/>
  <c r="C48" i="10"/>
  <c r="C161" i="10"/>
  <c r="C97" i="10"/>
  <c r="C202" i="10"/>
  <c r="C138" i="10"/>
  <c r="C74" i="10"/>
  <c r="C179" i="10"/>
  <c r="C115" i="10"/>
  <c r="C51" i="10"/>
  <c r="C156" i="10"/>
  <c r="C92" i="10"/>
  <c r="C183" i="10"/>
  <c r="C55" i="10"/>
  <c r="C110" i="10"/>
  <c r="C159" i="10"/>
  <c r="C38" i="10"/>
  <c r="C182" i="10"/>
  <c r="C128" i="10"/>
  <c r="C131" i="10"/>
  <c r="C63" i="10"/>
  <c r="C70" i="10"/>
  <c r="C102" i="10"/>
  <c r="C64" i="10"/>
  <c r="C67" i="10"/>
  <c r="C198" i="10"/>
  <c r="C177" i="10"/>
  <c r="C172" i="10"/>
  <c r="C113" i="10"/>
  <c r="C108" i="10"/>
  <c r="C205" i="10"/>
  <c r="C49" i="10"/>
  <c r="C44" i="10"/>
  <c r="C141" i="10"/>
  <c r="C154" i="10"/>
  <c r="C87" i="10"/>
  <c r="C150" i="10"/>
  <c r="C195" i="10"/>
  <c r="C54" i="10"/>
  <c r="C142" i="10"/>
  <c r="C191" i="10"/>
  <c r="C77" i="10"/>
  <c r="C192" i="10"/>
  <c r="C90" i="10"/>
  <c r="F80" i="15"/>
  <c r="F77" i="15"/>
  <c r="F31" i="15"/>
  <c r="F45" i="15"/>
  <c r="F90" i="15"/>
  <c r="F71" i="15"/>
  <c r="F85" i="15"/>
  <c r="F34" i="15"/>
  <c r="F73" i="15"/>
  <c r="F42" i="15"/>
  <c r="F66" i="15"/>
  <c r="F18" i="15"/>
  <c r="F64" i="15"/>
  <c r="F69" i="15"/>
  <c r="F98" i="15"/>
  <c r="F94" i="15"/>
  <c r="F107" i="15"/>
  <c r="F60" i="15"/>
  <c r="F74" i="15"/>
  <c r="F39" i="15"/>
  <c r="F76" i="15"/>
  <c r="F102" i="15"/>
  <c r="F37" i="15"/>
  <c r="F26" i="15"/>
  <c r="F36" i="15"/>
  <c r="F72" i="15"/>
  <c r="F103" i="15"/>
  <c r="F62" i="15"/>
  <c r="F99" i="15"/>
  <c r="F57" i="15"/>
  <c r="F63" i="15"/>
  <c r="F44" i="15"/>
  <c r="F91" i="15"/>
  <c r="F13" i="15"/>
  <c r="F109" i="15"/>
  <c r="F27" i="15"/>
  <c r="F47" i="15"/>
  <c r="F86" i="15"/>
  <c r="F17" i="15"/>
  <c r="F108" i="15"/>
  <c r="F15" i="15"/>
  <c r="F48" i="15"/>
  <c r="F83" i="15"/>
  <c r="F49" i="15"/>
  <c r="F52" i="15"/>
  <c r="F51" i="15"/>
  <c r="F95" i="15"/>
  <c r="F38" i="15"/>
  <c r="F97" i="15"/>
  <c r="F46" i="15"/>
  <c r="F89" i="15"/>
  <c r="F16" i="15"/>
  <c r="F78" i="15"/>
  <c r="F23" i="15"/>
  <c r="F75" i="15"/>
  <c r="F41" i="15"/>
  <c r="F79" i="15"/>
  <c r="F55" i="15"/>
  <c r="F100" i="15"/>
  <c r="F20" i="15"/>
  <c r="F50" i="15"/>
  <c r="F24" i="15"/>
  <c r="F81" i="15"/>
  <c r="F67" i="15"/>
  <c r="F33" i="15"/>
  <c r="F14" i="15"/>
  <c r="F58" i="15"/>
  <c r="F105" i="15"/>
  <c r="F21" i="15"/>
  <c r="F61" i="15"/>
  <c r="F32" i="15"/>
  <c r="F53" i="15"/>
  <c r="F25" i="15"/>
  <c r="F35" i="15"/>
  <c r="F84" i="15"/>
  <c r="F30" i="15"/>
  <c r="F59" i="15"/>
  <c r="F96" i="15"/>
  <c r="F22" i="15"/>
  <c r="F65" i="15"/>
  <c r="F110" i="15"/>
  <c r="F56" i="15"/>
  <c r="F29" i="15"/>
  <c r="F88" i="15"/>
  <c r="F70" i="15"/>
  <c r="F40" i="15"/>
  <c r="F28" i="15"/>
  <c r="F87" i="15"/>
  <c r="F54" i="15"/>
  <c r="F19" i="15"/>
  <c r="F104" i="15"/>
  <c r="F68" i="15"/>
  <c r="F82" i="15"/>
  <c r="F43" i="15"/>
  <c r="F101" i="15"/>
  <c r="F93" i="15"/>
  <c r="F106" i="15"/>
  <c r="F92" i="15"/>
  <c r="L131" i="1" a="1"/>
  <c r="L131" i="1" s="1"/>
  <c r="R137" i="1" a="1"/>
  <c r="R137" i="1" s="1"/>
  <c r="O66" i="1" a="1"/>
  <c r="O66" i="1" s="1"/>
  <c r="O69" i="1" a="1"/>
  <c r="O69" i="1" s="1"/>
  <c r="N67" i="1" a="1"/>
  <c r="N67" i="1" s="1"/>
  <c r="K134" i="1" a="1"/>
  <c r="K134" i="1" s="1"/>
  <c r="N68" i="1" a="1"/>
  <c r="N68" i="1" s="1"/>
  <c r="O67" i="1" a="1"/>
  <c r="O67" i="1" s="1"/>
  <c r="S136" i="1" a="1"/>
  <c r="S136" i="1" s="1"/>
  <c r="N70" i="1" a="1"/>
  <c r="N70" i="1" s="1"/>
  <c r="J137" i="1" a="1"/>
  <c r="J137" i="1" s="1"/>
  <c r="S133" i="1" a="1"/>
  <c r="S133" i="1" s="1"/>
  <c r="N66" i="1" a="1"/>
  <c r="N66" i="1" s="1"/>
  <c r="N65" i="1" a="1"/>
  <c r="N65" i="1" s="1"/>
  <c r="K136" i="1" a="1"/>
  <c r="K136" i="1" s="1"/>
  <c r="L137" i="1" a="1"/>
  <c r="L137" i="1" s="1"/>
  <c r="O70" i="1" a="1"/>
  <c r="O70" i="1" s="1"/>
  <c r="S137" i="1" a="1"/>
  <c r="S137" i="1" s="1"/>
  <c r="J136" i="1" a="1"/>
  <c r="J136" i="1" s="1"/>
  <c r="O65" i="1" a="1"/>
  <c r="O65" i="1" s="1"/>
  <c r="K137" i="1" a="1"/>
  <c r="K137" i="1" s="1"/>
  <c r="K135" i="1" a="1"/>
  <c r="K135" i="1" s="1"/>
  <c r="O64" i="1" a="1"/>
  <c r="O64" i="1" s="1"/>
  <c r="M135" i="1" a="1"/>
  <c r="M135" i="1" s="1"/>
  <c r="J131" i="1" a="1"/>
  <c r="J131" i="1" s="1"/>
  <c r="N64" i="1" a="1"/>
  <c r="N64" i="1" s="1"/>
  <c r="P136" i="1" a="1"/>
  <c r="P136" i="1" s="1"/>
  <c r="L134" i="1" a="1"/>
  <c r="L134" i="1" s="1"/>
  <c r="Q133" i="1" a="1"/>
  <c r="Q133" i="1" s="1"/>
  <c r="J134" i="1" a="1"/>
  <c r="J134" i="1" s="1"/>
  <c r="J135" i="1" a="1"/>
  <c r="J135" i="1" s="1"/>
  <c r="Q137" i="1" a="1"/>
  <c r="Q137" i="1" s="1"/>
  <c r="O71" i="1" a="1"/>
  <c r="O71" i="1" s="1"/>
  <c r="R134" i="1" a="1"/>
  <c r="R134" i="1" s="1"/>
  <c r="J132" i="1" a="1"/>
  <c r="J132" i="1" s="1"/>
  <c r="N71" i="1" a="1"/>
  <c r="N71" i="1" s="1"/>
  <c r="R132" i="1" a="1"/>
  <c r="R132" i="1" s="1"/>
  <c r="K133" i="1" a="1"/>
  <c r="K133" i="1" s="1"/>
  <c r="K138" i="1" a="1"/>
  <c r="K138" i="1" s="1"/>
  <c r="J138" i="1" a="1"/>
  <c r="J138" i="1" s="1"/>
  <c r="O68" i="1" a="1"/>
  <c r="O68" i="1" s="1"/>
  <c r="M131" i="1" a="1"/>
  <c r="M131" i="1" s="1"/>
  <c r="K132" i="1" a="1"/>
  <c r="K132" i="1" s="1"/>
  <c r="N69" i="1" a="1"/>
  <c r="N69" i="1" s="1"/>
  <c r="M132" i="1" a="1"/>
  <c r="M132" i="1" s="1"/>
  <c r="J133" i="1" a="1"/>
  <c r="J133" i="1" s="1"/>
  <c r="K131" i="1" a="1"/>
  <c r="K131" i="1" s="1"/>
  <c r="B171" i="9"/>
  <c r="B39" i="9"/>
  <c r="B35" i="9"/>
  <c r="B45" i="9"/>
  <c r="B192" i="9"/>
  <c r="B176" i="9"/>
  <c r="B150" i="9"/>
  <c r="B134" i="9"/>
  <c r="B118" i="9"/>
  <c r="B102" i="9"/>
  <c r="B86" i="9"/>
  <c r="B70" i="9"/>
  <c r="B54" i="9"/>
  <c r="B154" i="9"/>
  <c r="B175" i="9"/>
  <c r="B149" i="9"/>
  <c r="B133" i="9"/>
  <c r="B117" i="9"/>
  <c r="B101" i="9"/>
  <c r="B85" i="9"/>
  <c r="B69" i="9"/>
  <c r="B53" i="9"/>
  <c r="B41" i="9"/>
  <c r="B38" i="9"/>
  <c r="B206" i="9"/>
  <c r="B190" i="9"/>
  <c r="B174" i="9"/>
  <c r="B148" i="9"/>
  <c r="B132" i="9"/>
  <c r="B116" i="9"/>
  <c r="B100" i="9"/>
  <c r="B84" i="9"/>
  <c r="B68" i="9"/>
  <c r="B52" i="9"/>
  <c r="B201" i="9"/>
  <c r="B165" i="9"/>
  <c r="B147" i="9"/>
  <c r="B131" i="9"/>
  <c r="B115" i="9"/>
  <c r="B99" i="9"/>
  <c r="B83" i="9"/>
  <c r="B67" i="9"/>
  <c r="B51" i="9"/>
  <c r="B43" i="9"/>
  <c r="B164" i="9"/>
  <c r="B204" i="9"/>
  <c r="B188" i="9"/>
  <c r="B205" i="9"/>
  <c r="B146" i="9"/>
  <c r="B130" i="9"/>
  <c r="B114" i="9"/>
  <c r="B98" i="9"/>
  <c r="B82" i="9"/>
  <c r="B66" i="9"/>
  <c r="B50" i="9"/>
  <c r="B185" i="9"/>
  <c r="B158" i="9"/>
  <c r="B145" i="9"/>
  <c r="B129" i="9"/>
  <c r="B113" i="9"/>
  <c r="B97" i="9"/>
  <c r="B81" i="9"/>
  <c r="B65" i="9"/>
  <c r="B49" i="9"/>
  <c r="B202" i="9"/>
  <c r="B186" i="9"/>
  <c r="B189" i="9"/>
  <c r="B144" i="9"/>
  <c r="B128" i="9"/>
  <c r="B112" i="9"/>
  <c r="B96" i="9"/>
  <c r="B80" i="9"/>
  <c r="B64" i="9"/>
  <c r="B48" i="9"/>
  <c r="B172" i="9"/>
  <c r="B197" i="9"/>
  <c r="B143" i="9"/>
  <c r="B127" i="9"/>
  <c r="B111" i="9"/>
  <c r="B95" i="9"/>
  <c r="B79" i="9"/>
  <c r="B63" i="9"/>
  <c r="B203" i="9"/>
  <c r="B177" i="9"/>
  <c r="B183" i="9"/>
  <c r="B166" i="9"/>
  <c r="B200" i="9"/>
  <c r="B184" i="9"/>
  <c r="B173" i="9"/>
  <c r="B142" i="9"/>
  <c r="B126" i="9"/>
  <c r="B110" i="9"/>
  <c r="B94" i="9"/>
  <c r="B78" i="9"/>
  <c r="B62" i="9"/>
  <c r="B195" i="9"/>
  <c r="B163" i="9"/>
  <c r="B181" i="9"/>
  <c r="B141" i="9"/>
  <c r="B125" i="9"/>
  <c r="B109" i="9"/>
  <c r="B93" i="9"/>
  <c r="B77" i="9"/>
  <c r="B61" i="9"/>
  <c r="B187" i="9"/>
  <c r="B193" i="9"/>
  <c r="B37" i="9"/>
  <c r="B199" i="9"/>
  <c r="B157" i="9"/>
  <c r="B196" i="9"/>
  <c r="B180" i="9"/>
  <c r="B159" i="9"/>
  <c r="B138" i="9"/>
  <c r="B122" i="9"/>
  <c r="B106" i="9"/>
  <c r="B40" i="9"/>
  <c r="B46" i="9"/>
  <c r="B194" i="9"/>
  <c r="B178" i="9"/>
  <c r="B152" i="9"/>
  <c r="B136" i="9"/>
  <c r="B120" i="9"/>
  <c r="B104" i="9"/>
  <c r="B88" i="9"/>
  <c r="B72" i="9"/>
  <c r="B56" i="9"/>
  <c r="B161" i="9"/>
  <c r="B191" i="9"/>
  <c r="B151" i="9"/>
  <c r="B135" i="9"/>
  <c r="B119" i="9"/>
  <c r="B103" i="9"/>
  <c r="B87" i="9"/>
  <c r="B71" i="9"/>
  <c r="B55" i="9"/>
  <c r="B153" i="9"/>
  <c r="B47" i="9"/>
  <c r="B34" i="9"/>
  <c r="B155" i="9"/>
  <c r="B198" i="9"/>
  <c r="B76" i="9"/>
  <c r="B167" i="9"/>
  <c r="B91" i="9"/>
  <c r="B182" i="9"/>
  <c r="B74" i="9"/>
  <c r="B160" i="9"/>
  <c r="B89" i="9"/>
  <c r="B168" i="9"/>
  <c r="B60" i="9"/>
  <c r="B139" i="9"/>
  <c r="B75" i="9"/>
  <c r="B42" i="9"/>
  <c r="B44" i="9"/>
  <c r="B140" i="9"/>
  <c r="B58" i="9"/>
  <c r="B137" i="9"/>
  <c r="B73" i="9"/>
  <c r="B124" i="9"/>
  <c r="B179" i="9"/>
  <c r="B123" i="9"/>
  <c r="B59" i="9"/>
  <c r="B36" i="9"/>
  <c r="B108" i="9"/>
  <c r="B170" i="9"/>
  <c r="B121" i="9"/>
  <c r="B57" i="9"/>
  <c r="B162" i="9"/>
  <c r="B92" i="9"/>
  <c r="B107" i="9"/>
  <c r="B90" i="9"/>
  <c r="B156" i="9"/>
  <c r="B207" i="9"/>
  <c r="B105" i="9"/>
  <c r="B169" i="9"/>
  <c r="C157" i="9"/>
  <c r="C82" i="9"/>
  <c r="C48" i="9"/>
  <c r="C98" i="9"/>
  <c r="C49" i="9"/>
  <c r="C110" i="9"/>
  <c r="C204" i="9"/>
  <c r="C182" i="9"/>
  <c r="C154" i="9"/>
  <c r="C197" i="9"/>
  <c r="C139" i="9"/>
  <c r="C113" i="9"/>
  <c r="C91" i="9"/>
  <c r="C75" i="9"/>
  <c r="C171" i="9"/>
  <c r="C66" i="9"/>
  <c r="C80" i="9"/>
  <c r="C86" i="9"/>
  <c r="C159" i="9"/>
  <c r="C88" i="9"/>
  <c r="C53" i="9"/>
  <c r="C126" i="9"/>
  <c r="C100" i="9"/>
  <c r="C202" i="9"/>
  <c r="C180" i="9"/>
  <c r="C201" i="9"/>
  <c r="C181" i="9"/>
  <c r="C137" i="9"/>
  <c r="C111" i="9"/>
  <c r="C89" i="9"/>
  <c r="C203" i="9"/>
  <c r="C164" i="9"/>
  <c r="C70" i="9"/>
  <c r="C112" i="9"/>
  <c r="C102" i="9"/>
  <c r="C104" i="9"/>
  <c r="C61" i="9"/>
  <c r="C136" i="9"/>
  <c r="C132" i="9"/>
  <c r="C200" i="9"/>
  <c r="C178" i="9"/>
  <c r="C185" i="9"/>
  <c r="C167" i="9"/>
  <c r="C135" i="9"/>
  <c r="C109" i="9"/>
  <c r="C87" i="9"/>
  <c r="C187" i="9"/>
  <c r="C43" i="9"/>
  <c r="C74" i="9"/>
  <c r="C128" i="9"/>
  <c r="C47" i="9"/>
  <c r="C118" i="9"/>
  <c r="C168" i="9"/>
  <c r="C120" i="9"/>
  <c r="C65" i="9"/>
  <c r="C144" i="9"/>
  <c r="C198" i="9"/>
  <c r="C172" i="9"/>
  <c r="C163" i="9"/>
  <c r="C160" i="9"/>
  <c r="C133" i="9"/>
  <c r="C105" i="9"/>
  <c r="C85" i="9"/>
  <c r="C169" i="9"/>
  <c r="C39" i="9"/>
  <c r="C90" i="9"/>
  <c r="C55" i="9"/>
  <c r="C134" i="9"/>
  <c r="C189" i="9"/>
  <c r="C69" i="9"/>
  <c r="C148" i="9"/>
  <c r="C192" i="9"/>
  <c r="C195" i="9"/>
  <c r="C45" i="9"/>
  <c r="C149" i="9"/>
  <c r="C129" i="9"/>
  <c r="C101" i="9"/>
  <c r="C83" i="9"/>
  <c r="C162" i="9"/>
  <c r="C106" i="9"/>
  <c r="C59" i="9"/>
  <c r="C138" i="9"/>
  <c r="C199" i="9"/>
  <c r="C35" i="9"/>
  <c r="C40" i="9"/>
  <c r="C78" i="9"/>
  <c r="C94" i="9"/>
  <c r="C166" i="9"/>
  <c r="C206" i="9"/>
  <c r="C184" i="9"/>
  <c r="C161" i="9"/>
  <c r="C175" i="9"/>
  <c r="C141" i="9"/>
  <c r="C121" i="9"/>
  <c r="C93" i="9"/>
  <c r="C77" i="9"/>
  <c r="C177" i="9"/>
  <c r="C58" i="9"/>
  <c r="C71" i="9"/>
  <c r="C147" i="9"/>
  <c r="C153" i="9"/>
  <c r="C145" i="9"/>
  <c r="C193" i="9"/>
  <c r="C188" i="9"/>
  <c r="C125" i="9"/>
  <c r="C63" i="9"/>
  <c r="C186" i="9"/>
  <c r="C123" i="9"/>
  <c r="C50" i="9"/>
  <c r="C67" i="9"/>
  <c r="C179" i="9"/>
  <c r="C97" i="9"/>
  <c r="C122" i="9"/>
  <c r="C146" i="9"/>
  <c r="C170" i="9"/>
  <c r="C95" i="9"/>
  <c r="C150" i="9"/>
  <c r="C152" i="9"/>
  <c r="C41" i="9"/>
  <c r="C191" i="9"/>
  <c r="C81" i="9"/>
  <c r="C42" i="9"/>
  <c r="C79" i="9"/>
  <c r="C37" i="9"/>
  <c r="C73" i="9"/>
  <c r="C205" i="9"/>
  <c r="W282" i="9"/>
  <c r="W286" i="9"/>
  <c r="W285" i="9"/>
  <c r="W287" i="9"/>
  <c r="W288" i="9"/>
  <c r="W281" i="9"/>
  <c r="W283" i="9"/>
  <c r="W284" i="9"/>
  <c r="B204" i="10"/>
  <c r="B86" i="10"/>
  <c r="B189" i="10"/>
  <c r="B181" i="10"/>
  <c r="B94" i="10"/>
  <c r="B53" i="10"/>
  <c r="B118" i="10"/>
  <c r="B77" i="10"/>
  <c r="B166" i="10"/>
  <c r="B158" i="10"/>
  <c r="B205" i="10"/>
  <c r="B125" i="10"/>
  <c r="B109" i="10"/>
  <c r="B54" i="10"/>
  <c r="B157" i="10"/>
  <c r="B149" i="10"/>
  <c r="B182" i="10"/>
  <c r="B134" i="10"/>
  <c r="B206" i="10"/>
  <c r="B45" i="10"/>
  <c r="B78" i="10"/>
  <c r="B70" i="10"/>
  <c r="B173" i="10"/>
  <c r="B93" i="10"/>
  <c r="B197" i="10"/>
  <c r="B133" i="10"/>
  <c r="B69" i="10"/>
  <c r="B61" i="10"/>
  <c r="B150" i="10"/>
  <c r="B102" i="10"/>
  <c r="B174" i="10"/>
  <c r="B110" i="10"/>
  <c r="B46" i="10"/>
  <c r="B38" i="10"/>
  <c r="B141" i="10"/>
  <c r="B165" i="10"/>
  <c r="B101" i="10"/>
  <c r="B126" i="10"/>
  <c r="B85" i="10"/>
  <c r="B190" i="10"/>
  <c r="B43" i="10"/>
  <c r="B117" i="10"/>
  <c r="B51" i="10"/>
  <c r="B115" i="10"/>
  <c r="B179" i="10"/>
  <c r="B82" i="10"/>
  <c r="B146" i="10"/>
  <c r="B62" i="10"/>
  <c r="B59" i="10"/>
  <c r="B123" i="10"/>
  <c r="B187" i="10"/>
  <c r="B67" i="10"/>
  <c r="B131" i="10"/>
  <c r="B195" i="10"/>
  <c r="B98" i="10"/>
  <c r="B162" i="10"/>
  <c r="B75" i="10"/>
  <c r="B139" i="10"/>
  <c r="B203" i="10"/>
  <c r="B42" i="10"/>
  <c r="B106" i="10"/>
  <c r="B142" i="10"/>
  <c r="B198" i="10"/>
  <c r="B99" i="10"/>
  <c r="B163" i="10"/>
  <c r="B83" i="10"/>
  <c r="B122" i="10"/>
  <c r="B202" i="10"/>
  <c r="B97" i="10"/>
  <c r="B161" i="10"/>
  <c r="B88" i="10"/>
  <c r="B152" i="10"/>
  <c r="B39" i="10"/>
  <c r="B103" i="10"/>
  <c r="B167" i="10"/>
  <c r="B52" i="10"/>
  <c r="B116" i="10"/>
  <c r="B180" i="10"/>
  <c r="B91" i="10"/>
  <c r="B130" i="10"/>
  <c r="B41" i="10"/>
  <c r="B105" i="10"/>
  <c r="B169" i="10"/>
  <c r="B96" i="10"/>
  <c r="B160" i="10"/>
  <c r="B47" i="10"/>
  <c r="B111" i="10"/>
  <c r="B175" i="10"/>
  <c r="B60" i="10"/>
  <c r="B124" i="10"/>
  <c r="B188" i="10"/>
  <c r="B107" i="10"/>
  <c r="B50" i="10"/>
  <c r="B138" i="10"/>
  <c r="B49" i="10"/>
  <c r="B113" i="10"/>
  <c r="B177" i="10"/>
  <c r="B40" i="10"/>
  <c r="B104" i="10"/>
  <c r="B168" i="10"/>
  <c r="B55" i="10"/>
  <c r="B119" i="10"/>
  <c r="B183" i="10"/>
  <c r="B68" i="10"/>
  <c r="B132" i="10"/>
  <c r="B196" i="10"/>
  <c r="B147" i="10"/>
  <c r="B58" i="10"/>
  <c r="B154" i="10"/>
  <c r="B57" i="10"/>
  <c r="B121" i="10"/>
  <c r="B185" i="10"/>
  <c r="B48" i="10"/>
  <c r="B112" i="10"/>
  <c r="B176" i="10"/>
  <c r="B63" i="10"/>
  <c r="B127" i="10"/>
  <c r="B191" i="10"/>
  <c r="B76" i="10"/>
  <c r="B140" i="10"/>
  <c r="B155" i="10"/>
  <c r="B66" i="10"/>
  <c r="B170" i="10"/>
  <c r="B65" i="10"/>
  <c r="B129" i="10"/>
  <c r="B193" i="10"/>
  <c r="B56" i="10"/>
  <c r="B120" i="10"/>
  <c r="B184" i="10"/>
  <c r="B71" i="10"/>
  <c r="B135" i="10"/>
  <c r="B199" i="10"/>
  <c r="B84" i="10"/>
  <c r="B148" i="10"/>
  <c r="B171" i="10"/>
  <c r="B74" i="10"/>
  <c r="B178" i="10"/>
  <c r="B73" i="10"/>
  <c r="B137" i="10"/>
  <c r="B201" i="10"/>
  <c r="B64" i="10"/>
  <c r="B128" i="10"/>
  <c r="B192" i="10"/>
  <c r="B79" i="10"/>
  <c r="B143" i="10"/>
  <c r="B207" i="10"/>
  <c r="B92" i="10"/>
  <c r="B156" i="10"/>
  <c r="B144" i="10"/>
  <c r="B159" i="10"/>
  <c r="B172" i="10"/>
  <c r="B209" i="10"/>
  <c r="B81" i="10"/>
  <c r="B200" i="10"/>
  <c r="B72" i="10"/>
  <c r="B89" i="10"/>
  <c r="B208" i="10"/>
  <c r="B100" i="10"/>
  <c r="B90" i="10"/>
  <c r="B145" i="10"/>
  <c r="B114" i="10"/>
  <c r="B153" i="10"/>
  <c r="B186" i="10"/>
  <c r="B87" i="10"/>
  <c r="B194" i="10"/>
  <c r="B80" i="10"/>
  <c r="B95" i="10"/>
  <c r="B108" i="10"/>
  <c r="B136" i="10"/>
  <c r="B151" i="10"/>
  <c r="B164" i="10"/>
  <c r="M138" i="1" a="1"/>
  <c r="M138" i="1" s="1"/>
  <c r="P135" i="1" a="1"/>
  <c r="P135" i="1" s="1"/>
  <c r="L135" i="1" a="1"/>
  <c r="L135" i="1" s="1"/>
  <c r="M133" i="1" a="1"/>
  <c r="M133" i="1" s="1"/>
  <c r="C124" i="9"/>
  <c r="C131" i="9"/>
  <c r="C173" i="9"/>
  <c r="P131" i="1" a="1"/>
  <c r="P131" i="1" s="1"/>
  <c r="Q132" i="1" a="1"/>
  <c r="Q132" i="1" s="1"/>
  <c r="Q138" i="1" a="1"/>
  <c r="Q138" i="1" s="1"/>
  <c r="L136" i="1" a="1"/>
  <c r="L136" i="1" s="1"/>
  <c r="L133" i="1" a="1"/>
  <c r="L133" i="1" s="1"/>
  <c r="Q134" i="1" a="1"/>
  <c r="Q134" i="1" s="1"/>
  <c r="M134" i="1" a="1"/>
  <c r="M134" i="1" s="1"/>
  <c r="P133" i="1" a="1"/>
  <c r="P133" i="1" s="1"/>
  <c r="P138" i="1" a="1"/>
  <c r="P138" i="1" s="1"/>
  <c r="L132" i="1" a="1"/>
  <c r="L132" i="1" s="1"/>
  <c r="P134" i="1" a="1"/>
  <c r="P134" i="1" s="1"/>
  <c r="Q135" i="1" a="1"/>
  <c r="Q135" i="1" s="1"/>
  <c r="L138" i="1" a="1"/>
  <c r="L138" i="1" s="1"/>
  <c r="C44" i="9"/>
  <c r="C92" i="9"/>
  <c r="C156" i="9"/>
  <c r="C158" i="9"/>
  <c r="C117" i="9"/>
  <c r="C165" i="9"/>
  <c r="C183" i="9"/>
  <c r="C190" i="9"/>
  <c r="C174" i="9"/>
  <c r="C151" i="9"/>
  <c r="C142" i="9"/>
  <c r="C96" i="9"/>
  <c r="C54" i="9"/>
  <c r="C107" i="9"/>
  <c r="C60" i="9"/>
  <c r="C51" i="9"/>
  <c r="C99" i="9"/>
  <c r="C46" i="9"/>
  <c r="C103" i="9"/>
  <c r="C155" i="9"/>
  <c r="C207" i="9"/>
  <c r="C176" i="9"/>
  <c r="C56" i="9"/>
  <c r="C38" i="9"/>
  <c r="C84" i="9"/>
  <c r="C62" i="9"/>
  <c r="C108" i="9"/>
  <c r="C115" i="9"/>
  <c r="C64" i="9"/>
  <c r="C57" i="9"/>
  <c r="C114" i="9"/>
  <c r="C116" i="9"/>
  <c r="C196" i="9"/>
  <c r="C143" i="9"/>
  <c r="C68" i="9"/>
  <c r="C127" i="9"/>
  <c r="C140" i="9"/>
  <c r="C194" i="9"/>
  <c r="C52" i="9"/>
  <c r="C36" i="9"/>
  <c r="C76" i="9"/>
  <c r="C72" i="9"/>
  <c r="C119" i="9"/>
  <c r="C130" i="9"/>
  <c r="P113" i="14"/>
  <c r="O68" i="14"/>
  <c r="R64" i="1" s="1" a="1"/>
  <c r="R64" i="1" s="1"/>
  <c r="P133" i="14"/>
  <c r="M124" i="1" s="1" a="1"/>
  <c r="M124" i="1" s="1"/>
  <c r="K63" i="14"/>
  <c r="L60" i="1" s="1" a="1"/>
  <c r="L60" i="1" s="1"/>
  <c r="K90" i="14"/>
  <c r="L84" i="1" s="1" a="1"/>
  <c r="L84" i="1" s="1"/>
  <c r="P106" i="14"/>
  <c r="M99" i="1" s="1" a="1"/>
  <c r="M99" i="1" s="1"/>
  <c r="K133" i="14"/>
  <c r="L124" i="1" s="1" a="1"/>
  <c r="L124" i="1" s="1"/>
  <c r="P130" i="14"/>
  <c r="M121" i="1" s="1" a="1"/>
  <c r="M121" i="1" s="1"/>
  <c r="K122" i="14"/>
  <c r="L114" i="1" s="1" a="1"/>
  <c r="L114" i="1" s="1"/>
  <c r="P103" i="14"/>
  <c r="M96" i="1" s="1" a="1"/>
  <c r="M96" i="1" s="1"/>
  <c r="P98" i="14"/>
  <c r="M92" i="1" s="1" a="1"/>
  <c r="M92" i="1" s="1"/>
  <c r="K93" i="14"/>
  <c r="L87" i="1" s="1" a="1"/>
  <c r="L87" i="1" s="1"/>
  <c r="K110" i="14"/>
  <c r="L103" i="1" s="1" a="1"/>
  <c r="L103" i="1" s="1"/>
  <c r="P131" i="14"/>
  <c r="M122" i="1" s="1" a="1"/>
  <c r="M122" i="1" s="1"/>
  <c r="P111" i="14"/>
  <c r="M104" i="1" s="1" a="1"/>
  <c r="M104" i="1" s="1"/>
  <c r="P97" i="14"/>
  <c r="M91" i="1" s="1" a="1"/>
  <c r="M91" i="1" s="1"/>
  <c r="K101" i="14"/>
  <c r="K79" i="14"/>
  <c r="L74" i="1" s="1" a="1"/>
  <c r="L74" i="1" s="1"/>
  <c r="K87" i="14"/>
  <c r="L82" i="1" s="1" a="1"/>
  <c r="L82" i="1" s="1"/>
  <c r="P134" i="14"/>
  <c r="M125" i="1" s="1" a="1"/>
  <c r="M125" i="1" s="1"/>
  <c r="T68" i="14"/>
  <c r="O78" i="14"/>
  <c r="R73" i="1" s="1" a="1"/>
  <c r="R73" i="1" s="1"/>
  <c r="O58" i="14"/>
  <c r="R55" i="1" s="1" a="1"/>
  <c r="R55" i="1" s="1"/>
  <c r="P105" i="14"/>
  <c r="M98" i="1" s="1" a="1"/>
  <c r="M98" i="1" s="1"/>
  <c r="Q63" i="14"/>
  <c r="Q60" i="1" s="1" a="1"/>
  <c r="Q60" i="1" s="1"/>
  <c r="O137" i="14"/>
  <c r="R135" i="1" s="1" a="1"/>
  <c r="R135" i="1" s="1"/>
  <c r="T70" i="14"/>
  <c r="K139" i="14"/>
  <c r="L129" i="1" s="1" a="1"/>
  <c r="L129" i="1" s="1"/>
  <c r="Q104" i="1" a="1"/>
  <c r="Q104" i="1" s="1"/>
  <c r="N56" i="14"/>
  <c r="J53" i="1" s="1" a="1"/>
  <c r="J53" i="1" s="1"/>
  <c r="N50" i="14"/>
  <c r="J48" i="1" s="1" a="1"/>
  <c r="J48" i="1" s="1"/>
  <c r="Q48" i="14"/>
  <c r="Q46" i="1" s="1" a="1"/>
  <c r="Q46" i="1" s="1"/>
  <c r="T103" i="14"/>
  <c r="S96" i="1" s="1" a="1"/>
  <c r="S96" i="1" s="1"/>
  <c r="T100" i="14"/>
  <c r="S94" i="1" s="1" a="1"/>
  <c r="S94" i="1" s="1"/>
  <c r="N139" i="14"/>
  <c r="J129" i="1" s="1" a="1"/>
  <c r="J129" i="1" s="1"/>
  <c r="O110" i="14"/>
  <c r="R103" i="1" s="1" a="1"/>
  <c r="R103" i="1" s="1"/>
  <c r="O33" i="14"/>
  <c r="R32" i="1" s="1" a="1"/>
  <c r="R32" i="1" s="1"/>
  <c r="T85" i="14"/>
  <c r="S80" i="1" s="1" a="1"/>
  <c r="S80" i="1" s="1"/>
  <c r="O106" i="14"/>
  <c r="R99" i="1" s="1" a="1"/>
  <c r="R99" i="1" s="1"/>
  <c r="O98" i="14"/>
  <c r="O49" i="14"/>
  <c r="R47" i="1" s="1" a="1"/>
  <c r="R47" i="1" s="1"/>
  <c r="O44" i="14"/>
  <c r="R42" i="1" s="1" a="1"/>
  <c r="R42" i="1" s="1"/>
  <c r="T50" i="14"/>
  <c r="S48" i="1" s="1" a="1"/>
  <c r="S48" i="1" s="1"/>
  <c r="O32" i="14"/>
  <c r="R31" i="1" s="1" a="1"/>
  <c r="R31" i="1" s="1"/>
  <c r="O41" i="14"/>
  <c r="O31" i="14"/>
  <c r="R30" i="1" s="1" a="1"/>
  <c r="R30" i="1" s="1"/>
  <c r="O51" i="14"/>
  <c r="O43" i="14"/>
  <c r="R41" i="1" s="1" a="1"/>
  <c r="R41" i="1" s="1"/>
  <c r="O40" i="14"/>
  <c r="R39" i="1" s="1" a="1"/>
  <c r="R39" i="1" s="1"/>
  <c r="O48" i="14"/>
  <c r="O47" i="14" s="1"/>
  <c r="T51" i="14"/>
  <c r="S49" i="1" s="1" a="1"/>
  <c r="S49" i="1" s="1"/>
  <c r="O30" i="14"/>
  <c r="O29" i="14" s="1"/>
  <c r="R28" i="1" s="1" a="1"/>
  <c r="R28" i="1" s="1"/>
  <c r="O37" i="14"/>
  <c r="R36" i="1" s="1" a="1"/>
  <c r="R36" i="1" s="1"/>
  <c r="O42" i="14"/>
  <c r="T49" i="14"/>
  <c r="T58" i="14"/>
  <c r="O88" i="14"/>
  <c r="R83" i="1" s="1" a="1"/>
  <c r="R83" i="1" s="1"/>
  <c r="T65" i="14"/>
  <c r="O86" i="14"/>
  <c r="R81" i="1" s="1" a="1"/>
  <c r="R81" i="1" s="1"/>
  <c r="T75" i="14"/>
  <c r="S71" i="1" s="1" a="1"/>
  <c r="S71" i="1" s="1"/>
  <c r="T122" i="14"/>
  <c r="S114" i="1" s="1" a="1"/>
  <c r="S114" i="1" s="1"/>
  <c r="T128" i="14"/>
  <c r="S119" i="1" s="1" a="1"/>
  <c r="S119" i="1" s="1"/>
  <c r="O50" i="14"/>
  <c r="R48" i="1" s="1" a="1"/>
  <c r="R48" i="1" s="1"/>
  <c r="O109" i="14"/>
  <c r="O59" i="14"/>
  <c r="T40" i="14"/>
  <c r="T33" i="14"/>
  <c r="S32" i="1" s="1" a="1"/>
  <c r="S32" i="1" s="1"/>
  <c r="T42" i="14"/>
  <c r="T43" i="14"/>
  <c r="T30" i="14"/>
  <c r="S29" i="1" s="1" a="1"/>
  <c r="S29" i="1" s="1"/>
  <c r="T37" i="14"/>
  <c r="S36" i="1" s="1" a="1"/>
  <c r="S36" i="1" s="1"/>
  <c r="T31" i="14"/>
  <c r="S30" i="1" s="1" a="1"/>
  <c r="S30" i="1" s="1"/>
  <c r="T41" i="14"/>
  <c r="T32" i="14"/>
  <c r="O118" i="14"/>
  <c r="O117" i="14" s="1"/>
  <c r="T77" i="14"/>
  <c r="R58" i="14"/>
  <c r="O55" i="1" s="1" a="1"/>
  <c r="O55" i="1" s="1"/>
  <c r="R65" i="14"/>
  <c r="R52" i="14"/>
  <c r="O50" i="1" s="1" a="1"/>
  <c r="O50" i="1" s="1"/>
  <c r="O94" i="14"/>
  <c r="R88" i="1" s="1" a="1"/>
  <c r="R88" i="1" s="1"/>
  <c r="T114" i="14"/>
  <c r="S106" i="1" s="1" a="1"/>
  <c r="S106" i="1" s="1"/>
  <c r="T112" i="14"/>
  <c r="S105" i="1" s="1" a="1"/>
  <c r="S105" i="1" s="1"/>
  <c r="T120" i="14"/>
  <c r="S112" i="1" s="1" a="1"/>
  <c r="S112" i="1" s="1"/>
  <c r="T136" i="14"/>
  <c r="S127" i="1" s="1" a="1"/>
  <c r="S127" i="1" s="1"/>
  <c r="T110" i="14"/>
  <c r="S103" i="1" s="1" a="1"/>
  <c r="S103" i="1" s="1"/>
  <c r="T137" i="14"/>
  <c r="S135" i="1" s="1" a="1"/>
  <c r="S135" i="1" s="1"/>
  <c r="T125" i="14"/>
  <c r="T121" i="14"/>
  <c r="S113" i="1" s="1" a="1"/>
  <c r="S113" i="1" s="1"/>
  <c r="T118" i="14"/>
  <c r="T117" i="14" s="1"/>
  <c r="T116" i="14" s="1"/>
  <c r="S108" i="1" s="1" a="1"/>
  <c r="S108" i="1" s="1"/>
  <c r="T109" i="14"/>
  <c r="S102" i="1" s="1" a="1"/>
  <c r="S102" i="1" s="1"/>
  <c r="T113" i="14"/>
  <c r="M61" i="14"/>
  <c r="N58" i="1" s="1" a="1"/>
  <c r="N58" i="1" s="1"/>
  <c r="M67" i="14"/>
  <c r="N63" i="1" s="1" a="1"/>
  <c r="N63" i="1" s="1"/>
  <c r="M63" i="14"/>
  <c r="N60" i="1" s="1" a="1"/>
  <c r="N60" i="1" s="1"/>
  <c r="O122" i="14"/>
  <c r="R114" i="1" s="1" a="1"/>
  <c r="R114" i="1" s="1"/>
  <c r="O128" i="14"/>
  <c r="R119" i="1" s="1" a="1"/>
  <c r="R119" i="1" s="1"/>
  <c r="O140" i="14"/>
  <c r="R138" i="1" s="1" a="1"/>
  <c r="R138" i="1" s="1"/>
  <c r="O119" i="14"/>
  <c r="O125" i="14"/>
  <c r="O138" i="14"/>
  <c r="R136" i="1" s="1" a="1"/>
  <c r="R136" i="1" s="1"/>
  <c r="O124" i="14"/>
  <c r="R116" i="1" s="1" a="1"/>
  <c r="R116" i="1" s="1"/>
  <c r="O104" i="14"/>
  <c r="O113" i="14"/>
  <c r="O120" i="14"/>
  <c r="R112" i="1" s="1" a="1"/>
  <c r="R112" i="1" s="1"/>
  <c r="O129" i="14"/>
  <c r="R120" i="1" s="1" a="1"/>
  <c r="R120" i="1" s="1"/>
  <c r="O111" i="14"/>
  <c r="R104" i="1" s="1" a="1"/>
  <c r="R104" i="1" s="1"/>
  <c r="O115" i="14"/>
  <c r="R107" i="1" s="1" a="1"/>
  <c r="R107" i="1" s="1"/>
  <c r="T106" i="14"/>
  <c r="T80" i="14"/>
  <c r="S75" i="1" s="1" a="1"/>
  <c r="S75" i="1" s="1"/>
  <c r="T89" i="14"/>
  <c r="O96" i="14"/>
  <c r="R90" i="1" s="1" a="1"/>
  <c r="R90" i="1" s="1"/>
  <c r="O133" i="14"/>
  <c r="R131" i="1" s="1" a="1"/>
  <c r="R131" i="1" s="1"/>
  <c r="O101" i="14"/>
  <c r="T83" i="14"/>
  <c r="S78" i="1" s="1" a="1"/>
  <c r="S78" i="1" s="1"/>
  <c r="T133" i="14"/>
  <c r="T132" i="14" s="1"/>
  <c r="T131" i="14" s="1"/>
  <c r="O84" i="14"/>
  <c r="R79" i="1" s="1" a="1"/>
  <c r="R79" i="1" s="1"/>
  <c r="O103" i="14"/>
  <c r="T76" i="14"/>
  <c r="S72" i="1" s="1" a="1"/>
  <c r="S72" i="1" s="1"/>
  <c r="O87" i="14"/>
  <c r="R82" i="1" s="1" a="1"/>
  <c r="R82" i="1" s="1"/>
  <c r="T87" i="14"/>
  <c r="T99" i="14"/>
  <c r="S93" i="1" s="1" a="1"/>
  <c r="S93" i="1" s="1"/>
  <c r="T84" i="14"/>
  <c r="S79" i="1" s="1" a="1"/>
  <c r="S79" i="1" s="1"/>
  <c r="T73" i="14"/>
  <c r="T72" i="14" s="1"/>
  <c r="T71" i="14" s="1"/>
  <c r="T98" i="14"/>
  <c r="T104" i="14"/>
  <c r="S97" i="1" s="1" a="1"/>
  <c r="S97" i="1" s="1"/>
  <c r="O95" i="14"/>
  <c r="O81" i="14"/>
  <c r="R76" i="1" s="1" a="1"/>
  <c r="R76" i="1" s="1"/>
  <c r="O92" i="14"/>
  <c r="O91" i="14" s="1"/>
  <c r="O90" i="14" s="1"/>
  <c r="T93" i="14"/>
  <c r="S87" i="1" s="1" a="1"/>
  <c r="S87" i="1" s="1"/>
  <c r="T88" i="14"/>
  <c r="S83" i="1" s="1" a="1"/>
  <c r="S83" i="1" s="1"/>
  <c r="T107" i="14"/>
  <c r="S100" i="1" s="1" a="1"/>
  <c r="S100" i="1" s="1"/>
  <c r="T74" i="14"/>
  <c r="S70" i="1" s="1" a="1"/>
  <c r="S70" i="1" s="1"/>
  <c r="O89" i="14"/>
  <c r="O100" i="14"/>
  <c r="R94" i="1" s="1" a="1"/>
  <c r="R94" i="1" s="1"/>
  <c r="O93" i="14"/>
  <c r="R87" i="1" s="1" a="1"/>
  <c r="R87" i="1" s="1"/>
  <c r="T97" i="14"/>
  <c r="T86" i="14"/>
  <c r="S81" i="1" s="1" a="1"/>
  <c r="S81" i="1" s="1"/>
  <c r="O85" i="14"/>
  <c r="O74" i="14"/>
  <c r="O79" i="14"/>
  <c r="O73" i="14"/>
  <c r="R69" i="1" s="1" a="1"/>
  <c r="R69" i="1" s="1"/>
  <c r="T108" i="14"/>
  <c r="S101" i="1" s="1" a="1"/>
  <c r="S101" i="1" s="1"/>
  <c r="T102" i="14"/>
  <c r="S95" i="1" s="1" a="1"/>
  <c r="S95" i="1" s="1"/>
  <c r="O77" i="14"/>
  <c r="T55" i="14"/>
  <c r="T54" i="14" s="1"/>
  <c r="T53" i="14" s="1"/>
  <c r="T57" i="14"/>
  <c r="S54" i="1" s="1" a="1"/>
  <c r="S54" i="1" s="1"/>
  <c r="T56" i="14"/>
  <c r="S53" i="1" s="1" a="1"/>
  <c r="S53" i="1" s="1"/>
  <c r="O69" i="14"/>
  <c r="T67" i="14"/>
  <c r="O65" i="14"/>
  <c r="O56" i="14"/>
  <c r="R53" i="1" s="1" a="1"/>
  <c r="R53" i="1" s="1"/>
  <c r="T52" i="14"/>
  <c r="S50" i="1" s="1" a="1"/>
  <c r="S50" i="1" s="1"/>
  <c r="T59" i="14"/>
  <c r="S56" i="1" s="1" a="1"/>
  <c r="S56" i="1" s="1"/>
  <c r="O67" i="14"/>
  <c r="R63" i="1" s="1" a="1"/>
  <c r="R63" i="1" s="1"/>
  <c r="O55" i="14"/>
  <c r="O54" i="14" s="1"/>
  <c r="O66" i="14"/>
  <c r="O57" i="14"/>
  <c r="R54" i="1" s="1" a="1"/>
  <c r="R54" i="1" s="1"/>
  <c r="T69" i="14"/>
  <c r="S65" i="1" s="1" a="1"/>
  <c r="S65" i="1" s="1"/>
  <c r="T60" i="14"/>
  <c r="S57" i="1" s="1" a="1"/>
  <c r="S57" i="1" s="1"/>
  <c r="O52" i="14"/>
  <c r="O80" i="14"/>
  <c r="R75" i="1" s="1" a="1"/>
  <c r="R75" i="1" s="1"/>
  <c r="T115" i="14"/>
  <c r="O130" i="14"/>
  <c r="O114" i="14"/>
  <c r="R106" i="1" s="1" a="1"/>
  <c r="R106" i="1" s="1"/>
  <c r="R47" i="14"/>
  <c r="O45" i="1" s="1" a="1"/>
  <c r="O45" i="1" s="1"/>
  <c r="R43" i="14"/>
  <c r="O41" i="1" s="1" a="1"/>
  <c r="O41" i="1" s="1"/>
  <c r="T119" i="14"/>
  <c r="S111" i="1" s="1" a="1"/>
  <c r="S111" i="1" s="1"/>
  <c r="O60" i="14"/>
  <c r="O75" i="14"/>
  <c r="R71" i="1" s="1" a="1"/>
  <c r="R71" i="1" s="1"/>
  <c r="T81" i="14"/>
  <c r="N39" i="14"/>
  <c r="J38" i="1" s="1" a="1"/>
  <c r="J38" i="1" s="1"/>
  <c r="T48" i="14"/>
  <c r="T47" i="14" s="1"/>
  <c r="O136" i="14"/>
  <c r="O135" i="14" s="1"/>
  <c r="O134" i="14" s="1"/>
  <c r="T78" i="14"/>
  <c r="S73" i="1" s="1" a="1"/>
  <c r="S73" i="1" s="1"/>
  <c r="O105" i="14"/>
  <c r="R98" i="1" s="1" a="1"/>
  <c r="R98" i="1" s="1"/>
  <c r="P137" i="14"/>
  <c r="O121" i="14"/>
  <c r="R113" i="1" s="1" a="1"/>
  <c r="R113" i="1" s="1"/>
  <c r="S38" i="14"/>
  <c r="K37" i="1" s="1" a="1"/>
  <c r="K37" i="1" s="1"/>
  <c r="T130" i="14"/>
  <c r="T44" i="14"/>
  <c r="S140" i="14"/>
  <c r="K130" i="1" s="1" a="1"/>
  <c r="K130" i="1" s="1"/>
  <c r="P80" i="1" a="1"/>
  <c r="P80" i="1" s="1"/>
  <c r="T96" i="14"/>
  <c r="K136" i="14"/>
  <c r="L127" i="1" s="1" a="1"/>
  <c r="L127" i="1" s="1"/>
  <c r="P113" i="1" a="1"/>
  <c r="P113" i="1" s="1"/>
  <c r="Q89" i="1" a="1"/>
  <c r="Q89" i="1" s="1"/>
  <c r="T95" i="14"/>
  <c r="O107" i="14"/>
  <c r="R100" i="1" s="1" a="1"/>
  <c r="R100" i="1" s="1"/>
  <c r="N37" i="14"/>
  <c r="J36" i="1" s="1" a="1"/>
  <c r="J36" i="1" s="1"/>
  <c r="N44" i="14"/>
  <c r="J42" i="1" s="1" a="1"/>
  <c r="J42" i="1" s="1"/>
  <c r="N43" i="14"/>
  <c r="J41" i="1" s="1" a="1"/>
  <c r="J41" i="1" s="1"/>
  <c r="N136" i="14"/>
  <c r="J127" i="1" s="1" a="1"/>
  <c r="J127" i="1" s="1"/>
  <c r="I137" i="14"/>
  <c r="N103" i="14" s="1"/>
  <c r="J96" i="1" s="1" a="1"/>
  <c r="J96" i="1" s="1"/>
  <c r="S138" i="14"/>
  <c r="K128" i="1" s="1" a="1"/>
  <c r="K128" i="1" s="1"/>
  <c r="P91" i="14"/>
  <c r="M85" i="1" s="1" a="1"/>
  <c r="M85" i="1" s="1"/>
  <c r="T94" i="14"/>
  <c r="S88" i="1" s="1" a="1"/>
  <c r="S88" i="1" s="1"/>
  <c r="U24" i="2"/>
  <c r="T24" i="2"/>
  <c r="U28" i="2"/>
  <c r="T28" i="2"/>
  <c r="Q39" i="1" a="1"/>
  <c r="Q39" i="1" s="1"/>
  <c r="T111" i="14"/>
  <c r="S104" i="1" s="1" a="1"/>
  <c r="S104" i="1" s="1"/>
  <c r="N38" i="14"/>
  <c r="J37" i="1" s="1" a="1"/>
  <c r="J37" i="1" s="1"/>
  <c r="T101" i="14"/>
  <c r="R40" i="14"/>
  <c r="O39" i="1" s="1" a="1"/>
  <c r="O39" i="1" s="1"/>
  <c r="M52" i="14"/>
  <c r="N50" i="1" s="1" a="1"/>
  <c r="N50" i="1" s="1"/>
  <c r="P114" i="14"/>
  <c r="M106" i="1" s="1" a="1"/>
  <c r="M106" i="1" s="1"/>
  <c r="M119" i="1" a="1"/>
  <c r="M119" i="1" s="1"/>
  <c r="M105" i="1" a="1"/>
  <c r="M105" i="1" s="1"/>
  <c r="Q88" i="1" a="1"/>
  <c r="Q88" i="1" s="1"/>
  <c r="L39" i="1" a="1"/>
  <c r="L39" i="1" s="1"/>
  <c r="O99" i="14"/>
  <c r="R93" i="1" s="1" a="1"/>
  <c r="R93" i="1" s="1"/>
  <c r="T139" i="14"/>
  <c r="T138" i="14"/>
  <c r="S128" i="1" s="1" a="1"/>
  <c r="S128" i="1" s="1"/>
  <c r="T105" i="14"/>
  <c r="S98" i="1" s="1" a="1"/>
  <c r="S98" i="1" s="1"/>
  <c r="S37" i="14"/>
  <c r="K36" i="1" s="1" a="1"/>
  <c r="K36" i="1" s="1"/>
  <c r="K117" i="14"/>
  <c r="L109" i="1" s="1" a="1"/>
  <c r="L109" i="1" s="1"/>
  <c r="P93" i="14"/>
  <c r="M87" i="1" s="1" a="1"/>
  <c r="M87" i="1" s="1"/>
  <c r="T27" i="2"/>
  <c r="U27" i="2"/>
  <c r="U21" i="2"/>
  <c r="N138" i="14"/>
  <c r="J128" i="1" s="1" a="1"/>
  <c r="J128" i="1" s="1"/>
  <c r="O139" i="14"/>
  <c r="T92" i="14"/>
  <c r="T91" i="14" s="1"/>
  <c r="N140" i="14"/>
  <c r="J130" i="1" s="1" a="1"/>
  <c r="J130" i="1" s="1"/>
  <c r="O76" i="14"/>
  <c r="R72" i="1" s="1" a="1"/>
  <c r="R72" i="1" s="1"/>
  <c r="P107" i="14"/>
  <c r="M100" i="1" s="1" a="1"/>
  <c r="M100" i="1" s="1"/>
  <c r="S139" i="14"/>
  <c r="K129" i="1" s="1" a="1"/>
  <c r="K129" i="1" s="1"/>
  <c r="P66" i="14"/>
  <c r="M62" i="1" s="1" a="1"/>
  <c r="M62" i="1" s="1"/>
  <c r="P127" i="1" a="1"/>
  <c r="P127" i="1" s="1"/>
  <c r="L116" i="1" a="1"/>
  <c r="L116" i="1" s="1"/>
  <c r="Q117" i="1" a="1"/>
  <c r="Q117" i="1" s="1"/>
  <c r="N62" i="14"/>
  <c r="J59" i="1" s="1" a="1"/>
  <c r="J59" i="1" s="1"/>
  <c r="M43" i="14"/>
  <c r="N41" i="1" s="1" a="1"/>
  <c r="N41" i="1" s="1"/>
  <c r="R42" i="14"/>
  <c r="O40" i="1" s="1" a="1"/>
  <c r="O40" i="1" s="1"/>
  <c r="Q119" i="1" a="1"/>
  <c r="Q119" i="1" s="1"/>
  <c r="Q101" i="1" a="1"/>
  <c r="Q101" i="1" s="1"/>
  <c r="P119" i="1" a="1"/>
  <c r="P119" i="1" s="1"/>
  <c r="M49" i="1" a="1"/>
  <c r="M49" i="1" s="1"/>
  <c r="P97" i="1" a="1"/>
  <c r="P97" i="1" s="1"/>
  <c r="Q106" i="1" a="1"/>
  <c r="Q106" i="1" s="1"/>
  <c r="P102" i="1" a="1"/>
  <c r="P102" i="1" s="1"/>
  <c r="L106" i="1" a="1"/>
  <c r="L106" i="1" s="1"/>
  <c r="Q123" i="1" a="1"/>
  <c r="Q123" i="1" s="1"/>
  <c r="P101" i="1" a="1"/>
  <c r="P101" i="1" s="1"/>
  <c r="M66" i="1" a="1"/>
  <c r="M66" i="1" s="1"/>
  <c r="M136" i="1" a="1"/>
  <c r="M136" i="1" s="1"/>
  <c r="Q131" i="1" a="1"/>
  <c r="Q131" i="1" s="1"/>
  <c r="Q124" i="1" a="1"/>
  <c r="Q124" i="1" s="1"/>
  <c r="R133" i="1" a="1"/>
  <c r="R133" i="1" s="1"/>
  <c r="P53" i="1" a="1"/>
  <c r="P53" i="1" s="1"/>
  <c r="P46" i="1" a="1"/>
  <c r="P46" i="1" s="1"/>
  <c r="S131" i="1" a="1"/>
  <c r="S131" i="1" s="1"/>
  <c r="S134" i="1" a="1"/>
  <c r="S134" i="1" s="1"/>
  <c r="Q40" i="1" a="1"/>
  <c r="Q40" i="1" s="1"/>
  <c r="Q130" i="1" a="1"/>
  <c r="Q130" i="1" s="1"/>
  <c r="P85" i="1" a="1"/>
  <c r="P85" i="1" s="1"/>
  <c r="P132" i="1" a="1"/>
  <c r="P132" i="1" s="1"/>
  <c r="P125" i="1" a="1"/>
  <c r="P125" i="1" s="1"/>
  <c r="S138" i="1" a="1"/>
  <c r="S138" i="1" s="1"/>
  <c r="P48" i="1" a="1"/>
  <c r="P48" i="1" s="1"/>
  <c r="P50" i="1" a="1"/>
  <c r="P50" i="1" s="1"/>
  <c r="M137" i="1" a="1"/>
  <c r="M137" i="1" s="1"/>
  <c r="P59" i="1" a="1"/>
  <c r="P59" i="1" s="1"/>
  <c r="M41" i="1" a="1"/>
  <c r="M41" i="1" s="1"/>
  <c r="P34" i="14"/>
  <c r="M33" i="1" s="1" a="1"/>
  <c r="M33" i="1" s="1"/>
  <c r="P137" i="1" a="1"/>
  <c r="P137" i="1" s="1"/>
  <c r="P120" i="1" a="1"/>
  <c r="P120" i="1" s="1"/>
  <c r="P79" i="1" a="1"/>
  <c r="P79" i="1" s="1"/>
  <c r="P72" i="1" a="1"/>
  <c r="P72" i="1" s="1"/>
  <c r="T36" i="14"/>
  <c r="S35" i="1" s="1" a="1"/>
  <c r="S35" i="1" s="1"/>
  <c r="L41" i="1" a="1"/>
  <c r="L41" i="1" s="1"/>
  <c r="K34" i="14"/>
  <c r="L40" i="1" s="1" a="1"/>
  <c r="L40" i="1" s="1"/>
  <c r="L121" i="1" a="1"/>
  <c r="L121" i="1" s="1"/>
  <c r="Q136" i="1" a="1"/>
  <c r="Q136" i="1" s="1"/>
  <c r="P130" i="1" a="1"/>
  <c r="P130" i="1" s="1"/>
  <c r="P121" i="1" a="1"/>
  <c r="P121" i="1" s="1"/>
  <c r="Q59" i="1" a="1"/>
  <c r="Q59" i="1" s="1"/>
  <c r="P88" i="1" a="1"/>
  <c r="P88" i="1" s="1"/>
  <c r="M53" i="1" a="1"/>
  <c r="M53" i="1" s="1"/>
  <c r="S66" i="14"/>
  <c r="K62" i="1" s="1" a="1"/>
  <c r="K62" i="1" s="1"/>
  <c r="S73" i="14"/>
  <c r="K69" i="1" s="1" a="1"/>
  <c r="K69" i="1" s="1"/>
  <c r="S64" i="14"/>
  <c r="K61" i="1" s="1" a="1"/>
  <c r="K61" i="1" s="1"/>
  <c r="N47" i="14"/>
  <c r="J45" i="1" s="1" a="1"/>
  <c r="J45" i="1" s="1"/>
  <c r="S72" i="14"/>
  <c r="K68" i="1" s="1" a="1"/>
  <c r="K68" i="1" s="1"/>
  <c r="P112" i="1" a="1"/>
  <c r="P112" i="1" s="1"/>
  <c r="M116" i="1" a="1"/>
  <c r="M116" i="1" s="1"/>
  <c r="M120" i="1" a="1"/>
  <c r="M120" i="1" s="1"/>
  <c r="L50" i="1" a="1"/>
  <c r="L50" i="1" s="1"/>
  <c r="Q91" i="1" a="1"/>
  <c r="Q91" i="1" s="1"/>
  <c r="L68" i="1" a="1"/>
  <c r="L68" i="1" s="1"/>
  <c r="L101" i="1" a="1"/>
  <c r="L101" i="1" s="1"/>
  <c r="P55" i="1" a="1"/>
  <c r="P55" i="1" s="1"/>
  <c r="M38" i="1" a="1"/>
  <c r="M38" i="1" s="1"/>
  <c r="P43" i="1" a="1"/>
  <c r="P43" i="1" s="1"/>
  <c r="M78" i="1" a="1"/>
  <c r="M78" i="1" s="1"/>
  <c r="L48" i="1" a="1"/>
  <c r="L48" i="1" s="1"/>
  <c r="N67" i="14"/>
  <c r="J63" i="1" s="1" a="1"/>
  <c r="J63" i="1" s="1"/>
  <c r="N65" i="14"/>
  <c r="N63" i="14"/>
  <c r="J60" i="1" s="1" a="1"/>
  <c r="J60" i="1" s="1"/>
  <c r="S68" i="14"/>
  <c r="K64" i="1" s="1" a="1"/>
  <c r="K64" i="1" s="1"/>
  <c r="S47" i="14"/>
  <c r="K45" i="1" s="1" a="1"/>
  <c r="K45" i="1" s="1"/>
  <c r="N70" i="14"/>
  <c r="J66" i="1" s="1" a="1"/>
  <c r="J66" i="1" s="1"/>
  <c r="S57" i="14"/>
  <c r="K54" i="1" s="1" a="1"/>
  <c r="K54" i="1" s="1"/>
  <c r="Q38" i="1" a="1"/>
  <c r="Q38" i="1" s="1"/>
  <c r="Q57" i="1" a="1"/>
  <c r="Q57" i="1" s="1"/>
  <c r="P91" i="1" a="1"/>
  <c r="P91" i="1" s="1"/>
  <c r="P66" i="1" a="1"/>
  <c r="P66" i="1" s="1"/>
  <c r="L42" i="1" a="1"/>
  <c r="L42" i="1" s="1"/>
  <c r="M101" i="1" a="1"/>
  <c r="M101" i="1" s="1"/>
  <c r="Q50" i="1" a="1"/>
  <c r="Q50" i="1" s="1"/>
  <c r="P54" i="1" a="1"/>
  <c r="P54" i="1" s="1"/>
  <c r="Q37" i="1" a="1"/>
  <c r="Q37" i="1" s="1"/>
  <c r="M57" i="1" a="1"/>
  <c r="M57" i="1" s="1"/>
  <c r="N66" i="14"/>
  <c r="J62" i="1" s="1" a="1"/>
  <c r="J62" i="1" s="1"/>
  <c r="N48" i="14"/>
  <c r="J46" i="1" s="1" a="1"/>
  <c r="J46" i="1" s="1"/>
  <c r="N40" i="14"/>
  <c r="J39" i="1" s="1" a="1"/>
  <c r="J39" i="1" s="1"/>
  <c r="S44" i="14"/>
  <c r="K42" i="1" s="1" a="1"/>
  <c r="K42" i="1" s="1"/>
  <c r="N49" i="14"/>
  <c r="J47" i="1" s="1" a="1"/>
  <c r="J47" i="1" s="1"/>
  <c r="S60" i="14"/>
  <c r="K57" i="1" s="1" a="1"/>
  <c r="K57" i="1" s="1"/>
  <c r="N61" i="14"/>
  <c r="J58" i="1" s="1" a="1"/>
  <c r="J58" i="1" s="1"/>
  <c r="I33" i="14"/>
  <c r="P38" i="1" a="1"/>
  <c r="P38" i="1" s="1"/>
  <c r="P95" i="1" a="1"/>
  <c r="P95" i="1" s="1"/>
  <c r="P100" i="1" a="1"/>
  <c r="P100" i="1" s="1"/>
  <c r="Q75" i="1" a="1"/>
  <c r="Q75" i="1" s="1"/>
  <c r="M63" i="1" a="1"/>
  <c r="M63" i="1" s="1"/>
  <c r="P69" i="1" a="1"/>
  <c r="P69" i="1" s="1"/>
  <c r="L43" i="1" a="1"/>
  <c r="L43" i="1" s="1"/>
  <c r="M79" i="1" a="1"/>
  <c r="M79" i="1" s="1"/>
  <c r="L49" i="1" a="1"/>
  <c r="L49" i="1" s="1"/>
  <c r="K3" i="2"/>
  <c r="L3" i="2" s="1"/>
  <c r="L102" i="1" a="1"/>
  <c r="L102" i="1" s="1"/>
  <c r="N74" i="14"/>
  <c r="J70" i="1" s="1" a="1"/>
  <c r="J70" i="1" s="1"/>
  <c r="S52" i="14"/>
  <c r="K50" i="1" s="1" a="1"/>
  <c r="K50" i="1" s="1"/>
  <c r="N51" i="14"/>
  <c r="J49" i="1" s="1" a="1"/>
  <c r="J49" i="1" s="1"/>
  <c r="N68" i="14"/>
  <c r="J64" i="1" s="1" a="1"/>
  <c r="J64" i="1" s="1"/>
  <c r="S43" i="14"/>
  <c r="K41" i="1" s="1" a="1"/>
  <c r="K41" i="1" s="1"/>
  <c r="N60" i="14"/>
  <c r="J57" i="1" s="1" a="1"/>
  <c r="J57" i="1" s="1"/>
  <c r="S63" i="14"/>
  <c r="K60" i="1" s="1" a="1"/>
  <c r="K60" i="1" s="1"/>
  <c r="S61" i="14"/>
  <c r="K58" i="1" s="1" a="1"/>
  <c r="K58" i="1" s="1"/>
  <c r="P99" i="1" a="1"/>
  <c r="P99" i="1" s="1"/>
  <c r="P118" i="1" a="1"/>
  <c r="P118" i="1" s="1"/>
  <c r="M109" i="1" a="1"/>
  <c r="M109" i="1" s="1"/>
  <c r="M88" i="1" a="1"/>
  <c r="M88" i="1" s="1"/>
  <c r="M59" i="1" a="1"/>
  <c r="M59" i="1" s="1"/>
  <c r="P52" i="1" a="1"/>
  <c r="P52" i="1" s="1"/>
  <c r="P36" i="1" a="1"/>
  <c r="P36" i="1" s="1"/>
  <c r="P111" i="1" a="1"/>
  <c r="P111" i="1" s="1"/>
  <c r="N75" i="14"/>
  <c r="J71" i="1" s="1" a="1"/>
  <c r="J71" i="1" s="1"/>
  <c r="S51" i="14"/>
  <c r="K49" i="1" s="1" a="1"/>
  <c r="K49" i="1" s="1"/>
  <c r="S65" i="14"/>
  <c r="S70" i="14"/>
  <c r="K66" i="1" s="1" a="1"/>
  <c r="K66" i="1" s="1"/>
  <c r="N42" i="14"/>
  <c r="J40" i="1" s="1" a="1"/>
  <c r="J40" i="1" s="1"/>
  <c r="S45" i="14"/>
  <c r="K43" i="1" s="1" a="1"/>
  <c r="K43" i="1" s="1"/>
  <c r="Q118" i="1" a="1"/>
  <c r="Q118" i="1" s="1"/>
  <c r="L93" i="1" a="1"/>
  <c r="L93" i="1" s="1"/>
  <c r="L112" i="1" a="1"/>
  <c r="L112" i="1" s="1"/>
  <c r="Q58" i="1" a="1"/>
  <c r="Q58" i="1" s="1"/>
  <c r="Q82" i="1" a="1"/>
  <c r="Q82" i="1" s="1"/>
  <c r="P87" i="1" a="1"/>
  <c r="P87" i="1" s="1"/>
  <c r="M94" i="1" a="1"/>
  <c r="M94" i="1" s="1"/>
  <c r="M37" i="1" a="1"/>
  <c r="M37" i="1" s="1"/>
  <c r="S74" i="14"/>
  <c r="K70" i="1" s="1" a="1"/>
  <c r="K70" i="1" s="1"/>
  <c r="S50" i="14"/>
  <c r="K48" i="1" s="1" a="1"/>
  <c r="K48" i="1" s="1"/>
  <c r="S55" i="14"/>
  <c r="K52" i="1" s="1" a="1"/>
  <c r="K52" i="1" s="1"/>
  <c r="S49" i="14"/>
  <c r="K47" i="1" s="1" a="1"/>
  <c r="K47" i="1" s="1"/>
  <c r="S58" i="14"/>
  <c r="K55" i="1" s="1" a="1"/>
  <c r="K55" i="1" s="1"/>
  <c r="S40" i="14"/>
  <c r="K39" i="1" s="1" a="1"/>
  <c r="K39" i="1" s="1"/>
  <c r="S41" i="14"/>
  <c r="S39" i="14"/>
  <c r="K38" i="1" s="1" a="1"/>
  <c r="K38" i="1" s="1"/>
  <c r="N41" i="14"/>
  <c r="Q73" i="1" a="1"/>
  <c r="Q73" i="1" s="1"/>
  <c r="M113" i="1" a="1"/>
  <c r="M113" i="1" s="1"/>
  <c r="N46" i="14"/>
  <c r="J44" i="1" s="1" a="1"/>
  <c r="J44" i="1" s="1"/>
  <c r="S62" i="14"/>
  <c r="K59" i="1" s="1" a="1"/>
  <c r="K59" i="1" s="1"/>
  <c r="N53" i="14"/>
  <c r="N71" i="14"/>
  <c r="J67" i="1" s="1" a="1"/>
  <c r="J67" i="1" s="1"/>
  <c r="S75" i="14"/>
  <c r="K71" i="1" s="1" a="1"/>
  <c r="K71" i="1" s="1"/>
  <c r="N54" i="14"/>
  <c r="J51" i="1" s="1" a="1"/>
  <c r="J51" i="1" s="1"/>
  <c r="N52" i="14"/>
  <c r="J50" i="1" s="1" a="1"/>
  <c r="J50" i="1" s="1"/>
  <c r="N59" i="14"/>
  <c r="J56" i="1" s="1" a="1"/>
  <c r="J56" i="1" s="1"/>
  <c r="S59" i="14"/>
  <c r="K56" i="1" s="1" a="1"/>
  <c r="K56" i="1" s="1"/>
  <c r="S71" i="14"/>
  <c r="K67" i="1" s="1" a="1"/>
  <c r="K67" i="1" s="1"/>
  <c r="S54" i="14"/>
  <c r="K51" i="1" s="1" a="1"/>
  <c r="K51" i="1" s="1"/>
  <c r="S42" i="14"/>
  <c r="K40" i="1" s="1" a="1"/>
  <c r="K40" i="1" s="1"/>
  <c r="Q103" i="1" a="1"/>
  <c r="Q103" i="1" s="1"/>
  <c r="P92" i="1" a="1"/>
  <c r="P92" i="1" s="1"/>
  <c r="L53" i="1" a="1"/>
  <c r="L53" i="1" s="1"/>
  <c r="P70" i="1" a="1"/>
  <c r="P70" i="1" s="1"/>
  <c r="Q80" i="1" a="1"/>
  <c r="Q80" i="1" s="1"/>
  <c r="Q51" i="1" a="1"/>
  <c r="Q51" i="1" s="1"/>
  <c r="M84" i="1" a="1"/>
  <c r="M84" i="1" s="1"/>
  <c r="P49" i="1" a="1"/>
  <c r="P49" i="1" s="1"/>
  <c r="L85" i="1" a="1"/>
  <c r="L85" i="1" s="1"/>
  <c r="P68" i="1" a="1"/>
  <c r="P68" i="1" s="1"/>
  <c r="Q49" i="1" a="1"/>
  <c r="Q49" i="1" s="1"/>
  <c r="L54" i="1" a="1"/>
  <c r="L54" i="1" s="1"/>
  <c r="L62" i="1" a="1"/>
  <c r="L62" i="1" s="1"/>
  <c r="L36" i="1" a="1"/>
  <c r="L36" i="1" s="1"/>
  <c r="P74" i="1" a="1"/>
  <c r="P74" i="1" s="1"/>
  <c r="M70" i="1" a="1"/>
  <c r="M70" i="1" s="1"/>
  <c r="L96" i="1" a="1"/>
  <c r="L96" i="1" s="1"/>
  <c r="Q86" i="1" a="1"/>
  <c r="Q86" i="1" s="1"/>
  <c r="N69" i="14"/>
  <c r="J65" i="1" s="1" a="1"/>
  <c r="J65" i="1" s="1"/>
  <c r="S69" i="14"/>
  <c r="K65" i="1" s="1" a="1"/>
  <c r="K65" i="1" s="1"/>
  <c r="N45" i="14"/>
  <c r="J43" i="1" s="1" a="1"/>
  <c r="J43" i="1" s="1"/>
  <c r="S48" i="14"/>
  <c r="K46" i="1" s="1" a="1"/>
  <c r="K46" i="1" s="1"/>
  <c r="N73" i="14"/>
  <c r="J69" i="1" s="1" a="1"/>
  <c r="J69" i="1" s="1"/>
  <c r="N64" i="14"/>
  <c r="J61" i="1" s="1" a="1"/>
  <c r="J61" i="1" s="1"/>
  <c r="S67" i="14"/>
  <c r="K63" i="1" s="1" a="1"/>
  <c r="K63" i="1" s="1"/>
  <c r="N55" i="14"/>
  <c r="J52" i="1" s="1" a="1"/>
  <c r="J52" i="1" s="1"/>
  <c r="N57" i="14"/>
  <c r="J54" i="1" s="1" a="1"/>
  <c r="J54" i="1" s="1"/>
  <c r="S56" i="14"/>
  <c r="K53" i="1" s="1" a="1"/>
  <c r="K53" i="1" s="1"/>
  <c r="N58" i="14"/>
  <c r="J55" i="1" s="1" a="1"/>
  <c r="J55" i="1" s="1"/>
  <c r="N72" i="14"/>
  <c r="J68" i="1" s="1" a="1"/>
  <c r="J68" i="1" s="1"/>
  <c r="T124" i="14"/>
  <c r="S116" i="1" s="1" a="1"/>
  <c r="S116" i="1" s="1"/>
  <c r="O63" i="14"/>
  <c r="O39" i="14"/>
  <c r="R38" i="1" s="1" a="1"/>
  <c r="R38" i="1" s="1"/>
  <c r="T82" i="14"/>
  <c r="T127" i="14"/>
  <c r="S118" i="1" s="1" a="1"/>
  <c r="S118" i="1" s="1"/>
  <c r="O127" i="14"/>
  <c r="R118" i="1" s="1" a="1"/>
  <c r="R118" i="1" s="1"/>
  <c r="O108" i="14"/>
  <c r="O83" i="14"/>
  <c r="R78" i="1" s="1" a="1"/>
  <c r="R78" i="1" s="1"/>
  <c r="T64" i="14"/>
  <c r="S61" i="1" s="1" a="1"/>
  <c r="S61" i="1" s="1"/>
  <c r="T39" i="14"/>
  <c r="S38" i="1" s="1" a="1"/>
  <c r="S38" i="1" s="1"/>
  <c r="V8" i="1" l="1"/>
  <c r="V14" i="1"/>
  <c r="V16" i="1"/>
  <c r="R49" i="14"/>
  <c r="O47" i="1" s="1" a="1"/>
  <c r="O47" i="1" s="1"/>
  <c r="M55" i="14"/>
  <c r="N52" i="1" s="1" a="1"/>
  <c r="N52" i="1" s="1"/>
  <c r="E34" i="1"/>
  <c r="G14" i="15"/>
  <c r="S74" i="1" a="1"/>
  <c r="S74" i="1" s="1"/>
  <c r="R17" i="1" a="1"/>
  <c r="R17" i="1" s="1"/>
  <c r="T22" i="14"/>
  <c r="S21" i="1" s="1" a="1"/>
  <c r="S21" i="1" s="1"/>
  <c r="T19" i="14"/>
  <c r="S18" i="1" s="1" a="1"/>
  <c r="S18" i="1" s="1"/>
  <c r="S99" i="1" a="1"/>
  <c r="S99" i="1" s="1"/>
  <c r="R67" i="14"/>
  <c r="O63" i="1" s="1" a="1"/>
  <c r="O63" i="1" s="1"/>
  <c r="M39" i="14"/>
  <c r="N38" i="1" s="1" a="1"/>
  <c r="N38" i="1" s="1"/>
  <c r="M50" i="14"/>
  <c r="N48" i="1" s="1" a="1"/>
  <c r="N48" i="1" s="1"/>
  <c r="R62" i="14"/>
  <c r="O59" i="1" s="1" a="1"/>
  <c r="O59" i="1" s="1"/>
  <c r="R66" i="14"/>
  <c r="O62" i="1" s="1" a="1"/>
  <c r="O62" i="1" s="1"/>
  <c r="R44" i="14"/>
  <c r="O42" i="1" s="1" a="1"/>
  <c r="O42" i="1" s="1"/>
  <c r="R37" i="14"/>
  <c r="O36" i="1" s="1" a="1"/>
  <c r="O36" i="1" s="1"/>
  <c r="M54" i="14"/>
  <c r="N51" i="1" s="1" a="1"/>
  <c r="N51" i="1" s="1"/>
  <c r="M36" i="1" a="1"/>
  <c r="M36" i="1" s="1"/>
  <c r="N34" i="14"/>
  <c r="J33" i="1" s="1" a="1"/>
  <c r="J33" i="1" s="1"/>
  <c r="N33" i="14"/>
  <c r="J32" i="1" s="1" a="1"/>
  <c r="J32" i="1" s="1"/>
  <c r="R39" i="14"/>
  <c r="O38" i="1" s="1" a="1"/>
  <c r="O38" i="1" s="1"/>
  <c r="M38" i="14"/>
  <c r="N37" i="1" s="1" a="1"/>
  <c r="N37" i="1" s="1"/>
  <c r="R57" i="14"/>
  <c r="O54" i="1" s="1" a="1"/>
  <c r="O54" i="1" s="1"/>
  <c r="O24" i="14"/>
  <c r="R23" i="1" s="1" a="1"/>
  <c r="R23" i="1" s="1"/>
  <c r="M60" i="14"/>
  <c r="N57" i="1" s="1" a="1"/>
  <c r="N57" i="1" s="1"/>
  <c r="R61" i="14"/>
  <c r="O58" i="1" s="1" a="1"/>
  <c r="O58" i="1" s="1"/>
  <c r="M49" i="14"/>
  <c r="N47" i="1" s="1" a="1"/>
  <c r="N47" i="1" s="1"/>
  <c r="M44" i="14"/>
  <c r="N42" i="1" s="1" a="1"/>
  <c r="N42" i="1" s="1"/>
  <c r="R63" i="14"/>
  <c r="O60" i="1" s="1" a="1"/>
  <c r="O60" i="1" s="1"/>
  <c r="S17" i="1" a="1"/>
  <c r="S17" i="1" s="1"/>
  <c r="M45" i="14"/>
  <c r="N43" i="1" s="1" a="1"/>
  <c r="N43" i="1" s="1"/>
  <c r="R91" i="1" a="1"/>
  <c r="R91" i="1" s="1"/>
  <c r="M64" i="14"/>
  <c r="N61" i="1" s="1" a="1"/>
  <c r="N61" i="1" s="1"/>
  <c r="R60" i="14"/>
  <c r="O57" i="1" s="1" a="1"/>
  <c r="O57" i="1" s="1"/>
  <c r="M57" i="14"/>
  <c r="N54" i="1" s="1" a="1"/>
  <c r="N54" i="1" s="1"/>
  <c r="R59" i="14"/>
  <c r="O56" i="1" s="1" a="1"/>
  <c r="O56" i="1" s="1"/>
  <c r="T20" i="14"/>
  <c r="S19" i="1" s="1" a="1"/>
  <c r="S19" i="1" s="1"/>
  <c r="M37" i="14"/>
  <c r="N36" i="1" s="1" a="1"/>
  <c r="N36" i="1" s="1"/>
  <c r="M58" i="14"/>
  <c r="N55" i="1" s="1" a="1"/>
  <c r="N55" i="1" s="1"/>
  <c r="R53" i="14"/>
  <c r="T24" i="14"/>
  <c r="S23" i="1" s="1" a="1"/>
  <c r="S23" i="1" s="1"/>
  <c r="O22" i="14"/>
  <c r="R21" i="1" s="1" a="1"/>
  <c r="R21" i="1" s="1"/>
  <c r="M51" i="14"/>
  <c r="N49" i="1" s="1" a="1"/>
  <c r="N49" i="1" s="1"/>
  <c r="M66" i="14"/>
  <c r="N62" i="1" s="1" a="1"/>
  <c r="N62" i="1" s="1"/>
  <c r="R51" i="14"/>
  <c r="O49" i="1" s="1" a="1"/>
  <c r="O49" i="1" s="1"/>
  <c r="O20" i="14"/>
  <c r="R19" i="1" s="1" a="1"/>
  <c r="R19" i="1" s="1"/>
  <c r="T21" i="14"/>
  <c r="S20" i="1" s="1" a="1"/>
  <c r="S20" i="1" s="1"/>
  <c r="O19" i="14"/>
  <c r="R18" i="1" s="1" a="1"/>
  <c r="R18" i="1" s="1"/>
  <c r="M47" i="14"/>
  <c r="N45" i="1" s="1" a="1"/>
  <c r="N45" i="1" s="1"/>
  <c r="R45" i="14"/>
  <c r="O43" i="1" s="1" a="1"/>
  <c r="O43" i="1" s="1"/>
  <c r="R64" i="14"/>
  <c r="O61" i="1" s="1" a="1"/>
  <c r="O61" i="1" s="1"/>
  <c r="M40" i="14"/>
  <c r="N39" i="1" s="1" a="1"/>
  <c r="N39" i="1" s="1"/>
  <c r="M56" i="14"/>
  <c r="N53" i="1" s="1" a="1"/>
  <c r="N53" i="1" s="1"/>
  <c r="M53" i="14"/>
  <c r="M46" i="14"/>
  <c r="N44" i="1" s="1" a="1"/>
  <c r="N44" i="1" s="1"/>
  <c r="R41" i="14"/>
  <c r="R38" i="14"/>
  <c r="O37" i="1" s="1" a="1"/>
  <c r="O37" i="1" s="1"/>
  <c r="R50" i="14"/>
  <c r="O48" i="1" s="1" a="1"/>
  <c r="O48" i="1" s="1"/>
  <c r="T48" i="1" s="1"/>
  <c r="R48" i="14"/>
  <c r="O46" i="1" s="1" a="1"/>
  <c r="O46" i="1" s="1"/>
  <c r="R46" i="14"/>
  <c r="O44" i="1" s="1" a="1"/>
  <c r="O44" i="1" s="1"/>
  <c r="R56" i="14"/>
  <c r="O53" i="1" s="1" a="1"/>
  <c r="O53" i="1" s="1"/>
  <c r="M65" i="14"/>
  <c r="M42" i="14"/>
  <c r="N40" i="1" s="1" a="1"/>
  <c r="N40" i="1" s="1"/>
  <c r="M48" i="14"/>
  <c r="N46" i="1" s="1" a="1"/>
  <c r="N46" i="1" s="1"/>
  <c r="M62" i="14"/>
  <c r="N59" i="1" s="1" a="1"/>
  <c r="N59" i="1" s="1"/>
  <c r="R55" i="14"/>
  <c r="O52" i="1" s="1" a="1"/>
  <c r="O52" i="1" s="1"/>
  <c r="M41" i="14"/>
  <c r="M59" i="14"/>
  <c r="N56" i="1" s="1" a="1"/>
  <c r="N56" i="1" s="1"/>
  <c r="S39" i="1" a="1"/>
  <c r="S39" i="1" s="1"/>
  <c r="L60" i="14"/>
  <c r="P57" i="1" s="1" a="1"/>
  <c r="P57" i="1" s="1"/>
  <c r="E31" i="1"/>
  <c r="E27" i="1"/>
  <c r="AB269" i="12"/>
  <c r="E25" i="1" s="1"/>
  <c r="G8" i="15"/>
  <c r="E31" i="10"/>
  <c r="G10" i="15"/>
  <c r="G6" i="15"/>
  <c r="G13" i="15"/>
  <c r="G11" i="15"/>
  <c r="AB279" i="12"/>
  <c r="G9" i="15"/>
  <c r="G12" i="15"/>
  <c r="G7" i="15"/>
  <c r="E33" i="1"/>
  <c r="G5" i="15"/>
  <c r="J2" i="2"/>
  <c r="K2" i="2"/>
  <c r="L2" i="2" s="1"/>
  <c r="E33" i="10"/>
  <c r="E32" i="10"/>
  <c r="E36" i="10"/>
  <c r="E35" i="10"/>
  <c r="E30" i="10"/>
  <c r="E34" i="10"/>
  <c r="AB274" i="12"/>
  <c r="S98" i="14"/>
  <c r="K92" i="1" s="1" a="1"/>
  <c r="K92" i="1" s="1"/>
  <c r="N79" i="14"/>
  <c r="J74" i="1" s="1" a="1"/>
  <c r="J74" i="1" s="1"/>
  <c r="S124" i="1" a="1"/>
  <c r="S124" i="1" s="1"/>
  <c r="N89" i="14"/>
  <c r="S125" i="14"/>
  <c r="S96" i="14"/>
  <c r="K90" i="1" s="1" a="1"/>
  <c r="K90" i="1" s="1"/>
  <c r="S69" i="1" a="1"/>
  <c r="S69" i="1" s="1"/>
  <c r="U69" i="1" s="1"/>
  <c r="S62" i="1" a="1"/>
  <c r="S62" i="1" s="1"/>
  <c r="S97" i="14"/>
  <c r="K91" i="1" s="1" a="1"/>
  <c r="K91" i="1" s="1"/>
  <c r="N116" i="14"/>
  <c r="J108" i="1" s="1" a="1"/>
  <c r="J108" i="1" s="1"/>
  <c r="R130" i="1" a="1"/>
  <c r="R130" i="1" s="1"/>
  <c r="U130" i="1" s="1"/>
  <c r="N101" i="14"/>
  <c r="S112" i="14"/>
  <c r="K105" i="1" s="1" a="1"/>
  <c r="K105" i="1" s="1"/>
  <c r="N85" i="14"/>
  <c r="J80" i="1" s="1" a="1"/>
  <c r="J80" i="1" s="1"/>
  <c r="N110" i="14"/>
  <c r="J103" i="1" s="1" a="1"/>
  <c r="J103" i="1" s="1"/>
  <c r="N105" i="14"/>
  <c r="J98" i="1" s="1" a="1"/>
  <c r="J98" i="1" s="1"/>
  <c r="S83" i="14"/>
  <c r="K78" i="1" s="1" a="1"/>
  <c r="K78" i="1" s="1"/>
  <c r="S88" i="14"/>
  <c r="K83" i="1" s="1" a="1"/>
  <c r="K83" i="1" s="1"/>
  <c r="S106" i="14"/>
  <c r="K99" i="1" s="1" a="1"/>
  <c r="K99" i="1" s="1"/>
  <c r="S109" i="14"/>
  <c r="K102" i="1" s="1" a="1"/>
  <c r="K102" i="1" s="1"/>
  <c r="N119" i="14"/>
  <c r="J111" i="1" s="1" a="1"/>
  <c r="J111" i="1" s="1"/>
  <c r="S81" i="14"/>
  <c r="K76" i="1" s="1" a="1"/>
  <c r="K76" i="1" s="1"/>
  <c r="S115" i="14"/>
  <c r="K107" i="1" s="1" a="1"/>
  <c r="K107" i="1" s="1"/>
  <c r="S93" i="14"/>
  <c r="K87" i="1" s="1" a="1"/>
  <c r="K87" i="1" s="1"/>
  <c r="N106" i="14"/>
  <c r="J99" i="1" s="1" a="1"/>
  <c r="J99" i="1" s="1"/>
  <c r="N109" i="14"/>
  <c r="J102" i="1" s="1" a="1"/>
  <c r="J102" i="1" s="1"/>
  <c r="S116" i="14"/>
  <c r="K108" i="1" s="1" a="1"/>
  <c r="K108" i="1" s="1"/>
  <c r="N82" i="14"/>
  <c r="J77" i="1" s="1" a="1"/>
  <c r="J77" i="1" s="1"/>
  <c r="N76" i="14"/>
  <c r="J72" i="1" s="1" a="1"/>
  <c r="J72" i="1" s="1"/>
  <c r="N81" i="14"/>
  <c r="J76" i="1" s="1" a="1"/>
  <c r="J76" i="1" s="1"/>
  <c r="N93" i="14"/>
  <c r="J87" i="1" s="1" a="1"/>
  <c r="J87" i="1" s="1"/>
  <c r="S82" i="14"/>
  <c r="K77" i="1" s="1" a="1"/>
  <c r="K77" i="1" s="1"/>
  <c r="N87" i="14"/>
  <c r="J82" i="1" s="1" a="1"/>
  <c r="J82" i="1" s="1"/>
  <c r="N98" i="14"/>
  <c r="J92" i="1" s="1" a="1"/>
  <c r="J92" i="1" s="1"/>
  <c r="S78" i="14"/>
  <c r="K73" i="1" s="1" a="1"/>
  <c r="K73" i="1" s="1"/>
  <c r="S99" i="14"/>
  <c r="K93" i="1" s="1" a="1"/>
  <c r="K93" i="1" s="1"/>
  <c r="S87" i="14"/>
  <c r="K82" i="1" s="1" a="1"/>
  <c r="K82" i="1" s="1"/>
  <c r="S102" i="14"/>
  <c r="K95" i="1" s="1" a="1"/>
  <c r="K95" i="1" s="1"/>
  <c r="N102" i="14"/>
  <c r="J95" i="1" s="1" a="1"/>
  <c r="J95" i="1" s="1"/>
  <c r="S103" i="14"/>
  <c r="K96" i="1" s="1" a="1"/>
  <c r="K96" i="1" s="1"/>
  <c r="N88" i="14"/>
  <c r="J83" i="1" s="1" a="1"/>
  <c r="J83" i="1" s="1"/>
  <c r="S101" i="14"/>
  <c r="U135" i="1"/>
  <c r="T135" i="1"/>
  <c r="S80" i="14"/>
  <c r="K75" i="1" s="1" a="1"/>
  <c r="K75" i="1" s="1"/>
  <c r="N120" i="14"/>
  <c r="J112" i="1" s="1" a="1"/>
  <c r="J112" i="1" s="1"/>
  <c r="S119" i="14"/>
  <c r="K111" i="1" s="1" a="1"/>
  <c r="K111" i="1" s="1"/>
  <c r="S104" i="14"/>
  <c r="K97" i="1" s="1" a="1"/>
  <c r="K97" i="1" s="1"/>
  <c r="N123" i="14"/>
  <c r="J115" i="1" s="1" a="1"/>
  <c r="J115" i="1" s="1"/>
  <c r="N112" i="14"/>
  <c r="J105" i="1" s="1" a="1"/>
  <c r="J105" i="1" s="1"/>
  <c r="S84" i="14"/>
  <c r="K79" i="1" s="1" a="1"/>
  <c r="K79" i="1" s="1"/>
  <c r="N80" i="14"/>
  <c r="J75" i="1" s="1" a="1"/>
  <c r="J75" i="1" s="1"/>
  <c r="S86" i="14"/>
  <c r="K81" i="1" s="1" a="1"/>
  <c r="K81" i="1" s="1"/>
  <c r="N94" i="14"/>
  <c r="J88" i="1" s="1" a="1"/>
  <c r="J88" i="1" s="1"/>
  <c r="N91" i="14"/>
  <c r="J85" i="1" s="1" a="1"/>
  <c r="J85" i="1" s="1"/>
  <c r="S79" i="14"/>
  <c r="K74" i="1" s="1" a="1"/>
  <c r="K74" i="1" s="1"/>
  <c r="N114" i="14"/>
  <c r="J106" i="1" s="1" a="1"/>
  <c r="J106" i="1" s="1"/>
  <c r="S76" i="14"/>
  <c r="K72" i="1" s="1" a="1"/>
  <c r="K72" i="1" s="1"/>
  <c r="N118" i="14"/>
  <c r="J110" i="1" s="1" a="1"/>
  <c r="J110" i="1" s="1"/>
  <c r="N96" i="14"/>
  <c r="J90" i="1" s="1" a="1"/>
  <c r="J90" i="1" s="1"/>
  <c r="N117" i="14"/>
  <c r="J109" i="1" s="1" a="1"/>
  <c r="J109" i="1" s="1"/>
  <c r="M35" i="1" a="1"/>
  <c r="M35" i="1" s="1"/>
  <c r="S92" i="14"/>
  <c r="K86" i="1" s="1" a="1"/>
  <c r="K86" i="1" s="1"/>
  <c r="S123" i="14"/>
  <c r="K115" i="1" s="1" a="1"/>
  <c r="K115" i="1" s="1"/>
  <c r="S77" i="14"/>
  <c r="N97" i="14"/>
  <c r="J91" i="1" s="1" a="1"/>
  <c r="J91" i="1" s="1"/>
  <c r="S90" i="14"/>
  <c r="K84" i="1" s="1" a="1"/>
  <c r="K84" i="1" s="1"/>
  <c r="S91" i="14"/>
  <c r="K85" i="1" s="1" a="1"/>
  <c r="K85" i="1" s="1"/>
  <c r="N77" i="14"/>
  <c r="S118" i="14"/>
  <c r="K110" i="1" s="1" a="1"/>
  <c r="K110" i="1" s="1"/>
  <c r="N115" i="14"/>
  <c r="J107" i="1" s="1" a="1"/>
  <c r="J107" i="1" s="1"/>
  <c r="T29" i="14"/>
  <c r="S28" i="1" s="1" a="1"/>
  <c r="S28" i="1" s="1"/>
  <c r="L33" i="1" a="1"/>
  <c r="L33" i="1" s="1"/>
  <c r="L35" i="1" a="1"/>
  <c r="L35" i="1" s="1"/>
  <c r="K34" i="10"/>
  <c r="J34" i="10"/>
  <c r="G15" i="15"/>
  <c r="K31" i="10"/>
  <c r="J31" i="10"/>
  <c r="R29" i="1" a="1"/>
  <c r="R29" i="1" s="1"/>
  <c r="G68" i="15"/>
  <c r="K30" i="10"/>
  <c r="J30" i="10"/>
  <c r="S31" i="1" a="1"/>
  <c r="S31" i="1" s="1"/>
  <c r="K33" i="14"/>
  <c r="M40" i="1" a="1"/>
  <c r="M40" i="1" s="1"/>
  <c r="P33" i="14"/>
  <c r="R127" i="1" a="1"/>
  <c r="R127" i="1" s="1"/>
  <c r="T127" i="1" s="1"/>
  <c r="R128" i="1" a="1"/>
  <c r="R128" i="1" s="1"/>
  <c r="U128" i="1" s="1"/>
  <c r="R92" i="1" a="1"/>
  <c r="R92" i="1" s="1"/>
  <c r="R46" i="1" a="1"/>
  <c r="R46" i="1" s="1"/>
  <c r="S109" i="1" a="1"/>
  <c r="S109" i="1" s="1"/>
  <c r="O72" i="14"/>
  <c r="O71" i="14" s="1"/>
  <c r="R74" i="1" s="1" a="1"/>
  <c r="R74" i="1" s="1"/>
  <c r="S64" i="1" a="1"/>
  <c r="S64" i="1" s="1"/>
  <c r="S129" i="1" a="1"/>
  <c r="S129" i="1" s="1"/>
  <c r="S55" i="1" a="1"/>
  <c r="S55" i="1" s="1"/>
  <c r="R36" i="14"/>
  <c r="O35" i="1" s="1" a="1"/>
  <c r="O35" i="1" s="1"/>
  <c r="U137" i="1"/>
  <c r="T133" i="1"/>
  <c r="I3" i="2"/>
  <c r="U133" i="1"/>
  <c r="U138" i="1"/>
  <c r="N36" i="14"/>
  <c r="S36" i="14"/>
  <c r="G69" i="15"/>
  <c r="G65" i="15"/>
  <c r="G58" i="15"/>
  <c r="G74" i="15"/>
  <c r="G20" i="15"/>
  <c r="G40" i="15"/>
  <c r="G39" i="15"/>
  <c r="G76" i="15"/>
  <c r="G31" i="15"/>
  <c r="G22" i="15"/>
  <c r="G47" i="15"/>
  <c r="G53" i="15"/>
  <c r="G71" i="15"/>
  <c r="G29" i="15"/>
  <c r="G60" i="15"/>
  <c r="G27" i="15"/>
  <c r="G28" i="15"/>
  <c r="G78" i="15"/>
  <c r="G66" i="15"/>
  <c r="G72" i="15"/>
  <c r="G36" i="15"/>
  <c r="G84" i="15"/>
  <c r="G38" i="15"/>
  <c r="G30" i="15"/>
  <c r="G16" i="15"/>
  <c r="G42" i="15"/>
  <c r="G17" i="15"/>
  <c r="G19" i="15"/>
  <c r="G77" i="15"/>
  <c r="G24" i="15"/>
  <c r="G75" i="15"/>
  <c r="G18" i="15"/>
  <c r="G23" i="15"/>
  <c r="G70" i="15"/>
  <c r="G73" i="15"/>
  <c r="G21" i="15"/>
  <c r="G26" i="15"/>
  <c r="G25" i="15"/>
  <c r="G88" i="15"/>
  <c r="G55" i="15"/>
  <c r="G37" i="15"/>
  <c r="G61" i="15"/>
  <c r="G67" i="15"/>
  <c r="G80" i="15"/>
  <c r="G51" i="15"/>
  <c r="G59" i="15"/>
  <c r="G44" i="15"/>
  <c r="G81" i="15"/>
  <c r="G86" i="15"/>
  <c r="G52" i="15"/>
  <c r="G48" i="15"/>
  <c r="G45" i="15"/>
  <c r="G54" i="15"/>
  <c r="G49" i="15"/>
  <c r="G63" i="15"/>
  <c r="G87" i="15"/>
  <c r="G57" i="15"/>
  <c r="G35" i="15"/>
  <c r="G50" i="15"/>
  <c r="G82" i="15"/>
  <c r="G85" i="15"/>
  <c r="G46" i="15"/>
  <c r="G41" i="15"/>
  <c r="G33" i="15"/>
  <c r="G64" i="15"/>
  <c r="G32" i="15"/>
  <c r="G43" i="15"/>
  <c r="G34" i="15"/>
  <c r="G83" i="15"/>
  <c r="G56" i="15"/>
  <c r="G79" i="15"/>
  <c r="G62" i="15"/>
  <c r="T131" i="1"/>
  <c r="T134" i="1"/>
  <c r="T136" i="1"/>
  <c r="J3" i="2"/>
  <c r="R80" i="1" a="1"/>
  <c r="R80" i="1" s="1"/>
  <c r="S110" i="1" a="1"/>
  <c r="S110" i="1" s="1"/>
  <c r="T135" i="14"/>
  <c r="T134" i="14" s="1"/>
  <c r="S132" i="1" s="1" a="1"/>
  <c r="S132" i="1" s="1"/>
  <c r="N108" i="14"/>
  <c r="J101" i="1" s="1" a="1"/>
  <c r="J101" i="1" s="1"/>
  <c r="S120" i="14"/>
  <c r="K112" i="1" s="1" a="1"/>
  <c r="K112" i="1" s="1"/>
  <c r="N100" i="14"/>
  <c r="J94" i="1" s="1" a="1"/>
  <c r="J94" i="1" s="1"/>
  <c r="N92" i="14"/>
  <c r="J86" i="1" s="1" a="1"/>
  <c r="J86" i="1" s="1"/>
  <c r="S121" i="14"/>
  <c r="K113" i="1" s="1" a="1"/>
  <c r="K113" i="1" s="1"/>
  <c r="U131" i="1"/>
  <c r="N113" i="14"/>
  <c r="N122" i="14"/>
  <c r="J114" i="1" s="1" a="1"/>
  <c r="J114" i="1" s="1"/>
  <c r="N121" i="14"/>
  <c r="J113" i="1" s="1" a="1"/>
  <c r="J113" i="1" s="1"/>
  <c r="S114" i="14"/>
  <c r="K106" i="1" s="1" a="1"/>
  <c r="K106" i="1" s="1"/>
  <c r="S110" i="14"/>
  <c r="K103" i="1" s="1" a="1"/>
  <c r="K103" i="1" s="1"/>
  <c r="N132" i="14"/>
  <c r="J123" i="1" s="1" a="1"/>
  <c r="J123" i="1" s="1"/>
  <c r="N111" i="14"/>
  <c r="J104" i="1" s="1" a="1"/>
  <c r="J104" i="1" s="1"/>
  <c r="S113" i="14"/>
  <c r="N78" i="14"/>
  <c r="J73" i="1" s="1" a="1"/>
  <c r="J73" i="1" s="1"/>
  <c r="S105" i="14"/>
  <c r="K98" i="1" s="1" a="1"/>
  <c r="K98" i="1" s="1"/>
  <c r="N84" i="14"/>
  <c r="J79" i="1" s="1" a="1"/>
  <c r="J79" i="1" s="1"/>
  <c r="S94" i="14"/>
  <c r="K88" i="1" s="1" a="1"/>
  <c r="K88" i="1" s="1"/>
  <c r="R49" i="1" a="1"/>
  <c r="R49" i="1" s="1"/>
  <c r="T138" i="1"/>
  <c r="U134" i="1"/>
  <c r="N125" i="14"/>
  <c r="N99" i="14"/>
  <c r="J93" i="1" s="1" a="1"/>
  <c r="J93" i="1" s="1"/>
  <c r="N95" i="14"/>
  <c r="J89" i="1" s="1" a="1"/>
  <c r="J89" i="1" s="1"/>
  <c r="N107" i="14"/>
  <c r="J100" i="1" s="1" a="1"/>
  <c r="J100" i="1" s="1"/>
  <c r="N104" i="14"/>
  <c r="J97" i="1" s="1" a="1"/>
  <c r="J97" i="1" s="1"/>
  <c r="S85" i="14"/>
  <c r="K80" i="1" s="1" a="1"/>
  <c r="K80" i="1" s="1"/>
  <c r="N90" i="14"/>
  <c r="J84" i="1" s="1" a="1"/>
  <c r="J84" i="1" s="1"/>
  <c r="N83" i="14"/>
  <c r="J78" i="1" s="1" a="1"/>
  <c r="J78" i="1" s="1"/>
  <c r="S107" i="14"/>
  <c r="K100" i="1" s="1" a="1"/>
  <c r="K100" i="1" s="1"/>
  <c r="S122" i="14"/>
  <c r="K114" i="1" s="1" a="1"/>
  <c r="K114" i="1" s="1"/>
  <c r="S117" i="14"/>
  <c r="K109" i="1" s="1" a="1"/>
  <c r="K109" i="1" s="1"/>
  <c r="S111" i="14"/>
  <c r="K104" i="1" s="1" a="1"/>
  <c r="K104" i="1" s="1"/>
  <c r="S100" i="14"/>
  <c r="K94" i="1" s="1" a="1"/>
  <c r="K94" i="1" s="1"/>
  <c r="U136" i="1"/>
  <c r="N129" i="14"/>
  <c r="J120" i="1" s="1" a="1"/>
  <c r="J120" i="1" s="1"/>
  <c r="S63" i="1" a="1"/>
  <c r="S63" i="1" s="1"/>
  <c r="R102" i="1" a="1"/>
  <c r="R102" i="1" s="1"/>
  <c r="R86" i="1" a="1"/>
  <c r="R86" i="1" s="1"/>
  <c r="S47" i="1" a="1"/>
  <c r="S47" i="1" s="1"/>
  <c r="S107" i="1" a="1"/>
  <c r="S107" i="1" s="1"/>
  <c r="K7" i="2"/>
  <c r="L7" i="2" s="1"/>
  <c r="O132" i="14"/>
  <c r="K5" i="2"/>
  <c r="L5" i="2" s="1"/>
  <c r="T71" i="1"/>
  <c r="N130" i="14"/>
  <c r="J121" i="1" s="1" a="1"/>
  <c r="J121" i="1" s="1"/>
  <c r="R56" i="1" a="1"/>
  <c r="R56" i="1" s="1"/>
  <c r="S52" i="1" a="1"/>
  <c r="S52" i="1" s="1"/>
  <c r="T46" i="14"/>
  <c r="R52" i="1" a="1"/>
  <c r="R52" i="1" s="1"/>
  <c r="O46" i="14"/>
  <c r="S85" i="1" a="1"/>
  <c r="S85" i="1" s="1"/>
  <c r="T90" i="14"/>
  <c r="S92" i="1" s="1" a="1"/>
  <c r="S92" i="1" s="1"/>
  <c r="O116" i="14"/>
  <c r="R108" i="1" s="1" a="1"/>
  <c r="R108" i="1" s="1"/>
  <c r="R109" i="1" a="1"/>
  <c r="R109" i="1" s="1"/>
  <c r="S46" i="1" a="1"/>
  <c r="S46" i="1" s="1"/>
  <c r="N133" i="14"/>
  <c r="J124" i="1" s="1" a="1"/>
  <c r="J124" i="1" s="1"/>
  <c r="N131" i="14"/>
  <c r="J122" i="1" s="1" a="1"/>
  <c r="J122" i="1" s="1"/>
  <c r="R57" i="1" a="1"/>
  <c r="R57" i="1" s="1"/>
  <c r="S89" i="1" a="1"/>
  <c r="S89" i="1" s="1"/>
  <c r="J13" i="2"/>
  <c r="I8" i="2"/>
  <c r="K4" i="2"/>
  <c r="L4" i="2" s="1"/>
  <c r="J4" i="2"/>
  <c r="R89" i="1" a="1"/>
  <c r="R89" i="1" s="1"/>
  <c r="R97" i="1" a="1"/>
  <c r="R97" i="1" s="1"/>
  <c r="N86" i="14"/>
  <c r="J81" i="1" s="1" a="1"/>
  <c r="J81" i="1" s="1"/>
  <c r="S108" i="14"/>
  <c r="K101" i="1" s="1" a="1"/>
  <c r="K101" i="1" s="1"/>
  <c r="R96" i="1" a="1"/>
  <c r="R96" i="1" s="1"/>
  <c r="S91" i="1" a="1"/>
  <c r="S91" i="1" s="1"/>
  <c r="R121" i="1" a="1"/>
  <c r="R121" i="1" s="1"/>
  <c r="O36" i="14"/>
  <c r="R50" i="1" a="1"/>
  <c r="R50" i="1" s="1"/>
  <c r="S95" i="14"/>
  <c r="K89" i="1" s="1" a="1"/>
  <c r="K89" i="1" s="1"/>
  <c r="N134" i="14"/>
  <c r="J125" i="1" s="1" a="1"/>
  <c r="J125" i="1" s="1"/>
  <c r="R129" i="1" a="1"/>
  <c r="R129" i="1" s="1"/>
  <c r="N135" i="14"/>
  <c r="J126" i="1" s="1" a="1"/>
  <c r="J126" i="1" s="1"/>
  <c r="J14" i="2"/>
  <c r="R70" i="1" a="1"/>
  <c r="R70" i="1" s="1"/>
  <c r="U70" i="1" s="1"/>
  <c r="S121" i="1" a="1"/>
  <c r="S121" i="1" s="1"/>
  <c r="R110" i="1" a="1"/>
  <c r="R110" i="1" s="1"/>
  <c r="N137" i="14"/>
  <c r="S129" i="14"/>
  <c r="K120" i="1" s="1" a="1"/>
  <c r="K120" i="1" s="1"/>
  <c r="S134" i="14"/>
  <c r="K125" i="1" s="1" a="1"/>
  <c r="K125" i="1" s="1"/>
  <c r="S131" i="14"/>
  <c r="K122" i="1" s="1" a="1"/>
  <c r="K122" i="1" s="1"/>
  <c r="S135" i="14"/>
  <c r="K126" i="1" s="1" a="1"/>
  <c r="K126" i="1" s="1"/>
  <c r="S130" i="14"/>
  <c r="K121" i="1" s="1" a="1"/>
  <c r="K121" i="1" s="1"/>
  <c r="S137" i="14"/>
  <c r="S124" i="14"/>
  <c r="K116" i="1" s="1" a="1"/>
  <c r="K116" i="1" s="1"/>
  <c r="N128" i="14"/>
  <c r="J119" i="1" s="1" a="1"/>
  <c r="J119" i="1" s="1"/>
  <c r="S128" i="14"/>
  <c r="K119" i="1" s="1" a="1"/>
  <c r="K119" i="1" s="1"/>
  <c r="N127" i="14"/>
  <c r="J118" i="1" s="1" a="1"/>
  <c r="J118" i="1" s="1"/>
  <c r="S133" i="14"/>
  <c r="K124" i="1" s="1" a="1"/>
  <c r="K124" i="1" s="1"/>
  <c r="S132" i="14"/>
  <c r="K123" i="1" s="1" a="1"/>
  <c r="K123" i="1" s="1"/>
  <c r="S126" i="14"/>
  <c r="K117" i="1" s="1" a="1"/>
  <c r="K117" i="1" s="1"/>
  <c r="S127" i="14"/>
  <c r="K118" i="1" s="1" a="1"/>
  <c r="K118" i="1" s="1"/>
  <c r="N126" i="14"/>
  <c r="J117" i="1" s="1" a="1"/>
  <c r="J117" i="1" s="1"/>
  <c r="S76" i="1" a="1"/>
  <c r="S76" i="1" s="1"/>
  <c r="N124" i="14"/>
  <c r="J116" i="1" s="1" a="1"/>
  <c r="J116" i="1" s="1"/>
  <c r="S89" i="14"/>
  <c r="S90" i="1" a="1"/>
  <c r="S90" i="1" s="1"/>
  <c r="S86" i="1" a="1"/>
  <c r="S86" i="1" s="1"/>
  <c r="R111" i="1" a="1"/>
  <c r="R111" i="1" s="1"/>
  <c r="R124" i="1" a="1"/>
  <c r="R124" i="1" s="1"/>
  <c r="S82" i="1" a="1"/>
  <c r="S82" i="1" s="1"/>
  <c r="R62" i="1" a="1"/>
  <c r="R62" i="1" s="1"/>
  <c r="O62" i="14"/>
  <c r="O61" i="14" s="1"/>
  <c r="R65" i="1" s="1" a="1"/>
  <c r="R65" i="1" s="1"/>
  <c r="T65" i="1" s="1"/>
  <c r="S77" i="1" a="1"/>
  <c r="S77" i="1" s="1"/>
  <c r="T137" i="1"/>
  <c r="K17" i="2"/>
  <c r="L17" i="2" s="1"/>
  <c r="I11" i="2"/>
  <c r="R101" i="1" a="1"/>
  <c r="R101" i="1" s="1"/>
  <c r="U71" i="1"/>
  <c r="S33" i="14"/>
  <c r="K32" i="1" s="1" a="1"/>
  <c r="K32" i="1" s="1"/>
  <c r="I32" i="14"/>
  <c r="I16" i="2"/>
  <c r="K14" i="2"/>
  <c r="L14" i="2" s="1"/>
  <c r="P64" i="1" a="1"/>
  <c r="P64" i="1" s="1"/>
  <c r="R60" i="1" a="1"/>
  <c r="R60" i="1" s="1"/>
  <c r="S42" i="1" a="1"/>
  <c r="S42" i="1" s="1"/>
  <c r="T35" i="14"/>
  <c r="S34" i="1" s="1" a="1"/>
  <c r="S34" i="1" s="1"/>
  <c r="J17" i="2"/>
  <c r="K11" i="2"/>
  <c r="L11" i="2" s="1"/>
  <c r="S51" i="1" a="1"/>
  <c r="S51" i="1" s="1"/>
  <c r="T45" i="14"/>
  <c r="S43" i="1" s="1" a="1"/>
  <c r="S43" i="1" s="1"/>
  <c r="I14" i="2"/>
  <c r="K12" i="2"/>
  <c r="L12" i="2" s="1"/>
  <c r="J8" i="2"/>
  <c r="J6" i="2"/>
  <c r="K13" i="2"/>
  <c r="L13" i="2" s="1"/>
  <c r="S68" i="1" a="1"/>
  <c r="S68" i="1" s="1"/>
  <c r="T63" i="14"/>
  <c r="I5" i="2"/>
  <c r="I9" i="2"/>
  <c r="K10" i="2"/>
  <c r="L10" i="2" s="1"/>
  <c r="J11" i="2"/>
  <c r="J15" i="2"/>
  <c r="T126" i="14"/>
  <c r="O53" i="14"/>
  <c r="I7" i="2"/>
  <c r="J10" i="2"/>
  <c r="J7" i="2"/>
  <c r="K15" i="2"/>
  <c r="L15" i="2" s="1"/>
  <c r="S123" i="1" a="1"/>
  <c r="S123" i="1" s="1"/>
  <c r="T123" i="14"/>
  <c r="K16" i="2"/>
  <c r="L16" i="2" s="1"/>
  <c r="R51" i="1" a="1"/>
  <c r="R51" i="1" s="1"/>
  <c r="O45" i="14"/>
  <c r="R43" i="1" s="1" a="1"/>
  <c r="R43" i="1" s="1"/>
  <c r="R85" i="1" a="1"/>
  <c r="R85" i="1" s="1"/>
  <c r="O82" i="14"/>
  <c r="I4" i="2"/>
  <c r="I13" i="2"/>
  <c r="J16" i="2"/>
  <c r="S45" i="1" a="1"/>
  <c r="S45" i="1" s="1"/>
  <c r="T38" i="14"/>
  <c r="I12" i="2"/>
  <c r="J9" i="2"/>
  <c r="J12" i="2"/>
  <c r="O126" i="14"/>
  <c r="R126" i="1" a="1"/>
  <c r="R126" i="1" s="1"/>
  <c r="R45" i="1" a="1"/>
  <c r="R45" i="1" s="1"/>
  <c r="O38" i="14"/>
  <c r="I10" i="2"/>
  <c r="I6" i="2"/>
  <c r="K8" i="2"/>
  <c r="L8" i="2" s="1"/>
  <c r="K9" i="2"/>
  <c r="L9" i="2" s="1"/>
  <c r="I15" i="2"/>
  <c r="K6" i="2"/>
  <c r="L6" i="2" s="1"/>
  <c r="J5" i="2"/>
  <c r="L59" i="14" l="1"/>
  <c r="P56" i="1" s="1" a="1"/>
  <c r="P56" i="1" s="1"/>
  <c r="T42" i="1"/>
  <c r="T36" i="1"/>
  <c r="U38" i="1"/>
  <c r="T38" i="1"/>
  <c r="T47" i="1"/>
  <c r="U54" i="1"/>
  <c r="T54" i="1"/>
  <c r="U55" i="1"/>
  <c r="T130" i="1"/>
  <c r="V130" i="1" s="1"/>
  <c r="U39" i="1"/>
  <c r="U61" i="1"/>
  <c r="U53" i="1"/>
  <c r="T39" i="1"/>
  <c r="T53" i="1"/>
  <c r="T61" i="1"/>
  <c r="U48" i="1"/>
  <c r="V48" i="1" s="1"/>
  <c r="M36" i="14"/>
  <c r="T49" i="1"/>
  <c r="U36" i="1"/>
  <c r="U57" i="1"/>
  <c r="U94" i="1"/>
  <c r="R35" i="14"/>
  <c r="O34" i="1" s="1" a="1"/>
  <c r="O34" i="1" s="1"/>
  <c r="T99" i="1"/>
  <c r="T82" i="1"/>
  <c r="T69" i="1"/>
  <c r="V69" i="1" s="1"/>
  <c r="U99" i="1"/>
  <c r="T62" i="1"/>
  <c r="U98" i="1"/>
  <c r="T78" i="1"/>
  <c r="S126" i="1" a="1"/>
  <c r="S126" i="1" s="1"/>
  <c r="U126" i="1" s="1"/>
  <c r="T83" i="1"/>
  <c r="T114" i="1"/>
  <c r="T108" i="1"/>
  <c r="U87" i="1"/>
  <c r="V135" i="1"/>
  <c r="T72" i="1"/>
  <c r="T76" i="1"/>
  <c r="T87" i="1"/>
  <c r="T111" i="1"/>
  <c r="T73" i="1"/>
  <c r="R68" i="1" a="1"/>
  <c r="R68" i="1" s="1"/>
  <c r="U68" i="1" s="1"/>
  <c r="U72" i="1"/>
  <c r="U105" i="1"/>
  <c r="U95" i="1"/>
  <c r="T95" i="1"/>
  <c r="T103" i="1"/>
  <c r="U79" i="1"/>
  <c r="U83" i="1"/>
  <c r="T96" i="1"/>
  <c r="U75" i="1"/>
  <c r="T102" i="1"/>
  <c r="U93" i="1"/>
  <c r="T75" i="1"/>
  <c r="U90" i="1"/>
  <c r="U88" i="1"/>
  <c r="T112" i="1"/>
  <c r="T81" i="1"/>
  <c r="T74" i="1"/>
  <c r="T105" i="1"/>
  <c r="U106" i="1"/>
  <c r="U127" i="1"/>
  <c r="V127" i="1" s="1"/>
  <c r="N32" i="14"/>
  <c r="J31" i="1" s="1" a="1"/>
  <c r="J31" i="1" s="1"/>
  <c r="S32" i="14"/>
  <c r="K31" i="1" s="1" a="1"/>
  <c r="K31" i="1" s="1"/>
  <c r="S35" i="14"/>
  <c r="K34" i="1" s="1" a="1"/>
  <c r="K34" i="1" s="1"/>
  <c r="K35" i="1" a="1"/>
  <c r="K35" i="1" s="1"/>
  <c r="N35" i="14"/>
  <c r="J34" i="1" s="1" a="1"/>
  <c r="J34" i="1" s="1"/>
  <c r="J35" i="1" a="1"/>
  <c r="J35" i="1" s="1"/>
  <c r="K32" i="14"/>
  <c r="L32" i="1" a="1"/>
  <c r="L32" i="1" s="1"/>
  <c r="J33" i="10"/>
  <c r="K33" i="10"/>
  <c r="O35" i="14"/>
  <c r="R35" i="1" a="1"/>
  <c r="R35" i="1" s="1"/>
  <c r="J35" i="10"/>
  <c r="K35" i="10"/>
  <c r="H31" i="10"/>
  <c r="I31" i="10"/>
  <c r="U64" i="1"/>
  <c r="H30" i="10"/>
  <c r="I30" i="10"/>
  <c r="J32" i="10"/>
  <c r="K32" i="10"/>
  <c r="H34" i="10"/>
  <c r="I34" i="10"/>
  <c r="P32" i="14"/>
  <c r="M32" i="1" a="1"/>
  <c r="M32" i="1" s="1"/>
  <c r="K36" i="10"/>
  <c r="J36" i="10"/>
  <c r="G36" i="10"/>
  <c r="T128" i="1"/>
  <c r="V128" i="1" s="1"/>
  <c r="U46" i="1"/>
  <c r="U74" i="1"/>
  <c r="U92" i="1"/>
  <c r="R67" i="1" a="1"/>
  <c r="R67" i="1" s="1"/>
  <c r="V137" i="1"/>
  <c r="T55" i="1"/>
  <c r="V55" i="1" s="1"/>
  <c r="V136" i="1"/>
  <c r="T129" i="1"/>
  <c r="R59" i="1" a="1"/>
  <c r="R59" i="1" s="1"/>
  <c r="U103" i="1"/>
  <c r="V134" i="1"/>
  <c r="V133" i="1"/>
  <c r="T80" i="1"/>
  <c r="U80" i="1"/>
  <c r="T110" i="1"/>
  <c r="V138" i="1"/>
  <c r="T86" i="1"/>
  <c r="V131" i="1"/>
  <c r="T79" i="1"/>
  <c r="U47" i="1"/>
  <c r="V47" i="1" s="1"/>
  <c r="U112" i="1"/>
  <c r="T106" i="1"/>
  <c r="T57" i="1"/>
  <c r="V53" i="1"/>
  <c r="T88" i="1"/>
  <c r="U102" i="1"/>
  <c r="U73" i="1"/>
  <c r="T93" i="1"/>
  <c r="T98" i="1"/>
  <c r="T94" i="1"/>
  <c r="U49" i="1"/>
  <c r="U97" i="1"/>
  <c r="T46" i="1"/>
  <c r="U114" i="1"/>
  <c r="U113" i="1"/>
  <c r="U108" i="1"/>
  <c r="T113" i="1"/>
  <c r="U104" i="1"/>
  <c r="T100" i="1"/>
  <c r="S84" i="1" a="1"/>
  <c r="S84" i="1" s="1"/>
  <c r="U52" i="1"/>
  <c r="T124" i="1"/>
  <c r="U100" i="1"/>
  <c r="T92" i="1"/>
  <c r="U109" i="1"/>
  <c r="U81" i="1"/>
  <c r="R58" i="1" a="1"/>
  <c r="R58" i="1" s="1"/>
  <c r="U78" i="1"/>
  <c r="V71" i="1"/>
  <c r="T104" i="1"/>
  <c r="U132" i="1"/>
  <c r="T132" i="1"/>
  <c r="T107" i="1"/>
  <c r="U107" i="1"/>
  <c r="T121" i="1"/>
  <c r="T118" i="1"/>
  <c r="T101" i="1"/>
  <c r="U124" i="1"/>
  <c r="U129" i="1"/>
  <c r="U89" i="1"/>
  <c r="T52" i="1"/>
  <c r="U118" i="1"/>
  <c r="T109" i="1"/>
  <c r="U86" i="1"/>
  <c r="U121" i="1"/>
  <c r="U76" i="1"/>
  <c r="O131" i="14"/>
  <c r="R122" i="1" s="1" a="1"/>
  <c r="R122" i="1" s="1"/>
  <c r="R123" i="1" a="1"/>
  <c r="R123" i="1" s="1"/>
  <c r="U123" i="1" s="1"/>
  <c r="U119" i="1"/>
  <c r="T119" i="1"/>
  <c r="T91" i="1"/>
  <c r="U91" i="1"/>
  <c r="U62" i="1"/>
  <c r="U96" i="1"/>
  <c r="U82" i="1"/>
  <c r="T70" i="1"/>
  <c r="V70" i="1" s="1"/>
  <c r="T120" i="1"/>
  <c r="U120" i="1"/>
  <c r="T90" i="1"/>
  <c r="U116" i="1"/>
  <c r="T89" i="1"/>
  <c r="U111" i="1"/>
  <c r="U110" i="1"/>
  <c r="U50" i="1"/>
  <c r="T50" i="1"/>
  <c r="T116" i="1"/>
  <c r="T97" i="1"/>
  <c r="P63" i="1" a="1"/>
  <c r="P63" i="1" s="1"/>
  <c r="U101" i="1"/>
  <c r="S44" i="1" a="1"/>
  <c r="S44" i="1" s="1"/>
  <c r="S37" i="1" a="1"/>
  <c r="S37" i="1" s="1"/>
  <c r="R44" i="1" a="1"/>
  <c r="R44" i="1" s="1"/>
  <c r="R37" i="1" a="1"/>
  <c r="R37" i="1" s="1"/>
  <c r="R84" i="1" a="1"/>
  <c r="R84" i="1" s="1"/>
  <c r="R77" i="1" a="1"/>
  <c r="R77" i="1" s="1"/>
  <c r="R125" i="1" a="1"/>
  <c r="R125" i="1" s="1"/>
  <c r="R117" i="1" a="1"/>
  <c r="R117" i="1" s="1"/>
  <c r="S125" i="1" a="1"/>
  <c r="S125" i="1" s="1"/>
  <c r="S117" i="1" a="1"/>
  <c r="S117" i="1" s="1"/>
  <c r="S67" i="1" a="1"/>
  <c r="S67" i="1" s="1"/>
  <c r="T62" i="14"/>
  <c r="S60" i="1" a="1"/>
  <c r="S60" i="1" s="1"/>
  <c r="U60" i="1" s="1"/>
  <c r="T64" i="1"/>
  <c r="S122" i="1" a="1"/>
  <c r="S122" i="1" s="1"/>
  <c r="S115" i="1" a="1"/>
  <c r="S115" i="1" s="1"/>
  <c r="U42" i="1"/>
  <c r="V42" i="1" s="1"/>
  <c r="R34" i="14"/>
  <c r="M34" i="14"/>
  <c r="N33" i="1" s="1" a="1"/>
  <c r="N33" i="1" s="1"/>
  <c r="U65" i="1"/>
  <c r="V65" i="1" s="1"/>
  <c r="S41" i="1" a="1"/>
  <c r="S41" i="1" s="1"/>
  <c r="T34" i="14"/>
  <c r="I31" i="14"/>
  <c r="S31" i="14" s="1"/>
  <c r="K30" i="1" s="1" a="1"/>
  <c r="K30" i="1" s="1"/>
  <c r="U43" i="1"/>
  <c r="T43" i="1"/>
  <c r="U45" i="1"/>
  <c r="T45" i="1"/>
  <c r="U51" i="1"/>
  <c r="T51" i="1"/>
  <c r="U85" i="1"/>
  <c r="T85" i="1"/>
  <c r="V39" i="1" l="1"/>
  <c r="V36" i="1"/>
  <c r="V61" i="1"/>
  <c r="V38" i="1"/>
  <c r="V54" i="1"/>
  <c r="V49" i="1"/>
  <c r="V57" i="1"/>
  <c r="V94" i="1"/>
  <c r="N35" i="1" a="1"/>
  <c r="N35" i="1" s="1"/>
  <c r="M35" i="14"/>
  <c r="N34" i="1" s="1" a="1"/>
  <c r="N34" i="1" s="1"/>
  <c r="V105" i="1"/>
  <c r="V82" i="1"/>
  <c r="V99" i="1"/>
  <c r="V114" i="1"/>
  <c r="V73" i="1"/>
  <c r="T126" i="1"/>
  <c r="V126" i="1" s="1"/>
  <c r="V98" i="1"/>
  <c r="V78" i="1"/>
  <c r="V62" i="1"/>
  <c r="V102" i="1"/>
  <c r="V111" i="1"/>
  <c r="V83" i="1"/>
  <c r="V79" i="1"/>
  <c r="V72" i="1"/>
  <c r="V87" i="1"/>
  <c r="V108" i="1"/>
  <c r="T68" i="1"/>
  <c r="V68" i="1" s="1"/>
  <c r="V75" i="1"/>
  <c r="V95" i="1"/>
  <c r="V76" i="1"/>
  <c r="V103" i="1"/>
  <c r="V88" i="1"/>
  <c r="V96" i="1"/>
  <c r="V81" i="1"/>
  <c r="V90" i="1"/>
  <c r="V93" i="1"/>
  <c r="V106" i="1"/>
  <c r="V112" i="1"/>
  <c r="V74" i="1"/>
  <c r="V64" i="1"/>
  <c r="L34" i="10"/>
  <c r="G34" i="14" s="1"/>
  <c r="L31" i="10"/>
  <c r="G31" i="14" s="1"/>
  <c r="V129" i="1"/>
  <c r="L30" i="10"/>
  <c r="G30" i="14" s="1"/>
  <c r="R33" i="14"/>
  <c r="O32" i="1" s="1" a="1"/>
  <c r="O32" i="1" s="1"/>
  <c r="O33" i="1" a="1"/>
  <c r="O33" i="1" s="1"/>
  <c r="P31" i="14"/>
  <c r="M31" i="1" a="1"/>
  <c r="M31" i="1" s="1"/>
  <c r="O34" i="14"/>
  <c r="R34" i="1" a="1"/>
  <c r="R34" i="1" s="1"/>
  <c r="S40" i="1" a="1"/>
  <c r="S40" i="1" s="1"/>
  <c r="S33" i="1" a="1"/>
  <c r="S33" i="1" s="1"/>
  <c r="H33" i="10"/>
  <c r="I33" i="10"/>
  <c r="H36" i="10"/>
  <c r="I36" i="10"/>
  <c r="I32" i="10"/>
  <c r="H32" i="10"/>
  <c r="L32" i="10" s="1"/>
  <c r="G32" i="14" s="1"/>
  <c r="H35" i="10"/>
  <c r="I35" i="10"/>
  <c r="K31" i="14"/>
  <c r="L31" i="1" a="1"/>
  <c r="L31" i="1" s="1"/>
  <c r="U67" i="1"/>
  <c r="V92" i="1"/>
  <c r="V46" i="1"/>
  <c r="Y133" i="1"/>
  <c r="B110" i="15" s="1"/>
  <c r="V80" i="1"/>
  <c r="V110" i="1"/>
  <c r="U122" i="1"/>
  <c r="V86" i="1"/>
  <c r="V97" i="1"/>
  <c r="V101" i="1"/>
  <c r="V104" i="1"/>
  <c r="V124" i="1"/>
  <c r="U84" i="1"/>
  <c r="V100" i="1"/>
  <c r="V109" i="1"/>
  <c r="V113" i="1"/>
  <c r="V52" i="1"/>
  <c r="V121" i="1"/>
  <c r="V118" i="1"/>
  <c r="V89" i="1"/>
  <c r="V132" i="1"/>
  <c r="V107" i="1"/>
  <c r="U44" i="1"/>
  <c r="T123" i="1"/>
  <c r="V123" i="1" s="1"/>
  <c r="U125" i="1"/>
  <c r="T44" i="1"/>
  <c r="T122" i="1"/>
  <c r="V116" i="1"/>
  <c r="V120" i="1"/>
  <c r="V50" i="1"/>
  <c r="T125" i="1"/>
  <c r="V91" i="1"/>
  <c r="T60" i="1"/>
  <c r="V60" i="1" s="1"/>
  <c r="V119" i="1"/>
  <c r="T37" i="1"/>
  <c r="U37" i="1"/>
  <c r="T63" i="1"/>
  <c r="U63" i="1"/>
  <c r="S66" i="1" a="1"/>
  <c r="S66" i="1" s="1"/>
  <c r="T61" i="14"/>
  <c r="S58" i="1" s="1" a="1"/>
  <c r="S58" i="1" s="1"/>
  <c r="S59" i="1" a="1"/>
  <c r="S59" i="1" s="1"/>
  <c r="U115" i="1"/>
  <c r="T115" i="1"/>
  <c r="U117" i="1"/>
  <c r="T117" i="1"/>
  <c r="U56" i="1"/>
  <c r="T56" i="1"/>
  <c r="N31" i="14"/>
  <c r="J30" i="1" s="1" a="1"/>
  <c r="J30" i="1" s="1"/>
  <c r="I30" i="14"/>
  <c r="M33" i="14"/>
  <c r="N32" i="1" s="1" a="1"/>
  <c r="N32" i="1" s="1"/>
  <c r="T84" i="1"/>
  <c r="T67" i="1"/>
  <c r="V43" i="1"/>
  <c r="T77" i="1"/>
  <c r="U77" i="1"/>
  <c r="V45" i="1"/>
  <c r="V51" i="1"/>
  <c r="V85" i="1"/>
  <c r="Y126" i="1" l="1"/>
  <c r="Y127" i="1"/>
  <c r="Y68" i="1"/>
  <c r="Y70" i="1"/>
  <c r="B50" i="4" s="1"/>
  <c r="Y78" i="1"/>
  <c r="B55" i="15" s="1"/>
  <c r="Y93" i="1"/>
  <c r="B75" i="4" s="1"/>
  <c r="Y69" i="1"/>
  <c r="B46" i="15" s="1"/>
  <c r="Y71" i="1"/>
  <c r="B48" i="15" s="1"/>
  <c r="V67" i="1"/>
  <c r="Y67" i="1" s="1"/>
  <c r="L33" i="10"/>
  <c r="G33" i="14" s="1"/>
  <c r="K30" i="14"/>
  <c r="L30" i="1" a="1"/>
  <c r="L30" i="1" s="1"/>
  <c r="L36" i="10"/>
  <c r="G36" i="14" s="1"/>
  <c r="R40" i="1" a="1"/>
  <c r="R40" i="1" s="1"/>
  <c r="R33" i="1" a="1"/>
  <c r="R33" i="1" s="1"/>
  <c r="L35" i="10"/>
  <c r="G35" i="14" s="1"/>
  <c r="P30" i="14"/>
  <c r="M30" i="1" a="1"/>
  <c r="M30" i="1" s="1"/>
  <c r="Y91" i="1"/>
  <c r="B68" i="15" s="1"/>
  <c r="B119" i="4"/>
  <c r="V122" i="1"/>
  <c r="Y118" i="1" s="1"/>
  <c r="B103" i="4" s="1"/>
  <c r="Y101" i="1"/>
  <c r="B84" i="4" s="1"/>
  <c r="V117" i="1"/>
  <c r="Y116" i="1" s="1"/>
  <c r="B93" i="15" s="1"/>
  <c r="Y96" i="1"/>
  <c r="B73" i="15" s="1"/>
  <c r="Y100" i="1"/>
  <c r="B83" i="4" s="1"/>
  <c r="V84" i="1"/>
  <c r="Y84" i="1" s="1"/>
  <c r="Y97" i="1"/>
  <c r="B80" i="4" s="1"/>
  <c r="Y92" i="1"/>
  <c r="B69" i="15" s="1"/>
  <c r="Y94" i="1"/>
  <c r="B71" i="15" s="1"/>
  <c r="Y109" i="1"/>
  <c r="B86" i="15" s="1"/>
  <c r="Y128" i="1"/>
  <c r="B105" i="15" s="1"/>
  <c r="Y98" i="1"/>
  <c r="B81" i="4" s="1"/>
  <c r="V37" i="1"/>
  <c r="Y108" i="1"/>
  <c r="B92" i="4" s="1"/>
  <c r="Y99" i="1"/>
  <c r="B82" i="4" s="1"/>
  <c r="Y129" i="1"/>
  <c r="B115" i="4" s="1"/>
  <c r="Y95" i="1"/>
  <c r="B78" i="4" s="1"/>
  <c r="V125" i="1"/>
  <c r="Y104" i="1"/>
  <c r="B87" i="4" s="1"/>
  <c r="Y89" i="1"/>
  <c r="B71" i="4" s="1"/>
  <c r="Y85" i="1"/>
  <c r="B67" i="4" s="1"/>
  <c r="V44" i="1"/>
  <c r="Y42" i="1" s="1"/>
  <c r="Y86" i="1"/>
  <c r="B68" i="4" s="1"/>
  <c r="Y106" i="1"/>
  <c r="Y102" i="1"/>
  <c r="B85" i="4" s="1"/>
  <c r="Y103" i="1"/>
  <c r="Y107" i="1"/>
  <c r="Y105" i="1"/>
  <c r="B82" i="15" s="1"/>
  <c r="Y131" i="1"/>
  <c r="Y132" i="1"/>
  <c r="Y88" i="1"/>
  <c r="Y130" i="1"/>
  <c r="Y87" i="1"/>
  <c r="B64" i="15" s="1"/>
  <c r="Y45" i="1"/>
  <c r="B23" i="4" s="1"/>
  <c r="V63" i="1"/>
  <c r="Y60" i="1" s="1"/>
  <c r="Y90" i="1"/>
  <c r="B112" i="4"/>
  <c r="B104" i="15"/>
  <c r="V115" i="1"/>
  <c r="R32" i="14"/>
  <c r="O31" i="1" s="1" a="1"/>
  <c r="O31" i="1" s="1"/>
  <c r="M32" i="14"/>
  <c r="N31" i="1" s="1" a="1"/>
  <c r="N31" i="1" s="1"/>
  <c r="S30" i="14"/>
  <c r="K29" i="1" s="1" a="1"/>
  <c r="K29" i="1" s="1"/>
  <c r="I29" i="14"/>
  <c r="I28" i="14" s="1"/>
  <c r="N30" i="14"/>
  <c r="J29" i="1" s="1" a="1"/>
  <c r="J29" i="1" s="1"/>
  <c r="V56" i="1"/>
  <c r="Y51" i="1" s="1"/>
  <c r="V77" i="1"/>
  <c r="T59" i="1"/>
  <c r="U59" i="1"/>
  <c r="T58" i="1"/>
  <c r="U58" i="1"/>
  <c r="U66" i="1"/>
  <c r="T66" i="1"/>
  <c r="Y50" i="1"/>
  <c r="Y49" i="1"/>
  <c r="Y47" i="1"/>
  <c r="Y48" i="1"/>
  <c r="Y46" i="1"/>
  <c r="B45" i="15"/>
  <c r="B48" i="4"/>
  <c r="B111" i="4"/>
  <c r="B103" i="15"/>
  <c r="B70" i="15" l="1"/>
  <c r="B49" i="4"/>
  <c r="B51" i="4"/>
  <c r="L27" i="14"/>
  <c r="P26" i="1" s="1" a="1"/>
  <c r="P26" i="1" s="1"/>
  <c r="L25" i="14"/>
  <c r="P24" i="1" s="1" a="1"/>
  <c r="P24" i="1" s="1"/>
  <c r="I27" i="14"/>
  <c r="S28" i="14"/>
  <c r="K27" i="1" s="1" a="1"/>
  <c r="K27" i="1" s="1"/>
  <c r="N28" i="14"/>
  <c r="J27" i="1" s="1" a="1"/>
  <c r="J27" i="1" s="1"/>
  <c r="Q19" i="14"/>
  <c r="Q18" i="1" s="1" a="1"/>
  <c r="Q18" i="1" s="1"/>
  <c r="Q28" i="14"/>
  <c r="Q27" i="1" s="1" a="1"/>
  <c r="Q27" i="1" s="1"/>
  <c r="P17" i="1" a="1"/>
  <c r="P17" i="1" s="1"/>
  <c r="L22" i="14"/>
  <c r="P21" i="1" s="1" a="1"/>
  <c r="P21" i="1" s="1"/>
  <c r="Q20" i="14"/>
  <c r="Q19" i="1" s="1" a="1"/>
  <c r="Q19" i="1" s="1"/>
  <c r="Q25" i="14"/>
  <c r="Q24" i="1" s="1" a="1"/>
  <c r="Q24" i="1" s="1"/>
  <c r="L26" i="14"/>
  <c r="P25" i="1" s="1" a="1"/>
  <c r="P25" i="1" s="1"/>
  <c r="Q24" i="14"/>
  <c r="Q23" i="1" s="1" a="1"/>
  <c r="Q23" i="1" s="1"/>
  <c r="Q23" i="14"/>
  <c r="Q22" i="1" s="1" a="1"/>
  <c r="Q22" i="1" s="1"/>
  <c r="L28" i="14"/>
  <c r="P27" i="1" s="1" a="1"/>
  <c r="P27" i="1" s="1"/>
  <c r="Q21" i="14"/>
  <c r="Q20" i="1" s="1" a="1"/>
  <c r="Q20" i="1" s="1"/>
  <c r="Q17" i="1" a="1"/>
  <c r="Q17" i="1" s="1"/>
  <c r="Q22" i="14"/>
  <c r="Q21" i="1" s="1" a="1"/>
  <c r="Q21" i="1" s="1"/>
  <c r="L20" i="14"/>
  <c r="P19" i="1" s="1" a="1"/>
  <c r="P19" i="1" s="1"/>
  <c r="L23" i="14"/>
  <c r="P22" i="1" s="1" a="1"/>
  <c r="P22" i="1" s="1"/>
  <c r="Q26" i="14"/>
  <c r="Q25" i="1" s="1" a="1"/>
  <c r="Q25" i="1" s="1"/>
  <c r="L24" i="14"/>
  <c r="P23" i="1" s="1" a="1"/>
  <c r="P23" i="1" s="1"/>
  <c r="L19" i="14"/>
  <c r="P18" i="1" s="1" a="1"/>
  <c r="P18" i="1" s="1"/>
  <c r="Q27" i="14"/>
  <c r="Q26" i="1" s="1" a="1"/>
  <c r="Q26" i="1" s="1"/>
  <c r="L21" i="14"/>
  <c r="P20" i="1" s="1" a="1"/>
  <c r="P20" i="1" s="1"/>
  <c r="B59" i="4"/>
  <c r="B47" i="15"/>
  <c r="L33" i="14"/>
  <c r="P32" i="1" s="1" a="1"/>
  <c r="P32" i="1" s="1"/>
  <c r="Q33" i="14"/>
  <c r="Q32" i="1" s="1" a="1"/>
  <c r="Q32" i="1" s="1"/>
  <c r="L30" i="14"/>
  <c r="P29" i="1" s="1" a="1"/>
  <c r="P29" i="1" s="1"/>
  <c r="P29" i="14"/>
  <c r="M29" i="1" a="1"/>
  <c r="M29" i="1" s="1"/>
  <c r="L36" i="14"/>
  <c r="Q36" i="14"/>
  <c r="Q35" i="1" s="1" a="1"/>
  <c r="Q35" i="1" s="1"/>
  <c r="Q34" i="14"/>
  <c r="Q33" i="1" s="1" a="1"/>
  <c r="Q33" i="1" s="1"/>
  <c r="L34" i="14"/>
  <c r="P33" i="1" s="1" a="1"/>
  <c r="P33" i="1" s="1"/>
  <c r="K29" i="14"/>
  <c r="L29" i="1" a="1"/>
  <c r="L29" i="1" s="1"/>
  <c r="U40" i="1"/>
  <c r="T40" i="1"/>
  <c r="L29" i="14"/>
  <c r="P28" i="1" s="1" a="1"/>
  <c r="P28" i="1" s="1"/>
  <c r="Q30" i="14"/>
  <c r="Y119" i="1"/>
  <c r="B96" i="15" s="1"/>
  <c r="B73" i="4"/>
  <c r="Y120" i="1"/>
  <c r="B105" i="4" s="1"/>
  <c r="Y117" i="1"/>
  <c r="B102" i="4" s="1"/>
  <c r="B78" i="15"/>
  <c r="B76" i="4"/>
  <c r="B79" i="4"/>
  <c r="B77" i="15"/>
  <c r="Y83" i="1"/>
  <c r="B60" i="15" s="1"/>
  <c r="Y81" i="1"/>
  <c r="B58" i="15" s="1"/>
  <c r="Y80" i="1"/>
  <c r="B61" i="4" s="1"/>
  <c r="Y82" i="1"/>
  <c r="B59" i="15" s="1"/>
  <c r="Y79" i="1"/>
  <c r="B56" i="15" s="1"/>
  <c r="B74" i="15"/>
  <c r="B74" i="4"/>
  <c r="B93" i="4"/>
  <c r="B114" i="4"/>
  <c r="B85" i="15"/>
  <c r="B75" i="15"/>
  <c r="B88" i="4"/>
  <c r="B81" i="15"/>
  <c r="B100" i="4"/>
  <c r="B72" i="15"/>
  <c r="B106" i="15"/>
  <c r="B66" i="15"/>
  <c r="B76" i="15"/>
  <c r="Y125" i="1"/>
  <c r="B102" i="15" s="1"/>
  <c r="Y123" i="1"/>
  <c r="B100" i="15" s="1"/>
  <c r="B63" i="15"/>
  <c r="Y124" i="1"/>
  <c r="B109" i="4" s="1"/>
  <c r="Y122" i="1"/>
  <c r="B99" i="15" s="1"/>
  <c r="Y121" i="1"/>
  <c r="B106" i="4" s="1"/>
  <c r="B95" i="15"/>
  <c r="Y44" i="1"/>
  <c r="B22" i="4" s="1"/>
  <c r="B69" i="4"/>
  <c r="B62" i="15"/>
  <c r="Y43" i="1"/>
  <c r="B21" i="4" s="1"/>
  <c r="B22" i="15"/>
  <c r="B79" i="15"/>
  <c r="B20" i="4"/>
  <c r="B19" i="15"/>
  <c r="B91" i="4"/>
  <c r="B84" i="15"/>
  <c r="B86" i="4"/>
  <c r="B80" i="15"/>
  <c r="B90" i="4"/>
  <c r="B83" i="15"/>
  <c r="B116" i="4"/>
  <c r="B107" i="15"/>
  <c r="B65" i="15"/>
  <c r="B70" i="4"/>
  <c r="B118" i="4"/>
  <c r="B109" i="15"/>
  <c r="B117" i="4"/>
  <c r="B108" i="15"/>
  <c r="V66" i="1"/>
  <c r="Y62" i="1" s="1"/>
  <c r="B39" i="15" s="1"/>
  <c r="B37" i="15"/>
  <c r="B39" i="4"/>
  <c r="V58" i="1"/>
  <c r="V59" i="1"/>
  <c r="Y59" i="1" s="1"/>
  <c r="B72" i="4"/>
  <c r="B67" i="15"/>
  <c r="Y52" i="1"/>
  <c r="S29" i="14"/>
  <c r="K28" i="1" s="1" a="1"/>
  <c r="K28" i="1" s="1"/>
  <c r="N29" i="14"/>
  <c r="J28" i="1" s="1" a="1"/>
  <c r="J28" i="1" s="1"/>
  <c r="Y77" i="1"/>
  <c r="Y75" i="1"/>
  <c r="Y72" i="1"/>
  <c r="Y76" i="1"/>
  <c r="Y73" i="1"/>
  <c r="Y74" i="1"/>
  <c r="M31" i="14"/>
  <c r="N30" i="1" s="1" a="1"/>
  <c r="N30" i="1" s="1"/>
  <c r="R31" i="14"/>
  <c r="O30" i="1" s="1" a="1"/>
  <c r="O30" i="1" s="1"/>
  <c r="Y114" i="1"/>
  <c r="Y113" i="1"/>
  <c r="Y115" i="1"/>
  <c r="Y110" i="1"/>
  <c r="Y112" i="1"/>
  <c r="Y111" i="1"/>
  <c r="B28" i="4"/>
  <c r="B27" i="15"/>
  <c r="B30" i="4"/>
  <c r="B28" i="15"/>
  <c r="B27" i="4"/>
  <c r="B26" i="15"/>
  <c r="B66" i="4"/>
  <c r="B61" i="15"/>
  <c r="B24" i="4"/>
  <c r="B23" i="15"/>
  <c r="B47" i="4"/>
  <c r="B44" i="15"/>
  <c r="B26" i="4"/>
  <c r="B25" i="15"/>
  <c r="B25" i="4"/>
  <c r="B24" i="15"/>
  <c r="M28" i="1" l="1" a="1"/>
  <c r="M28" i="1" s="1"/>
  <c r="P28" i="14"/>
  <c r="L28" i="1" a="1"/>
  <c r="L28" i="1" s="1"/>
  <c r="K28" i="14"/>
  <c r="I26" i="14"/>
  <c r="N27" i="14"/>
  <c r="J26" i="1" s="1" a="1"/>
  <c r="J26" i="1" s="1"/>
  <c r="S27" i="14"/>
  <c r="K26" i="1" s="1" a="1"/>
  <c r="K26" i="1" s="1"/>
  <c r="V40" i="1"/>
  <c r="L32" i="14"/>
  <c r="Q32" i="14"/>
  <c r="T32" i="1"/>
  <c r="U32" i="1"/>
  <c r="Q35" i="14"/>
  <c r="Q34" i="1" s="1" a="1"/>
  <c r="Q34" i="1" s="1"/>
  <c r="L35" i="14"/>
  <c r="P35" i="1" a="1"/>
  <c r="P35" i="1" s="1"/>
  <c r="Q29" i="14"/>
  <c r="Q28" i="1" s="1" a="1"/>
  <c r="Q28" i="1" s="1"/>
  <c r="Q29" i="1" a="1"/>
  <c r="Q29" i="1" s="1"/>
  <c r="U33" i="1"/>
  <c r="T33" i="1"/>
  <c r="B104" i="4"/>
  <c r="B94" i="15"/>
  <c r="B97" i="15"/>
  <c r="B63" i="4"/>
  <c r="B62" i="4"/>
  <c r="B64" i="4"/>
  <c r="B60" i="4"/>
  <c r="B110" i="4"/>
  <c r="B57" i="15"/>
  <c r="B98" i="15"/>
  <c r="B107" i="4"/>
  <c r="B101" i="15"/>
  <c r="B20" i="15"/>
  <c r="B108" i="4"/>
  <c r="B21" i="15"/>
  <c r="Y63" i="1"/>
  <c r="Y65" i="1"/>
  <c r="Y64" i="1"/>
  <c r="B44" i="4" s="1"/>
  <c r="B42" i="4"/>
  <c r="Y66" i="1"/>
  <c r="Y61" i="1"/>
  <c r="B38" i="15" s="1"/>
  <c r="Y57" i="1"/>
  <c r="B36" i="4" s="1"/>
  <c r="Y54" i="1"/>
  <c r="B33" i="4" s="1"/>
  <c r="Y55" i="1"/>
  <c r="B32" i="15" s="1"/>
  <c r="Y53" i="1"/>
  <c r="B30" i="15" s="1"/>
  <c r="Y58" i="1"/>
  <c r="B35" i="15" s="1"/>
  <c r="Y56" i="1"/>
  <c r="B35" i="4" s="1"/>
  <c r="B36" i="15"/>
  <c r="B38" i="4"/>
  <c r="B90" i="15"/>
  <c r="B97" i="4"/>
  <c r="B52" i="4"/>
  <c r="B49" i="15"/>
  <c r="B99" i="4"/>
  <c r="B92" i="15"/>
  <c r="B57" i="4"/>
  <c r="B53" i="15"/>
  <c r="B98" i="4"/>
  <c r="B91" i="15"/>
  <c r="B56" i="4"/>
  <c r="B52" i="15"/>
  <c r="M30" i="14"/>
  <c r="N29" i="1" s="1" a="1"/>
  <c r="N29" i="1" s="1"/>
  <c r="R30" i="14"/>
  <c r="O29" i="1" s="1" a="1"/>
  <c r="O29" i="1" s="1"/>
  <c r="B54" i="15"/>
  <c r="B58" i="4"/>
  <c r="B29" i="15"/>
  <c r="B31" i="4"/>
  <c r="B88" i="15"/>
  <c r="B95" i="4"/>
  <c r="B96" i="4"/>
  <c r="B89" i="15"/>
  <c r="B55" i="4"/>
  <c r="B51" i="15"/>
  <c r="B94" i="4"/>
  <c r="B87" i="15"/>
  <c r="B54" i="4"/>
  <c r="B50" i="15"/>
  <c r="L27" i="1" l="1" a="1"/>
  <c r="L27" i="1" s="1"/>
  <c r="K27" i="14"/>
  <c r="L26" i="1" s="1" a="1"/>
  <c r="L26" i="1" s="1"/>
  <c r="M27" i="1" a="1"/>
  <c r="M27" i="1" s="1"/>
  <c r="P27" i="14"/>
  <c r="M26" i="1" s="1" a="1"/>
  <c r="M26" i="1" s="1"/>
  <c r="I25" i="14"/>
  <c r="S26" i="14"/>
  <c r="K25" i="1" s="1" a="1"/>
  <c r="K25" i="1" s="1"/>
  <c r="N26" i="14"/>
  <c r="J25" i="1" s="1" a="1"/>
  <c r="J25" i="1" s="1"/>
  <c r="V32" i="1"/>
  <c r="Q31" i="1" a="1"/>
  <c r="Q31" i="1" s="1"/>
  <c r="Q31" i="14"/>
  <c r="Q30" i="1" s="1" a="1"/>
  <c r="Q30" i="1" s="1"/>
  <c r="P31" i="1" a="1"/>
  <c r="P31" i="1" s="1"/>
  <c r="L31" i="14"/>
  <c r="P30" i="1" s="1" a="1"/>
  <c r="P30" i="1" s="1"/>
  <c r="T29" i="1"/>
  <c r="V33" i="1"/>
  <c r="U29" i="1"/>
  <c r="T35" i="1"/>
  <c r="U35" i="1"/>
  <c r="P41" i="1" a="1"/>
  <c r="P41" i="1" s="1"/>
  <c r="P34" i="1" a="1"/>
  <c r="P34" i="1" s="1"/>
  <c r="B40" i="4"/>
  <c r="B41" i="15"/>
  <c r="B32" i="4"/>
  <c r="B33" i="15"/>
  <c r="B31" i="15"/>
  <c r="B34" i="15"/>
  <c r="B46" i="4"/>
  <c r="B43" i="15"/>
  <c r="B45" i="4"/>
  <c r="B42" i="15"/>
  <c r="B43" i="4"/>
  <c r="B40" i="15"/>
  <c r="B34" i="4"/>
  <c r="B37" i="4"/>
  <c r="R29" i="14"/>
  <c r="M29" i="14"/>
  <c r="I24" i="14" l="1"/>
  <c r="N25" i="14"/>
  <c r="J24" i="1" s="1" a="1"/>
  <c r="J24" i="1" s="1"/>
  <c r="S25" i="14"/>
  <c r="K24" i="1" s="1" a="1"/>
  <c r="K24" i="1" s="1"/>
  <c r="M28" i="14"/>
  <c r="N28" i="1" a="1"/>
  <c r="N28" i="1" s="1"/>
  <c r="R28" i="14"/>
  <c r="O28" i="1" a="1"/>
  <c r="O28" i="1" s="1"/>
  <c r="T30" i="1"/>
  <c r="U30" i="1"/>
  <c r="T31" i="1"/>
  <c r="U31" i="1"/>
  <c r="V29" i="1"/>
  <c r="V35" i="1"/>
  <c r="Y35" i="1" s="1"/>
  <c r="U34" i="1"/>
  <c r="T34" i="1"/>
  <c r="U41" i="1"/>
  <c r="T41" i="1"/>
  <c r="B12" i="4" l="1"/>
  <c r="B12" i="15"/>
  <c r="I23" i="14"/>
  <c r="N24" i="14"/>
  <c r="J23" i="1" s="1" a="1"/>
  <c r="J23" i="1" s="1"/>
  <c r="S24" i="14"/>
  <c r="K23" i="1" s="1" a="1"/>
  <c r="K23" i="1" s="1"/>
  <c r="R27" i="14"/>
  <c r="O27" i="1" a="1"/>
  <c r="O27" i="1" s="1"/>
  <c r="U28" i="1"/>
  <c r="T28" i="1"/>
  <c r="M27" i="14"/>
  <c r="N27" i="1" a="1"/>
  <c r="N27" i="1" s="1"/>
  <c r="V31" i="1"/>
  <c r="V30" i="1"/>
  <c r="V41" i="1"/>
  <c r="V34" i="1"/>
  <c r="I22" i="14" l="1"/>
  <c r="S23" i="14"/>
  <c r="K22" i="1" s="1" a="1"/>
  <c r="K22" i="1" s="1"/>
  <c r="N23" i="14"/>
  <c r="J22" i="1" s="1" a="1"/>
  <c r="J22" i="1" s="1"/>
  <c r="R26" i="14"/>
  <c r="O26" i="1" a="1"/>
  <c r="O26" i="1" s="1"/>
  <c r="U27" i="1"/>
  <c r="T27" i="1"/>
  <c r="M26" i="14"/>
  <c r="N26" i="1" a="1"/>
  <c r="N26" i="1" s="1"/>
  <c r="V28" i="1"/>
  <c r="Y28" i="1" s="1"/>
  <c r="Y34" i="1"/>
  <c r="Y30" i="1"/>
  <c r="Y32" i="1"/>
  <c r="Y33" i="1"/>
  <c r="Y31" i="1"/>
  <c r="Y29" i="1"/>
  <c r="Y37" i="1"/>
  <c r="Y40" i="1"/>
  <c r="B18" i="4" s="1"/>
  <c r="Y41" i="1"/>
  <c r="Y36" i="1"/>
  <c r="B13" i="4" s="1"/>
  <c r="Y39" i="1"/>
  <c r="Y38" i="1"/>
  <c r="B8" i="15" l="1"/>
  <c r="B8" i="4"/>
  <c r="B9" i="4"/>
  <c r="B9" i="15"/>
  <c r="B7" i="4"/>
  <c r="B7" i="15"/>
  <c r="B11" i="4"/>
  <c r="B11" i="15"/>
  <c r="B5" i="4"/>
  <c r="B5" i="15"/>
  <c r="B6" i="4"/>
  <c r="B6" i="15"/>
  <c r="B10" i="4"/>
  <c r="B10" i="15"/>
  <c r="I21" i="14"/>
  <c r="S22" i="14"/>
  <c r="K21" i="1" s="1" a="1"/>
  <c r="K21" i="1" s="1"/>
  <c r="N22" i="14"/>
  <c r="J21" i="1" s="1" a="1"/>
  <c r="J21" i="1" s="1"/>
  <c r="V27" i="1"/>
  <c r="Y27" i="1" s="1"/>
  <c r="R25" i="14"/>
  <c r="O25" i="1" a="1"/>
  <c r="O25" i="1" s="1"/>
  <c r="U26" i="1"/>
  <c r="T26" i="1"/>
  <c r="M25" i="14"/>
  <c r="N25" i="1" a="1"/>
  <c r="N25" i="1" s="1"/>
  <c r="B17" i="15"/>
  <c r="B14" i="4"/>
  <c r="B14" i="15"/>
  <c r="B16" i="15"/>
  <c r="B16" i="4"/>
  <c r="B15" i="4"/>
  <c r="B15" i="15"/>
  <c r="B13" i="15"/>
  <c r="B18" i="15"/>
  <c r="B19" i="4"/>
  <c r="I20" i="14" l="1"/>
  <c r="N21" i="14"/>
  <c r="J20" i="1" s="1" a="1"/>
  <c r="J20" i="1" s="1"/>
  <c r="S21" i="14"/>
  <c r="K20" i="1" s="1" a="1"/>
  <c r="K20" i="1" s="1"/>
  <c r="R24" i="14"/>
  <c r="O24" i="1" a="1"/>
  <c r="O24" i="1" s="1"/>
  <c r="T25" i="1"/>
  <c r="U25" i="1"/>
  <c r="M24" i="14"/>
  <c r="N24" i="1" a="1"/>
  <c r="N24" i="1" s="1"/>
  <c r="V26" i="1"/>
  <c r="Y26" i="1" s="1"/>
  <c r="I19" i="14" l="1"/>
  <c r="S20" i="14"/>
  <c r="K19" i="1" s="1" a="1"/>
  <c r="K19" i="1" s="1"/>
  <c r="N20" i="14"/>
  <c r="J19" i="1" s="1" a="1"/>
  <c r="J19" i="1" s="1"/>
  <c r="V25" i="1"/>
  <c r="Y25" i="1" s="1"/>
  <c r="U24" i="1"/>
  <c r="T24" i="1"/>
  <c r="M23" i="14"/>
  <c r="N23" i="1" a="1"/>
  <c r="N23" i="1" s="1"/>
  <c r="R23" i="14"/>
  <c r="O23" i="1" a="1"/>
  <c r="O23" i="1" s="1"/>
  <c r="S19" i="14" l="1"/>
  <c r="K18" i="1" s="1" a="1"/>
  <c r="K18" i="1" s="1"/>
  <c r="N19" i="14"/>
  <c r="J18" i="1" s="1" a="1"/>
  <c r="J18" i="1" s="1"/>
  <c r="T23" i="1"/>
  <c r="U23" i="1"/>
  <c r="M22" i="14"/>
  <c r="N22" i="1" a="1"/>
  <c r="N22" i="1" s="1"/>
  <c r="R22" i="14"/>
  <c r="O22" i="1" a="1"/>
  <c r="O22" i="1" s="1"/>
  <c r="V24" i="1"/>
  <c r="Y24" i="1" s="1"/>
  <c r="K17" i="1" l="1" a="1"/>
  <c r="K17" i="1" s="1"/>
  <c r="J17" i="1" a="1"/>
  <c r="J17" i="1" s="1"/>
  <c r="V23" i="1"/>
  <c r="Y23" i="1" s="1"/>
  <c r="R21" i="14"/>
  <c r="O21" i="1" a="1"/>
  <c r="O21" i="1" s="1"/>
  <c r="U22" i="1"/>
  <c r="T22" i="1"/>
  <c r="M21" i="14"/>
  <c r="N21" i="1" a="1"/>
  <c r="N21" i="1" s="1"/>
  <c r="R20" i="14" l="1"/>
  <c r="O20" i="1" a="1"/>
  <c r="O20" i="1" s="1"/>
  <c r="M20" i="14"/>
  <c r="N20" i="1" a="1"/>
  <c r="N20" i="1" s="1"/>
  <c r="V22" i="1"/>
  <c r="Y22" i="1" s="1"/>
  <c r="T21" i="1"/>
  <c r="U21" i="1"/>
  <c r="V21" i="1" l="1"/>
  <c r="Y21" i="1" s="1"/>
  <c r="U20" i="1"/>
  <c r="T20" i="1"/>
  <c r="M19" i="14"/>
  <c r="N19" i="1" a="1"/>
  <c r="N19" i="1" s="1"/>
  <c r="R19" i="14"/>
  <c r="O19" i="1" a="1"/>
  <c r="O19" i="1" s="1"/>
  <c r="V20" i="1" l="1"/>
  <c r="Y20" i="1" s="1"/>
  <c r="U19" i="1"/>
  <c r="T19" i="1"/>
  <c r="N17" i="1" a="1"/>
  <c r="N17" i="1" s="1"/>
  <c r="N18" i="1" a="1"/>
  <c r="N18" i="1" s="1"/>
  <c r="O17" i="1" a="1"/>
  <c r="O17" i="1" s="1"/>
  <c r="O18" i="1" a="1"/>
  <c r="O18" i="1" s="1"/>
  <c r="V19" i="1" l="1"/>
  <c r="Y19" i="1" s="1"/>
  <c r="T17" i="1"/>
  <c r="U17" i="1"/>
  <c r="T18" i="1"/>
  <c r="U18" i="1"/>
  <c r="V18" i="1" l="1"/>
  <c r="Y18" i="1" s="1"/>
  <c r="V17" i="1"/>
  <c r="Y17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lanbin guo</author>
  </authors>
  <commentList>
    <comment ref="Q1" authorId="0" shapeId="0" xr:uid="{00000000-0006-0000-0300-000001000000}">
      <text>
        <r>
          <rPr>
            <b/>
            <sz val="9"/>
            <rFont val="宋体"/>
            <family val="3"/>
            <charset val="134"/>
          </rPr>
          <t>UEsDBBQACAgIAIRS2VgAAAAAAAAAAAAAAAABAAAAMFVSQWvUQBTes79iGfC2C7vZJO3Ore22WmxtsatQSpHJzEs6dDITJxPpsuy5HgoKKh5EEMRjVfBSD/03Zv0bzky2uwoJ4X3vfe9933vZHm227rVarSmCi0Jps6VkyjOEp4hBSiph9ojMKpIBwohK1EGMl4Ugk33FHMTyXck4JYYrl+TlRkkRTokowUUPOYNNQeQ5wkZXFqpK2Ksk0YuaWWcxdsyNgIPCt7GziRAe2RaQgzTlsiVVlTR6sowZlFTzBa8ZkWp4UYGkqyIrQhqectBLqCR5IWAVggBqgPmhj2Cyx0uD8AnSUBql4THJwbqrJDfuUzBiYGRfdGqpqtJ01cmQRDT1d4hjlUv/K65H7AJyMJrbpZ1M0XObJCOeeULQQQlkXDbFqD8cDnqDQd8KoGf2JvAEqNLM8k7dWvw19qNwMIyCdVsDshGBts64JLj9YHSI2yNIBbGGcPtQg+C5zehJe4P6rXKZ4faxOvbkp84qRveRPxCRDNjSEFwYTagZk+zflSMcdVCmVVX4xKL2HOwZ0DAlLCY07gZpHHTDJIFuEkdRF+K1iMUs7pNeYCfJRvHvm+v64y12iutfP+vL1/Ory/n7H7h+9Wl+/XX++ebPtw+4vn1bX3+p31zNv7+z1IJoe+NdK3ItDKP1sHN3uv/O4B3N7L4Mz2FH23FHYJxx98/RM6Dnz4jgK6eClOYgcbcIm2A8KZxC4VDQL/1vX9rxKil3tMptKuj1e/bpN+CRIdpsmAYPesM7fKw8FIS9qB87+aC5YovuhdmphDj0EJrN/gJQSwcIZJ9sMVMCAACiAwAA</t>
        </r>
      </text>
    </comment>
    <comment ref="U1" authorId="0" shapeId="0" xr:uid="{00000000-0006-0000-0300-000002000000}">
      <text>
        <r>
          <rPr>
            <b/>
            <sz val="9"/>
            <rFont val="宋体"/>
            <family val="3"/>
            <charset val="134"/>
          </rPr>
          <t>UEsDBBQACAgIALZS2VgAAAAAAAAAAAAAAAABAAAAMM1XXWvcRhT1c3/FMtCX1iozkkYr6c3xR2qyzi72OpAGY0YzV2thraRKo8bG+KGUYj8EGkhLoR9QKKF5cVvoQ920+Tdeh/6Lzkjr3Thrd+2khj4Ye+7M1Zw559w748WFWzPvzMzM7CHYydJczqdJGPWQv4cEhKyMZYslvZL1APmIJ2gWiajIYra7kgodEv3lREScySjVk1ExV3DkhywuQI8+jATcilmyjXyZlypUFtAqE5YP1+zPDrftRjKGdlZ9Ru3N4riKLMbQh0QWo0/ytExkvjsaCyh4Hg3z6i3CHD4uIeHjRQpEIqMwgnwUKlg/i2E8hBi4BFFtegd2W1Ehkf8A5VDINIe7rA/qdGUSSf0rE0zCgvpBGyo1LXM+/pJkQVyvP4vorGJ0/nFuFVEE9EHmkSLtwR7aVJNsIepVCeYsCqAXJfViRDzPwpZFFAC+pTSBVeBpLlTehqalUmOF2pZHTVetgaQGgea3ooT5jdsLHb+xAGHM1IH8RieHOOqrmXy3MccrVqOk5zfup/er5HV9VB+9iyqBWCJAjA4EOzJnXHZZbxTSnCOfzqJenpbZqzPboHRAXsiEw7hjmKFjGnYQgBE4lBrgNKlwhEMYNtVWSQ355Pho8O0LX0Me/PHb4OCL00cHp1/96g8Ovz89enr6w/HLn7/2By+eDI5+HDx+dPrLlyo1Y7kSeVmhbNo2de3ZM+3O6VAdaX92KtMOwRcxvaeI7vcVG9qjQ7Dz7btr3RqACkjICz3Z7mg51lvd5U5LM3pHDfEHjvprdfHe4uraoh6j/X2NJc0g16rovH69zb/CWQMN+q3B2JNgNrT0YrgvqmWtnWCf+VQzjFYwxsQ0m+gsul5GOu7QwPEcIIZFBDVsDKYRAA8MHHgetgISmEBVzsOcZerM87VpCxPpjdNM/d1pra9NwF9e27y73mptfrS42n4F6dDzhXWB2+c7y5WX/fcU6e8Pgx0d7KaSxQ3VtMpC9RFVB6kouSxGq+1r2X/ccSqKLnG/oJ4nKLeMUDhNwxYUGwEOuRFQjzrAOGOETLhfH0F5/PS7w9rj9VGGk/oog8+f/f3Zs8HvT0+Ovxk8+XRisX2uKixsUlcVBXs4pF1riB2iy04F71RAbWjypgPUcJtNVwF1uMG4ZRs4FMTlmHBqeegtKsvEpInJtB7mYs+z7QlVG7chUYUSN+bTfpYWkYRGZ0Up2i5lVkotKezcgHhNSm1ic9cgjhMYtqfs7DFGDWFiD5rghERMtK6Xf/41eHyo0Z08/2lw8LzuX+f0MHUJUYu+VZ9yp7M5VvmyGnnzfn85aaYjLMsLXAOblqv7vW0EAWsaLnWBgPAoDuhUx1/o3/+erBto6q90JzKtO90E/Ves4ys0nOv3kCtKfwO383nXD++n17mfegnchB4eCCfEXBie7RLDDqlteI56DYXYI5SyMLQsZ0KPaT3+NWmoS/6Xb56Lnxl8dPe/gUTXv6evqNMV3y/X0+miu7gW61wdDf06qqMreuZyxRXLMurDkpZIPRn1+16rxLeAb99jcTRmKmaFbAfaFHY96O5mGlaso5B/Uv13V6jN0qBYytN+fZMryJjUwTXJcjkn67i6F8/i3bQKmTampGolkEepGH49k0tlHHeqkHLFP1BLBwge8R+bzgQAAIkOAAA=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lanbin guo</author>
  </authors>
  <commentList>
    <comment ref="A1" authorId="0" shapeId="0" xr:uid="{00000000-0006-0000-0600-000001000000}">
      <text>
        <r>
          <rPr>
            <b/>
            <sz val="9"/>
            <rFont val="宋体"/>
            <family val="3"/>
            <charset val="134"/>
          </rPr>
          <t>UEsDBBQACAgIANhwzVgAAAAAAAAAAAAAAAABAAAAMO1ZS2/bRhDOub9CINBL4QV2uXzfGIl2hMiUKslJjCAQlrtLmQhFqiSVxggMGAWKBDkEPQToIUlfp16KFGhRJEXbXxPZf6NL6mG5lhPZkvMoYliPnZ2dmd2Zb3aGciqXL31y6dKlexK/24+TrBxHftCVrHsS4z4ZhFmNRN0B6XLJkmgkrUksSPsh2d2MWU5ivWrEAkqyIM4ng9ROqWT5JEx5ProSMH45JNFtycqSgSANUl4bRCQZ8+ytjdW2gyzk9X4hRugmYVhQnJD3eJSlU5E0HkRZsjsdM57SJBivG6nwE/7FgEf0iEkYEWWBH/BkwpOSXj/kU4aUh5xmnBU6r/LdWpBmknVTSniaxQl3SY+LzQ2iIJNyE1gx6jOS8Yp4SbeEhHiQ0COBGfHC0bIJJV+cTk/haG1BEcfQ41kSiKO7eU/qiElSCbrFAnlN8ng3iEbMEjJNFSKMcjt2hGd4k9M4YcU6Gvd6JGL5+UWFamm96XzeqdSvu4K9TxJBzHiS5gybTnPD6bS3G45gq9mttuDIucVos+62r4yHnVazLEgVu+0ISnXDrTedjrtVqwkinPCMpeQ2Vd1ybatSdTc6jlvpFMtyxr29vbV59gkGu1O+YrsbzgkLZ+YmGhpOs+y4hanVZqs9MaRQ3OrYrrtlTwzbduxmbbvTdFpOe0y6Ub8xEVTs9MSGm3a7Wp+wCO7xGndrs1AiNnFr7H1LSpEipnk08rF0PYhYyQ7DUnkniEhJYILftQq5tW0rP16rETeKBVt5EFnSp1IR+eI4OJvGCL+bJYRmbdKdjWXJUtakbhIP+sXEmPc2F/EteQxrSFUYUEwZAkU3TGAYvgYI8yjUCdExMYWm8XG/enF/+M+3w69/tq2Dpw/Ea3/4zaNXL/YPnv1oHT56fvD88cgLAi1VYZUMIUSqrK5JCfmyPNr3JsQYyqoqFcT1wjxUfL9aGORTXYeQIsA9ZADF1z1gQJMAJGNP9jXKdM3I146ANcXD5FDyMDkW/srx8BcmyVCWjZWGv31t40OI/kp1fd1pOm7ZeXcAmLuPct0t8sfxHdQbueStWrvaqG2L2au5DJjb0XSuOc3W9GxmQWXOgqrA0uU4YlZpI77Dkyi/Cko5obTd3rRKCG5PMWYLkfaGk8OsRHe61mcjVavGG1JMLDMiA6hrGCjUZ8AwmQJ0BA3CIDWZTGfx9svwyd9W/rH/p/iWvz/49eDp9weP/zh88vDw0X0LweHL3ws0Dl/+Nnx2f7j/1xiKw5++Gz78YbKRI1QiAUmMZzHZglA1dcU8DZOqTqhOMAUcI1lgEpnARAYHvqdBxBWGZWjOYnLmxnp3oPxQ7qT/CSr/g0PtvDic3HXnA+GY9CYUGlxTVc+jgGpEAYqHICAK44AaskKxKbCoa+dE4Zw7cXVAZMyTVVNmQFd0HSgGh8DTPR3IyDRMpGkqpvwsl+PJ2lAR9yw8icMj187c368tXmbd1oiDKDuT69CprvMp8T1MMFAx94DCsUigWMdAI9TjhmfIFHvzCpbTCpP5Oevwq5eLntaHV0nP4hSfqQhdzqmn43HBou/NVegKys+Fwms+wuZGzby7DkHldRibSQNnyaHnz5Snw80wkG96qgp0jEWmVHQOvNw9qiz+VGxwHbOzZ8r5aXCp8mHVLe1bqOlncagvWbdexC3JNcIo0Sggho6E7w0ZiH5QtIoakk3DQyak5/D98Vp1yQtxwfB8vyrTj+3iuZ6XGCtq7S4CKgt2SKtr65bEzYLQfr9S8tuujeRlepiLiDLk4fzfFB2LIt64KQNT9jyAMaaKzxSmEbyCtuUt5+T34Qnex4cF58vJ6jIQuciEvGCnvNIOf0ncLIjuU3Ej/JIFPb6eh1CLZ1kQFb/C0R1Ob18jYXB0niFJs7qXd7TKaNDe7ecWhjmVJ3eKH+NSoSv20vUk7o1QB6FRPNYRxFZGkszOCjoyRDuDRvR2PCKZY9Y+T4KYjaX3s/VBGDYKkoijfwFQSwcIXE75JNcFAAA4HAAA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O2" authorId="0" shapeId="0" xr:uid="{00000000-0006-0000-0700-000001000000}">
      <text>
        <r>
          <rPr>
            <sz val="10"/>
            <color indexed="8"/>
            <rFont val="Microsoft YaHei UI"/>
            <family val="2"/>
            <charset val="134"/>
          </rPr>
          <t>UEsDBBQACAgIADqEm1YAAAAAAAAAAAAAAAABAAAAML1WXYvbRhTd5/4KM9A3C0YftiW9edf2ronXTm1vyhKCGc1cOcPKkjoapVkWw761lFIC7VNJSlPoSx+ahxa6hfbfrLf9Gb2Sv7akmzbNJgYJz5kzc6/OOfpot3Z33tvZ2Tkj8DhNlN5L4lBOiX9GBIQsj3SPxdOcTYH4hMekSoTM0oidHiaigMSsGwvJmZZJMSmzZsaJH7Iog2J0IAXsRiw+Ib5WOUJ5Br08ZmrFmVdXZcdSRzBIy22wNouiEmlHMINYZ5steZLHWp1uxgIyruRq3bJEqOCjHGK+JWETsZahBLWBMjZLI9gOIQKuQZRF78BpT2aa+PeJgkwnCvpsBuQB0pJc8e0qzYJoObdG8lheazZPBdPQwmN7uTPQSqJE98/IBGdZS07LJVZ1OR6fpsg2qySAqYyXa4npeZSatokK84foBwyBJ0rgLg8KSUonDin+ak4NORAvmyL3WJRDpSkEiEoSVtCqPEP1/MpxclzyjrBf5L1PSh9YjMRN9/BYK8b1mE03UCEt8Z0qmaokT6/PnADKTZy6VXbR4AEFDjSgtqi5jHt1KnjDE1gmXna2+OX7y4uvF999s/js28X5b/7i9y+vnn66ePL51YuvkLXSfZOadZvz6luRjZrmf5UNT+PWW9EucLldczjUap4Z4InVG7bgZuDWmWt5wc3a/fHziz9/fP762jl/Vwutq5uUuv+iltkwHeu6WqOD7u5g6Ffsw/8vi3mzLKFJGxZ3DV4DbjjcCwx0FQwILccNIcDIXYvVqhf78uIHjNMbi/FP0TlDLWYzvK7iObUq2xm2P5i0Bh/2kZ4yhaAGlRWEw/Zwvz0ZH99tI615bx8JBbmQctAfH6yGk9FwD6FWc9xGpLvfHwzbk/5Rr4cgXXNWmxQtdft7vaNWt78/afdbk3JZMTGfz7dWZbdh0vaJ+qroBrRmMbceGo2aaxuFLUbgUcewQ4F3X9jAw7rJI784Fr/+tHj2CWa5cIx9vPdS2BDsrIOC/++8TjRu/354gwj0mqPxO8yAeds36s0h8EygVkipETREaDiNgBmeS4XhsND2mG3blhO+MgRXT88XT764vDi/evb8neYA9dJyBp3CtBFoLePy+4c/BH6CrwK5lSVimR4E6Kpp0eVo+d4hUQGDelR+B2VYLAmyjkpmZYzM9UsIwZFmSjf1S/g4WUKeaZVQCkomYrV7qjt5FN0tITT4L1BLBwiEiOMzjQMAALMJAAA=</t>
        </r>
      </text>
    </comment>
    <comment ref="R2" authorId="0" shapeId="0" xr:uid="{00000000-0006-0000-0700-000002000000}">
      <text>
        <r>
          <rPr>
            <sz val="10"/>
            <color rgb="FF000000"/>
            <rFont val="Microsoft YaHei UI"/>
            <family val="2"/>
            <charset val="134"/>
          </rPr>
          <t>UEsDBBQACAgIANsCUlUAAAAAAAAAAAAAAAABAAAAMK1VXWvbVhjO9X6FOBe78kBHtmVZd04sJ6GO09luRyjFHOm8UkT04R0drTEhsLYpDWODldFdjJCxMdguNpbBRrMsa/9MrKT/Yq9kJ84IS9uRC4He57yfz3NeyWrOz703Nze3RWBzGAu5EEeu7xFzi3BwWRrINou8lHlATOJEpES4nwwDNlqJeQ7xcDnivsOkH+eHftJIHGJKkUJuLPkc5gMWbZxDaQLtNGKCmC4LEtguTav2fRnA6rDIgqVZEBSIFUAIkUym7iXixGkkxejC5pA4wp/GTUq4Aj5OIXJmTthEJH3XB3EBJSwcBjAzIQBHAi+K3oJR208kMe8RAYmMBXRYCDhcGvmS3EfvOBXOLFgyO5i4nCO5Y3Ix8pAzCU18ZkOHIIWPPN3bIgM8ZU3fKyK00sTuj4boTUvEBs+PJrFEU9WaqmkGduKsoyjQBScWHLPcz4kp5FhR1WrNqFXRB6JJT6S1nJhKBx4o3ZV5pR2zCM2lGJVYjwOO7yvA/TRU3sezyPtAgghJIQuLOPCLmWBTCubIPvMuoJxpYlZKxBNxOrx8sgHIPqnUDXDLjusCML0G4GjAbd2o2JRWqWE4WCaatPj66bOz/S+yvaNsf8fMvj4Yf79/cnSUHTwbHz48+/1F9vNLc/zbE7Sz3RfmyeEvr5+/yva+Ncd/f5Xt7Y4/PcZMQyZQ5WVsWC2d6/YvQbDMydGr8ZPHZLv0LrTTel2lGq2/gXZNxZEu097rWQoukxfEIQhMlSi4KbD5TtzS/+aWc93QVDAqVVANp2Y7hmu4qk6pbkOV6TNuTw4/O/v14elfx+Mvd7PPn2bPD96SrdNHf94YVVvIVBji1Pl2Txtrda0PB83VjzqTfhDEu5fkDitWd9Ea9NduW+jWuLuIDmtWo9teG3StntVHUEUoj8+5X+30l9BcXuysdq1B5067fclh0OsuoNls9K1zZJqX5jGdhfad5nJncWB1moPCKQ/d3t6eaZvQm1b1mo3RXAfKvG6X67pqu9VaVecG5yrTDcOuGeXrVDVxFa4oyx4sXLmhCLbObxe+33rb+3Rj10QreinTazeqqql6raxe5r7heQI8zKG0/IhFjh95iowVuQ5KF1igWE4cxeHoTVrMfhPXSkE1Ta/Uab3MjZqmMmQGKi7VKrpRrgOrzKQ4/eHlyfE3+P06+2Pn7Med7Kfv/veHCeeXfgitfBl6ICVOmO+Dsw7Oxl0W+LOBApbIVTtnujIxJkyTIEdBfFL8kBMsH9tJS8RhQTutU1pQimBPMiEb8grejwtIoxQFyNsH4cd8mn0oW2kQ3C4g3JJ/AFBLBwh2q4eQ2wMAADwIAAA=</t>
        </r>
      </text>
    </comment>
    <comment ref="AC2" authorId="0" shapeId="0" xr:uid="{00000000-0006-0000-0700-000003000000}">
      <text>
        <r>
          <rPr>
            <sz val="10"/>
            <color rgb="FF000000"/>
            <rFont val="Microsoft YaHei UI"/>
            <family val="2"/>
            <charset val="134"/>
          </rPr>
          <t>UEsDBBQACAgIAMwCUlUAAAAAAAAAAAAAAAABAAAAML2WW2sbRxTH/dxPsexDn1TY++3Nlla2iSy5kpxiQhCjnbPrJXtRd2ebGGNoUoeYkJamJX0IxqUXaB4a6kBLUidNvoy1dr5Fz65sy8GuHFOTB8Ge/56ZOfP7z5yVXZuZ+mhqamqNh1uDOGHVOHJ9j7fWeAouyQLWIJGXEQ94i3civsJTPx0EZHUhpoVEw/mI+g5hfly89NPp1OEtlmRQBHM+hZmARDeOpCyFRhaRhLdcEqSwXjlcteuzAFqDchZcmgRBqdgBhBCx9DC9wjtxFrFk9TimkDqJfzhutISbwOcZRM44CYuImO/6kBxLKQkHAYxDCMBhQMtFr8Bqw08Zb13jE0hZnECThICbyyKf8dcxO84SZzyYkX4wSjlSisT0eMsDShjU8DfedAgs8ZHTtTW+h29JzffKEVJlFHdXB5gtVvg+eH40GstLgqALkmRgJc4KmgJtcOKE4izXCzClHQuCoOqGrmIORKOa+Pp8anFNuMm1F2a4RkwiDOdidGIlDig+LwD1s5D7GN9F3icMkpAvbSERBXq8J7jFEuKwLvGOpYI0bykV3kvibHDyzQ1A+rxiGuDKjusCEE0HcCSgfc1Q+qKoiobh4DLRqMS39x4ebH+db+3m2xtW/sPO8Oftvd3dfOfh8MXtgz+f57+/tobP7mKcbz639l48ffvoTb71ozX85/t8a3P45SucaUASdHkeCxYqR769Ywgus7f7Znj3K369chHsomkKoiSa52CXBNzSSeydjs3hZfKCOIQEp0o5vClw60Jsxf9mS6lmSAIYigqC4eh9x3ANV9BEUeuDSrQx270X9w/+uL3/8tXw2838wb380c570tq/8/eloVpDUmGIuy5u92Fh9bb9aa/W+qw5qgdFPHtpkbBgt2ftXnd50ca06auzmLBsT7cby7223bG7KAooFeML9q1mdw7D+dlmq233mkuNxomEXqddxbA23bWPlMN5xWJMs9pYqs03Z3t2s9Yrk4qh6+vrY29T8bJdnXBjJNcBmZp92dSEvqvqqkYNSgWiGUZfN+RJrlp4FU45S25WT51QFOtHpwufr7zvebq0YyKVtcjixBulSoKmy8JJ9tOel4CHc3B1PyKR40cex2KOrQDXBhJwthNHcbh6WV6IkqQppmjK1NAlgSAaUFxRUjRDNoEoYy/2f3299+oxNrCDvzYOftvIn/z0wTqTJMjncVQ1/CBoJznO1hYtrpolRVncIn6IIL0QM3VCV1IVjYAmg6jhgy7JhAiSiUfJEBTdVMfMihr2v9nZe/m8YDV8+ssHYCVKZ7E6qzW1W41Gr7O0cKozLdrt+Vat06u2lppFH1LOaDzvdg/pf5If/6mZCF4xXVMnik4dyZFFiaqSasoydYnqyP2TjeMs8Fb+8vHw/pP82Z3hdw8m9JDxWTruIeo7PeRc98+xFLkxP4R6gbwDjOENL6g7K+DcuEoCf4woIClr9QvXlVEwcp0PChWSL8o/pAXcuJ/Wkzgs245oimLZUlDsMJKwaXZK78alJIkiNqCCBSR+TA9nH7B6FgSLpYQ+/wtQSwcIcKVkgYoEAAA8CwAA</t>
        </r>
      </text>
    </comment>
    <comment ref="AG2" authorId="0" shapeId="0" xr:uid="{00000000-0006-0000-0700-000004000000}">
      <text>
        <r>
          <rPr>
            <sz val="10"/>
            <color indexed="8"/>
            <rFont val="Microsoft YaHei UI"/>
            <family val="2"/>
            <charset val="134"/>
          </rPr>
          <t>UEsDBBQACAgIABJJ3VQAAAAAAAAAAAAAAAABAAAAMMWWz4scRRTH9+xfMRR4m0P96u6qBg+bbBYXd81ghkgIQaq6Xk2a7eluq6tll2UhoiEhehDiSVaRoJibBxUT0P8mvZD/wuqZycyquOywkhwGpr796r36fKtedV/burLx1sbGxhGCg7py/mpV2nyC0iNkwKq28LuqnLRqAihFWYmGyORNXajDvcr0kpnulCbPlM+r/mHebDYZSq0qGuhH7+YGrhSq3Eepd22Q2gZ221K5RczxcFF2nPsCrtezNKG2KoqZcq2AKZS+WabMqrb07nA5NtBkLl/Mm5ewDj5uocxWQWERpc9tDm4pNWpaF7AaQgGZBzMr+h4c7uaNR+lt5KDxlYP31RQCXVvmHt0J0VXrstVkr3QxD3ml9IHNErk2ysNW+K2gp+BdHoy6fYQ+Ck/VVj6ZzaDD+Xh8WIdoEnjvBvvhA8gqZ0L4nd6BmfF7GGPCRBSWBeW8ONqj6eBWdauXDrxTmR+ryVlXUMqHaB+CMYjHVoGQMTMKJ0wJThMsg8QSZUwm4pCjXCbtvvry9Oevg1QrF5zcCSvBw1feLDF7c1L0NjoeXg6KYnkWajTaSQfjyqtiEI5a24TdH4xcZdrMNxfHJXGMJWiuszgTkdRGUKBcE2lIhLVY4fbluvtPX372tPv9xxfPvukef5p2fz4+PXm4jgsvnj3qnv/azzh5+A7B+LKm4JjQs6Zc7U258FbHXDAQhkJmDWdWGcEYZdYQFXFNV+x91vVZL73jOOJ/O8Y3N9eBwzHTloDGEGuMmcKCSYaJ5YzGwq7gFtv55Lvu0ffdvT9ePyjjJBH8LOiHeWkG4cJtoGzacJgX/Rv+qIMLwWtitVBAYkuloRYIMwmXimVKSa1gBf/yyeenv31xenKv++GnHv41N3VM4iQ5j3y0znmOiICYA5EswDIhkohhKXQc8FWi6D+pu+e/dN8+6KlHb+R89/DxefBrNTMOlxe3imeCgyIRJBoYETqK4kQaKf8b/s00dw8fnQe/VrNrKhnD4S6TOGLcJDTcHZJqawm15+78/9L8AcznU9h2ocYN8D4vZ99J2V3I9m+qIjfL93+hGn9d917x+WDuFSp6Fdwns8+lJhSudLPtqml4RKTsX+hkLt7wyvlN/y99XAWJYsIJof1VUoPLK7PIXvvttihGMwkdH/8FUEsHCPDuefpoAwAA2gkAAA==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O2" authorId="0" shapeId="0" xr:uid="{00000000-0006-0000-0800-000001000000}">
      <text>
        <r>
          <rPr>
            <sz val="10"/>
            <color indexed="8"/>
            <rFont val="Microsoft YaHei UI"/>
            <family val="2"/>
            <charset val="134"/>
          </rPr>
          <t>UEsDBBQACAgIAK9L01gAAAAAAAAAAAAAAAABAAAAMNVXbW/TVhTu5/0Ky9KmIdWSXxPb39IkbSPShKUpU4VQdH19HCwcO7Ovga6qBALGtK1T0diXDdBAQkLTBpPGRKlg/Jk4lH+xY+cV2gLdeNEq2e197rnnHj/nueeelktzMx/NzMys83CuG4SsGPiO2+bNdd4Gh8QeqxK/HZM28CZPfX6Wt92o65G1pcBOIbtT8W2XEuYG6aQbFSLKmw7xIkhHi64Ncx7xT/MmC2OE4giqsU/Coc3G7HDbpss8qHczN7g38bwMKXvQAZ9FY5c0iH0Wro3HNkQ0dIfrBls4IXwRg08nRhiEz1zHhXAMRaTT9WAyBA8oAzvb9CisVd2I8eYJPoSIBSHUSAf4k2gWxCGdrGLE8gZzIyT23alg465NGJTwmXxuB1joIkUn1vkWzpKS286WyLODcXOti9bSLG9B2/UHa3nJMERRUiRkmJ7CfEADaBDa6OVkSkmWiSURfzRVQxvwB0Hxx4kXA1ewbbC5wOEwVXGE7JncarCa2a1gvGj3MZ/lgfhoOI4ezrGQUNYk7TGUUsub6izfDoO4Oz1zGpBuXs3JWRR5aolAQbRExdZ0Qo2caNO8YeM2/iCy5OGd3vZPye2byTe/JOcfm8mTH/rXv062vuvfv4ZWQ97HqhmFuTH7TmgTJelNacNXs/ROuLN0qmgqBU0zJAtfJJdXbCpZeo7osmEdzN2zB/d37906PHfqi2xh6nKSKOqvYUvKS6o8zdbyYmWu3jA5Zenf0yIdTIsjiXmZ6gLVgAoqNSwBswoCOLKqO2Ch5KZkNYxF6W3/inKaJmPqgB6Cjf20s45kdDr4YWmhGu473yh/1irVP6+heZeECDIIo9RgqdxYKLeaq8fKaFY4voAGqXHKZb3WXBwOW8uNIkKlQrOMSGWhVm+UW7WVahVBcWQzdJKGVKkVqyulSm2hVa6VWtmydGJjY2OSq+itZ+lg8VqiJhM95wh5TVeENDGCZYiqoDg2nj8nj498UJbM9Eke/ZncuIJqTnNGzhb3yA3B+ZFU8O+jhxHHfzsRb1kD1cJy8z2KQHp/IjAkEGVHFAUrbzuCmreIYOiiLajEUQyiKIqsOq8UQf/6+WTr+972+f6NWx9UB/IeHaiS/Pp7RMqpL9BdPOX6xOTm8e1Tl3h4k0TMZXHarUQmV6zhbTIf+3bErUSAQDNgaFQNSDpbCjoYrktH4+wXxwKuFviCM3ZZ9lFl3dBFBxxmkFsIzkDop00TVwKUIcv6J+4Trh62ie9+SYabHyNdCEeh+e1pPWBcHF4EHf8t6SJHDKJRWRc0Xc9hcRANQTfyuiBrooXCQM3Y+Ykuetu/Jz8/MZ9fubp7c7N/fad/85LZ29np/3E12b5g7v51KZ15uvXs2l0z2br0/Naj3QcP+7/9bSa3LyZfXR4Oeo8vfNrb+fZIek9u/th7sjnEn92529+8h47Rz+CYIjsV/DpF1HXjwOuit/M0uXzxTXSi7a+T/eoFHthCq7hYqC2U91SMqbnRiT9WbhTLtbR0rNZXsSwsDavAS4WkUWhW6qM1aPlSOVD+p/o8fMs6+WfgVdqUQFLAESXBkPNYqTRHF3RNIYIFuqRYIrGtfO4DaNMcd3N7JTpdFUclZ1wJ3/CsHdwWoVaY24H5VI3LwFhaG1CQ9BTQ09gXuxOyPRKxuoVylWRxMBo04byXwhCeGaQSdwusaD4MOtkJkUYdOYLLDPNfYHvwZpBBsorXr5FyAKEb2EPv3dT7HLCzAD6K+x9QSwcIzbOdaSAFAADADgAA</t>
        </r>
      </text>
    </comment>
    <comment ref="R2" authorId="0" shapeId="0" xr:uid="{00000000-0006-0000-0800-000002000000}">
      <text>
        <r>
          <rPr>
            <sz val="10"/>
            <color indexed="8"/>
            <rFont val="Microsoft YaHei UI"/>
            <family val="2"/>
            <charset val="134"/>
          </rPr>
          <t>UEsDBBQACAgIANBL01gAAAAAAAAAAAAAAAABAAAAMLVWW28TVxDOc3/FaiX6ZEt7v70l9jpYOA51DFWEkHW8Z3azYi/u7tmSKIpU2iCiikqgFqS2IRUIqX0AQaVWQMrlz8RL8i86azu2UyA0tDxY8syZM2fm++aydnVu5pOZmZl1HlZ7ccIqceT6Hm+t8xRckgWsQSIvIx7wFu9EfImnftoLyNpCTAsVDesR9R3C/Lg49NPZ1OEtlmRQCKd9CnMBiS4dqrIUGllEEt5ySZDCRmn0attnASz2Bl7waRIEA40dQAgRS0fmJd6Js4gla2OZQuok/uje8Ak3gS8yiJyJEQYRMd/1IRmrUhL2ApiIEIDDgA4ePQNrDT9lvHWBTyBlcQJNEgIml0U+4y+idZwlzuQyI91gaHKoKQzTcco9ShhU8TdJOgSW+IjThXW+g6ek6nuDG1JpKLfXemgtlvgueH40vMtLgqALkmRgJM4KkgItcOKEopeLBTADOhYEQdUNXUUbiIYx8bV6anFNuMy1Fua4RkwiFE/HyMRKHFD8vwDUz0LuUzyLvDKDJBzcPldka/GV5jInCkJYsItckYgCHScKqywhDmsTb6wq4OctpcR7SZz1pk8uAVLCK6YBruy4LgDRdABHAtrVDKUriqpoGA4+Ew3jPrh2c3/nu3x7N9/ZtPLbj/v3dvZ2d/PHN/tPr+z/8SR/8NLq/34V5XzribX39OHBrVf59i9W/8X3+fZW/6vn6GnE35iKYUp7u6/6V7/hN0onQV80TUGURPM96EsCJjGN/tKSzWFPeUEcQoKuUg4bBlanIT4b+xE7Ebziu+GlVDMkAQxFBcFw9K5juIYraKKodUEl2gTevaff7j+68vqv5/0bW/n1a/mtx9OATVUy2r7++tkHwSWLb8K1jmiFISZaNPoollrL/qxTXfy8ieY9kqASyzAtDBbs1rzdaS+ftdFs9vw8Gizbs63GcqdlL9ltVAqoKu4X+C8226dRrM83F1t2p3mu0Zgy6Cy1KihWZ9v2oWbkt4iy3qw0zlXrzfmO3ax2BkbF1Y2NjQm/qfjRmT2mcSTXAZmaXdnUhK6r6qpGDUoFohlGVzfk45i1sCMKdsnlyhuVisraYVHh/zP/toze3lsnrxRpEMrbKmWqsVRJ0HRZmIZ/1vMS8NAHV/MjEjl+5HEs5tgKcC0gAWc7cRSHax91lomSpCmmaMrU0CWBIFyguKKkaIZsAlEmlLy+/3Lv+U84zvb/3Nz/dTP/7e5/m1NHW0033t5qRyaTYJr6EQArK4ibdYgeIlaPUuazrFimuBbaMUPdYF9wcwSXuANWsUIsbjlenkb11P+EptR1QHUJLVNXMcqKqitl05GkskoUKuhEknT5yPh62P/5hXVkSfRvbB7cfTbcDXsvfjy4d8cabww8vJ4/+mE4YPB7oI6xyqJkSu9C/9R7gcfKlQX5fZWrKqIsmScAvljTCCZXw5h8L+IqWZIU3zP/5KKOcRa3z5Mgg5OzMvlaOo4UqmiUmIZWVqlOyoohOWXS1aSyZhqCqBBZBUM9npR8+0H//u3xzh7x0t+6g6X/IaQgtswPoVZsiSVgDPu+WBTOCjiXEAp/km1AUrbYLXhThsJw/vBBoYXky8FHa4qPx920lsThgFKcD6IgDpVLjCRslg31pigOBhDq2/FAJSk4EAtme5D4MR157xXe54BdBohwffwNUEsHCH6LCFPoBAAAYAsAAA==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S2" authorId="0" shapeId="0" xr:uid="{00000000-0006-0000-0B00-000001000000}">
      <text>
        <r>
          <rPr>
            <sz val="9"/>
            <rFont val="宋体"/>
            <family val="3"/>
            <charset val="134"/>
          </rPr>
          <t>UEsDBBQACAgIAFWf01gAAAAAAAAAAAAAAAABAAAAMFVSy27bMBD0uV8REOjNBihLsWLdkjhGjdpN0Li9BEGxItcyYYpU+ShiGAZ67De0l/5Ar0Uu/Zvk0L8oJfmRHnjY2VnO7JBXo4vOq06nsyH4UGnjLrVaiIJkG8JxAV66KajCQ4EkI0yRLuHCVhLWM81riJcTxQUDJ3TdFPbcMpI547Eu3giOFxLUag95i1OvwJBsAdLitrtTnQsn8bpqbgnSIGWDXEksUTm7o3cJ0145sz7UHC0zYjfXSiwMfvao2JEUTCgnFgLNAbJQVhKPJUpkDnkj+hbXU2Edye6IQeu0wXdQIrkPNO0NO045yGXb2yNeiRdmfcXB4Sic47olOiNCQncb8il0YSSKZqTfJTkWQrVs0qf0lEZxFCJly/AA+B6ZNjzM3dchNNHPKI3SqD8IHFStDXK5FAqykxkovwDmvBGqOLmZTRrOh+AucF6TJnVQHPnBKz44EwbmULzMkWRJlxRG+6pp7LgrDNmSfBDxJEnjHrI47SWYpr087g96jPIchoMIOKdBSbXGnh5/Pf/4kz1/+/3368+nx++tpwpMeJpJsBHT/lna3Qf+X6CN5W3Y24kSxybcd4vOhcXqn8KWyFYfQQq+9y3Buuu8jjRpi/m6qh3IGkXzpfmqNojr3I6NLkMrOjulNKZRC946MO68lo2Gw5RGe3yuGyhJaRLXm1VohOa72ys39lLeNBDZbv8BUEsHCDBUBQQSAgAAVgMAAA==</t>
        </r>
      </text>
    </comment>
    <comment ref="V2" authorId="0" shapeId="0" xr:uid="{00000000-0006-0000-0B00-000002000000}">
      <text>
        <r>
          <rPr>
            <sz val="9"/>
            <rFont val="宋体"/>
            <family val="3"/>
            <charset val="134"/>
          </rPr>
          <t>UEsDBBQACAgIAI0901gAAAAAAAAAAAAAAAABAAAAML2WbWsVRxTH87qfYlnouwzMzj7vu5iHNtTUUGNBRMrszNmbwb27291ZMUpAscU0SBGM0NbSam0xvvABKtW22k+TvYnfomfvzaN5EtP0xb0wZ2b2nPn9Z/4z42Mnhj4YGhq6YsKlIi/1aJ4lqmNGV0wJCa9TfZJnnZp3wIxMkZnDplRVkfK5qVy2IdmdzKQSXKu87VTVSCXMKOFpBW3rYyXhRMqzC2akyxpDdQUn64yX62Pmh9fTziidwqmi/xnMzdO0HxlPoQuZrjY/KfI60+XcZltCJUq1Pm+QIinhyxoysTUIi8i0ShSUm6GKd4sUtpqQgtAg+0k/gbmTqtJmdM4sodJ5CZ/yLpjncVhel2JrluZxOujbiNSZ2lZsXUiuYQx/W8vtgi4VIjp3xfwCe/mY6vSnsGEzho7KBqNNRi2b2raFTMUsKgCfgchLifPOtxD67KdcP2TM83AMZIMyzNFZlfHIQFHqChPx1BjlBRdKzxlntErV5Q2lIDuDteKMD82+BjyTIDcrh0u65ELP8M5mqMVqRu6w2SnzutjecwEQtel7kgk3jIl0HUmcgHokkDQmjFmCBhYTjkcxVTaoc+Xl4+bu66h58dvKyx9W/nq4dv11s/BodWl59dsbUfP6dvP4QXP1FY4veIniTWJpjFJqOZ4/vKHKDur9lcwPH0zVCkNGPZseSJVSx/atYA+qYypJ6gr5tXzhkpEnhotFGdOlyoQqEPY27uOZhrIoVQVVhCNyWYsW/f+mh+O7ibAFJTSOGXFch5OYSUoCYDT0vNiDmO/So11Ob+HFuiyvruF/7/unvWdLvW8e9e486N280bvzLFp78k/z641WssW7A9V6z543f/6+Q64wtJzwaFqh3oecACyXuo578AkYkYjS+JynNRgjcX4RjDGoVCfDPNI4rS5DZJzNz76/Bs6+GnBbQsg5I76TeMTxA0YCz/aI67khAKAOQbJLg7WHX/WW76/8jRIsDoRofvmpWbyH56E9Gb0fF5pbN3tPl3bQpkcj7Vn0cNIWY/4epKenJyNjJtdb239uY79Xx0ZWMJeFoZ8QlsSUONwJSGxbMbGYzV0eeMCd3W7TVtp8vfzm+vI619vX9idqUzewjkAV7cp9h/1r+daeVKd4VicIpUZv6RjTU5PbTeQ4iDLGJONMENvCDesIKglPYkF87sbSTtzQt8Pd/r3wx5ur9xBlW+Dq0s/o5G9BZMERDfvdTIBa1n9hAvg3M3YcdKkTs8AJAyKDEG9HyiUJQ7AJhJTjfekm1h6340FOsPr86dqT+8fgBJSx8HDP9Q7BveP2m1CZqmaR80d5Lt/DE7bedQchBukJK04sQhOeEEeGHokdwdESEgikxxgIe78HSP+mi3D39hZuoSs0j79be/4w2oMuCx3XPogwgtKqCxMlpjkNWuPpbR+0YhbEBdx9Sm4sJ+WVPhW3GjiDxsxc0RaWtlEoL/YfBhUmz+Nqosy7rTwB3s82tQbB05qXekQPZPOptRGfyfshx8d3TLunCihVLte/XuiJOk2n+yFzfv5fUEsHCOiDIyqFBAAA/gsAAA==</t>
        </r>
      </text>
    </comment>
    <comment ref="Y2" authorId="0" shapeId="0" xr:uid="{00000000-0006-0000-0B00-000003000000}">
      <text>
        <r>
          <rPr>
            <sz val="9"/>
            <rFont val="宋体"/>
            <family val="3"/>
            <charset val="134"/>
          </rPr>
          <t>UEsDBBQACAgIAJtI01gAAAAAAAAAAAAAAAABAAAAMLWXW2/URhTH89xPYVnq21oaj8eX8VsgpI1KStSESgihauw53ozw2ltfEAFFAtGKNEIVEkFqCypQWhEegEiNuBX6aWIn/RY93t3curnQpnlYb3w8s+f49z/zn8mpsRMjH42MjFzV4XI3zYqTaRKptu5f1SVEooyL0yJpl6INuq+Hid7Spcq7sZibTGUTkp2JRKpQFCptHqp8NA91v8hKaG4+VRJOxCK5uBkqczhdJiLT/UjEOcy3BllnVBHDmW7vVzC1iONe5FQMHUiKfDC8pYdpmRTZ3Na9hDzM1GBeP0WUwdclJOH2ICwiKVSkINsK5aLTjWH7FmIIC5C9pJ/B3GmVF7p/Xs8gL9IMPhcd0C/gsLTMwu1ZhQji/rPNSJmoHcWWXSkKGMPP9ut2oMgUEjp/Vf8Kn4ox1e5NoS09gLZK+qN1SkyLWJaJSMNZFAC+gDDNJM670EDooZ+0XU6p4+AYSPpl6CdnVSJ8DTUpc0wkYu2k6IpQFXPa2ULF6sqmUJCcxVpxxsd6TwORSJBblcPlIhNhMSPaW6EGq+7bLb2dpWV355OLgKh115E0tHlgSJtJg3nEMTxJAoNSMySeSUPmEEyV9Otce/2suvfer179tvb6p7W3TzZuvK8Wnq4vLa9/f9Ov3t+pnj2urr3D8V2RoXgTWBolhJjMcVubquyi3nuT+dbBVE3OKXEsciBVQpjlmt4eVMdUFJU58mv4wmUtjTQbi9KmMpWEqouwd3A/lRSQdTOVQ+7jiFSWYYP+6Hpsd/lBcjDXjkIrJAYJAmowmwkjoJIYHlDCHSdwIBBDcjRvUy+8Gqjy7jpe6x9f1CtL9XdP67uP61s367sr/sbzP6tfbzaKLd7ri1avrFZvft+lFucm40eTCuU+ZAFgucRm9sELYFQiSe1LEZegjQbpJdDGIFftBPNIbVpdAV87l57770uC7auBsCRwIajhssgxmOtRw3Msx7AdmwMA6uBFQxpsPPmmXn609gdKsNgXovrl52rxIS6HZmHU9xeq27fqF0u7aJOjkXZMcjhpk1J3D9JTUxO+NpMW290/t9nu+bGRDalNOXcjg0YBMZhgnhFYZmCY1BK28BwQbNhsmkqrb5f/urE84Hrn+v5ELWJ75hGoolvZH9C/pmvuSXVSJGWEUEq0lrY2NTmx00OOgyilVFJBQ8MysWFZSKQhoiA0XGEH0ops7lp82L4XXv517SGibApcX3qARv4PiNQ7ol9/mAkQ0/w/TAAvM2PHQZewgHqMe4b0OG6OREiDc7AM4ETgdmlH5h6b40FOsL76YuP5o2NwAkIpP9xznUNw79r8xlWi8lnk/EmayuPzBJBOaAaRaZBIRAaT3DECFgr0hAg86VAKobXfAaS31fnYvvXCbbSF6tkPG6tP/D3wUs5s698gZkO2gEc7wg5CPI2Aucv4EOITaSJ9pHgJsqQ5FmtNAFt20tdMcgSm5r5MuR1xKR1heJFnGYxbnsEFmLiDRYRbjNiWO8y0+br2Fv9qrgsr9f0H9dLL9XuLzdHOJNWb1Q9vWIRSqA6MZ5hgGooCzbD59yCchfAiLmYlN49DsciLM0HT0qx/MzPXbUqKmyhkl3rHrBwTp0E+nqWdpts9PO5YxOwHpwuRFaNFfxW4KNEgPpP2QszFU2GzRLuQqVQOfr1bjJdxPNUL6fPzfwNQSwcIVgYAZe0EAABLDQAA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<sst xmlns="http://schemas.openxmlformats.org/spreadsheetml/2006/main" count="1865" uniqueCount="296">
  <si>
    <r>
      <rPr>
        <b/>
        <sz val="11"/>
        <color theme="1"/>
        <rFont val="楷体"/>
        <family val="3"/>
        <charset val="134"/>
      </rPr>
      <t>一、周期整合：</t>
    </r>
    <r>
      <rPr>
        <sz val="11"/>
        <color theme="1"/>
        <rFont val="楷体"/>
        <family val="3"/>
        <charset val="134"/>
      </rPr>
      <t>根据股债相对表现重新划分经济周期。注，债券收益率可以类比中证债基指数，回报率上行指牛市。
※</t>
    </r>
    <r>
      <rPr>
        <b/>
        <sz val="11"/>
        <color theme="1"/>
        <rFont val="楷体"/>
        <family val="3"/>
        <charset val="134"/>
      </rPr>
      <t>衰退</t>
    </r>
    <r>
      <rPr>
        <sz val="11"/>
        <color theme="1"/>
        <rFont val="楷体"/>
        <family val="3"/>
        <charset val="134"/>
      </rPr>
      <t>：对应周期2（景气值&lt;0，方向下降）。经济衰退阶段往往通货膨胀周期下行、实际经济增长放缓。此时货币宽松利好股票估值，但经济放缓对股票盈利构成抑制，股票收益率由弱转为更弱；而货币政策宽松和资金需求转弱同时推动利率下行并形成债券牛市。综合来看，当前阶段股票收益率弱于债券，且趋势上股债收益差下降。
※</t>
    </r>
    <r>
      <rPr>
        <b/>
        <sz val="11"/>
        <color theme="1"/>
        <rFont val="楷体"/>
        <family val="3"/>
        <charset val="134"/>
      </rPr>
      <t>复苏</t>
    </r>
    <r>
      <rPr>
        <sz val="11"/>
        <color theme="1"/>
        <rFont val="楷体"/>
        <family val="3"/>
        <charset val="134"/>
      </rPr>
      <t>：对应周期3（景气值&lt;0，方向上升）。经济复苏阶段往往通货膨胀周期下行、实际经济增长周期上行。此时因为经济复苏和货币宽松，股票估值和盈利同时修复，股票收益率由弱转强；而央行维持偏宽松的货币政策利好债券利率下行，但经济增长预期升温会产生利率上行的预期，所以债市收益率由强转弱。综合来看，当前阶段股票收益率弱于债券，但趋势上股债收益差上升。
※</t>
    </r>
    <r>
      <rPr>
        <b/>
        <sz val="11"/>
        <color theme="1"/>
        <rFont val="楷体"/>
        <family val="3"/>
        <charset val="134"/>
      </rPr>
      <t>过热</t>
    </r>
    <r>
      <rPr>
        <sz val="11"/>
        <color theme="1"/>
        <rFont val="楷体"/>
        <family val="3"/>
        <charset val="134"/>
      </rPr>
      <t>：对应周期4（景气值&gt;0，方向上升）。经济过热阶段通货膨胀周期上行、实际经济增长周期上行。此时宏观环境有利于股票盈利，对股票估值构成抑制，综合来看股市呈震荡阶段；但央行一般收紧货币政策，资金需求也比较旺盛，易推动债券利率上行，利空债市。综合来看，当前阶段股票收益率强于债券，且趋势上股债收益差上升。
※</t>
    </r>
    <r>
      <rPr>
        <b/>
        <sz val="11"/>
        <color theme="1"/>
        <rFont val="楷体"/>
        <family val="3"/>
        <charset val="134"/>
      </rPr>
      <t>滞涨</t>
    </r>
    <r>
      <rPr>
        <sz val="11"/>
        <color theme="1"/>
        <rFont val="楷体"/>
        <family val="3"/>
        <charset val="134"/>
      </rPr>
      <t xml:space="preserve">：对应周期1（景气值&gt;0，方向下降）。经济滞胀阶段往往通货膨胀周期上行、实际经济增长放缓。此时宏观环境对股票估值和盈利均构成抑制，综合来看股票收益率由强转弱；而央行治理通胀推动债券短端利率上行，经济的悲观预期推动中长端利率下行，综合来看债市收益率呈震荡阶段。综合来看，当前阶段股票收益率强于债券，但趋势上股债收益差下行。
</t>
    </r>
    <r>
      <rPr>
        <b/>
        <sz val="11"/>
        <color theme="1"/>
        <rFont val="楷体"/>
        <family val="3"/>
        <charset val="134"/>
      </rPr>
      <t>二、行业风格表现：</t>
    </r>
    <r>
      <rPr>
        <sz val="11"/>
        <color theme="1"/>
        <rFont val="楷体"/>
        <family val="3"/>
        <charset val="134"/>
      </rPr>
      <t>对各周期内的行业风格绝对回报、超额回报进行统计（月度平均收益率）。
1. 从超额收益看行业/风格轮动更有效：相对收益率可以更好体现出风格板块/行业表现与基本面的偏离情况，我们在绝对收益基础上结合相对收益（即各个风格较全A的超额回报来测算）；
2. 从超额收益看，存在以下特征：
（1）经济放缓配大盘，经济走强配小盘。从沪深300vs中证1000，巨潮大盘vs巨潮小盘看，小盘股在经济走强时（复苏、过热）表现较好，大盘股在经济放缓时（滞涨、衰退）表现更佳，体现出防御属性。
（2）风格板块看，消费与金融、稳定能形成有效对冲，可以用于考虑配对交易来平抑风险。
（3）红利思路和大盘具有共通之处，经济下行时（滞涨、衰退）表现更佳。
（4）相比低估值的逆周期对抗效果，高估值板块在盈利下行期更易迎来“戴维斯双杀”。</t>
    </r>
  </si>
  <si>
    <t>周期整合</t>
  </si>
  <si>
    <t>阶段划分</t>
  </si>
  <si>
    <t>划分依据</t>
  </si>
  <si>
    <t>所处阶段</t>
  </si>
  <si>
    <t>阶段起点</t>
  </si>
  <si>
    <t>阶段终点</t>
  </si>
  <si>
    <t>衰退</t>
  </si>
  <si>
    <t>复苏</t>
  </si>
  <si>
    <t>过热</t>
  </si>
  <si>
    <t>滞涨</t>
  </si>
  <si>
    <t>超额收益——分股票风格和行业</t>
  </si>
  <si>
    <t>个数</t>
  </si>
  <si>
    <t>总月数</t>
  </si>
  <si>
    <t>平均月数</t>
  </si>
  <si>
    <t>时期占比</t>
  </si>
  <si>
    <t>万得全A</t>
  </si>
  <si>
    <t>上证50指数</t>
  </si>
  <si>
    <t>沪深300指数</t>
  </si>
  <si>
    <t>中证500指数</t>
  </si>
  <si>
    <t>中证1000指数</t>
  </si>
  <si>
    <t>巨潮大盘</t>
  </si>
  <si>
    <t>巨潮中盘</t>
  </si>
  <si>
    <t>巨潮小盘</t>
  </si>
  <si>
    <t>周期</t>
  </si>
  <si>
    <t>消费</t>
  </si>
  <si>
    <t>金融</t>
  </si>
  <si>
    <t>稳定</t>
  </si>
  <si>
    <t>成长</t>
  </si>
  <si>
    <t>红利指数</t>
  </si>
  <si>
    <t>国证红利</t>
  </si>
  <si>
    <t>深证红利</t>
  </si>
  <si>
    <t>万得红利</t>
  </si>
  <si>
    <t>中证红利</t>
  </si>
  <si>
    <t>低估值指数(长江)</t>
  </si>
  <si>
    <t>高估值指数(长江)</t>
  </si>
  <si>
    <t>农林牧渔</t>
  </si>
  <si>
    <t>基础化工</t>
  </si>
  <si>
    <t>钢铁</t>
  </si>
  <si>
    <t>有色金属</t>
  </si>
  <si>
    <t>电子</t>
  </si>
  <si>
    <t>家用电器</t>
  </si>
  <si>
    <t>食品饮料</t>
  </si>
  <si>
    <t>纺织服饰</t>
  </si>
  <si>
    <t>轻工制造</t>
  </si>
  <si>
    <t>医药生物</t>
  </si>
  <si>
    <t>公用事业</t>
  </si>
  <si>
    <t>交通运输</t>
  </si>
  <si>
    <t>房地产</t>
  </si>
  <si>
    <t>商贸零售</t>
  </si>
  <si>
    <t>社会服务</t>
  </si>
  <si>
    <t>综合</t>
  </si>
  <si>
    <t>建筑材料</t>
  </si>
  <si>
    <t>建筑装饰</t>
  </si>
  <si>
    <t>电力设备</t>
  </si>
  <si>
    <t>国防军工</t>
  </si>
  <si>
    <t>计算机</t>
  </si>
  <si>
    <t>传媒</t>
  </si>
  <si>
    <t>通信</t>
  </si>
  <si>
    <t>银行</t>
  </si>
  <si>
    <t>非银金融</t>
  </si>
  <si>
    <t>汽车</t>
  </si>
  <si>
    <t>机械设备</t>
  </si>
  <si>
    <t>煤炭</t>
  </si>
  <si>
    <t>石油石化</t>
  </si>
  <si>
    <t>环保</t>
  </si>
  <si>
    <t>美容护理</t>
  </si>
  <si>
    <t>绝对收益——分股票风格和行业</t>
  </si>
  <si>
    <r>
      <rPr>
        <b/>
        <sz val="11"/>
        <color theme="1"/>
        <rFont val="楷体"/>
        <family val="3"/>
        <charset val="134"/>
      </rPr>
      <t>本页内容：</t>
    </r>
    <r>
      <rPr>
        <sz val="11"/>
        <color theme="1"/>
        <rFont val="楷体"/>
        <family val="3"/>
        <charset val="134"/>
      </rPr>
      <t xml:space="preserve">
一、研究流程图
二、股债表现与经济周期对应图
三、风格指数汇总</t>
    </r>
  </si>
  <si>
    <t>研究流程图</t>
  </si>
  <si>
    <t>股债表现与经济周期对应图</t>
  </si>
  <si>
    <t>风格指数汇总</t>
  </si>
  <si>
    <t>风格</t>
  </si>
  <si>
    <t>代码</t>
  </si>
  <si>
    <t>指数</t>
  </si>
  <si>
    <t>大中小盘</t>
  </si>
  <si>
    <t>399314.SZ</t>
  </si>
  <si>
    <t>399315.SZ</t>
  </si>
  <si>
    <t>399316.SZ</t>
  </si>
  <si>
    <t>000016.SH</t>
  </si>
  <si>
    <t>000300.SH</t>
  </si>
  <si>
    <t>000905.SH</t>
  </si>
  <si>
    <t>000852.SH</t>
  </si>
  <si>
    <t>中信风格</t>
  </si>
  <si>
    <t>CI005918.WI</t>
  </si>
  <si>
    <t>CI005919.WI</t>
  </si>
  <si>
    <t>CI005917.WI</t>
  </si>
  <si>
    <t>CI005921.WI</t>
  </si>
  <si>
    <t>CI005920.WI</t>
  </si>
  <si>
    <t>红利</t>
  </si>
  <si>
    <t>399321.SZ</t>
  </si>
  <si>
    <t>399324.SZ</t>
  </si>
  <si>
    <t>867001.WI</t>
  </si>
  <si>
    <t>000922.CSI</t>
  </si>
  <si>
    <t>估值</t>
  </si>
  <si>
    <t>861101.CJ</t>
  </si>
  <si>
    <t>861102.CJ</t>
  </si>
  <si>
    <t>行业</t>
  </si>
  <si>
    <t>31个申万一级行业</t>
  </si>
  <si>
    <t>美林时钟</t>
  </si>
  <si>
    <t>货币信用周期</t>
  </si>
  <si>
    <t>财政货币周期</t>
  </si>
  <si>
    <t>信贷库存周期</t>
  </si>
  <si>
    <t>产能库存周期嵌套</t>
  </si>
  <si>
    <t>综合打分</t>
  </si>
  <si>
    <t>打分指示的股债强弱</t>
  </si>
  <si>
    <t>实际股债强弱（十年国债口径）</t>
  </si>
  <si>
    <t>实际股债强弱（中证债基口径）</t>
  </si>
  <si>
    <t>打分指示的股债强弱(向前滚动5年、右轴)</t>
  </si>
  <si>
    <t>中国:中债国债到期收益率:10年:月:平均值:环比增加:*100</t>
  </si>
  <si>
    <t>股票</t>
  </si>
  <si>
    <t>债券</t>
  </si>
  <si>
    <t>宽货币紧信用</t>
  </si>
  <si>
    <t>双宽</t>
  </si>
  <si>
    <t>被动补库存</t>
  </si>
  <si>
    <t>产能周期下行,主动补库存</t>
  </si>
  <si>
    <t>主动去库存</t>
  </si>
  <si>
    <t>宽货币紧财政</t>
  </si>
  <si>
    <t>产能周期下行,被动去库存</t>
  </si>
  <si>
    <t>被动去库存</t>
  </si>
  <si>
    <t>双紧</t>
  </si>
  <si>
    <t>产能周期下行,主动去库存</t>
  </si>
  <si>
    <t>产能周期下行,被动补库存</t>
  </si>
  <si>
    <t>产能周期上行,被动补库存</t>
  </si>
  <si>
    <t>产能周期上行,主动补库存</t>
  </si>
  <si>
    <t>宽货币宽信用</t>
  </si>
  <si>
    <t>主动补库存</t>
  </si>
  <si>
    <t>产能周期上行,主动去库存</t>
  </si>
  <si>
    <t>紧货币紧信用</t>
  </si>
  <si>
    <t>产能周期上行,被动去库存</t>
  </si>
  <si>
    <t>紧货币宽财政</t>
  </si>
  <si>
    <t>紧货币宽信用</t>
  </si>
  <si>
    <t>月度测算</t>
  </si>
  <si>
    <t>根据GDP季度同比公布值修正后的月度GDP同比</t>
  </si>
  <si>
    <t>2020年1-2月</t>
  </si>
  <si>
    <t>指标名称</t>
  </si>
  <si>
    <t>中国:GDP:平减指数:初步核算:当季同比</t>
  </si>
  <si>
    <t>综合景气指标(向前滚动5年、右轴)</t>
  </si>
  <si>
    <t>月度GDP同比</t>
  </si>
  <si>
    <t>综合通胀（逆序）</t>
  </si>
  <si>
    <t>综合PMI</t>
  </si>
  <si>
    <t>GDP平减指数（逆序）</t>
  </si>
  <si>
    <t>综合PMI（近半年平均）</t>
  </si>
  <si>
    <t>2021年1-2月</t>
  </si>
  <si>
    <t>2022年1-2月</t>
  </si>
  <si>
    <t>2023年1-2月</t>
  </si>
  <si>
    <t>综合景气指标</t>
  </si>
  <si>
    <t>周期1（景气值&gt;0，方向下降）</t>
  </si>
  <si>
    <t>周期2（景气值&lt;0，方向下降）</t>
  </si>
  <si>
    <t>周期3（景气值&lt;0，方向上升）</t>
  </si>
  <si>
    <t>周期4（景气值&gt;0，方向上升）</t>
  </si>
  <si>
    <t>周期对照：</t>
  </si>
  <si>
    <t>阶段序号</t>
  </si>
  <si>
    <t>组合阶段</t>
  </si>
  <si>
    <t>经济周期</t>
  </si>
  <si>
    <t>881001.WI</t>
  </si>
  <si>
    <t>801010.SI</t>
  </si>
  <si>
    <t>801030.SI</t>
  </si>
  <si>
    <t>801040.SI</t>
  </si>
  <si>
    <t>801050.SI</t>
  </si>
  <si>
    <t>801080.SI</t>
  </si>
  <si>
    <t>801110.SI</t>
  </si>
  <si>
    <t>801120.SI</t>
  </si>
  <si>
    <t>801130.SI</t>
  </si>
  <si>
    <t>801140.SI</t>
  </si>
  <si>
    <t>801150.SI</t>
  </si>
  <si>
    <t>801160.SI</t>
  </si>
  <si>
    <t>801170.SI</t>
  </si>
  <si>
    <t>801180.SI</t>
  </si>
  <si>
    <t>801200.SI</t>
  </si>
  <si>
    <t>801210.SI</t>
  </si>
  <si>
    <t>801230.SI</t>
  </si>
  <si>
    <t>801710.SI</t>
  </si>
  <si>
    <t>801720.SI</t>
  </si>
  <si>
    <t>801730.SI</t>
  </si>
  <si>
    <t>801740.SI</t>
  </si>
  <si>
    <t>801750.SI</t>
  </si>
  <si>
    <t>801760.SI</t>
  </si>
  <si>
    <t>801770.SI</t>
  </si>
  <si>
    <t>801780.SI</t>
  </si>
  <si>
    <t>801790.SI</t>
  </si>
  <si>
    <t>801880.SI</t>
  </si>
  <si>
    <t>801890.SI</t>
  </si>
  <si>
    <t>801950.SI</t>
  </si>
  <si>
    <t>801960.SI</t>
  </si>
  <si>
    <t>801970.SI</t>
  </si>
  <si>
    <t>801980.SI</t>
  </si>
  <si>
    <t>000015.SH</t>
  </si>
  <si>
    <t>绝对收益</t>
  </si>
  <si>
    <t>超额收益</t>
  </si>
  <si>
    <t>各指数收益的数值版</t>
  </si>
  <si>
    <t>货币信用指数总览</t>
  </si>
  <si>
    <t>货币指数</t>
  </si>
  <si>
    <t>信用指数及计算方法</t>
  </si>
  <si>
    <t>信用脉冲</t>
  </si>
  <si>
    <t>货币（Shibor 3M，右轴)</t>
  </si>
  <si>
    <t>信用（信用脉冲）</t>
  </si>
  <si>
    <t>信用上行手动</t>
  </si>
  <si>
    <t>信用下行手动</t>
  </si>
  <si>
    <t>货币上行手动</t>
  </si>
  <si>
    <t>货币下行手动</t>
  </si>
  <si>
    <t>所处周期</t>
  </si>
  <si>
    <t>政府债券融资</t>
  </si>
  <si>
    <t>统一口径后社融</t>
  </si>
  <si>
    <t>滚动社融</t>
  </si>
  <si>
    <t>滚动GDP</t>
  </si>
  <si>
    <t>滚动社融/滚动GDP</t>
  </si>
  <si>
    <t>截止日期</t>
  </si>
  <si>
    <t>净融资额(亿元)</t>
  </si>
  <si>
    <t>票据</t>
  </si>
  <si>
    <t>信贷</t>
  </si>
  <si>
    <t>票据贴现余额增速</t>
  </si>
  <si>
    <t>贷款余额增速</t>
  </si>
  <si>
    <t>信贷上行手动</t>
  </si>
  <si>
    <t>信贷下行手动</t>
  </si>
  <si>
    <t>票据上行手动</t>
  </si>
  <si>
    <t>票据下行手动</t>
  </si>
  <si>
    <t>日期</t>
  </si>
  <si>
    <t>超额准备金标准化指数</t>
  </si>
  <si>
    <t>货币政策力度指数</t>
  </si>
  <si>
    <t>财政上行手动</t>
  </si>
  <si>
    <t>财政下行手动</t>
  </si>
  <si>
    <t>SHIBOR:3个月</t>
  </si>
  <si>
    <t>复苏（增长上行，通胀下行）</t>
  </si>
  <si>
    <t>过热（增长上行，通胀上行）</t>
  </si>
  <si>
    <t>滞涨（增长下行，通胀上行）</t>
  </si>
  <si>
    <t>衰退（增长下行，通胀下行）</t>
  </si>
  <si>
    <t>工业增加值+CPI</t>
  </si>
  <si>
    <t>工业增加值+PPI</t>
  </si>
  <si>
    <t>工业增加值+综合通胀</t>
  </si>
  <si>
    <t>实际GDP+GDP平减指数</t>
  </si>
  <si>
    <t>工业增加值:当月同比</t>
  </si>
  <si>
    <t>CPI:当月同比</t>
  </si>
  <si>
    <t>PPI:全部工业品:当月同比</t>
  </si>
  <si>
    <t>综合通胀</t>
  </si>
  <si>
    <t>工业增加值当月同比上行（手动）</t>
  </si>
  <si>
    <t>工业增加值当月同比下行</t>
  </si>
  <si>
    <t>CPI当月同比上行（手动）</t>
  </si>
  <si>
    <t>CPI当月同比下行</t>
  </si>
  <si>
    <t>PPI当月同比上行（手动）</t>
  </si>
  <si>
    <t>PPI当月同比下行</t>
  </si>
  <si>
    <t>综合通胀同比上行（手动）</t>
  </si>
  <si>
    <t>综合通胀同比下行</t>
  </si>
  <si>
    <t>中国:GDP:不变价:当季同比</t>
  </si>
  <si>
    <t>实际GDP当季同比上行（手动）</t>
  </si>
  <si>
    <t>实际GDP当季同比下行</t>
  </si>
  <si>
    <t>GDP平减指数当季同比上行（手动）</t>
  </si>
  <si>
    <t>GDP平减指数当季同比下行</t>
  </si>
  <si>
    <t>库存周期</t>
  </si>
  <si>
    <t>需求</t>
  </si>
  <si>
    <t>库存</t>
  </si>
  <si>
    <t>产能</t>
  </si>
  <si>
    <r>
      <rPr>
        <sz val="11"/>
        <color theme="1"/>
        <rFont val="宋体"/>
        <family val="3"/>
        <charset val="134"/>
        <scheme val="minor"/>
      </rPr>
      <t>需求P</t>
    </r>
    <r>
      <rPr>
        <sz val="11"/>
        <color indexed="8"/>
        <rFont val="宋体"/>
        <family val="3"/>
        <charset val="134"/>
      </rPr>
      <t>MI</t>
    </r>
  </si>
  <si>
    <t>朱格拉周期</t>
  </si>
  <si>
    <t>库存上行</t>
  </si>
  <si>
    <t>库存下行</t>
  </si>
  <si>
    <t>需求上行</t>
  </si>
  <si>
    <t>需求下行</t>
  </si>
  <si>
    <t>产能周期上行</t>
  </si>
  <si>
    <t>产能周期下行</t>
  </si>
  <si>
    <t>所处库存周期</t>
  </si>
  <si>
    <t>所处产能周期</t>
  </si>
  <si>
    <t>周期嵌套</t>
  </si>
  <si>
    <t>指标名称</t>
    <phoneticPr fontId="29" type="noConversion"/>
  </si>
  <si>
    <t>GDP:现价:当季值:滚动求和</t>
    <phoneticPr fontId="29" type="noConversion"/>
  </si>
  <si>
    <t>单位</t>
    <phoneticPr fontId="29" type="noConversion"/>
  </si>
  <si>
    <t>亿元</t>
    <phoneticPr fontId="29" type="noConversion"/>
  </si>
  <si>
    <t>中国:金融机构:人民币:资金运用:各项贷款:境内贷款:企(事)业单位贷款:票据融资:同比</t>
    <phoneticPr fontId="29" type="noConversion"/>
  </si>
  <si>
    <t>中国:5000户工业企业景气扩散指数:设备能力利用水平</t>
    <phoneticPr fontId="29" type="noConversion"/>
  </si>
  <si>
    <t>SHIBOR:3个月:月:平均值</t>
    <phoneticPr fontId="29" type="noConversion"/>
  </si>
  <si>
    <t>社会融资规模:当月值</t>
    <phoneticPr fontId="29" type="noConversion"/>
  </si>
  <si>
    <t>中国:金融机构:本外币贷款余额:初值:同比</t>
    <phoneticPr fontId="29" type="noConversion"/>
  </si>
  <si>
    <t>%</t>
    <phoneticPr fontId="29" type="noConversion"/>
  </si>
  <si>
    <t>中国:工业企业:产成品存货:同比</t>
    <phoneticPr fontId="29" type="noConversion"/>
  </si>
  <si>
    <t>中国:CPI:当月同比:*0.6+中国:PPI:全部工业品:当月同比:*0.4</t>
    <phoneticPr fontId="29" type="noConversion"/>
  </si>
  <si>
    <t>中国综合PMI:产出指数</t>
    <phoneticPr fontId="29" type="noConversion"/>
  </si>
  <si>
    <t>更新时间</t>
    <phoneticPr fontId="29" type="noConversion"/>
  </si>
  <si>
    <t>中国:GDP:平减指数:初步核算:当季同比</t>
    <phoneticPr fontId="29" type="noConversion"/>
  </si>
  <si>
    <t>中国:制造业PMI</t>
    <phoneticPr fontId="29" type="noConversion"/>
  </si>
  <si>
    <t>万得全A:月:最后一条:环比</t>
    <phoneticPr fontId="29" type="noConversion"/>
  </si>
  <si>
    <t>中国:中债国债到期收益率:10年:月:平均值:环比增加:*100</t>
    <phoneticPr fontId="29" type="noConversion"/>
  </si>
  <si>
    <t>指标ID</t>
    <phoneticPr fontId="29" type="noConversion"/>
  </si>
  <si>
    <t>s14</t>
    <phoneticPr fontId="29" type="noConversion"/>
  </si>
  <si>
    <t>s19</t>
    <phoneticPr fontId="29" type="noConversion"/>
  </si>
  <si>
    <t>中证基金指数:债券基金:月:最后一条:环比</t>
    <phoneticPr fontId="29" type="noConversion"/>
  </si>
  <si>
    <t>广义财政支出同比</t>
    <phoneticPr fontId="29" type="noConversion"/>
  </si>
  <si>
    <t>中国:金融机构:人民币:资金运用:各项贷款:境内贷款:企(事)业单位贷款:票据融资:同比</t>
  </si>
  <si>
    <t>2025-02-14</t>
    <phoneticPr fontId="29" type="noConversion"/>
  </si>
  <si>
    <t>票据预测</t>
    <phoneticPr fontId="29" type="noConversion"/>
  </si>
  <si>
    <t>货币指数预测</t>
    <phoneticPr fontId="29" type="noConversion"/>
  </si>
  <si>
    <t>财政力度指数（累计）</t>
    <phoneticPr fontId="29" type="noConversion"/>
  </si>
  <si>
    <t>财政政策力度指数（当月）</t>
    <phoneticPr fontId="29" type="noConversion"/>
  </si>
  <si>
    <t>复苏</t>
    <phoneticPr fontId="29" type="noConversion"/>
  </si>
  <si>
    <t>2026-01-09</t>
    <phoneticPr fontId="29" type="noConversion"/>
  </si>
  <si>
    <t>2025-12-31</t>
    <phoneticPr fontId="29" type="noConversion"/>
  </si>
  <si>
    <t>2026-01-19</t>
    <phoneticPr fontId="2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</si>
</sst>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9">
    <numFmt numFmtId="176" formatCode="yyyy\-mm"/>
    <numFmt numFmtId="177" formatCode="#,##0.00_ "/>
    <numFmt numFmtId="178" formatCode="yyyy\-mm\-dd"/>
    <numFmt numFmtId="179" formatCode="0.0_ "/>
    <numFmt numFmtId="180" formatCode="#,##0.0_ "/>
    <numFmt numFmtId="181" formatCode="#,##0.0000_ "/>
    <numFmt numFmtId="182" formatCode="0.00_);[Red]\(0.00\)"/>
    <numFmt numFmtId="183" formatCode="###,###,###,###,##0.00"/>
    <numFmt numFmtId="184" formatCode="0.00_ "/>
    <numFmt numFmtId="185" formatCode="#,##0_ "/>
    <numFmt numFmtId="186" formatCode="yyyy/mm/dd"/>
    <numFmt numFmtId="187" formatCode="yyyy/mm;@"/>
    <numFmt numFmtId="188" formatCode="yyyy/mm"/>
    <numFmt numFmtId="189" formatCode="0.0000"/>
    <numFmt numFmtId="190" formatCode="yyyy/m/d;@"/>
    <numFmt numFmtId="191" formatCode="0_);[Red]\(0\)"/>
    <numFmt numFmtId="192" formatCode="0.0_);[Red]\(0.0\)"/>
    <numFmt numFmtId="193" formatCode="#,##0.0000000000000_ "/>
    <numFmt numFmtId="194" formatCode="#,##0.000000000000_ "/>
  </numFmts>
  <fonts count="30" x14ac:knownFonts="1">
    <font>
      <sz val="11"/>
      <color rgb="FF000000"/>
      <name val="等线"/>
      <charset val="134"/>
    </font>
    <font>
      <sz val="11"/>
      <color theme="1"/>
      <name val="宋体"/>
      <family val="3"/>
      <charset val="134"/>
      <scheme val="minor"/>
    </font>
    <font>
      <sz val="14"/>
      <color theme="1"/>
      <name val="黑体"/>
      <family val="3"/>
      <charset val="134"/>
    </font>
    <font>
      <sz val="11"/>
      <color rgb="FFFF0000"/>
      <name val="宋体"/>
      <family val="3"/>
      <charset val="134"/>
      <scheme val="minor"/>
    </font>
    <font>
      <sz val="11"/>
      <color indexed="10"/>
      <name val="Calibri"/>
      <family val="2"/>
    </font>
    <font>
      <sz val="11"/>
      <color indexed="8"/>
      <name val="宋体"/>
      <family val="3"/>
      <charset val="134"/>
      <scheme val="minor"/>
    </font>
    <font>
      <b/>
      <sz val="11"/>
      <color rgb="FF000000"/>
      <name val="等线"/>
      <family val="3"/>
      <charset val="134"/>
    </font>
    <font>
      <sz val="12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rgb="FFFF0000"/>
      <name val="宋体"/>
      <family val="3"/>
      <charset val="134"/>
    </font>
    <font>
      <b/>
      <sz val="11"/>
      <color indexed="10"/>
      <name val="宋体"/>
      <family val="3"/>
      <charset val="134"/>
      <scheme val="minor"/>
    </font>
    <font>
      <sz val="14"/>
      <color theme="1"/>
      <name val="黑体"/>
      <family val="3"/>
      <charset val="134"/>
    </font>
    <font>
      <b/>
      <sz val="11"/>
      <color rgb="FFFF0000"/>
      <name val="宋体"/>
      <family val="3"/>
      <charset val="134"/>
      <scheme val="minor"/>
    </font>
    <font>
      <sz val="11"/>
      <name val="宋体"/>
      <family val="3"/>
      <charset val="134"/>
    </font>
    <font>
      <b/>
      <sz val="11"/>
      <color rgb="FFFF0000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b/>
      <sz val="10"/>
      <color rgb="FF000000"/>
      <name val="黑体"/>
      <family val="3"/>
      <charset val="134"/>
    </font>
    <font>
      <sz val="10"/>
      <color rgb="FF000000"/>
      <name val="黑体"/>
      <family val="3"/>
      <charset val="134"/>
    </font>
    <font>
      <b/>
      <sz val="10"/>
      <color rgb="FFFFFFFF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1"/>
      <color rgb="FF000000"/>
      <name val="等线"/>
      <family val="3"/>
      <charset val="134"/>
    </font>
    <font>
      <b/>
      <sz val="11"/>
      <color indexed="10"/>
      <name val="等线"/>
      <family val="3"/>
      <charset val="134"/>
    </font>
    <font>
      <b/>
      <sz val="11"/>
      <color theme="1"/>
      <name val="楷体"/>
      <family val="3"/>
      <charset val="134"/>
    </font>
    <font>
      <sz val="11"/>
      <color theme="1"/>
      <name val="楷体"/>
      <family val="3"/>
      <charset val="134"/>
    </font>
    <font>
      <b/>
      <sz val="9"/>
      <name val="宋体"/>
      <family val="3"/>
      <charset val="134"/>
    </font>
    <font>
      <sz val="10"/>
      <color indexed="8"/>
      <name val="Microsoft YaHei UI"/>
      <family val="2"/>
      <charset val="134"/>
    </font>
    <font>
      <sz val="10"/>
      <color rgb="FF000000"/>
      <name val="Microsoft YaHei UI"/>
      <family val="2"/>
      <charset val="134"/>
    </font>
    <font>
      <sz val="9"/>
      <name val="宋体"/>
      <family val="3"/>
      <charset val="134"/>
    </font>
    <font>
      <sz val="9"/>
      <name val="等线"/>
      <family val="3"/>
      <charset val="134"/>
    </font>
  </fonts>
  <fills count="18">
    <fill>
      <patternFill patternType="none"/>
    </fill>
    <fill>
      <patternFill patternType="gray125"/>
    </fill>
    <fill>
      <patternFill patternType="solid">
        <fgColor theme="4" tint="0.79973754081850645"/>
        <bgColor indexed="64"/>
      </patternFill>
    </fill>
    <fill>
      <patternFill patternType="solid">
        <fgColor theme="6" tint="0.799737540818506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79857783745845"/>
        <bgColor indexed="64"/>
      </patternFill>
    </fill>
    <fill>
      <patternFill patternType="solid">
        <fgColor rgb="FF002754"/>
        <bgColor indexed="64"/>
      </patternFill>
    </fill>
    <fill>
      <patternFill patternType="solid">
        <fgColor theme="4" tint="0.79976805932798245"/>
        <bgColor indexed="64"/>
      </patternFill>
    </fill>
    <fill>
      <patternFill patternType="solid">
        <fgColor theme="6" tint="0.79985961485641044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medium">
        <color auto="1"/>
      </top>
      <bottom/>
      <diagonal/>
    </border>
  </borders>
  <cellStyleXfs count="6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1" fillId="0" borderId="0"/>
  </cellStyleXfs>
  <cellXfs count="17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0" xfId="0" applyFont="1" applyFill="1">
      <alignment vertical="center"/>
    </xf>
    <xf numFmtId="0" fontId="1" fillId="3" borderId="0" xfId="5" applyFill="1"/>
    <xf numFmtId="0" fontId="1" fillId="0" borderId="0" xfId="3">
      <alignment vertical="center"/>
    </xf>
    <xf numFmtId="0" fontId="2" fillId="2" borderId="0" xfId="0" applyFont="1" applyFill="1" applyAlignment="1">
      <alignment horizontal="center" vertical="center"/>
    </xf>
    <xf numFmtId="0" fontId="1" fillId="4" borderId="0" xfId="0" applyFont="1" applyFill="1" applyAlignment="1">
      <alignment vertical="center" wrapText="1"/>
    </xf>
    <xf numFmtId="0" fontId="1" fillId="4" borderId="0" xfId="0" applyFont="1" applyFill="1">
      <alignment vertical="center"/>
    </xf>
    <xf numFmtId="176" fontId="1" fillId="0" borderId="0" xfId="0" applyNumberFormat="1" applyFont="1">
      <alignment vertical="center"/>
    </xf>
    <xf numFmtId="2" fontId="1" fillId="0" borderId="0" xfId="0" applyNumberFormat="1" applyFont="1">
      <alignment vertical="center"/>
    </xf>
    <xf numFmtId="2" fontId="1" fillId="4" borderId="0" xfId="0" applyNumberFormat="1" applyFont="1" applyFill="1">
      <alignment vertical="center"/>
    </xf>
    <xf numFmtId="0" fontId="4" fillId="0" borderId="0" xfId="0" applyFont="1" applyAlignment="1"/>
    <xf numFmtId="176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right" vertical="center"/>
    </xf>
    <xf numFmtId="0" fontId="1" fillId="0" borderId="0" xfId="3" applyAlignment="1"/>
    <xf numFmtId="178" fontId="1" fillId="0" borderId="0" xfId="3" applyNumberFormat="1" applyAlignment="1">
      <alignment horizontal="right" vertical="center"/>
    </xf>
    <xf numFmtId="177" fontId="1" fillId="0" borderId="0" xfId="3" applyNumberFormat="1" applyAlignment="1">
      <alignment horizontal="right" vertical="center"/>
    </xf>
    <xf numFmtId="179" fontId="5" fillId="0" borderId="0" xfId="0" applyNumberFormat="1" applyFont="1">
      <alignment vertical="center"/>
    </xf>
    <xf numFmtId="0" fontId="0" fillId="0" borderId="0" xfId="0" applyAlignment="1">
      <alignment vertical="center" wrapText="1"/>
    </xf>
    <xf numFmtId="176" fontId="5" fillId="0" borderId="0" xfId="0" applyNumberFormat="1" applyFont="1" applyAlignment="1">
      <alignment horizontal="right" vertical="center"/>
    </xf>
    <xf numFmtId="0" fontId="0" fillId="5" borderId="0" xfId="0" applyFill="1" applyAlignment="1">
      <alignment vertical="center" wrapText="1"/>
    </xf>
    <xf numFmtId="0" fontId="0" fillId="6" borderId="0" xfId="0" applyFill="1" applyAlignment="1">
      <alignment vertical="center" wrapText="1"/>
    </xf>
    <xf numFmtId="0" fontId="0" fillId="7" borderId="0" xfId="0" applyFill="1" applyAlignment="1">
      <alignment vertical="center" wrapText="1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180" fontId="5" fillId="0" borderId="0" xfId="0" applyNumberFormat="1" applyFont="1" applyAlignment="1">
      <alignment horizontal="right" vertical="center"/>
    </xf>
    <xf numFmtId="0" fontId="7" fillId="4" borderId="0" xfId="0" applyFont="1" applyFill="1">
      <alignment vertical="center"/>
    </xf>
    <xf numFmtId="0" fontId="7" fillId="0" borderId="0" xfId="0" applyFont="1">
      <alignment vertical="center"/>
    </xf>
    <xf numFmtId="176" fontId="8" fillId="4" borderId="0" xfId="0" applyNumberFormat="1" applyFont="1" applyFill="1" applyAlignment="1">
      <alignment wrapText="1"/>
    </xf>
    <xf numFmtId="0" fontId="8" fillId="4" borderId="0" xfId="0" applyFont="1" applyFill="1" applyAlignment="1">
      <alignment wrapText="1"/>
    </xf>
    <xf numFmtId="0" fontId="9" fillId="4" borderId="0" xfId="0" applyFont="1" applyFill="1" applyAlignment="1">
      <alignment wrapText="1"/>
    </xf>
    <xf numFmtId="176" fontId="8" fillId="4" borderId="0" xfId="0" applyNumberFormat="1" applyFont="1" applyFill="1" applyAlignment="1"/>
    <xf numFmtId="0" fontId="8" fillId="0" borderId="0" xfId="0" applyFont="1" applyAlignment="1"/>
    <xf numFmtId="0" fontId="7" fillId="8" borderId="0" xfId="0" applyFont="1" applyFill="1">
      <alignment vertical="center"/>
    </xf>
    <xf numFmtId="0" fontId="8" fillId="5" borderId="0" xfId="0" applyFont="1" applyFill="1" applyAlignment="1"/>
    <xf numFmtId="0" fontId="7" fillId="5" borderId="0" xfId="0" applyFont="1" applyFill="1">
      <alignment vertical="center"/>
    </xf>
    <xf numFmtId="0" fontId="8" fillId="8" borderId="0" xfId="0" applyFont="1" applyFill="1" applyAlignment="1"/>
    <xf numFmtId="0" fontId="8" fillId="9" borderId="0" xfId="0" applyFont="1" applyFill="1" applyAlignment="1"/>
    <xf numFmtId="0" fontId="7" fillId="9" borderId="0" xfId="0" applyFont="1" applyFill="1">
      <alignment vertical="center"/>
    </xf>
    <xf numFmtId="177" fontId="5" fillId="9" borderId="0" xfId="0" applyNumberFormat="1" applyFont="1" applyFill="1" applyAlignment="1">
      <alignment horizontal="right"/>
    </xf>
    <xf numFmtId="177" fontId="5" fillId="8" borderId="0" xfId="0" applyNumberFormat="1" applyFont="1" applyFill="1" applyAlignment="1">
      <alignment horizontal="right"/>
    </xf>
    <xf numFmtId="0" fontId="5" fillId="4" borderId="0" xfId="0" applyFont="1" applyFill="1">
      <alignment vertical="center"/>
    </xf>
    <xf numFmtId="176" fontId="5" fillId="4" borderId="0" xfId="0" applyNumberFormat="1" applyFont="1" applyFill="1" applyAlignment="1"/>
    <xf numFmtId="0" fontId="5" fillId="0" borderId="0" xfId="0" applyFont="1">
      <alignment vertical="center"/>
    </xf>
    <xf numFmtId="177" fontId="5" fillId="0" borderId="0" xfId="0" applyNumberFormat="1" applyFont="1" applyAlignment="1">
      <alignment horizontal="right"/>
    </xf>
    <xf numFmtId="181" fontId="5" fillId="0" borderId="0" xfId="0" applyNumberFormat="1" applyFont="1" applyAlignment="1">
      <alignment horizontal="right"/>
    </xf>
    <xf numFmtId="0" fontId="10" fillId="3" borderId="0" xfId="5" applyFont="1" applyFill="1"/>
    <xf numFmtId="0" fontId="1" fillId="3" borderId="0" xfId="3" applyFill="1">
      <alignment vertical="center"/>
    </xf>
    <xf numFmtId="176" fontId="1" fillId="3" borderId="0" xfId="5" applyNumberFormat="1" applyFill="1" applyAlignment="1">
      <alignment horizontal="right"/>
    </xf>
    <xf numFmtId="177" fontId="1" fillId="3" borderId="0" xfId="5" applyNumberFormat="1" applyFill="1" applyAlignment="1">
      <alignment horizontal="right"/>
    </xf>
    <xf numFmtId="0" fontId="2" fillId="2" borderId="0" xfId="3" applyFont="1" applyFill="1">
      <alignment vertical="center"/>
    </xf>
    <xf numFmtId="0" fontId="10" fillId="0" borderId="0" xfId="3" applyFont="1" applyAlignment="1"/>
    <xf numFmtId="176" fontId="1" fillId="0" borderId="0" xfId="3" applyNumberFormat="1" applyAlignment="1">
      <alignment horizontal="right"/>
    </xf>
    <xf numFmtId="177" fontId="1" fillId="0" borderId="0" xfId="3" applyNumberFormat="1" applyAlignment="1">
      <alignment horizontal="right"/>
    </xf>
    <xf numFmtId="181" fontId="1" fillId="3" borderId="0" xfId="5" applyNumberFormat="1" applyFill="1" applyAlignment="1">
      <alignment horizontal="right"/>
    </xf>
    <xf numFmtId="176" fontId="1" fillId="0" borderId="0" xfId="3" applyNumberFormat="1" applyAlignment="1">
      <alignment horizontal="right" vertical="center"/>
    </xf>
    <xf numFmtId="182" fontId="1" fillId="3" borderId="0" xfId="3" applyNumberFormat="1" applyFill="1">
      <alignment vertical="center"/>
    </xf>
    <xf numFmtId="14" fontId="1" fillId="0" borderId="0" xfId="3" applyNumberFormat="1">
      <alignment vertical="center"/>
    </xf>
    <xf numFmtId="183" fontId="1" fillId="0" borderId="0" xfId="3" applyNumberFormat="1" applyAlignment="1">
      <alignment horizontal="right" vertical="center"/>
    </xf>
    <xf numFmtId="184" fontId="1" fillId="10" borderId="0" xfId="4" applyNumberFormat="1" applyFill="1" applyAlignment="1">
      <alignment vertical="center"/>
    </xf>
    <xf numFmtId="0" fontId="12" fillId="0" borderId="0" xfId="3" applyFont="1" applyAlignment="1"/>
    <xf numFmtId="0" fontId="3" fillId="0" borderId="0" xfId="3" applyFont="1" applyAlignment="1"/>
    <xf numFmtId="185" fontId="1" fillId="0" borderId="0" xfId="3" applyNumberFormat="1" applyAlignment="1"/>
    <xf numFmtId="1" fontId="1" fillId="0" borderId="0" xfId="3" applyNumberFormat="1" applyAlignment="1"/>
    <xf numFmtId="1" fontId="3" fillId="0" borderId="0" xfId="3" applyNumberFormat="1" applyFont="1" applyAlignment="1"/>
    <xf numFmtId="0" fontId="13" fillId="0" borderId="0" xfId="3" applyFont="1" applyAlignment="1">
      <alignment horizontal="center" vertical="center"/>
    </xf>
    <xf numFmtId="0" fontId="14" fillId="0" borderId="0" xfId="3" applyFont="1" applyAlignment="1">
      <alignment horizontal="center" vertical="center"/>
    </xf>
    <xf numFmtId="4" fontId="13" fillId="0" borderId="0" xfId="3" applyNumberFormat="1" applyFont="1" applyAlignment="1"/>
    <xf numFmtId="182" fontId="1" fillId="3" borderId="0" xfId="3" applyNumberFormat="1" applyFill="1" applyAlignment="1">
      <alignment vertical="center" wrapText="1"/>
    </xf>
    <xf numFmtId="186" fontId="13" fillId="0" borderId="0" xfId="3" applyNumberFormat="1" applyFont="1" applyAlignment="1">
      <alignment horizontal="left"/>
    </xf>
    <xf numFmtId="176" fontId="13" fillId="0" borderId="0" xfId="3" applyNumberFormat="1" applyFont="1" applyAlignment="1">
      <alignment horizontal="right"/>
    </xf>
    <xf numFmtId="14" fontId="12" fillId="0" borderId="0" xfId="3" applyNumberFormat="1" applyFont="1">
      <alignment vertical="center"/>
    </xf>
    <xf numFmtId="0" fontId="1" fillId="0" borderId="0" xfId="3" applyAlignment="1">
      <alignment horizontal="left" vertical="center"/>
    </xf>
    <xf numFmtId="0" fontId="1" fillId="0" borderId="0" xfId="3" applyAlignment="1">
      <alignment horizontal="left" vertical="center" wrapText="1"/>
    </xf>
    <xf numFmtId="184" fontId="1" fillId="10" borderId="0" xfId="4" applyNumberFormat="1" applyFill="1" applyAlignment="1">
      <alignment vertical="center" wrapText="1"/>
    </xf>
    <xf numFmtId="184" fontId="15" fillId="10" borderId="0" xfId="4" applyNumberFormat="1" applyFont="1" applyFill="1" applyAlignment="1">
      <alignment vertical="center" wrapText="1"/>
    </xf>
    <xf numFmtId="187" fontId="1" fillId="0" borderId="0" xfId="3" applyNumberFormat="1">
      <alignment vertical="center"/>
    </xf>
    <xf numFmtId="10" fontId="16" fillId="0" borderId="0" xfId="2" applyNumberFormat="1" applyFont="1" applyAlignment="1">
      <alignment horizontal="center"/>
    </xf>
    <xf numFmtId="10" fontId="1" fillId="0" borderId="0" xfId="3" applyNumberFormat="1">
      <alignment vertical="center"/>
    </xf>
    <xf numFmtId="10" fontId="1" fillId="3" borderId="0" xfId="3" applyNumberFormat="1" applyFill="1">
      <alignment vertical="center"/>
    </xf>
    <xf numFmtId="184" fontId="15" fillId="10" borderId="0" xfId="4" applyNumberFormat="1" applyFont="1" applyFill="1" applyAlignment="1">
      <alignment vertical="center"/>
    </xf>
    <xf numFmtId="184" fontId="12" fillId="10" borderId="0" xfId="4" applyNumberFormat="1" applyFont="1" applyFill="1" applyAlignment="1">
      <alignment vertical="center"/>
    </xf>
    <xf numFmtId="183" fontId="1" fillId="4" borderId="0" xfId="3" applyNumberFormat="1" applyFill="1" applyAlignment="1">
      <alignment horizontal="right" vertical="center"/>
    </xf>
    <xf numFmtId="188" fontId="1" fillId="0" borderId="0" xfId="3" applyNumberFormat="1" applyAlignment="1">
      <alignment horizontal="right" vertical="center"/>
    </xf>
    <xf numFmtId="177" fontId="1" fillId="4" borderId="0" xfId="3" applyNumberFormat="1" applyFill="1" applyAlignment="1">
      <alignment horizontal="right" vertical="center"/>
    </xf>
    <xf numFmtId="0" fontId="10" fillId="0" borderId="0" xfId="0" applyFont="1">
      <alignment vertical="center"/>
    </xf>
    <xf numFmtId="0" fontId="1" fillId="11" borderId="0" xfId="0" applyFont="1" applyFill="1">
      <alignment vertical="center"/>
    </xf>
    <xf numFmtId="181" fontId="1" fillId="0" borderId="0" xfId="0" applyNumberFormat="1" applyFont="1" applyAlignment="1">
      <alignment horizontal="right" vertical="center"/>
    </xf>
    <xf numFmtId="178" fontId="1" fillId="0" borderId="0" xfId="0" applyNumberFormat="1" applyFont="1" applyAlignment="1">
      <alignment horizontal="right" vertical="center"/>
    </xf>
    <xf numFmtId="189" fontId="1" fillId="0" borderId="0" xfId="0" applyNumberFormat="1" applyFont="1" applyAlignment="1">
      <alignment horizontal="right" vertical="center"/>
    </xf>
    <xf numFmtId="14" fontId="1" fillId="0" borderId="0" xfId="0" applyNumberFormat="1" applyFont="1">
      <alignment vertical="center"/>
    </xf>
    <xf numFmtId="190" fontId="1" fillId="0" borderId="0" xfId="0" applyNumberFormat="1" applyFont="1">
      <alignment vertical="center"/>
    </xf>
    <xf numFmtId="188" fontId="1" fillId="0" borderId="0" xfId="0" applyNumberFormat="1" applyFont="1">
      <alignment vertical="center"/>
    </xf>
    <xf numFmtId="14" fontId="8" fillId="0" borderId="0" xfId="0" applyNumberFormat="1" applyFont="1">
      <alignment vertical="center"/>
    </xf>
    <xf numFmtId="0" fontId="17" fillId="0" borderId="1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14" fontId="18" fillId="0" borderId="0" xfId="0" applyNumberFormat="1" applyFont="1" applyAlignment="1">
      <alignment horizontal="center" vertical="center"/>
    </xf>
    <xf numFmtId="190" fontId="18" fillId="0" borderId="0" xfId="0" applyNumberFormat="1" applyFont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190" fontId="18" fillId="0" borderId="1" xfId="0" applyNumberFormat="1" applyFont="1" applyBorder="1" applyAlignment="1">
      <alignment horizontal="center" vertical="center"/>
    </xf>
    <xf numFmtId="14" fontId="17" fillId="0" borderId="1" xfId="0" applyNumberFormat="1" applyFont="1" applyBorder="1" applyAlignment="1">
      <alignment horizontal="center" vertical="center"/>
    </xf>
    <xf numFmtId="191" fontId="1" fillId="0" borderId="0" xfId="0" applyNumberFormat="1" applyFont="1">
      <alignment vertical="center"/>
    </xf>
    <xf numFmtId="192" fontId="19" fillId="12" borderId="0" xfId="0" applyNumberFormat="1" applyFont="1" applyFill="1" applyAlignment="1">
      <alignment horizontal="center" vertical="center"/>
    </xf>
    <xf numFmtId="192" fontId="20" fillId="0" borderId="0" xfId="0" applyNumberFormat="1" applyFont="1" applyAlignment="1">
      <alignment horizontal="center" vertical="center"/>
    </xf>
    <xf numFmtId="9" fontId="20" fillId="0" borderId="0" xfId="1" applyFont="1" applyAlignment="1">
      <alignment horizontal="center" vertical="center"/>
    </xf>
    <xf numFmtId="49" fontId="1" fillId="0" borderId="0" xfId="0" applyNumberFormat="1" applyFont="1" applyAlignment="1">
      <alignment horizontal="right" vertical="center"/>
    </xf>
    <xf numFmtId="190" fontId="0" fillId="0" borderId="0" xfId="0" applyNumberFormat="1">
      <alignment vertical="center"/>
    </xf>
    <xf numFmtId="0" fontId="21" fillId="0" borderId="0" xfId="0" applyFont="1">
      <alignment vertical="center"/>
    </xf>
    <xf numFmtId="14" fontId="0" fillId="0" borderId="0" xfId="0" applyNumberFormat="1">
      <alignment vertical="center"/>
    </xf>
    <xf numFmtId="176" fontId="0" fillId="0" borderId="0" xfId="0" applyNumberFormat="1">
      <alignment vertical="center"/>
    </xf>
    <xf numFmtId="180" fontId="0" fillId="0" borderId="0" xfId="0" applyNumberFormat="1">
      <alignment vertical="center"/>
    </xf>
    <xf numFmtId="0" fontId="22" fillId="0" borderId="0" xfId="0" applyFont="1">
      <alignment vertical="center"/>
    </xf>
    <xf numFmtId="176" fontId="0" fillId="0" borderId="0" xfId="0" applyNumberFormat="1" applyAlignment="1">
      <alignment horizontal="right" vertical="center"/>
    </xf>
    <xf numFmtId="177" fontId="0" fillId="0" borderId="0" xfId="0" applyNumberFormat="1" applyAlignment="1">
      <alignment horizontal="right" vertical="center"/>
    </xf>
    <xf numFmtId="0" fontId="0" fillId="4" borderId="0" xfId="0" applyFill="1">
      <alignment vertical="center"/>
    </xf>
    <xf numFmtId="182" fontId="0" fillId="0" borderId="0" xfId="0" applyNumberFormat="1">
      <alignment vertical="center"/>
    </xf>
    <xf numFmtId="0" fontId="18" fillId="0" borderId="2" xfId="0" applyFont="1" applyBorder="1" applyAlignment="1">
      <alignment horizontal="center" vertical="center"/>
    </xf>
    <xf numFmtId="49" fontId="18" fillId="0" borderId="0" xfId="0" applyNumberFormat="1" applyFont="1" applyAlignment="1">
      <alignment horizontal="center" vertical="center"/>
    </xf>
    <xf numFmtId="0" fontId="1" fillId="14" borderId="0" xfId="0" applyFont="1" applyFill="1" applyAlignment="1">
      <alignment horizontal="center" vertical="center"/>
    </xf>
    <xf numFmtId="192" fontId="19" fillId="0" borderId="0" xfId="0" applyNumberFormat="1" applyFont="1" applyAlignment="1">
      <alignment horizontal="center" vertical="center"/>
    </xf>
    <xf numFmtId="177" fontId="21" fillId="0" borderId="0" xfId="0" applyNumberFormat="1" applyFont="1" applyAlignment="1">
      <alignment vertical="center" wrapText="1"/>
    </xf>
    <xf numFmtId="181" fontId="21" fillId="0" borderId="0" xfId="0" applyNumberFormat="1" applyFont="1" applyAlignment="1">
      <alignment vertical="center" wrapText="1"/>
    </xf>
    <xf numFmtId="181" fontId="0" fillId="4" borderId="0" xfId="0" applyNumberFormat="1" applyFill="1">
      <alignment vertical="center"/>
    </xf>
    <xf numFmtId="193" fontId="0" fillId="4" borderId="0" xfId="0" applyNumberFormat="1" applyFill="1">
      <alignment vertical="center"/>
    </xf>
    <xf numFmtId="194" fontId="0" fillId="4" borderId="0" xfId="0" applyNumberFormat="1" applyFill="1">
      <alignment vertical="center"/>
    </xf>
    <xf numFmtId="176" fontId="1" fillId="3" borderId="0" xfId="5" applyNumberFormat="1" applyFill="1" applyAlignment="1">
      <alignment horizontal="right" wrapText="1"/>
    </xf>
    <xf numFmtId="177" fontId="1" fillId="3" borderId="0" xfId="5" applyNumberFormat="1" applyFill="1" applyAlignment="1">
      <alignment horizontal="right" vertical="center" wrapText="1"/>
    </xf>
    <xf numFmtId="177" fontId="1" fillId="0" borderId="0" xfId="3" applyNumberFormat="1" applyAlignment="1">
      <alignment horizontal="right" wrapText="1"/>
    </xf>
    <xf numFmtId="0" fontId="1" fillId="3" borderId="0" xfId="5" applyFill="1" applyAlignment="1">
      <alignment horizontal="left" wrapText="1"/>
    </xf>
    <xf numFmtId="0" fontId="1" fillId="3" borderId="0" xfId="5" applyFill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0" borderId="0" xfId="0" quotePrefix="1" applyFont="1" applyAlignment="1">
      <alignment horizontal="left" vertical="center"/>
    </xf>
    <xf numFmtId="177" fontId="0" fillId="4" borderId="0" xfId="0" applyNumberFormat="1" applyFill="1" applyAlignment="1">
      <alignment horizontal="right" vertical="center"/>
    </xf>
    <xf numFmtId="177" fontId="21" fillId="0" borderId="0" xfId="0" applyNumberFormat="1" applyFont="1" applyAlignment="1">
      <alignment horizontal="right" vertical="center" wrapText="1"/>
    </xf>
    <xf numFmtId="179" fontId="0" fillId="4" borderId="0" xfId="0" applyNumberFormat="1" applyFill="1">
      <alignment vertical="center"/>
    </xf>
    <xf numFmtId="184" fontId="0" fillId="4" borderId="0" xfId="0" applyNumberFormat="1" applyFill="1">
      <alignment vertical="center"/>
    </xf>
    <xf numFmtId="1" fontId="3" fillId="4" borderId="0" xfId="3" applyNumberFormat="1" applyFont="1" applyFill="1" applyAlignment="1"/>
    <xf numFmtId="0" fontId="1" fillId="4" borderId="0" xfId="3" applyFill="1">
      <alignment vertical="center"/>
    </xf>
    <xf numFmtId="177" fontId="0" fillId="0" borderId="0" xfId="0" applyNumberFormat="1" applyAlignment="1">
      <alignment horizontal="right"/>
    </xf>
    <xf numFmtId="177" fontId="0" fillId="4" borderId="0" xfId="0" applyNumberFormat="1" applyFill="1" applyAlignment="1">
      <alignment horizontal="right"/>
    </xf>
    <xf numFmtId="177" fontId="21" fillId="4" borderId="0" xfId="0" applyNumberFormat="1" applyFont="1" applyFill="1" applyAlignment="1">
      <alignment vertical="center" wrapText="1"/>
    </xf>
    <xf numFmtId="190" fontId="0" fillId="15" borderId="0" xfId="0" applyNumberFormat="1" applyFill="1">
      <alignment vertical="center"/>
    </xf>
    <xf numFmtId="190" fontId="0" fillId="16" borderId="0" xfId="0" applyNumberFormat="1" applyFill="1">
      <alignment vertical="center"/>
    </xf>
    <xf numFmtId="177" fontId="21" fillId="17" borderId="0" xfId="0" applyNumberFormat="1" applyFont="1" applyFill="1" applyAlignment="1">
      <alignment vertical="center" wrapText="1"/>
    </xf>
    <xf numFmtId="2" fontId="1" fillId="17" borderId="0" xfId="0" applyNumberFormat="1" applyFont="1" applyFill="1">
      <alignment vertical="center"/>
    </xf>
    <xf numFmtId="0" fontId="1" fillId="17" borderId="0" xfId="0" applyFont="1" applyFill="1">
      <alignment vertical="center"/>
    </xf>
    <xf numFmtId="176" fontId="1" fillId="4" borderId="0" xfId="0" applyNumberFormat="1" applyFont="1" applyFill="1">
      <alignment vertical="center"/>
    </xf>
    <xf numFmtId="0" fontId="0" fillId="17" borderId="0" xfId="0" applyFill="1">
      <alignment vertical="center"/>
    </xf>
    <xf numFmtId="177" fontId="0" fillId="17" borderId="0" xfId="0" applyNumberFormat="1" applyFill="1" applyAlignment="1">
      <alignment horizontal="right"/>
    </xf>
    <xf numFmtId="0" fontId="0" fillId="4" borderId="0" xfId="0" applyFill="1" applyAlignment="1"/>
    <xf numFmtId="0" fontId="1" fillId="13" borderId="0" xfId="0" applyFon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23" fillId="0" borderId="0" xfId="0" applyFont="1" applyAlignment="1">
      <alignment horizontal="left" vertical="center" wrapText="1"/>
    </xf>
    <xf numFmtId="0" fontId="24" fillId="0" borderId="0" xfId="0" applyFont="1" applyAlignment="1">
      <alignment horizontal="left" vertical="center" wrapText="1"/>
    </xf>
    <xf numFmtId="0" fontId="1" fillId="14" borderId="0" xfId="0" applyFont="1" applyFill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2" borderId="0" xfId="5" applyFont="1" applyFill="1" applyAlignment="1">
      <alignment horizontal="center" vertical="center"/>
    </xf>
    <xf numFmtId="0" fontId="11" fillId="2" borderId="0" xfId="3" applyFont="1" applyFill="1" applyAlignment="1">
      <alignment horizontal="center" vertical="center"/>
    </xf>
    <xf numFmtId="0" fontId="2" fillId="2" borderId="0" xfId="5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2" fillId="2" borderId="0" xfId="3" applyFont="1" applyFill="1" applyAlignment="1">
      <alignment horizontal="center" vertical="center"/>
    </xf>
    <xf numFmtId="0" fontId="1" fillId="3" borderId="0" xfId="5" applyNumberFormat="1" applyFill="1" applyAlignment="1">
      <alignment horizontal="left" wrapText="1"/>
    </xf>
    <xf numFmtId="0" fontId="1" fillId="3" borderId="0" xfId="5" applyNumberFormat="1" applyFill="1" applyAlignment="1">
      <alignment horizontal="left" vertical="center" wrapText="1"/>
    </xf>
    <xf numFmtId="0" fontId="1" fillId="0" borderId="0" xfId="0" applyNumberFormat="1" applyFont="1" applyAlignment="1">
      <alignment horizontal="left" vertical="center"/>
    </xf>
    <xf numFmtId="0" fontId="1" fillId="0" borderId="0" xfId="3" applyNumberFormat="1" applyAlignment="1">
      <alignment horizontal="left"/>
    </xf>
    <xf numFmtId="0" fontId="13" fillId="0" borderId="0" xfId="3" applyNumberFormat="1" applyFont="1" applyAlignment="1">
      <alignment horizontal="left"/>
    </xf>
    <xf numFmtId="0" fontId="1" fillId="0" borderId="0" xfId="3" applyNumberFormat="1" applyAlignment="1">
      <alignment horizontal="left" wrapText="1"/>
    </xf>
    <xf numFmtId="0" fontId="0" fillId="0" borderId="0" xfId="0" applyNumberFormat="1" applyAlignment="1">
      <alignment horizontal="left" vertical="center"/>
    </xf>
    <xf numFmtId="0" fontId="0" fillId="0" borderId="0" xfId="0" quotePrefix="1" applyNumberFormat="1" applyAlignment="1">
      <alignment horizontal="left" vertical="center"/>
    </xf>
  </cellXfs>
  <cellStyles count="6">
    <cellStyle name="百分比" xfId="1" builtinId="5"/>
    <cellStyle name="百分比 2 2" xfId="2" xr:uid="{00000000-0005-0000-0000-000031000000}"/>
    <cellStyle name="常规" xfId="0" builtinId="0"/>
    <cellStyle name="常规 2 2" xfId="3" xr:uid="{00000000-0005-0000-0000-000032000000}"/>
    <cellStyle name="常规 2 2 2" xfId="4" xr:uid="{00000000-0005-0000-0000-000033000000}"/>
    <cellStyle name="常规 2 3" xfId="5" xr:uid="{00000000-0005-0000-0000-000034000000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周期整合计算!$C$3</c:f>
              <c:strCache>
                <c:ptCount val="1"/>
                <c:pt idx="0">
                  <c:v>滞涨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周期整合计算!$A$5:$A$185</c:f>
              <c:numCache>
                <c:formatCode>yyyy/m/d;@</c:formatCode>
                <c:ptCount val="181"/>
                <c:pt idx="0">
                  <c:v>45688</c:v>
                </c:pt>
                <c:pt idx="1">
                  <c:v>45657</c:v>
                </c:pt>
                <c:pt idx="2">
                  <c:v>45626</c:v>
                </c:pt>
                <c:pt idx="3">
                  <c:v>45596</c:v>
                </c:pt>
                <c:pt idx="4">
                  <c:v>45565</c:v>
                </c:pt>
                <c:pt idx="5">
                  <c:v>45535</c:v>
                </c:pt>
                <c:pt idx="6">
                  <c:v>45504</c:v>
                </c:pt>
                <c:pt idx="7">
                  <c:v>45473</c:v>
                </c:pt>
                <c:pt idx="8">
                  <c:v>45443</c:v>
                </c:pt>
                <c:pt idx="9">
                  <c:v>45412</c:v>
                </c:pt>
                <c:pt idx="10">
                  <c:v>45382</c:v>
                </c:pt>
                <c:pt idx="11">
                  <c:v>45351</c:v>
                </c:pt>
                <c:pt idx="12">
                  <c:v>45322</c:v>
                </c:pt>
                <c:pt idx="13">
                  <c:v>45291</c:v>
                </c:pt>
                <c:pt idx="14">
                  <c:v>45260</c:v>
                </c:pt>
                <c:pt idx="15">
                  <c:v>45230</c:v>
                </c:pt>
                <c:pt idx="16">
                  <c:v>45199</c:v>
                </c:pt>
                <c:pt idx="17">
                  <c:v>45169</c:v>
                </c:pt>
                <c:pt idx="18">
                  <c:v>45138</c:v>
                </c:pt>
                <c:pt idx="19">
                  <c:v>45107</c:v>
                </c:pt>
                <c:pt idx="20">
                  <c:v>45077</c:v>
                </c:pt>
                <c:pt idx="21">
                  <c:v>45046</c:v>
                </c:pt>
                <c:pt idx="22">
                  <c:v>45016</c:v>
                </c:pt>
                <c:pt idx="23">
                  <c:v>44985</c:v>
                </c:pt>
                <c:pt idx="24">
                  <c:v>44957</c:v>
                </c:pt>
                <c:pt idx="25">
                  <c:v>44926</c:v>
                </c:pt>
                <c:pt idx="26">
                  <c:v>44895</c:v>
                </c:pt>
                <c:pt idx="27">
                  <c:v>44865</c:v>
                </c:pt>
                <c:pt idx="28">
                  <c:v>44834</c:v>
                </c:pt>
                <c:pt idx="29">
                  <c:v>44804</c:v>
                </c:pt>
                <c:pt idx="30">
                  <c:v>44773</c:v>
                </c:pt>
                <c:pt idx="31">
                  <c:v>44742</c:v>
                </c:pt>
                <c:pt idx="32">
                  <c:v>44712</c:v>
                </c:pt>
                <c:pt idx="33">
                  <c:v>44681</c:v>
                </c:pt>
                <c:pt idx="34">
                  <c:v>44651</c:v>
                </c:pt>
                <c:pt idx="35">
                  <c:v>44620</c:v>
                </c:pt>
                <c:pt idx="36">
                  <c:v>44592</c:v>
                </c:pt>
                <c:pt idx="37">
                  <c:v>44561</c:v>
                </c:pt>
                <c:pt idx="38">
                  <c:v>44530</c:v>
                </c:pt>
                <c:pt idx="39">
                  <c:v>44500</c:v>
                </c:pt>
                <c:pt idx="40">
                  <c:v>44469</c:v>
                </c:pt>
                <c:pt idx="41">
                  <c:v>44439</c:v>
                </c:pt>
                <c:pt idx="42">
                  <c:v>44408</c:v>
                </c:pt>
                <c:pt idx="43">
                  <c:v>44377</c:v>
                </c:pt>
                <c:pt idx="44">
                  <c:v>44347</c:v>
                </c:pt>
                <c:pt idx="45">
                  <c:v>44316</c:v>
                </c:pt>
                <c:pt idx="46">
                  <c:v>44286</c:v>
                </c:pt>
                <c:pt idx="47">
                  <c:v>44255</c:v>
                </c:pt>
                <c:pt idx="48">
                  <c:v>44227</c:v>
                </c:pt>
                <c:pt idx="49">
                  <c:v>44196</c:v>
                </c:pt>
                <c:pt idx="50">
                  <c:v>44165</c:v>
                </c:pt>
                <c:pt idx="51">
                  <c:v>44135</c:v>
                </c:pt>
                <c:pt idx="52">
                  <c:v>44104</c:v>
                </c:pt>
                <c:pt idx="53">
                  <c:v>44074</c:v>
                </c:pt>
                <c:pt idx="54">
                  <c:v>44043</c:v>
                </c:pt>
                <c:pt idx="55">
                  <c:v>44012</c:v>
                </c:pt>
                <c:pt idx="56">
                  <c:v>43982</c:v>
                </c:pt>
                <c:pt idx="57">
                  <c:v>43951</c:v>
                </c:pt>
                <c:pt idx="58">
                  <c:v>43921</c:v>
                </c:pt>
                <c:pt idx="59">
                  <c:v>43890</c:v>
                </c:pt>
                <c:pt idx="60">
                  <c:v>43861</c:v>
                </c:pt>
                <c:pt idx="61">
                  <c:v>43830</c:v>
                </c:pt>
                <c:pt idx="62">
                  <c:v>43799</c:v>
                </c:pt>
                <c:pt idx="63">
                  <c:v>43769</c:v>
                </c:pt>
                <c:pt idx="64">
                  <c:v>43738</c:v>
                </c:pt>
                <c:pt idx="65">
                  <c:v>43708</c:v>
                </c:pt>
                <c:pt idx="66">
                  <c:v>43677</c:v>
                </c:pt>
                <c:pt idx="67">
                  <c:v>43646</c:v>
                </c:pt>
                <c:pt idx="68">
                  <c:v>43616</c:v>
                </c:pt>
                <c:pt idx="69">
                  <c:v>43585</c:v>
                </c:pt>
                <c:pt idx="70">
                  <c:v>43555</c:v>
                </c:pt>
                <c:pt idx="71">
                  <c:v>43524</c:v>
                </c:pt>
                <c:pt idx="72">
                  <c:v>43496</c:v>
                </c:pt>
                <c:pt idx="73">
                  <c:v>43465</c:v>
                </c:pt>
                <c:pt idx="74">
                  <c:v>43434</c:v>
                </c:pt>
                <c:pt idx="75">
                  <c:v>43404</c:v>
                </c:pt>
                <c:pt idx="76">
                  <c:v>43373</c:v>
                </c:pt>
                <c:pt idx="77">
                  <c:v>43343</c:v>
                </c:pt>
                <c:pt idx="78">
                  <c:v>43312</c:v>
                </c:pt>
                <c:pt idx="79">
                  <c:v>43281</c:v>
                </c:pt>
                <c:pt idx="80">
                  <c:v>43251</c:v>
                </c:pt>
                <c:pt idx="81">
                  <c:v>43220</c:v>
                </c:pt>
                <c:pt idx="82">
                  <c:v>43190</c:v>
                </c:pt>
                <c:pt idx="83">
                  <c:v>43159</c:v>
                </c:pt>
                <c:pt idx="84">
                  <c:v>43131</c:v>
                </c:pt>
                <c:pt idx="85">
                  <c:v>43100</c:v>
                </c:pt>
                <c:pt idx="86">
                  <c:v>43069</c:v>
                </c:pt>
                <c:pt idx="87">
                  <c:v>43039</c:v>
                </c:pt>
                <c:pt idx="88">
                  <c:v>43008</c:v>
                </c:pt>
                <c:pt idx="89">
                  <c:v>42978</c:v>
                </c:pt>
                <c:pt idx="90">
                  <c:v>42947</c:v>
                </c:pt>
                <c:pt idx="91">
                  <c:v>42916</c:v>
                </c:pt>
                <c:pt idx="92">
                  <c:v>42886</c:v>
                </c:pt>
                <c:pt idx="93">
                  <c:v>42855</c:v>
                </c:pt>
                <c:pt idx="94">
                  <c:v>42825</c:v>
                </c:pt>
                <c:pt idx="95">
                  <c:v>42794</c:v>
                </c:pt>
                <c:pt idx="96">
                  <c:v>42766</c:v>
                </c:pt>
                <c:pt idx="97">
                  <c:v>42735</c:v>
                </c:pt>
                <c:pt idx="98">
                  <c:v>42704</c:v>
                </c:pt>
                <c:pt idx="99">
                  <c:v>42674</c:v>
                </c:pt>
                <c:pt idx="100">
                  <c:v>42643</c:v>
                </c:pt>
                <c:pt idx="101">
                  <c:v>42613</c:v>
                </c:pt>
                <c:pt idx="102">
                  <c:v>42582</c:v>
                </c:pt>
                <c:pt idx="103">
                  <c:v>42551</c:v>
                </c:pt>
                <c:pt idx="104">
                  <c:v>42521</c:v>
                </c:pt>
                <c:pt idx="105">
                  <c:v>42490</c:v>
                </c:pt>
                <c:pt idx="106">
                  <c:v>42460</c:v>
                </c:pt>
                <c:pt idx="107">
                  <c:v>42429</c:v>
                </c:pt>
                <c:pt idx="108">
                  <c:v>42400</c:v>
                </c:pt>
                <c:pt idx="109">
                  <c:v>42369</c:v>
                </c:pt>
                <c:pt idx="110">
                  <c:v>42338</c:v>
                </c:pt>
                <c:pt idx="111">
                  <c:v>42308</c:v>
                </c:pt>
                <c:pt idx="112">
                  <c:v>42277</c:v>
                </c:pt>
                <c:pt idx="113">
                  <c:v>42247</c:v>
                </c:pt>
                <c:pt idx="114">
                  <c:v>42216</c:v>
                </c:pt>
                <c:pt idx="115">
                  <c:v>42185</c:v>
                </c:pt>
                <c:pt idx="116">
                  <c:v>42155</c:v>
                </c:pt>
                <c:pt idx="117">
                  <c:v>42124</c:v>
                </c:pt>
                <c:pt idx="118">
                  <c:v>42094</c:v>
                </c:pt>
                <c:pt idx="119">
                  <c:v>42063</c:v>
                </c:pt>
                <c:pt idx="120">
                  <c:v>42035</c:v>
                </c:pt>
                <c:pt idx="121">
                  <c:v>42004</c:v>
                </c:pt>
                <c:pt idx="122">
                  <c:v>41973</c:v>
                </c:pt>
                <c:pt idx="123">
                  <c:v>41943</c:v>
                </c:pt>
                <c:pt idx="124">
                  <c:v>41912</c:v>
                </c:pt>
                <c:pt idx="125">
                  <c:v>41882</c:v>
                </c:pt>
                <c:pt idx="126">
                  <c:v>41851</c:v>
                </c:pt>
                <c:pt idx="127">
                  <c:v>41820</c:v>
                </c:pt>
                <c:pt idx="128">
                  <c:v>41790</c:v>
                </c:pt>
                <c:pt idx="129">
                  <c:v>41759</c:v>
                </c:pt>
                <c:pt idx="130">
                  <c:v>41729</c:v>
                </c:pt>
                <c:pt idx="131">
                  <c:v>41698</c:v>
                </c:pt>
                <c:pt idx="132">
                  <c:v>41670</c:v>
                </c:pt>
                <c:pt idx="133">
                  <c:v>41639</c:v>
                </c:pt>
                <c:pt idx="134">
                  <c:v>41608</c:v>
                </c:pt>
                <c:pt idx="135">
                  <c:v>41578</c:v>
                </c:pt>
                <c:pt idx="136">
                  <c:v>41547</c:v>
                </c:pt>
                <c:pt idx="137">
                  <c:v>41517</c:v>
                </c:pt>
                <c:pt idx="138">
                  <c:v>41486</c:v>
                </c:pt>
                <c:pt idx="139">
                  <c:v>41455</c:v>
                </c:pt>
                <c:pt idx="140">
                  <c:v>41425</c:v>
                </c:pt>
                <c:pt idx="141">
                  <c:v>41394</c:v>
                </c:pt>
                <c:pt idx="142">
                  <c:v>41364</c:v>
                </c:pt>
                <c:pt idx="143">
                  <c:v>41333</c:v>
                </c:pt>
                <c:pt idx="144">
                  <c:v>41305</c:v>
                </c:pt>
                <c:pt idx="145">
                  <c:v>41274</c:v>
                </c:pt>
                <c:pt idx="146">
                  <c:v>41243</c:v>
                </c:pt>
                <c:pt idx="147">
                  <c:v>41213</c:v>
                </c:pt>
                <c:pt idx="148">
                  <c:v>41182</c:v>
                </c:pt>
                <c:pt idx="149">
                  <c:v>41152</c:v>
                </c:pt>
                <c:pt idx="150">
                  <c:v>41121</c:v>
                </c:pt>
                <c:pt idx="151">
                  <c:v>41090</c:v>
                </c:pt>
                <c:pt idx="152">
                  <c:v>41060</c:v>
                </c:pt>
                <c:pt idx="153">
                  <c:v>41029</c:v>
                </c:pt>
                <c:pt idx="154">
                  <c:v>40999</c:v>
                </c:pt>
                <c:pt idx="155">
                  <c:v>40968</c:v>
                </c:pt>
                <c:pt idx="156">
                  <c:v>40939</c:v>
                </c:pt>
                <c:pt idx="157">
                  <c:v>40908</c:v>
                </c:pt>
                <c:pt idx="158">
                  <c:v>40877</c:v>
                </c:pt>
                <c:pt idx="159">
                  <c:v>40847</c:v>
                </c:pt>
                <c:pt idx="160">
                  <c:v>40816</c:v>
                </c:pt>
                <c:pt idx="161">
                  <c:v>40786</c:v>
                </c:pt>
                <c:pt idx="162">
                  <c:v>40755</c:v>
                </c:pt>
                <c:pt idx="163">
                  <c:v>40724</c:v>
                </c:pt>
                <c:pt idx="164">
                  <c:v>40694</c:v>
                </c:pt>
                <c:pt idx="165">
                  <c:v>40663</c:v>
                </c:pt>
                <c:pt idx="166">
                  <c:v>40633</c:v>
                </c:pt>
                <c:pt idx="167">
                  <c:v>40602</c:v>
                </c:pt>
                <c:pt idx="168">
                  <c:v>40574</c:v>
                </c:pt>
                <c:pt idx="169">
                  <c:v>40543</c:v>
                </c:pt>
                <c:pt idx="170">
                  <c:v>40512</c:v>
                </c:pt>
                <c:pt idx="171">
                  <c:v>40482</c:v>
                </c:pt>
                <c:pt idx="172">
                  <c:v>40451</c:v>
                </c:pt>
                <c:pt idx="173">
                  <c:v>40421</c:v>
                </c:pt>
                <c:pt idx="174">
                  <c:v>40390</c:v>
                </c:pt>
                <c:pt idx="175">
                  <c:v>40359</c:v>
                </c:pt>
                <c:pt idx="176">
                  <c:v>40329</c:v>
                </c:pt>
                <c:pt idx="177">
                  <c:v>40298</c:v>
                </c:pt>
                <c:pt idx="178">
                  <c:v>40268</c:v>
                </c:pt>
                <c:pt idx="179">
                  <c:v>40237</c:v>
                </c:pt>
                <c:pt idx="180">
                  <c:v>40209</c:v>
                </c:pt>
              </c:numCache>
            </c:numRef>
          </c:cat>
          <c:val>
            <c:numRef>
              <c:f>周期整合计算!$C$5:$C$185</c:f>
              <c:numCache>
                <c:formatCode>General</c:formatCode>
                <c:ptCount val="18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07-43EB-BEF5-283DD707BA34}"/>
            </c:ext>
          </c:extLst>
        </c:ser>
        <c:ser>
          <c:idx val="2"/>
          <c:order val="2"/>
          <c:tx>
            <c:strRef>
              <c:f>周期整合计算!$D$3</c:f>
              <c:strCache>
                <c:ptCount val="1"/>
                <c:pt idx="0">
                  <c:v>衰退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周期整合计算!$A$5:$A$185</c:f>
              <c:numCache>
                <c:formatCode>yyyy/m/d;@</c:formatCode>
                <c:ptCount val="181"/>
                <c:pt idx="0">
                  <c:v>45688</c:v>
                </c:pt>
                <c:pt idx="1">
                  <c:v>45657</c:v>
                </c:pt>
                <c:pt idx="2">
                  <c:v>45626</c:v>
                </c:pt>
                <c:pt idx="3">
                  <c:v>45596</c:v>
                </c:pt>
                <c:pt idx="4">
                  <c:v>45565</c:v>
                </c:pt>
                <c:pt idx="5">
                  <c:v>45535</c:v>
                </c:pt>
                <c:pt idx="6">
                  <c:v>45504</c:v>
                </c:pt>
                <c:pt idx="7">
                  <c:v>45473</c:v>
                </c:pt>
                <c:pt idx="8">
                  <c:v>45443</c:v>
                </c:pt>
                <c:pt idx="9">
                  <c:v>45412</c:v>
                </c:pt>
                <c:pt idx="10">
                  <c:v>45382</c:v>
                </c:pt>
                <c:pt idx="11">
                  <c:v>45351</c:v>
                </c:pt>
                <c:pt idx="12">
                  <c:v>45322</c:v>
                </c:pt>
                <c:pt idx="13">
                  <c:v>45291</c:v>
                </c:pt>
                <c:pt idx="14">
                  <c:v>45260</c:v>
                </c:pt>
                <c:pt idx="15">
                  <c:v>45230</c:v>
                </c:pt>
                <c:pt idx="16">
                  <c:v>45199</c:v>
                </c:pt>
                <c:pt idx="17">
                  <c:v>45169</c:v>
                </c:pt>
                <c:pt idx="18">
                  <c:v>45138</c:v>
                </c:pt>
                <c:pt idx="19">
                  <c:v>45107</c:v>
                </c:pt>
                <c:pt idx="20">
                  <c:v>45077</c:v>
                </c:pt>
                <c:pt idx="21">
                  <c:v>45046</c:v>
                </c:pt>
                <c:pt idx="22">
                  <c:v>45016</c:v>
                </c:pt>
                <c:pt idx="23">
                  <c:v>44985</c:v>
                </c:pt>
                <c:pt idx="24">
                  <c:v>44957</c:v>
                </c:pt>
                <c:pt idx="25">
                  <c:v>44926</c:v>
                </c:pt>
                <c:pt idx="26">
                  <c:v>44895</c:v>
                </c:pt>
                <c:pt idx="27">
                  <c:v>44865</c:v>
                </c:pt>
                <c:pt idx="28">
                  <c:v>44834</c:v>
                </c:pt>
                <c:pt idx="29">
                  <c:v>44804</c:v>
                </c:pt>
                <c:pt idx="30">
                  <c:v>44773</c:v>
                </c:pt>
                <c:pt idx="31">
                  <c:v>44742</c:v>
                </c:pt>
                <c:pt idx="32">
                  <c:v>44712</c:v>
                </c:pt>
                <c:pt idx="33">
                  <c:v>44681</c:v>
                </c:pt>
                <c:pt idx="34">
                  <c:v>44651</c:v>
                </c:pt>
                <c:pt idx="35">
                  <c:v>44620</c:v>
                </c:pt>
                <c:pt idx="36">
                  <c:v>44592</c:v>
                </c:pt>
                <c:pt idx="37">
                  <c:v>44561</c:v>
                </c:pt>
                <c:pt idx="38">
                  <c:v>44530</c:v>
                </c:pt>
                <c:pt idx="39">
                  <c:v>44500</c:v>
                </c:pt>
                <c:pt idx="40">
                  <c:v>44469</c:v>
                </c:pt>
                <c:pt idx="41">
                  <c:v>44439</c:v>
                </c:pt>
                <c:pt idx="42">
                  <c:v>44408</c:v>
                </c:pt>
                <c:pt idx="43">
                  <c:v>44377</c:v>
                </c:pt>
                <c:pt idx="44">
                  <c:v>44347</c:v>
                </c:pt>
                <c:pt idx="45">
                  <c:v>44316</c:v>
                </c:pt>
                <c:pt idx="46">
                  <c:v>44286</c:v>
                </c:pt>
                <c:pt idx="47">
                  <c:v>44255</c:v>
                </c:pt>
                <c:pt idx="48">
                  <c:v>44227</c:v>
                </c:pt>
                <c:pt idx="49">
                  <c:v>44196</c:v>
                </c:pt>
                <c:pt idx="50">
                  <c:v>44165</c:v>
                </c:pt>
                <c:pt idx="51">
                  <c:v>44135</c:v>
                </c:pt>
                <c:pt idx="52">
                  <c:v>44104</c:v>
                </c:pt>
                <c:pt idx="53">
                  <c:v>44074</c:v>
                </c:pt>
                <c:pt idx="54">
                  <c:v>44043</c:v>
                </c:pt>
                <c:pt idx="55">
                  <c:v>44012</c:v>
                </c:pt>
                <c:pt idx="56">
                  <c:v>43982</c:v>
                </c:pt>
                <c:pt idx="57">
                  <c:v>43951</c:v>
                </c:pt>
                <c:pt idx="58">
                  <c:v>43921</c:v>
                </c:pt>
                <c:pt idx="59">
                  <c:v>43890</c:v>
                </c:pt>
                <c:pt idx="60">
                  <c:v>43861</c:v>
                </c:pt>
                <c:pt idx="61">
                  <c:v>43830</c:v>
                </c:pt>
                <c:pt idx="62">
                  <c:v>43799</c:v>
                </c:pt>
                <c:pt idx="63">
                  <c:v>43769</c:v>
                </c:pt>
                <c:pt idx="64">
                  <c:v>43738</c:v>
                </c:pt>
                <c:pt idx="65">
                  <c:v>43708</c:v>
                </c:pt>
                <c:pt idx="66">
                  <c:v>43677</c:v>
                </c:pt>
                <c:pt idx="67">
                  <c:v>43646</c:v>
                </c:pt>
                <c:pt idx="68">
                  <c:v>43616</c:v>
                </c:pt>
                <c:pt idx="69">
                  <c:v>43585</c:v>
                </c:pt>
                <c:pt idx="70">
                  <c:v>43555</c:v>
                </c:pt>
                <c:pt idx="71">
                  <c:v>43524</c:v>
                </c:pt>
                <c:pt idx="72">
                  <c:v>43496</c:v>
                </c:pt>
                <c:pt idx="73">
                  <c:v>43465</c:v>
                </c:pt>
                <c:pt idx="74">
                  <c:v>43434</c:v>
                </c:pt>
                <c:pt idx="75">
                  <c:v>43404</c:v>
                </c:pt>
                <c:pt idx="76">
                  <c:v>43373</c:v>
                </c:pt>
                <c:pt idx="77">
                  <c:v>43343</c:v>
                </c:pt>
                <c:pt idx="78">
                  <c:v>43312</c:v>
                </c:pt>
                <c:pt idx="79">
                  <c:v>43281</c:v>
                </c:pt>
                <c:pt idx="80">
                  <c:v>43251</c:v>
                </c:pt>
                <c:pt idx="81">
                  <c:v>43220</c:v>
                </c:pt>
                <c:pt idx="82">
                  <c:v>43190</c:v>
                </c:pt>
                <c:pt idx="83">
                  <c:v>43159</c:v>
                </c:pt>
                <c:pt idx="84">
                  <c:v>43131</c:v>
                </c:pt>
                <c:pt idx="85">
                  <c:v>43100</c:v>
                </c:pt>
                <c:pt idx="86">
                  <c:v>43069</c:v>
                </c:pt>
                <c:pt idx="87">
                  <c:v>43039</c:v>
                </c:pt>
                <c:pt idx="88">
                  <c:v>43008</c:v>
                </c:pt>
                <c:pt idx="89">
                  <c:v>42978</c:v>
                </c:pt>
                <c:pt idx="90">
                  <c:v>42947</c:v>
                </c:pt>
                <c:pt idx="91">
                  <c:v>42916</c:v>
                </c:pt>
                <c:pt idx="92">
                  <c:v>42886</c:v>
                </c:pt>
                <c:pt idx="93">
                  <c:v>42855</c:v>
                </c:pt>
                <c:pt idx="94">
                  <c:v>42825</c:v>
                </c:pt>
                <c:pt idx="95">
                  <c:v>42794</c:v>
                </c:pt>
                <c:pt idx="96">
                  <c:v>42766</c:v>
                </c:pt>
                <c:pt idx="97">
                  <c:v>42735</c:v>
                </c:pt>
                <c:pt idx="98">
                  <c:v>42704</c:v>
                </c:pt>
                <c:pt idx="99">
                  <c:v>42674</c:v>
                </c:pt>
                <c:pt idx="100">
                  <c:v>42643</c:v>
                </c:pt>
                <c:pt idx="101">
                  <c:v>42613</c:v>
                </c:pt>
                <c:pt idx="102">
                  <c:v>42582</c:v>
                </c:pt>
                <c:pt idx="103">
                  <c:v>42551</c:v>
                </c:pt>
                <c:pt idx="104">
                  <c:v>42521</c:v>
                </c:pt>
                <c:pt idx="105">
                  <c:v>42490</c:v>
                </c:pt>
                <c:pt idx="106">
                  <c:v>42460</c:v>
                </c:pt>
                <c:pt idx="107">
                  <c:v>42429</c:v>
                </c:pt>
                <c:pt idx="108">
                  <c:v>42400</c:v>
                </c:pt>
                <c:pt idx="109">
                  <c:v>42369</c:v>
                </c:pt>
                <c:pt idx="110">
                  <c:v>42338</c:v>
                </c:pt>
                <c:pt idx="111">
                  <c:v>42308</c:v>
                </c:pt>
                <c:pt idx="112">
                  <c:v>42277</c:v>
                </c:pt>
                <c:pt idx="113">
                  <c:v>42247</c:v>
                </c:pt>
                <c:pt idx="114">
                  <c:v>42216</c:v>
                </c:pt>
                <c:pt idx="115">
                  <c:v>42185</c:v>
                </c:pt>
                <c:pt idx="116">
                  <c:v>42155</c:v>
                </c:pt>
                <c:pt idx="117">
                  <c:v>42124</c:v>
                </c:pt>
                <c:pt idx="118">
                  <c:v>42094</c:v>
                </c:pt>
                <c:pt idx="119">
                  <c:v>42063</c:v>
                </c:pt>
                <c:pt idx="120">
                  <c:v>42035</c:v>
                </c:pt>
                <c:pt idx="121">
                  <c:v>42004</c:v>
                </c:pt>
                <c:pt idx="122">
                  <c:v>41973</c:v>
                </c:pt>
                <c:pt idx="123">
                  <c:v>41943</c:v>
                </c:pt>
                <c:pt idx="124">
                  <c:v>41912</c:v>
                </c:pt>
                <c:pt idx="125">
                  <c:v>41882</c:v>
                </c:pt>
                <c:pt idx="126">
                  <c:v>41851</c:v>
                </c:pt>
                <c:pt idx="127">
                  <c:v>41820</c:v>
                </c:pt>
                <c:pt idx="128">
                  <c:v>41790</c:v>
                </c:pt>
                <c:pt idx="129">
                  <c:v>41759</c:v>
                </c:pt>
                <c:pt idx="130">
                  <c:v>41729</c:v>
                </c:pt>
                <c:pt idx="131">
                  <c:v>41698</c:v>
                </c:pt>
                <c:pt idx="132">
                  <c:v>41670</c:v>
                </c:pt>
                <c:pt idx="133">
                  <c:v>41639</c:v>
                </c:pt>
                <c:pt idx="134">
                  <c:v>41608</c:v>
                </c:pt>
                <c:pt idx="135">
                  <c:v>41578</c:v>
                </c:pt>
                <c:pt idx="136">
                  <c:v>41547</c:v>
                </c:pt>
                <c:pt idx="137">
                  <c:v>41517</c:v>
                </c:pt>
                <c:pt idx="138">
                  <c:v>41486</c:v>
                </c:pt>
                <c:pt idx="139">
                  <c:v>41455</c:v>
                </c:pt>
                <c:pt idx="140">
                  <c:v>41425</c:v>
                </c:pt>
                <c:pt idx="141">
                  <c:v>41394</c:v>
                </c:pt>
                <c:pt idx="142">
                  <c:v>41364</c:v>
                </c:pt>
                <c:pt idx="143">
                  <c:v>41333</c:v>
                </c:pt>
                <c:pt idx="144">
                  <c:v>41305</c:v>
                </c:pt>
                <c:pt idx="145">
                  <c:v>41274</c:v>
                </c:pt>
                <c:pt idx="146">
                  <c:v>41243</c:v>
                </c:pt>
                <c:pt idx="147">
                  <c:v>41213</c:v>
                </c:pt>
                <c:pt idx="148">
                  <c:v>41182</c:v>
                </c:pt>
                <c:pt idx="149">
                  <c:v>41152</c:v>
                </c:pt>
                <c:pt idx="150">
                  <c:v>41121</c:v>
                </c:pt>
                <c:pt idx="151">
                  <c:v>41090</c:v>
                </c:pt>
                <c:pt idx="152">
                  <c:v>41060</c:v>
                </c:pt>
                <c:pt idx="153">
                  <c:v>41029</c:v>
                </c:pt>
                <c:pt idx="154">
                  <c:v>40999</c:v>
                </c:pt>
                <c:pt idx="155">
                  <c:v>40968</c:v>
                </c:pt>
                <c:pt idx="156">
                  <c:v>40939</c:v>
                </c:pt>
                <c:pt idx="157">
                  <c:v>40908</c:v>
                </c:pt>
                <c:pt idx="158">
                  <c:v>40877</c:v>
                </c:pt>
                <c:pt idx="159">
                  <c:v>40847</c:v>
                </c:pt>
                <c:pt idx="160">
                  <c:v>40816</c:v>
                </c:pt>
                <c:pt idx="161">
                  <c:v>40786</c:v>
                </c:pt>
                <c:pt idx="162">
                  <c:v>40755</c:v>
                </c:pt>
                <c:pt idx="163">
                  <c:v>40724</c:v>
                </c:pt>
                <c:pt idx="164">
                  <c:v>40694</c:v>
                </c:pt>
                <c:pt idx="165">
                  <c:v>40663</c:v>
                </c:pt>
                <c:pt idx="166">
                  <c:v>40633</c:v>
                </c:pt>
                <c:pt idx="167">
                  <c:v>40602</c:v>
                </c:pt>
                <c:pt idx="168">
                  <c:v>40574</c:v>
                </c:pt>
                <c:pt idx="169">
                  <c:v>40543</c:v>
                </c:pt>
                <c:pt idx="170">
                  <c:v>40512</c:v>
                </c:pt>
                <c:pt idx="171">
                  <c:v>40482</c:v>
                </c:pt>
                <c:pt idx="172">
                  <c:v>40451</c:v>
                </c:pt>
                <c:pt idx="173">
                  <c:v>40421</c:v>
                </c:pt>
                <c:pt idx="174">
                  <c:v>40390</c:v>
                </c:pt>
                <c:pt idx="175">
                  <c:v>40359</c:v>
                </c:pt>
                <c:pt idx="176">
                  <c:v>40329</c:v>
                </c:pt>
                <c:pt idx="177">
                  <c:v>40298</c:v>
                </c:pt>
                <c:pt idx="178">
                  <c:v>40268</c:v>
                </c:pt>
                <c:pt idx="179">
                  <c:v>40237</c:v>
                </c:pt>
                <c:pt idx="180">
                  <c:v>40209</c:v>
                </c:pt>
              </c:numCache>
            </c:numRef>
          </c:cat>
          <c:val>
            <c:numRef>
              <c:f>周期整合计算!$D$5:$D$185</c:f>
              <c:numCache>
                <c:formatCode>General</c:formatCode>
                <c:ptCount val="18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07-43EB-BEF5-283DD707BA34}"/>
            </c:ext>
          </c:extLst>
        </c:ser>
        <c:ser>
          <c:idx val="3"/>
          <c:order val="3"/>
          <c:tx>
            <c:strRef>
              <c:f>周期整合计算!$E$3</c:f>
              <c:strCache>
                <c:ptCount val="1"/>
                <c:pt idx="0">
                  <c:v>复苏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周期整合计算!$A$5:$A$185</c:f>
              <c:numCache>
                <c:formatCode>yyyy/m/d;@</c:formatCode>
                <c:ptCount val="181"/>
                <c:pt idx="0">
                  <c:v>45688</c:v>
                </c:pt>
                <c:pt idx="1">
                  <c:v>45657</c:v>
                </c:pt>
                <c:pt idx="2">
                  <c:v>45626</c:v>
                </c:pt>
                <c:pt idx="3">
                  <c:v>45596</c:v>
                </c:pt>
                <c:pt idx="4">
                  <c:v>45565</c:v>
                </c:pt>
                <c:pt idx="5">
                  <c:v>45535</c:v>
                </c:pt>
                <c:pt idx="6">
                  <c:v>45504</c:v>
                </c:pt>
                <c:pt idx="7">
                  <c:v>45473</c:v>
                </c:pt>
                <c:pt idx="8">
                  <c:v>45443</c:v>
                </c:pt>
                <c:pt idx="9">
                  <c:v>45412</c:v>
                </c:pt>
                <c:pt idx="10">
                  <c:v>45382</c:v>
                </c:pt>
                <c:pt idx="11">
                  <c:v>45351</c:v>
                </c:pt>
                <c:pt idx="12">
                  <c:v>45322</c:v>
                </c:pt>
                <c:pt idx="13">
                  <c:v>45291</c:v>
                </c:pt>
                <c:pt idx="14">
                  <c:v>45260</c:v>
                </c:pt>
                <c:pt idx="15">
                  <c:v>45230</c:v>
                </c:pt>
                <c:pt idx="16">
                  <c:v>45199</c:v>
                </c:pt>
                <c:pt idx="17">
                  <c:v>45169</c:v>
                </c:pt>
                <c:pt idx="18">
                  <c:v>45138</c:v>
                </c:pt>
                <c:pt idx="19">
                  <c:v>45107</c:v>
                </c:pt>
                <c:pt idx="20">
                  <c:v>45077</c:v>
                </c:pt>
                <c:pt idx="21">
                  <c:v>45046</c:v>
                </c:pt>
                <c:pt idx="22">
                  <c:v>45016</c:v>
                </c:pt>
                <c:pt idx="23">
                  <c:v>44985</c:v>
                </c:pt>
                <c:pt idx="24">
                  <c:v>44957</c:v>
                </c:pt>
                <c:pt idx="25">
                  <c:v>44926</c:v>
                </c:pt>
                <c:pt idx="26">
                  <c:v>44895</c:v>
                </c:pt>
                <c:pt idx="27">
                  <c:v>44865</c:v>
                </c:pt>
                <c:pt idx="28">
                  <c:v>44834</c:v>
                </c:pt>
                <c:pt idx="29">
                  <c:v>44804</c:v>
                </c:pt>
                <c:pt idx="30">
                  <c:v>44773</c:v>
                </c:pt>
                <c:pt idx="31">
                  <c:v>44742</c:v>
                </c:pt>
                <c:pt idx="32">
                  <c:v>44712</c:v>
                </c:pt>
                <c:pt idx="33">
                  <c:v>44681</c:v>
                </c:pt>
                <c:pt idx="34">
                  <c:v>44651</c:v>
                </c:pt>
                <c:pt idx="35">
                  <c:v>44620</c:v>
                </c:pt>
                <c:pt idx="36">
                  <c:v>44592</c:v>
                </c:pt>
                <c:pt idx="37">
                  <c:v>44561</c:v>
                </c:pt>
                <c:pt idx="38">
                  <c:v>44530</c:v>
                </c:pt>
                <c:pt idx="39">
                  <c:v>44500</c:v>
                </c:pt>
                <c:pt idx="40">
                  <c:v>44469</c:v>
                </c:pt>
                <c:pt idx="41">
                  <c:v>44439</c:v>
                </c:pt>
                <c:pt idx="42">
                  <c:v>44408</c:v>
                </c:pt>
                <c:pt idx="43">
                  <c:v>44377</c:v>
                </c:pt>
                <c:pt idx="44">
                  <c:v>44347</c:v>
                </c:pt>
                <c:pt idx="45">
                  <c:v>44316</c:v>
                </c:pt>
                <c:pt idx="46">
                  <c:v>44286</c:v>
                </c:pt>
                <c:pt idx="47">
                  <c:v>44255</c:v>
                </c:pt>
                <c:pt idx="48">
                  <c:v>44227</c:v>
                </c:pt>
                <c:pt idx="49">
                  <c:v>44196</c:v>
                </c:pt>
                <c:pt idx="50">
                  <c:v>44165</c:v>
                </c:pt>
                <c:pt idx="51">
                  <c:v>44135</c:v>
                </c:pt>
                <c:pt idx="52">
                  <c:v>44104</c:v>
                </c:pt>
                <c:pt idx="53">
                  <c:v>44074</c:v>
                </c:pt>
                <c:pt idx="54">
                  <c:v>44043</c:v>
                </c:pt>
                <c:pt idx="55">
                  <c:v>44012</c:v>
                </c:pt>
                <c:pt idx="56">
                  <c:v>43982</c:v>
                </c:pt>
                <c:pt idx="57">
                  <c:v>43951</c:v>
                </c:pt>
                <c:pt idx="58">
                  <c:v>43921</c:v>
                </c:pt>
                <c:pt idx="59">
                  <c:v>43890</c:v>
                </c:pt>
                <c:pt idx="60">
                  <c:v>43861</c:v>
                </c:pt>
                <c:pt idx="61">
                  <c:v>43830</c:v>
                </c:pt>
                <c:pt idx="62">
                  <c:v>43799</c:v>
                </c:pt>
                <c:pt idx="63">
                  <c:v>43769</c:v>
                </c:pt>
                <c:pt idx="64">
                  <c:v>43738</c:v>
                </c:pt>
                <c:pt idx="65">
                  <c:v>43708</c:v>
                </c:pt>
                <c:pt idx="66">
                  <c:v>43677</c:v>
                </c:pt>
                <c:pt idx="67">
                  <c:v>43646</c:v>
                </c:pt>
                <c:pt idx="68">
                  <c:v>43616</c:v>
                </c:pt>
                <c:pt idx="69">
                  <c:v>43585</c:v>
                </c:pt>
                <c:pt idx="70">
                  <c:v>43555</c:v>
                </c:pt>
                <c:pt idx="71">
                  <c:v>43524</c:v>
                </c:pt>
                <c:pt idx="72">
                  <c:v>43496</c:v>
                </c:pt>
                <c:pt idx="73">
                  <c:v>43465</c:v>
                </c:pt>
                <c:pt idx="74">
                  <c:v>43434</c:v>
                </c:pt>
                <c:pt idx="75">
                  <c:v>43404</c:v>
                </c:pt>
                <c:pt idx="76">
                  <c:v>43373</c:v>
                </c:pt>
                <c:pt idx="77">
                  <c:v>43343</c:v>
                </c:pt>
                <c:pt idx="78">
                  <c:v>43312</c:v>
                </c:pt>
                <c:pt idx="79">
                  <c:v>43281</c:v>
                </c:pt>
                <c:pt idx="80">
                  <c:v>43251</c:v>
                </c:pt>
                <c:pt idx="81">
                  <c:v>43220</c:v>
                </c:pt>
                <c:pt idx="82">
                  <c:v>43190</c:v>
                </c:pt>
                <c:pt idx="83">
                  <c:v>43159</c:v>
                </c:pt>
                <c:pt idx="84">
                  <c:v>43131</c:v>
                </c:pt>
                <c:pt idx="85">
                  <c:v>43100</c:v>
                </c:pt>
                <c:pt idx="86">
                  <c:v>43069</c:v>
                </c:pt>
                <c:pt idx="87">
                  <c:v>43039</c:v>
                </c:pt>
                <c:pt idx="88">
                  <c:v>43008</c:v>
                </c:pt>
                <c:pt idx="89">
                  <c:v>42978</c:v>
                </c:pt>
                <c:pt idx="90">
                  <c:v>42947</c:v>
                </c:pt>
                <c:pt idx="91">
                  <c:v>42916</c:v>
                </c:pt>
                <c:pt idx="92">
                  <c:v>42886</c:v>
                </c:pt>
                <c:pt idx="93">
                  <c:v>42855</c:v>
                </c:pt>
                <c:pt idx="94">
                  <c:v>42825</c:v>
                </c:pt>
                <c:pt idx="95">
                  <c:v>42794</c:v>
                </c:pt>
                <c:pt idx="96">
                  <c:v>42766</c:v>
                </c:pt>
                <c:pt idx="97">
                  <c:v>42735</c:v>
                </c:pt>
                <c:pt idx="98">
                  <c:v>42704</c:v>
                </c:pt>
                <c:pt idx="99">
                  <c:v>42674</c:v>
                </c:pt>
                <c:pt idx="100">
                  <c:v>42643</c:v>
                </c:pt>
                <c:pt idx="101">
                  <c:v>42613</c:v>
                </c:pt>
                <c:pt idx="102">
                  <c:v>42582</c:v>
                </c:pt>
                <c:pt idx="103">
                  <c:v>42551</c:v>
                </c:pt>
                <c:pt idx="104">
                  <c:v>42521</c:v>
                </c:pt>
                <c:pt idx="105">
                  <c:v>42490</c:v>
                </c:pt>
                <c:pt idx="106">
                  <c:v>42460</c:v>
                </c:pt>
                <c:pt idx="107">
                  <c:v>42429</c:v>
                </c:pt>
                <c:pt idx="108">
                  <c:v>42400</c:v>
                </c:pt>
                <c:pt idx="109">
                  <c:v>42369</c:v>
                </c:pt>
                <c:pt idx="110">
                  <c:v>42338</c:v>
                </c:pt>
                <c:pt idx="111">
                  <c:v>42308</c:v>
                </c:pt>
                <c:pt idx="112">
                  <c:v>42277</c:v>
                </c:pt>
                <c:pt idx="113">
                  <c:v>42247</c:v>
                </c:pt>
                <c:pt idx="114">
                  <c:v>42216</c:v>
                </c:pt>
                <c:pt idx="115">
                  <c:v>42185</c:v>
                </c:pt>
                <c:pt idx="116">
                  <c:v>42155</c:v>
                </c:pt>
                <c:pt idx="117">
                  <c:v>42124</c:v>
                </c:pt>
                <c:pt idx="118">
                  <c:v>42094</c:v>
                </c:pt>
                <c:pt idx="119">
                  <c:v>42063</c:v>
                </c:pt>
                <c:pt idx="120">
                  <c:v>42035</c:v>
                </c:pt>
                <c:pt idx="121">
                  <c:v>42004</c:v>
                </c:pt>
                <c:pt idx="122">
                  <c:v>41973</c:v>
                </c:pt>
                <c:pt idx="123">
                  <c:v>41943</c:v>
                </c:pt>
                <c:pt idx="124">
                  <c:v>41912</c:v>
                </c:pt>
                <c:pt idx="125">
                  <c:v>41882</c:v>
                </c:pt>
                <c:pt idx="126">
                  <c:v>41851</c:v>
                </c:pt>
                <c:pt idx="127">
                  <c:v>41820</c:v>
                </c:pt>
                <c:pt idx="128">
                  <c:v>41790</c:v>
                </c:pt>
                <c:pt idx="129">
                  <c:v>41759</c:v>
                </c:pt>
                <c:pt idx="130">
                  <c:v>41729</c:v>
                </c:pt>
                <c:pt idx="131">
                  <c:v>41698</c:v>
                </c:pt>
                <c:pt idx="132">
                  <c:v>41670</c:v>
                </c:pt>
                <c:pt idx="133">
                  <c:v>41639</c:v>
                </c:pt>
                <c:pt idx="134">
                  <c:v>41608</c:v>
                </c:pt>
                <c:pt idx="135">
                  <c:v>41578</c:v>
                </c:pt>
                <c:pt idx="136">
                  <c:v>41547</c:v>
                </c:pt>
                <c:pt idx="137">
                  <c:v>41517</c:v>
                </c:pt>
                <c:pt idx="138">
                  <c:v>41486</c:v>
                </c:pt>
                <c:pt idx="139">
                  <c:v>41455</c:v>
                </c:pt>
                <c:pt idx="140">
                  <c:v>41425</c:v>
                </c:pt>
                <c:pt idx="141">
                  <c:v>41394</c:v>
                </c:pt>
                <c:pt idx="142">
                  <c:v>41364</c:v>
                </c:pt>
                <c:pt idx="143">
                  <c:v>41333</c:v>
                </c:pt>
                <c:pt idx="144">
                  <c:v>41305</c:v>
                </c:pt>
                <c:pt idx="145">
                  <c:v>41274</c:v>
                </c:pt>
                <c:pt idx="146">
                  <c:v>41243</c:v>
                </c:pt>
                <c:pt idx="147">
                  <c:v>41213</c:v>
                </c:pt>
                <c:pt idx="148">
                  <c:v>41182</c:v>
                </c:pt>
                <c:pt idx="149">
                  <c:v>41152</c:v>
                </c:pt>
                <c:pt idx="150">
                  <c:v>41121</c:v>
                </c:pt>
                <c:pt idx="151">
                  <c:v>41090</c:v>
                </c:pt>
                <c:pt idx="152">
                  <c:v>41060</c:v>
                </c:pt>
                <c:pt idx="153">
                  <c:v>41029</c:v>
                </c:pt>
                <c:pt idx="154">
                  <c:v>40999</c:v>
                </c:pt>
                <c:pt idx="155">
                  <c:v>40968</c:v>
                </c:pt>
                <c:pt idx="156">
                  <c:v>40939</c:v>
                </c:pt>
                <c:pt idx="157">
                  <c:v>40908</c:v>
                </c:pt>
                <c:pt idx="158">
                  <c:v>40877</c:v>
                </c:pt>
                <c:pt idx="159">
                  <c:v>40847</c:v>
                </c:pt>
                <c:pt idx="160">
                  <c:v>40816</c:v>
                </c:pt>
                <c:pt idx="161">
                  <c:v>40786</c:v>
                </c:pt>
                <c:pt idx="162">
                  <c:v>40755</c:v>
                </c:pt>
                <c:pt idx="163">
                  <c:v>40724</c:v>
                </c:pt>
                <c:pt idx="164">
                  <c:v>40694</c:v>
                </c:pt>
                <c:pt idx="165">
                  <c:v>40663</c:v>
                </c:pt>
                <c:pt idx="166">
                  <c:v>40633</c:v>
                </c:pt>
                <c:pt idx="167">
                  <c:v>40602</c:v>
                </c:pt>
                <c:pt idx="168">
                  <c:v>40574</c:v>
                </c:pt>
                <c:pt idx="169">
                  <c:v>40543</c:v>
                </c:pt>
                <c:pt idx="170">
                  <c:v>40512</c:v>
                </c:pt>
                <c:pt idx="171">
                  <c:v>40482</c:v>
                </c:pt>
                <c:pt idx="172">
                  <c:v>40451</c:v>
                </c:pt>
                <c:pt idx="173">
                  <c:v>40421</c:v>
                </c:pt>
                <c:pt idx="174">
                  <c:v>40390</c:v>
                </c:pt>
                <c:pt idx="175">
                  <c:v>40359</c:v>
                </c:pt>
                <c:pt idx="176">
                  <c:v>40329</c:v>
                </c:pt>
                <c:pt idx="177">
                  <c:v>40298</c:v>
                </c:pt>
                <c:pt idx="178">
                  <c:v>40268</c:v>
                </c:pt>
                <c:pt idx="179">
                  <c:v>40237</c:v>
                </c:pt>
                <c:pt idx="180">
                  <c:v>40209</c:v>
                </c:pt>
              </c:numCache>
            </c:numRef>
          </c:cat>
          <c:val>
            <c:numRef>
              <c:f>周期整合计算!$E$5:$E$185</c:f>
              <c:numCache>
                <c:formatCode>General</c:formatCode>
                <c:ptCount val="18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607-43EB-BEF5-283DD707BA34}"/>
            </c:ext>
          </c:extLst>
        </c:ser>
        <c:ser>
          <c:idx val="4"/>
          <c:order val="4"/>
          <c:tx>
            <c:strRef>
              <c:f>周期整合计算!$F$3</c:f>
              <c:strCache>
                <c:ptCount val="1"/>
                <c:pt idx="0">
                  <c:v>过热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周期整合计算!$A$5:$A$185</c:f>
              <c:numCache>
                <c:formatCode>yyyy/m/d;@</c:formatCode>
                <c:ptCount val="181"/>
                <c:pt idx="0">
                  <c:v>45688</c:v>
                </c:pt>
                <c:pt idx="1">
                  <c:v>45657</c:v>
                </c:pt>
                <c:pt idx="2">
                  <c:v>45626</c:v>
                </c:pt>
                <c:pt idx="3">
                  <c:v>45596</c:v>
                </c:pt>
                <c:pt idx="4">
                  <c:v>45565</c:v>
                </c:pt>
                <c:pt idx="5">
                  <c:v>45535</c:v>
                </c:pt>
                <c:pt idx="6">
                  <c:v>45504</c:v>
                </c:pt>
                <c:pt idx="7">
                  <c:v>45473</c:v>
                </c:pt>
                <c:pt idx="8">
                  <c:v>45443</c:v>
                </c:pt>
                <c:pt idx="9">
                  <c:v>45412</c:v>
                </c:pt>
                <c:pt idx="10">
                  <c:v>45382</c:v>
                </c:pt>
                <c:pt idx="11">
                  <c:v>45351</c:v>
                </c:pt>
                <c:pt idx="12">
                  <c:v>45322</c:v>
                </c:pt>
                <c:pt idx="13">
                  <c:v>45291</c:v>
                </c:pt>
                <c:pt idx="14">
                  <c:v>45260</c:v>
                </c:pt>
                <c:pt idx="15">
                  <c:v>45230</c:v>
                </c:pt>
                <c:pt idx="16">
                  <c:v>45199</c:v>
                </c:pt>
                <c:pt idx="17">
                  <c:v>45169</c:v>
                </c:pt>
                <c:pt idx="18">
                  <c:v>45138</c:v>
                </c:pt>
                <c:pt idx="19">
                  <c:v>45107</c:v>
                </c:pt>
                <c:pt idx="20">
                  <c:v>45077</c:v>
                </c:pt>
                <c:pt idx="21">
                  <c:v>45046</c:v>
                </c:pt>
                <c:pt idx="22">
                  <c:v>45016</c:v>
                </c:pt>
                <c:pt idx="23">
                  <c:v>44985</c:v>
                </c:pt>
                <c:pt idx="24">
                  <c:v>44957</c:v>
                </c:pt>
                <c:pt idx="25">
                  <c:v>44926</c:v>
                </c:pt>
                <c:pt idx="26">
                  <c:v>44895</c:v>
                </c:pt>
                <c:pt idx="27">
                  <c:v>44865</c:v>
                </c:pt>
                <c:pt idx="28">
                  <c:v>44834</c:v>
                </c:pt>
                <c:pt idx="29">
                  <c:v>44804</c:v>
                </c:pt>
                <c:pt idx="30">
                  <c:v>44773</c:v>
                </c:pt>
                <c:pt idx="31">
                  <c:v>44742</c:v>
                </c:pt>
                <c:pt idx="32">
                  <c:v>44712</c:v>
                </c:pt>
                <c:pt idx="33">
                  <c:v>44681</c:v>
                </c:pt>
                <c:pt idx="34">
                  <c:v>44651</c:v>
                </c:pt>
                <c:pt idx="35">
                  <c:v>44620</c:v>
                </c:pt>
                <c:pt idx="36">
                  <c:v>44592</c:v>
                </c:pt>
                <c:pt idx="37">
                  <c:v>44561</c:v>
                </c:pt>
                <c:pt idx="38">
                  <c:v>44530</c:v>
                </c:pt>
                <c:pt idx="39">
                  <c:v>44500</c:v>
                </c:pt>
                <c:pt idx="40">
                  <c:v>44469</c:v>
                </c:pt>
                <c:pt idx="41">
                  <c:v>44439</c:v>
                </c:pt>
                <c:pt idx="42">
                  <c:v>44408</c:v>
                </c:pt>
                <c:pt idx="43">
                  <c:v>44377</c:v>
                </c:pt>
                <c:pt idx="44">
                  <c:v>44347</c:v>
                </c:pt>
                <c:pt idx="45">
                  <c:v>44316</c:v>
                </c:pt>
                <c:pt idx="46">
                  <c:v>44286</c:v>
                </c:pt>
                <c:pt idx="47">
                  <c:v>44255</c:v>
                </c:pt>
                <c:pt idx="48">
                  <c:v>44227</c:v>
                </c:pt>
                <c:pt idx="49">
                  <c:v>44196</c:v>
                </c:pt>
                <c:pt idx="50">
                  <c:v>44165</c:v>
                </c:pt>
                <c:pt idx="51">
                  <c:v>44135</c:v>
                </c:pt>
                <c:pt idx="52">
                  <c:v>44104</c:v>
                </c:pt>
                <c:pt idx="53">
                  <c:v>44074</c:v>
                </c:pt>
                <c:pt idx="54">
                  <c:v>44043</c:v>
                </c:pt>
                <c:pt idx="55">
                  <c:v>44012</c:v>
                </c:pt>
                <c:pt idx="56">
                  <c:v>43982</c:v>
                </c:pt>
                <c:pt idx="57">
                  <c:v>43951</c:v>
                </c:pt>
                <c:pt idx="58">
                  <c:v>43921</c:v>
                </c:pt>
                <c:pt idx="59">
                  <c:v>43890</c:v>
                </c:pt>
                <c:pt idx="60">
                  <c:v>43861</c:v>
                </c:pt>
                <c:pt idx="61">
                  <c:v>43830</c:v>
                </c:pt>
                <c:pt idx="62">
                  <c:v>43799</c:v>
                </c:pt>
                <c:pt idx="63">
                  <c:v>43769</c:v>
                </c:pt>
                <c:pt idx="64">
                  <c:v>43738</c:v>
                </c:pt>
                <c:pt idx="65">
                  <c:v>43708</c:v>
                </c:pt>
                <c:pt idx="66">
                  <c:v>43677</c:v>
                </c:pt>
                <c:pt idx="67">
                  <c:v>43646</c:v>
                </c:pt>
                <c:pt idx="68">
                  <c:v>43616</c:v>
                </c:pt>
                <c:pt idx="69">
                  <c:v>43585</c:v>
                </c:pt>
                <c:pt idx="70">
                  <c:v>43555</c:v>
                </c:pt>
                <c:pt idx="71">
                  <c:v>43524</c:v>
                </c:pt>
                <c:pt idx="72">
                  <c:v>43496</c:v>
                </c:pt>
                <c:pt idx="73">
                  <c:v>43465</c:v>
                </c:pt>
                <c:pt idx="74">
                  <c:v>43434</c:v>
                </c:pt>
                <c:pt idx="75">
                  <c:v>43404</c:v>
                </c:pt>
                <c:pt idx="76">
                  <c:v>43373</c:v>
                </c:pt>
                <c:pt idx="77">
                  <c:v>43343</c:v>
                </c:pt>
                <c:pt idx="78">
                  <c:v>43312</c:v>
                </c:pt>
                <c:pt idx="79">
                  <c:v>43281</c:v>
                </c:pt>
                <c:pt idx="80">
                  <c:v>43251</c:v>
                </c:pt>
                <c:pt idx="81">
                  <c:v>43220</c:v>
                </c:pt>
                <c:pt idx="82">
                  <c:v>43190</c:v>
                </c:pt>
                <c:pt idx="83">
                  <c:v>43159</c:v>
                </c:pt>
                <c:pt idx="84">
                  <c:v>43131</c:v>
                </c:pt>
                <c:pt idx="85">
                  <c:v>43100</c:v>
                </c:pt>
                <c:pt idx="86">
                  <c:v>43069</c:v>
                </c:pt>
                <c:pt idx="87">
                  <c:v>43039</c:v>
                </c:pt>
                <c:pt idx="88">
                  <c:v>43008</c:v>
                </c:pt>
                <c:pt idx="89">
                  <c:v>42978</c:v>
                </c:pt>
                <c:pt idx="90">
                  <c:v>42947</c:v>
                </c:pt>
                <c:pt idx="91">
                  <c:v>42916</c:v>
                </c:pt>
                <c:pt idx="92">
                  <c:v>42886</c:v>
                </c:pt>
                <c:pt idx="93">
                  <c:v>42855</c:v>
                </c:pt>
                <c:pt idx="94">
                  <c:v>42825</c:v>
                </c:pt>
                <c:pt idx="95">
                  <c:v>42794</c:v>
                </c:pt>
                <c:pt idx="96">
                  <c:v>42766</c:v>
                </c:pt>
                <c:pt idx="97">
                  <c:v>42735</c:v>
                </c:pt>
                <c:pt idx="98">
                  <c:v>42704</c:v>
                </c:pt>
                <c:pt idx="99">
                  <c:v>42674</c:v>
                </c:pt>
                <c:pt idx="100">
                  <c:v>42643</c:v>
                </c:pt>
                <c:pt idx="101">
                  <c:v>42613</c:v>
                </c:pt>
                <c:pt idx="102">
                  <c:v>42582</c:v>
                </c:pt>
                <c:pt idx="103">
                  <c:v>42551</c:v>
                </c:pt>
                <c:pt idx="104">
                  <c:v>42521</c:v>
                </c:pt>
                <c:pt idx="105">
                  <c:v>42490</c:v>
                </c:pt>
                <c:pt idx="106">
                  <c:v>42460</c:v>
                </c:pt>
                <c:pt idx="107">
                  <c:v>42429</c:v>
                </c:pt>
                <c:pt idx="108">
                  <c:v>42400</c:v>
                </c:pt>
                <c:pt idx="109">
                  <c:v>42369</c:v>
                </c:pt>
                <c:pt idx="110">
                  <c:v>42338</c:v>
                </c:pt>
                <c:pt idx="111">
                  <c:v>42308</c:v>
                </c:pt>
                <c:pt idx="112">
                  <c:v>42277</c:v>
                </c:pt>
                <c:pt idx="113">
                  <c:v>42247</c:v>
                </c:pt>
                <c:pt idx="114">
                  <c:v>42216</c:v>
                </c:pt>
                <c:pt idx="115">
                  <c:v>42185</c:v>
                </c:pt>
                <c:pt idx="116">
                  <c:v>42155</c:v>
                </c:pt>
                <c:pt idx="117">
                  <c:v>42124</c:v>
                </c:pt>
                <c:pt idx="118">
                  <c:v>42094</c:v>
                </c:pt>
                <c:pt idx="119">
                  <c:v>42063</c:v>
                </c:pt>
                <c:pt idx="120">
                  <c:v>42035</c:v>
                </c:pt>
                <c:pt idx="121">
                  <c:v>42004</c:v>
                </c:pt>
                <c:pt idx="122">
                  <c:v>41973</c:v>
                </c:pt>
                <c:pt idx="123">
                  <c:v>41943</c:v>
                </c:pt>
                <c:pt idx="124">
                  <c:v>41912</c:v>
                </c:pt>
                <c:pt idx="125">
                  <c:v>41882</c:v>
                </c:pt>
                <c:pt idx="126">
                  <c:v>41851</c:v>
                </c:pt>
                <c:pt idx="127">
                  <c:v>41820</c:v>
                </c:pt>
                <c:pt idx="128">
                  <c:v>41790</c:v>
                </c:pt>
                <c:pt idx="129">
                  <c:v>41759</c:v>
                </c:pt>
                <c:pt idx="130">
                  <c:v>41729</c:v>
                </c:pt>
                <c:pt idx="131">
                  <c:v>41698</c:v>
                </c:pt>
                <c:pt idx="132">
                  <c:v>41670</c:v>
                </c:pt>
                <c:pt idx="133">
                  <c:v>41639</c:v>
                </c:pt>
                <c:pt idx="134">
                  <c:v>41608</c:v>
                </c:pt>
                <c:pt idx="135">
                  <c:v>41578</c:v>
                </c:pt>
                <c:pt idx="136">
                  <c:v>41547</c:v>
                </c:pt>
                <c:pt idx="137">
                  <c:v>41517</c:v>
                </c:pt>
                <c:pt idx="138">
                  <c:v>41486</c:v>
                </c:pt>
                <c:pt idx="139">
                  <c:v>41455</c:v>
                </c:pt>
                <c:pt idx="140">
                  <c:v>41425</c:v>
                </c:pt>
                <c:pt idx="141">
                  <c:v>41394</c:v>
                </c:pt>
                <c:pt idx="142">
                  <c:v>41364</c:v>
                </c:pt>
                <c:pt idx="143">
                  <c:v>41333</c:v>
                </c:pt>
                <c:pt idx="144">
                  <c:v>41305</c:v>
                </c:pt>
                <c:pt idx="145">
                  <c:v>41274</c:v>
                </c:pt>
                <c:pt idx="146">
                  <c:v>41243</c:v>
                </c:pt>
                <c:pt idx="147">
                  <c:v>41213</c:v>
                </c:pt>
                <c:pt idx="148">
                  <c:v>41182</c:v>
                </c:pt>
                <c:pt idx="149">
                  <c:v>41152</c:v>
                </c:pt>
                <c:pt idx="150">
                  <c:v>41121</c:v>
                </c:pt>
                <c:pt idx="151">
                  <c:v>41090</c:v>
                </c:pt>
                <c:pt idx="152">
                  <c:v>41060</c:v>
                </c:pt>
                <c:pt idx="153">
                  <c:v>41029</c:v>
                </c:pt>
                <c:pt idx="154">
                  <c:v>40999</c:v>
                </c:pt>
                <c:pt idx="155">
                  <c:v>40968</c:v>
                </c:pt>
                <c:pt idx="156">
                  <c:v>40939</c:v>
                </c:pt>
                <c:pt idx="157">
                  <c:v>40908</c:v>
                </c:pt>
                <c:pt idx="158">
                  <c:v>40877</c:v>
                </c:pt>
                <c:pt idx="159">
                  <c:v>40847</c:v>
                </c:pt>
                <c:pt idx="160">
                  <c:v>40816</c:v>
                </c:pt>
                <c:pt idx="161">
                  <c:v>40786</c:v>
                </c:pt>
                <c:pt idx="162">
                  <c:v>40755</c:v>
                </c:pt>
                <c:pt idx="163">
                  <c:v>40724</c:v>
                </c:pt>
                <c:pt idx="164">
                  <c:v>40694</c:v>
                </c:pt>
                <c:pt idx="165">
                  <c:v>40663</c:v>
                </c:pt>
                <c:pt idx="166">
                  <c:v>40633</c:v>
                </c:pt>
                <c:pt idx="167">
                  <c:v>40602</c:v>
                </c:pt>
                <c:pt idx="168">
                  <c:v>40574</c:v>
                </c:pt>
                <c:pt idx="169">
                  <c:v>40543</c:v>
                </c:pt>
                <c:pt idx="170">
                  <c:v>40512</c:v>
                </c:pt>
                <c:pt idx="171">
                  <c:v>40482</c:v>
                </c:pt>
                <c:pt idx="172">
                  <c:v>40451</c:v>
                </c:pt>
                <c:pt idx="173">
                  <c:v>40421</c:v>
                </c:pt>
                <c:pt idx="174">
                  <c:v>40390</c:v>
                </c:pt>
                <c:pt idx="175">
                  <c:v>40359</c:v>
                </c:pt>
                <c:pt idx="176">
                  <c:v>40329</c:v>
                </c:pt>
                <c:pt idx="177">
                  <c:v>40298</c:v>
                </c:pt>
                <c:pt idx="178">
                  <c:v>40268</c:v>
                </c:pt>
                <c:pt idx="179">
                  <c:v>40237</c:v>
                </c:pt>
                <c:pt idx="180">
                  <c:v>40209</c:v>
                </c:pt>
              </c:numCache>
            </c:numRef>
          </c:cat>
          <c:val>
            <c:numRef>
              <c:f>周期整合计算!$F$5:$F$185</c:f>
              <c:numCache>
                <c:formatCode>General</c:formatCode>
                <c:ptCount val="18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607-43EB-BEF5-283DD707BA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711290233"/>
        <c:axId val="154230829"/>
      </c:barChart>
      <c:lineChart>
        <c:grouping val="standard"/>
        <c:varyColors val="0"/>
        <c:ser>
          <c:idx val="0"/>
          <c:order val="0"/>
          <c:tx>
            <c:strRef>
              <c:f>周期整合计算!$B$4</c:f>
              <c:strCache>
                <c:ptCount val="1"/>
                <c:pt idx="0">
                  <c:v>综合景气指标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周期整合计算!$A$5:$A$185</c:f>
              <c:numCache>
                <c:formatCode>yyyy/m/d;@</c:formatCode>
                <c:ptCount val="181"/>
                <c:pt idx="0">
                  <c:v>45688</c:v>
                </c:pt>
                <c:pt idx="1">
                  <c:v>45657</c:v>
                </c:pt>
                <c:pt idx="2">
                  <c:v>45626</c:v>
                </c:pt>
                <c:pt idx="3">
                  <c:v>45596</c:v>
                </c:pt>
                <c:pt idx="4">
                  <c:v>45565</c:v>
                </c:pt>
                <c:pt idx="5">
                  <c:v>45535</c:v>
                </c:pt>
                <c:pt idx="6">
                  <c:v>45504</c:v>
                </c:pt>
                <c:pt idx="7">
                  <c:v>45473</c:v>
                </c:pt>
                <c:pt idx="8">
                  <c:v>45443</c:v>
                </c:pt>
                <c:pt idx="9">
                  <c:v>45412</c:v>
                </c:pt>
                <c:pt idx="10">
                  <c:v>45382</c:v>
                </c:pt>
                <c:pt idx="11">
                  <c:v>45351</c:v>
                </c:pt>
                <c:pt idx="12">
                  <c:v>45322</c:v>
                </c:pt>
                <c:pt idx="13">
                  <c:v>45291</c:v>
                </c:pt>
                <c:pt idx="14">
                  <c:v>45260</c:v>
                </c:pt>
                <c:pt idx="15">
                  <c:v>45230</c:v>
                </c:pt>
                <c:pt idx="16">
                  <c:v>45199</c:v>
                </c:pt>
                <c:pt idx="17">
                  <c:v>45169</c:v>
                </c:pt>
                <c:pt idx="18">
                  <c:v>45138</c:v>
                </c:pt>
                <c:pt idx="19">
                  <c:v>45107</c:v>
                </c:pt>
                <c:pt idx="20">
                  <c:v>45077</c:v>
                </c:pt>
                <c:pt idx="21">
                  <c:v>45046</c:v>
                </c:pt>
                <c:pt idx="22">
                  <c:v>45016</c:v>
                </c:pt>
                <c:pt idx="23">
                  <c:v>44985</c:v>
                </c:pt>
                <c:pt idx="24">
                  <c:v>44957</c:v>
                </c:pt>
                <c:pt idx="25">
                  <c:v>44926</c:v>
                </c:pt>
                <c:pt idx="26">
                  <c:v>44895</c:v>
                </c:pt>
                <c:pt idx="27">
                  <c:v>44865</c:v>
                </c:pt>
                <c:pt idx="28">
                  <c:v>44834</c:v>
                </c:pt>
                <c:pt idx="29">
                  <c:v>44804</c:v>
                </c:pt>
                <c:pt idx="30">
                  <c:v>44773</c:v>
                </c:pt>
                <c:pt idx="31">
                  <c:v>44742</c:v>
                </c:pt>
                <c:pt idx="32">
                  <c:v>44712</c:v>
                </c:pt>
                <c:pt idx="33">
                  <c:v>44681</c:v>
                </c:pt>
                <c:pt idx="34">
                  <c:v>44651</c:v>
                </c:pt>
                <c:pt idx="35">
                  <c:v>44620</c:v>
                </c:pt>
                <c:pt idx="36">
                  <c:v>44592</c:v>
                </c:pt>
                <c:pt idx="37">
                  <c:v>44561</c:v>
                </c:pt>
                <c:pt idx="38">
                  <c:v>44530</c:v>
                </c:pt>
                <c:pt idx="39">
                  <c:v>44500</c:v>
                </c:pt>
                <c:pt idx="40">
                  <c:v>44469</c:v>
                </c:pt>
                <c:pt idx="41">
                  <c:v>44439</c:v>
                </c:pt>
                <c:pt idx="42">
                  <c:v>44408</c:v>
                </c:pt>
                <c:pt idx="43">
                  <c:v>44377</c:v>
                </c:pt>
                <c:pt idx="44">
                  <c:v>44347</c:v>
                </c:pt>
                <c:pt idx="45">
                  <c:v>44316</c:v>
                </c:pt>
                <c:pt idx="46">
                  <c:v>44286</c:v>
                </c:pt>
                <c:pt idx="47">
                  <c:v>44255</c:v>
                </c:pt>
                <c:pt idx="48">
                  <c:v>44227</c:v>
                </c:pt>
                <c:pt idx="49">
                  <c:v>44196</c:v>
                </c:pt>
                <c:pt idx="50">
                  <c:v>44165</c:v>
                </c:pt>
                <c:pt idx="51">
                  <c:v>44135</c:v>
                </c:pt>
                <c:pt idx="52">
                  <c:v>44104</c:v>
                </c:pt>
                <c:pt idx="53">
                  <c:v>44074</c:v>
                </c:pt>
                <c:pt idx="54">
                  <c:v>44043</c:v>
                </c:pt>
                <c:pt idx="55">
                  <c:v>44012</c:v>
                </c:pt>
                <c:pt idx="56">
                  <c:v>43982</c:v>
                </c:pt>
                <c:pt idx="57">
                  <c:v>43951</c:v>
                </c:pt>
                <c:pt idx="58">
                  <c:v>43921</c:v>
                </c:pt>
                <c:pt idx="59">
                  <c:v>43890</c:v>
                </c:pt>
                <c:pt idx="60">
                  <c:v>43861</c:v>
                </c:pt>
                <c:pt idx="61">
                  <c:v>43830</c:v>
                </c:pt>
                <c:pt idx="62">
                  <c:v>43799</c:v>
                </c:pt>
                <c:pt idx="63">
                  <c:v>43769</c:v>
                </c:pt>
                <c:pt idx="64">
                  <c:v>43738</c:v>
                </c:pt>
                <c:pt idx="65">
                  <c:v>43708</c:v>
                </c:pt>
                <c:pt idx="66">
                  <c:v>43677</c:v>
                </c:pt>
                <c:pt idx="67">
                  <c:v>43646</c:v>
                </c:pt>
                <c:pt idx="68">
                  <c:v>43616</c:v>
                </c:pt>
                <c:pt idx="69">
                  <c:v>43585</c:v>
                </c:pt>
                <c:pt idx="70">
                  <c:v>43555</c:v>
                </c:pt>
                <c:pt idx="71">
                  <c:v>43524</c:v>
                </c:pt>
                <c:pt idx="72">
                  <c:v>43496</c:v>
                </c:pt>
                <c:pt idx="73">
                  <c:v>43465</c:v>
                </c:pt>
                <c:pt idx="74">
                  <c:v>43434</c:v>
                </c:pt>
                <c:pt idx="75">
                  <c:v>43404</c:v>
                </c:pt>
                <c:pt idx="76">
                  <c:v>43373</c:v>
                </c:pt>
                <c:pt idx="77">
                  <c:v>43343</c:v>
                </c:pt>
                <c:pt idx="78">
                  <c:v>43312</c:v>
                </c:pt>
                <c:pt idx="79">
                  <c:v>43281</c:v>
                </c:pt>
                <c:pt idx="80">
                  <c:v>43251</c:v>
                </c:pt>
                <c:pt idx="81">
                  <c:v>43220</c:v>
                </c:pt>
                <c:pt idx="82">
                  <c:v>43190</c:v>
                </c:pt>
                <c:pt idx="83">
                  <c:v>43159</c:v>
                </c:pt>
                <c:pt idx="84">
                  <c:v>43131</c:v>
                </c:pt>
                <c:pt idx="85">
                  <c:v>43100</c:v>
                </c:pt>
                <c:pt idx="86">
                  <c:v>43069</c:v>
                </c:pt>
                <c:pt idx="87">
                  <c:v>43039</c:v>
                </c:pt>
                <c:pt idx="88">
                  <c:v>43008</c:v>
                </c:pt>
                <c:pt idx="89">
                  <c:v>42978</c:v>
                </c:pt>
                <c:pt idx="90">
                  <c:v>42947</c:v>
                </c:pt>
                <c:pt idx="91">
                  <c:v>42916</c:v>
                </c:pt>
                <c:pt idx="92">
                  <c:v>42886</c:v>
                </c:pt>
                <c:pt idx="93">
                  <c:v>42855</c:v>
                </c:pt>
                <c:pt idx="94">
                  <c:v>42825</c:v>
                </c:pt>
                <c:pt idx="95">
                  <c:v>42794</c:v>
                </c:pt>
                <c:pt idx="96">
                  <c:v>42766</c:v>
                </c:pt>
                <c:pt idx="97">
                  <c:v>42735</c:v>
                </c:pt>
                <c:pt idx="98">
                  <c:v>42704</c:v>
                </c:pt>
                <c:pt idx="99">
                  <c:v>42674</c:v>
                </c:pt>
                <c:pt idx="100">
                  <c:v>42643</c:v>
                </c:pt>
                <c:pt idx="101">
                  <c:v>42613</c:v>
                </c:pt>
                <c:pt idx="102">
                  <c:v>42582</c:v>
                </c:pt>
                <c:pt idx="103">
                  <c:v>42551</c:v>
                </c:pt>
                <c:pt idx="104">
                  <c:v>42521</c:v>
                </c:pt>
                <c:pt idx="105">
                  <c:v>42490</c:v>
                </c:pt>
                <c:pt idx="106">
                  <c:v>42460</c:v>
                </c:pt>
                <c:pt idx="107">
                  <c:v>42429</c:v>
                </c:pt>
                <c:pt idx="108">
                  <c:v>42400</c:v>
                </c:pt>
                <c:pt idx="109">
                  <c:v>42369</c:v>
                </c:pt>
                <c:pt idx="110">
                  <c:v>42338</c:v>
                </c:pt>
                <c:pt idx="111">
                  <c:v>42308</c:v>
                </c:pt>
                <c:pt idx="112">
                  <c:v>42277</c:v>
                </c:pt>
                <c:pt idx="113">
                  <c:v>42247</c:v>
                </c:pt>
                <c:pt idx="114">
                  <c:v>42216</c:v>
                </c:pt>
                <c:pt idx="115">
                  <c:v>42185</c:v>
                </c:pt>
                <c:pt idx="116">
                  <c:v>42155</c:v>
                </c:pt>
                <c:pt idx="117">
                  <c:v>42124</c:v>
                </c:pt>
                <c:pt idx="118">
                  <c:v>42094</c:v>
                </c:pt>
                <c:pt idx="119">
                  <c:v>42063</c:v>
                </c:pt>
                <c:pt idx="120">
                  <c:v>42035</c:v>
                </c:pt>
                <c:pt idx="121">
                  <c:v>42004</c:v>
                </c:pt>
                <c:pt idx="122">
                  <c:v>41973</c:v>
                </c:pt>
                <c:pt idx="123">
                  <c:v>41943</c:v>
                </c:pt>
                <c:pt idx="124">
                  <c:v>41912</c:v>
                </c:pt>
                <c:pt idx="125">
                  <c:v>41882</c:v>
                </c:pt>
                <c:pt idx="126">
                  <c:v>41851</c:v>
                </c:pt>
                <c:pt idx="127">
                  <c:v>41820</c:v>
                </c:pt>
                <c:pt idx="128">
                  <c:v>41790</c:v>
                </c:pt>
                <c:pt idx="129">
                  <c:v>41759</c:v>
                </c:pt>
                <c:pt idx="130">
                  <c:v>41729</c:v>
                </c:pt>
                <c:pt idx="131">
                  <c:v>41698</c:v>
                </c:pt>
                <c:pt idx="132">
                  <c:v>41670</c:v>
                </c:pt>
                <c:pt idx="133">
                  <c:v>41639</c:v>
                </c:pt>
                <c:pt idx="134">
                  <c:v>41608</c:v>
                </c:pt>
                <c:pt idx="135">
                  <c:v>41578</c:v>
                </c:pt>
                <c:pt idx="136">
                  <c:v>41547</c:v>
                </c:pt>
                <c:pt idx="137">
                  <c:v>41517</c:v>
                </c:pt>
                <c:pt idx="138">
                  <c:v>41486</c:v>
                </c:pt>
                <c:pt idx="139">
                  <c:v>41455</c:v>
                </c:pt>
                <c:pt idx="140">
                  <c:v>41425</c:v>
                </c:pt>
                <c:pt idx="141">
                  <c:v>41394</c:v>
                </c:pt>
                <c:pt idx="142">
                  <c:v>41364</c:v>
                </c:pt>
                <c:pt idx="143">
                  <c:v>41333</c:v>
                </c:pt>
                <c:pt idx="144">
                  <c:v>41305</c:v>
                </c:pt>
                <c:pt idx="145">
                  <c:v>41274</c:v>
                </c:pt>
                <c:pt idx="146">
                  <c:v>41243</c:v>
                </c:pt>
                <c:pt idx="147">
                  <c:v>41213</c:v>
                </c:pt>
                <c:pt idx="148">
                  <c:v>41182</c:v>
                </c:pt>
                <c:pt idx="149">
                  <c:v>41152</c:v>
                </c:pt>
                <c:pt idx="150">
                  <c:v>41121</c:v>
                </c:pt>
                <c:pt idx="151">
                  <c:v>41090</c:v>
                </c:pt>
                <c:pt idx="152">
                  <c:v>41060</c:v>
                </c:pt>
                <c:pt idx="153">
                  <c:v>41029</c:v>
                </c:pt>
                <c:pt idx="154">
                  <c:v>40999</c:v>
                </c:pt>
                <c:pt idx="155">
                  <c:v>40968</c:v>
                </c:pt>
                <c:pt idx="156">
                  <c:v>40939</c:v>
                </c:pt>
                <c:pt idx="157">
                  <c:v>40908</c:v>
                </c:pt>
                <c:pt idx="158">
                  <c:v>40877</c:v>
                </c:pt>
                <c:pt idx="159">
                  <c:v>40847</c:v>
                </c:pt>
                <c:pt idx="160">
                  <c:v>40816</c:v>
                </c:pt>
                <c:pt idx="161">
                  <c:v>40786</c:v>
                </c:pt>
                <c:pt idx="162">
                  <c:v>40755</c:v>
                </c:pt>
                <c:pt idx="163">
                  <c:v>40724</c:v>
                </c:pt>
                <c:pt idx="164">
                  <c:v>40694</c:v>
                </c:pt>
                <c:pt idx="165">
                  <c:v>40663</c:v>
                </c:pt>
                <c:pt idx="166">
                  <c:v>40633</c:v>
                </c:pt>
                <c:pt idx="167">
                  <c:v>40602</c:v>
                </c:pt>
                <c:pt idx="168">
                  <c:v>40574</c:v>
                </c:pt>
                <c:pt idx="169">
                  <c:v>40543</c:v>
                </c:pt>
                <c:pt idx="170">
                  <c:v>40512</c:v>
                </c:pt>
                <c:pt idx="171">
                  <c:v>40482</c:v>
                </c:pt>
                <c:pt idx="172">
                  <c:v>40451</c:v>
                </c:pt>
                <c:pt idx="173">
                  <c:v>40421</c:v>
                </c:pt>
                <c:pt idx="174">
                  <c:v>40390</c:v>
                </c:pt>
                <c:pt idx="175">
                  <c:v>40359</c:v>
                </c:pt>
                <c:pt idx="176">
                  <c:v>40329</c:v>
                </c:pt>
                <c:pt idx="177">
                  <c:v>40298</c:v>
                </c:pt>
                <c:pt idx="178">
                  <c:v>40268</c:v>
                </c:pt>
                <c:pt idx="179">
                  <c:v>40237</c:v>
                </c:pt>
                <c:pt idx="180">
                  <c:v>40209</c:v>
                </c:pt>
              </c:numCache>
            </c:numRef>
          </c:cat>
          <c:val>
            <c:numRef>
              <c:f>周期整合计算!$B$5:$B$185</c:f>
              <c:numCache>
                <c:formatCode>General</c:formatCode>
                <c:ptCount val="181"/>
                <c:pt idx="0">
                  <c:v>-1.419533616352453</c:v>
                </c:pt>
                <c:pt idx="1">
                  <c:v>-1.7174815018003387</c:v>
                </c:pt>
                <c:pt idx="2">
                  <c:v>-2.0424001069991724</c:v>
                </c:pt>
                <c:pt idx="3">
                  <c:v>-2.3084845861271295</c:v>
                </c:pt>
                <c:pt idx="4">
                  <c:v>-2.5968375343484991</c:v>
                </c:pt>
                <c:pt idx="5">
                  <c:v>-2.648594768342575</c:v>
                </c:pt>
                <c:pt idx="6">
                  <c:v>-2.2078798521802372</c:v>
                </c:pt>
                <c:pt idx="7">
                  <c:v>-2.020826832186041</c:v>
                </c:pt>
                <c:pt idx="8">
                  <c:v>-1.8498160316271772</c:v>
                </c:pt>
                <c:pt idx="9">
                  <c:v>-1.6840842421453874</c:v>
                </c:pt>
                <c:pt idx="10">
                  <c:v>-1.2461303093230336</c:v>
                </c:pt>
                <c:pt idx="11">
                  <c:v>-0.86496174341762566</c:v>
                </c:pt>
                <c:pt idx="12">
                  <c:v>#N/A</c:v>
                </c:pt>
                <c:pt idx="13">
                  <c:v>-0.77144220739808966</c:v>
                </c:pt>
                <c:pt idx="14">
                  <c:v>-0.79189289203995072</c:v>
                </c:pt>
                <c:pt idx="15">
                  <c:v>-0.64542370502896806</c:v>
                </c:pt>
                <c:pt idx="16">
                  <c:v>-0.39051039886566191</c:v>
                </c:pt>
                <c:pt idx="17">
                  <c:v>-0.40977377989374886</c:v>
                </c:pt>
                <c:pt idx="18">
                  <c:v>-0.44441917512737944</c:v>
                </c:pt>
                <c:pt idx="19">
                  <c:v>-0.58278607731007104</c:v>
                </c:pt>
                <c:pt idx="20">
                  <c:v>-0.66536141815154093</c:v>
                </c:pt>
                <c:pt idx="21">
                  <c:v>-0.80832806901292864</c:v>
                </c:pt>
                <c:pt idx="22">
                  <c:v>-0.70828594488358354</c:v>
                </c:pt>
                <c:pt idx="23">
                  <c:v>-0.30840265823559082</c:v>
                </c:pt>
                <c:pt idx="24">
                  <c:v>#N/A</c:v>
                </c:pt>
                <c:pt idx="25">
                  <c:v>-0.10910293834763581</c:v>
                </c:pt>
                <c:pt idx="26">
                  <c:v>-0.18593988470212605</c:v>
                </c:pt>
                <c:pt idx="27">
                  <c:v>-0.22302937227548458</c:v>
                </c:pt>
                <c:pt idx="28">
                  <c:v>-0.32728793534983713</c:v>
                </c:pt>
                <c:pt idx="29">
                  <c:v>-0.80717247953899374</c:v>
                </c:pt>
                <c:pt idx="30">
                  <c:v>-1.4132283659657239</c:v>
                </c:pt>
                <c:pt idx="31">
                  <c:v>-1.7622182649556228</c:v>
                </c:pt>
                <c:pt idx="32">
                  <c:v>-1.7890809084849331</c:v>
                </c:pt>
                <c:pt idx="33">
                  <c:v>-1.6619965308742397</c:v>
                </c:pt>
                <c:pt idx="34">
                  <c:v>-1.8376982852602044</c:v>
                </c:pt>
                <c:pt idx="35">
                  <c:v>-1.7266396413371108</c:v>
                </c:pt>
                <c:pt idx="36">
                  <c:v>#N/A</c:v>
                </c:pt>
                <c:pt idx="37">
                  <c:v>-1.9153258184024438</c:v>
                </c:pt>
                <c:pt idx="38">
                  <c:v>-2.1126322157088411</c:v>
                </c:pt>
                <c:pt idx="39">
                  <c:v>-2.2571608352374604</c:v>
                </c:pt>
                <c:pt idx="40">
                  <c:v>-2.444149139331028</c:v>
                </c:pt>
                <c:pt idx="41">
                  <c:v>-2.2880818878690397</c:v>
                </c:pt>
                <c:pt idx="42">
                  <c:v>-1.8609730060387955</c:v>
                </c:pt>
                <c:pt idx="43">
                  <c:v>-1.3289920118867486</c:v>
                </c:pt>
                <c:pt idx="44">
                  <c:v>-0.64556121266647581</c:v>
                </c:pt>
                <c:pt idx="45">
                  <c:v>7.5269458783390683E-2</c:v>
                </c:pt>
                <c:pt idx="46">
                  <c:v>0.5854893193321985</c:v>
                </c:pt>
                <c:pt idx="47">
                  <c:v>0.99577893225339043</c:v>
                </c:pt>
                <c:pt idx="48">
                  <c:v>#N/A</c:v>
                </c:pt>
                <c:pt idx="49">
                  <c:v>0.84900129840145311</c:v>
                </c:pt>
                <c:pt idx="50">
                  <c:v>0.74506042015716945</c:v>
                </c:pt>
                <c:pt idx="51">
                  <c:v>0.54955650886378438</c:v>
                </c:pt>
                <c:pt idx="52">
                  <c:v>0.48898768205076254</c:v>
                </c:pt>
                <c:pt idx="53">
                  <c:v>0.49608079055516141</c:v>
                </c:pt>
                <c:pt idx="54">
                  <c:v>0.36920805315610816</c:v>
                </c:pt>
                <c:pt idx="55">
                  <c:v>0.35672170537564279</c:v>
                </c:pt>
                <c:pt idx="56">
                  <c:v>0.34854448120577158</c:v>
                </c:pt>
                <c:pt idx="57">
                  <c:v>0.30534693800822837</c:v>
                </c:pt>
                <c:pt idx="58">
                  <c:v>0.15306415939392801</c:v>
                </c:pt>
                <c:pt idx="59">
                  <c:v>-5.217574962796101E-2</c:v>
                </c:pt>
                <c:pt idx="60">
                  <c:v>#N/A</c:v>
                </c:pt>
                <c:pt idx="61">
                  <c:v>-5.6527409776722611E-2</c:v>
                </c:pt>
                <c:pt idx="62">
                  <c:v>-6.5502385418364936E-2</c:v>
                </c:pt>
                <c:pt idx="63">
                  <c:v>-6.3956082874255374E-2</c:v>
                </c:pt>
                <c:pt idx="64">
                  <c:v>-5.590764982582231E-2</c:v>
                </c:pt>
                <c:pt idx="65">
                  <c:v>-0.10784669750184672</c:v>
                </c:pt>
                <c:pt idx="66">
                  <c:v>-0.11819857423303382</c:v>
                </c:pt>
                <c:pt idx="67">
                  <c:v>-1.2026139399720266E-3</c:v>
                </c:pt>
                <c:pt idx="68">
                  <c:v>0.15096944239875099</c:v>
                </c:pt>
                <c:pt idx="69">
                  <c:v>0.22421604521819896</c:v>
                </c:pt>
                <c:pt idx="70">
                  <c:v>0.31309164330432337</c:v>
                </c:pt>
                <c:pt idx="71">
                  <c:v>0.50916802707420561</c:v>
                </c:pt>
                <c:pt idx="72">
                  <c:v>#N/A</c:v>
                </c:pt>
                <c:pt idx="73">
                  <c:v>0.7682716685307881</c:v>
                </c:pt>
                <c:pt idx="74">
                  <c:v>0.75929800330712283</c:v>
                </c:pt>
                <c:pt idx="75">
                  <c:v>0.80047488198400174</c:v>
                </c:pt>
                <c:pt idx="76">
                  <c:v>0.9704024182158858</c:v>
                </c:pt>
                <c:pt idx="77">
                  <c:v>1.2552056372868394</c:v>
                </c:pt>
                <c:pt idx="78">
                  <c:v>1.3657996728808748</c:v>
                </c:pt>
                <c:pt idx="79">
                  <c:v>1.6668150790433398</c:v>
                </c:pt>
                <c:pt idx="80">
                  <c:v>1.9461853797952198</c:v>
                </c:pt>
                <c:pt idx="81">
                  <c:v>2.0030280741379145</c:v>
                </c:pt>
                <c:pt idx="82">
                  <c:v>1.9676522571444499</c:v>
                </c:pt>
                <c:pt idx="83">
                  <c:v>1.781807203983927</c:v>
                </c:pt>
                <c:pt idx="84">
                  <c:v>#N/A</c:v>
                </c:pt>
                <c:pt idx="85">
                  <c:v>1.7134089355856583</c:v>
                </c:pt>
                <c:pt idx="86">
                  <c:v>1.4275381780685592</c:v>
                </c:pt>
                <c:pt idx="87">
                  <c:v>1.3228549957537981</c:v>
                </c:pt>
                <c:pt idx="88">
                  <c:v>1.3108026962014985</c:v>
                </c:pt>
                <c:pt idx="89">
                  <c:v>1.3999198741731655</c:v>
                </c:pt>
                <c:pt idx="90">
                  <c:v>1.4900533631438639</c:v>
                </c:pt>
                <c:pt idx="91">
                  <c:v>1.4666615502783669</c:v>
                </c:pt>
                <c:pt idx="92">
                  <c:v>1.3078427653118057</c:v>
                </c:pt>
                <c:pt idx="93">
                  <c:v>1.1350097976258964</c:v>
                </c:pt>
                <c:pt idx="94">
                  <c:v>0.95503167389777277</c:v>
                </c:pt>
                <c:pt idx="95">
                  <c:v>0.91551202310902202</c:v>
                </c:pt>
                <c:pt idx="96">
                  <c:v>#N/A</c:v>
                </c:pt>
                <c:pt idx="97">
                  <c:v>0.89302910062609941</c:v>
                </c:pt>
                <c:pt idx="98">
                  <c:v>0.91936289488185385</c:v>
                </c:pt>
                <c:pt idx="99">
                  <c:v>1.0354389212519979</c:v>
                </c:pt>
                <c:pt idx="100">
                  <c:v>1.0185304575298086</c:v>
                </c:pt>
                <c:pt idx="101">
                  <c:v>1.0015157592651105</c:v>
                </c:pt>
                <c:pt idx="102">
                  <c:v>0.83566345744506665</c:v>
                </c:pt>
                <c:pt idx="103">
                  <c:v>0.42181895519476725</c:v>
                </c:pt>
                <c:pt idx="104">
                  <c:v>8.8557293484829713E-2</c:v>
                </c:pt>
                <c:pt idx="105">
                  <c:v>-4.6413846486310271E-2</c:v>
                </c:pt>
                <c:pt idx="106">
                  <c:v>-9.5347628753425881E-2</c:v>
                </c:pt>
                <c:pt idx="107">
                  <c:v>-0.14708293048872764</c:v>
                </c:pt>
                <c:pt idx="108">
                  <c:v>#N/A</c:v>
                </c:pt>
                <c:pt idx="109">
                  <c:v>-0.24823011663591377</c:v>
                </c:pt>
                <c:pt idx="110">
                  <c:v>-9.0795870795870828E-2</c:v>
                </c:pt>
                <c:pt idx="111">
                  <c:v>4.4285714285714262E-2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#N/A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#N/A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#N/A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#N/A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#N/A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607-43EB-BEF5-283DD707BA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9114768"/>
        <c:axId val="158753255"/>
      </c:lineChart>
      <c:dateAx>
        <c:axId val="459114768"/>
        <c:scaling>
          <c:orientation val="minMax"/>
        </c:scaling>
        <c:delete val="0"/>
        <c:axPos val="b"/>
        <c:numFmt formatCode="yyyy/mm;@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8753255"/>
        <c:crosses val="autoZero"/>
        <c:auto val="1"/>
        <c:lblOffset val="100"/>
        <c:baseTimeUnit val="months"/>
      </c:dateAx>
      <c:valAx>
        <c:axId val="158753255"/>
        <c:scaling>
          <c:orientation val="minMax"/>
          <c:min val="-3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#,##0.0_ 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9114768"/>
        <c:crosses val="autoZero"/>
        <c:crossBetween val="between"/>
      </c:valAx>
      <c:dateAx>
        <c:axId val="711290233"/>
        <c:scaling>
          <c:orientation val="minMax"/>
        </c:scaling>
        <c:delete val="1"/>
        <c:axPos val="b"/>
        <c:numFmt formatCode="yyyy/m/d;@" sourceLinked="1"/>
        <c:majorTickMark val="out"/>
        <c:minorTickMark val="none"/>
        <c:tickLblPos val="nextTo"/>
        <c:crossAx val="154230829"/>
        <c:crosses val="autoZero"/>
        <c:auto val="1"/>
        <c:lblOffset val="100"/>
        <c:baseTimeUnit val="months"/>
      </c:dateAx>
      <c:valAx>
        <c:axId val="154230829"/>
        <c:scaling>
          <c:orientation val="minMax"/>
          <c:max val="1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11290233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周期整合计算!$C$3</c:f>
              <c:strCache>
                <c:ptCount val="1"/>
                <c:pt idx="0">
                  <c:v>滞涨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周期整合计算!$A$13:$A$185</c:f>
              <c:numCache>
                <c:formatCode>yyyy/m/d;@</c:formatCode>
                <c:ptCount val="173"/>
                <c:pt idx="0">
                  <c:v>45443</c:v>
                </c:pt>
                <c:pt idx="1">
                  <c:v>45412</c:v>
                </c:pt>
                <c:pt idx="2">
                  <c:v>45382</c:v>
                </c:pt>
                <c:pt idx="3">
                  <c:v>45351</c:v>
                </c:pt>
                <c:pt idx="4">
                  <c:v>45322</c:v>
                </c:pt>
                <c:pt idx="5">
                  <c:v>45291</c:v>
                </c:pt>
                <c:pt idx="6">
                  <c:v>45260</c:v>
                </c:pt>
                <c:pt idx="7">
                  <c:v>45230</c:v>
                </c:pt>
                <c:pt idx="8">
                  <c:v>45199</c:v>
                </c:pt>
                <c:pt idx="9">
                  <c:v>45169</c:v>
                </c:pt>
                <c:pt idx="10">
                  <c:v>45138</c:v>
                </c:pt>
                <c:pt idx="11">
                  <c:v>45107</c:v>
                </c:pt>
                <c:pt idx="12">
                  <c:v>45077</c:v>
                </c:pt>
                <c:pt idx="13">
                  <c:v>45046</c:v>
                </c:pt>
                <c:pt idx="14">
                  <c:v>45016</c:v>
                </c:pt>
                <c:pt idx="15">
                  <c:v>44985</c:v>
                </c:pt>
                <c:pt idx="16">
                  <c:v>44957</c:v>
                </c:pt>
                <c:pt idx="17">
                  <c:v>44926</c:v>
                </c:pt>
                <c:pt idx="18">
                  <c:v>44895</c:v>
                </c:pt>
                <c:pt idx="19">
                  <c:v>44865</c:v>
                </c:pt>
                <c:pt idx="20">
                  <c:v>44834</c:v>
                </c:pt>
                <c:pt idx="21">
                  <c:v>44804</c:v>
                </c:pt>
                <c:pt idx="22">
                  <c:v>44773</c:v>
                </c:pt>
                <c:pt idx="23">
                  <c:v>44742</c:v>
                </c:pt>
                <c:pt idx="24">
                  <c:v>44712</c:v>
                </c:pt>
                <c:pt idx="25">
                  <c:v>44681</c:v>
                </c:pt>
                <c:pt idx="26">
                  <c:v>44651</c:v>
                </c:pt>
                <c:pt idx="27">
                  <c:v>44620</c:v>
                </c:pt>
                <c:pt idx="28">
                  <c:v>44592</c:v>
                </c:pt>
                <c:pt idx="29">
                  <c:v>44561</c:v>
                </c:pt>
                <c:pt idx="30">
                  <c:v>44530</c:v>
                </c:pt>
                <c:pt idx="31">
                  <c:v>44500</c:v>
                </c:pt>
                <c:pt idx="32">
                  <c:v>44469</c:v>
                </c:pt>
                <c:pt idx="33">
                  <c:v>44439</c:v>
                </c:pt>
                <c:pt idx="34">
                  <c:v>44408</c:v>
                </c:pt>
                <c:pt idx="35">
                  <c:v>44377</c:v>
                </c:pt>
                <c:pt idx="36">
                  <c:v>44347</c:v>
                </c:pt>
                <c:pt idx="37">
                  <c:v>44316</c:v>
                </c:pt>
                <c:pt idx="38">
                  <c:v>44286</c:v>
                </c:pt>
                <c:pt idx="39">
                  <c:v>44255</c:v>
                </c:pt>
                <c:pt idx="40">
                  <c:v>44227</c:v>
                </c:pt>
                <c:pt idx="41">
                  <c:v>44196</c:v>
                </c:pt>
                <c:pt idx="42">
                  <c:v>44165</c:v>
                </c:pt>
                <c:pt idx="43">
                  <c:v>44135</c:v>
                </c:pt>
                <c:pt idx="44">
                  <c:v>44104</c:v>
                </c:pt>
                <c:pt idx="45">
                  <c:v>44074</c:v>
                </c:pt>
                <c:pt idx="46">
                  <c:v>44043</c:v>
                </c:pt>
                <c:pt idx="47">
                  <c:v>44012</c:v>
                </c:pt>
                <c:pt idx="48">
                  <c:v>43982</c:v>
                </c:pt>
                <c:pt idx="49">
                  <c:v>43951</c:v>
                </c:pt>
                <c:pt idx="50">
                  <c:v>43921</c:v>
                </c:pt>
                <c:pt idx="51">
                  <c:v>43890</c:v>
                </c:pt>
                <c:pt idx="52">
                  <c:v>43861</c:v>
                </c:pt>
                <c:pt idx="53">
                  <c:v>43830</c:v>
                </c:pt>
                <c:pt idx="54">
                  <c:v>43799</c:v>
                </c:pt>
                <c:pt idx="55">
                  <c:v>43769</c:v>
                </c:pt>
                <c:pt idx="56">
                  <c:v>43738</c:v>
                </c:pt>
                <c:pt idx="57">
                  <c:v>43708</c:v>
                </c:pt>
                <c:pt idx="58">
                  <c:v>43677</c:v>
                </c:pt>
                <c:pt idx="59">
                  <c:v>43646</c:v>
                </c:pt>
                <c:pt idx="60">
                  <c:v>43616</c:v>
                </c:pt>
                <c:pt idx="61">
                  <c:v>43585</c:v>
                </c:pt>
                <c:pt idx="62">
                  <c:v>43555</c:v>
                </c:pt>
                <c:pt idx="63">
                  <c:v>43524</c:v>
                </c:pt>
                <c:pt idx="64">
                  <c:v>43496</c:v>
                </c:pt>
                <c:pt idx="65">
                  <c:v>43465</c:v>
                </c:pt>
                <c:pt idx="66">
                  <c:v>43434</c:v>
                </c:pt>
                <c:pt idx="67">
                  <c:v>43404</c:v>
                </c:pt>
                <c:pt idx="68">
                  <c:v>43373</c:v>
                </c:pt>
                <c:pt idx="69">
                  <c:v>43343</c:v>
                </c:pt>
                <c:pt idx="70">
                  <c:v>43312</c:v>
                </c:pt>
                <c:pt idx="71">
                  <c:v>43281</c:v>
                </c:pt>
                <c:pt idx="72">
                  <c:v>43251</c:v>
                </c:pt>
                <c:pt idx="73">
                  <c:v>43220</c:v>
                </c:pt>
                <c:pt idx="74">
                  <c:v>43190</c:v>
                </c:pt>
                <c:pt idx="75">
                  <c:v>43159</c:v>
                </c:pt>
                <c:pt idx="76">
                  <c:v>43131</c:v>
                </c:pt>
                <c:pt idx="77">
                  <c:v>43100</c:v>
                </c:pt>
                <c:pt idx="78">
                  <c:v>43069</c:v>
                </c:pt>
                <c:pt idx="79">
                  <c:v>43039</c:v>
                </c:pt>
                <c:pt idx="80">
                  <c:v>43008</c:v>
                </c:pt>
                <c:pt idx="81">
                  <c:v>42978</c:v>
                </c:pt>
                <c:pt idx="82">
                  <c:v>42947</c:v>
                </c:pt>
                <c:pt idx="83">
                  <c:v>42916</c:v>
                </c:pt>
                <c:pt idx="84">
                  <c:v>42886</c:v>
                </c:pt>
                <c:pt idx="85">
                  <c:v>42855</c:v>
                </c:pt>
                <c:pt idx="86">
                  <c:v>42825</c:v>
                </c:pt>
                <c:pt idx="87">
                  <c:v>42794</c:v>
                </c:pt>
                <c:pt idx="88">
                  <c:v>42766</c:v>
                </c:pt>
                <c:pt idx="89">
                  <c:v>42735</c:v>
                </c:pt>
                <c:pt idx="90">
                  <c:v>42704</c:v>
                </c:pt>
                <c:pt idx="91">
                  <c:v>42674</c:v>
                </c:pt>
                <c:pt idx="92">
                  <c:v>42643</c:v>
                </c:pt>
                <c:pt idx="93">
                  <c:v>42613</c:v>
                </c:pt>
                <c:pt idx="94">
                  <c:v>42582</c:v>
                </c:pt>
                <c:pt idx="95">
                  <c:v>42551</c:v>
                </c:pt>
                <c:pt idx="96">
                  <c:v>42521</c:v>
                </c:pt>
                <c:pt idx="97">
                  <c:v>42490</c:v>
                </c:pt>
                <c:pt idx="98">
                  <c:v>42460</c:v>
                </c:pt>
                <c:pt idx="99">
                  <c:v>42429</c:v>
                </c:pt>
                <c:pt idx="100">
                  <c:v>42400</c:v>
                </c:pt>
                <c:pt idx="101">
                  <c:v>42369</c:v>
                </c:pt>
                <c:pt idx="102">
                  <c:v>42338</c:v>
                </c:pt>
                <c:pt idx="103">
                  <c:v>42308</c:v>
                </c:pt>
                <c:pt idx="104">
                  <c:v>42277</c:v>
                </c:pt>
                <c:pt idx="105">
                  <c:v>42247</c:v>
                </c:pt>
                <c:pt idx="106">
                  <c:v>42216</c:v>
                </c:pt>
                <c:pt idx="107">
                  <c:v>42185</c:v>
                </c:pt>
                <c:pt idx="108">
                  <c:v>42155</c:v>
                </c:pt>
                <c:pt idx="109">
                  <c:v>42124</c:v>
                </c:pt>
                <c:pt idx="110">
                  <c:v>42094</c:v>
                </c:pt>
                <c:pt idx="111">
                  <c:v>42063</c:v>
                </c:pt>
                <c:pt idx="112">
                  <c:v>42035</c:v>
                </c:pt>
                <c:pt idx="113">
                  <c:v>42004</c:v>
                </c:pt>
                <c:pt idx="114">
                  <c:v>41973</c:v>
                </c:pt>
                <c:pt idx="115">
                  <c:v>41943</c:v>
                </c:pt>
                <c:pt idx="116">
                  <c:v>41912</c:v>
                </c:pt>
                <c:pt idx="117">
                  <c:v>41882</c:v>
                </c:pt>
                <c:pt idx="118">
                  <c:v>41851</c:v>
                </c:pt>
                <c:pt idx="119">
                  <c:v>41820</c:v>
                </c:pt>
                <c:pt idx="120">
                  <c:v>41790</c:v>
                </c:pt>
                <c:pt idx="121">
                  <c:v>41759</c:v>
                </c:pt>
                <c:pt idx="122">
                  <c:v>41729</c:v>
                </c:pt>
                <c:pt idx="123">
                  <c:v>41698</c:v>
                </c:pt>
                <c:pt idx="124">
                  <c:v>41670</c:v>
                </c:pt>
                <c:pt idx="125">
                  <c:v>41639</c:v>
                </c:pt>
                <c:pt idx="126">
                  <c:v>41608</c:v>
                </c:pt>
                <c:pt idx="127">
                  <c:v>41578</c:v>
                </c:pt>
                <c:pt idx="128">
                  <c:v>41547</c:v>
                </c:pt>
                <c:pt idx="129">
                  <c:v>41517</c:v>
                </c:pt>
                <c:pt idx="130">
                  <c:v>41486</c:v>
                </c:pt>
                <c:pt idx="131">
                  <c:v>41455</c:v>
                </c:pt>
                <c:pt idx="132">
                  <c:v>41425</c:v>
                </c:pt>
                <c:pt idx="133">
                  <c:v>41394</c:v>
                </c:pt>
                <c:pt idx="134">
                  <c:v>41364</c:v>
                </c:pt>
                <c:pt idx="135">
                  <c:v>41333</c:v>
                </c:pt>
                <c:pt idx="136">
                  <c:v>41305</c:v>
                </c:pt>
                <c:pt idx="137">
                  <c:v>41274</c:v>
                </c:pt>
                <c:pt idx="138">
                  <c:v>41243</c:v>
                </c:pt>
                <c:pt idx="139">
                  <c:v>41213</c:v>
                </c:pt>
                <c:pt idx="140">
                  <c:v>41182</c:v>
                </c:pt>
                <c:pt idx="141">
                  <c:v>41152</c:v>
                </c:pt>
                <c:pt idx="142">
                  <c:v>41121</c:v>
                </c:pt>
                <c:pt idx="143">
                  <c:v>41090</c:v>
                </c:pt>
                <c:pt idx="144">
                  <c:v>41060</c:v>
                </c:pt>
                <c:pt idx="145">
                  <c:v>41029</c:v>
                </c:pt>
                <c:pt idx="146">
                  <c:v>40999</c:v>
                </c:pt>
                <c:pt idx="147">
                  <c:v>40968</c:v>
                </c:pt>
                <c:pt idx="148">
                  <c:v>40939</c:v>
                </c:pt>
                <c:pt idx="149">
                  <c:v>40908</c:v>
                </c:pt>
                <c:pt idx="150">
                  <c:v>40877</c:v>
                </c:pt>
                <c:pt idx="151">
                  <c:v>40847</c:v>
                </c:pt>
                <c:pt idx="152">
                  <c:v>40816</c:v>
                </c:pt>
                <c:pt idx="153">
                  <c:v>40786</c:v>
                </c:pt>
                <c:pt idx="154">
                  <c:v>40755</c:v>
                </c:pt>
                <c:pt idx="155">
                  <c:v>40724</c:v>
                </c:pt>
                <c:pt idx="156">
                  <c:v>40694</c:v>
                </c:pt>
                <c:pt idx="157">
                  <c:v>40663</c:v>
                </c:pt>
                <c:pt idx="158">
                  <c:v>40633</c:v>
                </c:pt>
                <c:pt idx="159">
                  <c:v>40602</c:v>
                </c:pt>
                <c:pt idx="160">
                  <c:v>40574</c:v>
                </c:pt>
                <c:pt idx="161">
                  <c:v>40543</c:v>
                </c:pt>
                <c:pt idx="162">
                  <c:v>40512</c:v>
                </c:pt>
                <c:pt idx="163">
                  <c:v>40482</c:v>
                </c:pt>
                <c:pt idx="164">
                  <c:v>40451</c:v>
                </c:pt>
                <c:pt idx="165">
                  <c:v>40421</c:v>
                </c:pt>
                <c:pt idx="166">
                  <c:v>40390</c:v>
                </c:pt>
                <c:pt idx="167">
                  <c:v>40359</c:v>
                </c:pt>
                <c:pt idx="168">
                  <c:v>40329</c:v>
                </c:pt>
                <c:pt idx="169">
                  <c:v>40298</c:v>
                </c:pt>
                <c:pt idx="170">
                  <c:v>40268</c:v>
                </c:pt>
                <c:pt idx="171">
                  <c:v>40237</c:v>
                </c:pt>
                <c:pt idx="172">
                  <c:v>40209</c:v>
                </c:pt>
              </c:numCache>
            </c:numRef>
          </c:cat>
          <c:val>
            <c:numRef>
              <c:f>周期整合计算!$C$13:$C$185</c:f>
              <c:numCache>
                <c:formatCode>General</c:formatCode>
                <c:ptCount val="17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56-40D9-BA9A-2E0EEA5FAE49}"/>
            </c:ext>
          </c:extLst>
        </c:ser>
        <c:ser>
          <c:idx val="2"/>
          <c:order val="2"/>
          <c:tx>
            <c:strRef>
              <c:f>周期整合计算!$D$3</c:f>
              <c:strCache>
                <c:ptCount val="1"/>
                <c:pt idx="0">
                  <c:v>衰退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周期整合计算!$A$13:$A$185</c:f>
              <c:numCache>
                <c:formatCode>yyyy/m/d;@</c:formatCode>
                <c:ptCount val="173"/>
                <c:pt idx="0">
                  <c:v>45443</c:v>
                </c:pt>
                <c:pt idx="1">
                  <c:v>45412</c:v>
                </c:pt>
                <c:pt idx="2">
                  <c:v>45382</c:v>
                </c:pt>
                <c:pt idx="3">
                  <c:v>45351</c:v>
                </c:pt>
                <c:pt idx="4">
                  <c:v>45322</c:v>
                </c:pt>
                <c:pt idx="5">
                  <c:v>45291</c:v>
                </c:pt>
                <c:pt idx="6">
                  <c:v>45260</c:v>
                </c:pt>
                <c:pt idx="7">
                  <c:v>45230</c:v>
                </c:pt>
                <c:pt idx="8">
                  <c:v>45199</c:v>
                </c:pt>
                <c:pt idx="9">
                  <c:v>45169</c:v>
                </c:pt>
                <c:pt idx="10">
                  <c:v>45138</c:v>
                </c:pt>
                <c:pt idx="11">
                  <c:v>45107</c:v>
                </c:pt>
                <c:pt idx="12">
                  <c:v>45077</c:v>
                </c:pt>
                <c:pt idx="13">
                  <c:v>45046</c:v>
                </c:pt>
                <c:pt idx="14">
                  <c:v>45016</c:v>
                </c:pt>
                <c:pt idx="15">
                  <c:v>44985</c:v>
                </c:pt>
                <c:pt idx="16">
                  <c:v>44957</c:v>
                </c:pt>
                <c:pt idx="17">
                  <c:v>44926</c:v>
                </c:pt>
                <c:pt idx="18">
                  <c:v>44895</c:v>
                </c:pt>
                <c:pt idx="19">
                  <c:v>44865</c:v>
                </c:pt>
                <c:pt idx="20">
                  <c:v>44834</c:v>
                </c:pt>
                <c:pt idx="21">
                  <c:v>44804</c:v>
                </c:pt>
                <c:pt idx="22">
                  <c:v>44773</c:v>
                </c:pt>
                <c:pt idx="23">
                  <c:v>44742</c:v>
                </c:pt>
                <c:pt idx="24">
                  <c:v>44712</c:v>
                </c:pt>
                <c:pt idx="25">
                  <c:v>44681</c:v>
                </c:pt>
                <c:pt idx="26">
                  <c:v>44651</c:v>
                </c:pt>
                <c:pt idx="27">
                  <c:v>44620</c:v>
                </c:pt>
                <c:pt idx="28">
                  <c:v>44592</c:v>
                </c:pt>
                <c:pt idx="29">
                  <c:v>44561</c:v>
                </c:pt>
                <c:pt idx="30">
                  <c:v>44530</c:v>
                </c:pt>
                <c:pt idx="31">
                  <c:v>44500</c:v>
                </c:pt>
                <c:pt idx="32">
                  <c:v>44469</c:v>
                </c:pt>
                <c:pt idx="33">
                  <c:v>44439</c:v>
                </c:pt>
                <c:pt idx="34">
                  <c:v>44408</c:v>
                </c:pt>
                <c:pt idx="35">
                  <c:v>44377</c:v>
                </c:pt>
                <c:pt idx="36">
                  <c:v>44347</c:v>
                </c:pt>
                <c:pt idx="37">
                  <c:v>44316</c:v>
                </c:pt>
                <c:pt idx="38">
                  <c:v>44286</c:v>
                </c:pt>
                <c:pt idx="39">
                  <c:v>44255</c:v>
                </c:pt>
                <c:pt idx="40">
                  <c:v>44227</c:v>
                </c:pt>
                <c:pt idx="41">
                  <c:v>44196</c:v>
                </c:pt>
                <c:pt idx="42">
                  <c:v>44165</c:v>
                </c:pt>
                <c:pt idx="43">
                  <c:v>44135</c:v>
                </c:pt>
                <c:pt idx="44">
                  <c:v>44104</c:v>
                </c:pt>
                <c:pt idx="45">
                  <c:v>44074</c:v>
                </c:pt>
                <c:pt idx="46">
                  <c:v>44043</c:v>
                </c:pt>
                <c:pt idx="47">
                  <c:v>44012</c:v>
                </c:pt>
                <c:pt idx="48">
                  <c:v>43982</c:v>
                </c:pt>
                <c:pt idx="49">
                  <c:v>43951</c:v>
                </c:pt>
                <c:pt idx="50">
                  <c:v>43921</c:v>
                </c:pt>
                <c:pt idx="51">
                  <c:v>43890</c:v>
                </c:pt>
                <c:pt idx="52">
                  <c:v>43861</c:v>
                </c:pt>
                <c:pt idx="53">
                  <c:v>43830</c:v>
                </c:pt>
                <c:pt idx="54">
                  <c:v>43799</c:v>
                </c:pt>
                <c:pt idx="55">
                  <c:v>43769</c:v>
                </c:pt>
                <c:pt idx="56">
                  <c:v>43738</c:v>
                </c:pt>
                <c:pt idx="57">
                  <c:v>43708</c:v>
                </c:pt>
                <c:pt idx="58">
                  <c:v>43677</c:v>
                </c:pt>
                <c:pt idx="59">
                  <c:v>43646</c:v>
                </c:pt>
                <c:pt idx="60">
                  <c:v>43616</c:v>
                </c:pt>
                <c:pt idx="61">
                  <c:v>43585</c:v>
                </c:pt>
                <c:pt idx="62">
                  <c:v>43555</c:v>
                </c:pt>
                <c:pt idx="63">
                  <c:v>43524</c:v>
                </c:pt>
                <c:pt idx="64">
                  <c:v>43496</c:v>
                </c:pt>
                <c:pt idx="65">
                  <c:v>43465</c:v>
                </c:pt>
                <c:pt idx="66">
                  <c:v>43434</c:v>
                </c:pt>
                <c:pt idx="67">
                  <c:v>43404</c:v>
                </c:pt>
                <c:pt idx="68">
                  <c:v>43373</c:v>
                </c:pt>
                <c:pt idx="69">
                  <c:v>43343</c:v>
                </c:pt>
                <c:pt idx="70">
                  <c:v>43312</c:v>
                </c:pt>
                <c:pt idx="71">
                  <c:v>43281</c:v>
                </c:pt>
                <c:pt idx="72">
                  <c:v>43251</c:v>
                </c:pt>
                <c:pt idx="73">
                  <c:v>43220</c:v>
                </c:pt>
                <c:pt idx="74">
                  <c:v>43190</c:v>
                </c:pt>
                <c:pt idx="75">
                  <c:v>43159</c:v>
                </c:pt>
                <c:pt idx="76">
                  <c:v>43131</c:v>
                </c:pt>
                <c:pt idx="77">
                  <c:v>43100</c:v>
                </c:pt>
                <c:pt idx="78">
                  <c:v>43069</c:v>
                </c:pt>
                <c:pt idx="79">
                  <c:v>43039</c:v>
                </c:pt>
                <c:pt idx="80">
                  <c:v>43008</c:v>
                </c:pt>
                <c:pt idx="81">
                  <c:v>42978</c:v>
                </c:pt>
                <c:pt idx="82">
                  <c:v>42947</c:v>
                </c:pt>
                <c:pt idx="83">
                  <c:v>42916</c:v>
                </c:pt>
                <c:pt idx="84">
                  <c:v>42886</c:v>
                </c:pt>
                <c:pt idx="85">
                  <c:v>42855</c:v>
                </c:pt>
                <c:pt idx="86">
                  <c:v>42825</c:v>
                </c:pt>
                <c:pt idx="87">
                  <c:v>42794</c:v>
                </c:pt>
                <c:pt idx="88">
                  <c:v>42766</c:v>
                </c:pt>
                <c:pt idx="89">
                  <c:v>42735</c:v>
                </c:pt>
                <c:pt idx="90">
                  <c:v>42704</c:v>
                </c:pt>
                <c:pt idx="91">
                  <c:v>42674</c:v>
                </c:pt>
                <c:pt idx="92">
                  <c:v>42643</c:v>
                </c:pt>
                <c:pt idx="93">
                  <c:v>42613</c:v>
                </c:pt>
                <c:pt idx="94">
                  <c:v>42582</c:v>
                </c:pt>
                <c:pt idx="95">
                  <c:v>42551</c:v>
                </c:pt>
                <c:pt idx="96">
                  <c:v>42521</c:v>
                </c:pt>
                <c:pt idx="97">
                  <c:v>42490</c:v>
                </c:pt>
                <c:pt idx="98">
                  <c:v>42460</c:v>
                </c:pt>
                <c:pt idx="99">
                  <c:v>42429</c:v>
                </c:pt>
                <c:pt idx="100">
                  <c:v>42400</c:v>
                </c:pt>
                <c:pt idx="101">
                  <c:v>42369</c:v>
                </c:pt>
                <c:pt idx="102">
                  <c:v>42338</c:v>
                </c:pt>
                <c:pt idx="103">
                  <c:v>42308</c:v>
                </c:pt>
                <c:pt idx="104">
                  <c:v>42277</c:v>
                </c:pt>
                <c:pt idx="105">
                  <c:v>42247</c:v>
                </c:pt>
                <c:pt idx="106">
                  <c:v>42216</c:v>
                </c:pt>
                <c:pt idx="107">
                  <c:v>42185</c:v>
                </c:pt>
                <c:pt idx="108">
                  <c:v>42155</c:v>
                </c:pt>
                <c:pt idx="109">
                  <c:v>42124</c:v>
                </c:pt>
                <c:pt idx="110">
                  <c:v>42094</c:v>
                </c:pt>
                <c:pt idx="111">
                  <c:v>42063</c:v>
                </c:pt>
                <c:pt idx="112">
                  <c:v>42035</c:v>
                </c:pt>
                <c:pt idx="113">
                  <c:v>42004</c:v>
                </c:pt>
                <c:pt idx="114">
                  <c:v>41973</c:v>
                </c:pt>
                <c:pt idx="115">
                  <c:v>41943</c:v>
                </c:pt>
                <c:pt idx="116">
                  <c:v>41912</c:v>
                </c:pt>
                <c:pt idx="117">
                  <c:v>41882</c:v>
                </c:pt>
                <c:pt idx="118">
                  <c:v>41851</c:v>
                </c:pt>
                <c:pt idx="119">
                  <c:v>41820</c:v>
                </c:pt>
                <c:pt idx="120">
                  <c:v>41790</c:v>
                </c:pt>
                <c:pt idx="121">
                  <c:v>41759</c:v>
                </c:pt>
                <c:pt idx="122">
                  <c:v>41729</c:v>
                </c:pt>
                <c:pt idx="123">
                  <c:v>41698</c:v>
                </c:pt>
                <c:pt idx="124">
                  <c:v>41670</c:v>
                </c:pt>
                <c:pt idx="125">
                  <c:v>41639</c:v>
                </c:pt>
                <c:pt idx="126">
                  <c:v>41608</c:v>
                </c:pt>
                <c:pt idx="127">
                  <c:v>41578</c:v>
                </c:pt>
                <c:pt idx="128">
                  <c:v>41547</c:v>
                </c:pt>
                <c:pt idx="129">
                  <c:v>41517</c:v>
                </c:pt>
                <c:pt idx="130">
                  <c:v>41486</c:v>
                </c:pt>
                <c:pt idx="131">
                  <c:v>41455</c:v>
                </c:pt>
                <c:pt idx="132">
                  <c:v>41425</c:v>
                </c:pt>
                <c:pt idx="133">
                  <c:v>41394</c:v>
                </c:pt>
                <c:pt idx="134">
                  <c:v>41364</c:v>
                </c:pt>
                <c:pt idx="135">
                  <c:v>41333</c:v>
                </c:pt>
                <c:pt idx="136">
                  <c:v>41305</c:v>
                </c:pt>
                <c:pt idx="137">
                  <c:v>41274</c:v>
                </c:pt>
                <c:pt idx="138">
                  <c:v>41243</c:v>
                </c:pt>
                <c:pt idx="139">
                  <c:v>41213</c:v>
                </c:pt>
                <c:pt idx="140">
                  <c:v>41182</c:v>
                </c:pt>
                <c:pt idx="141">
                  <c:v>41152</c:v>
                </c:pt>
                <c:pt idx="142">
                  <c:v>41121</c:v>
                </c:pt>
                <c:pt idx="143">
                  <c:v>41090</c:v>
                </c:pt>
                <c:pt idx="144">
                  <c:v>41060</c:v>
                </c:pt>
                <c:pt idx="145">
                  <c:v>41029</c:v>
                </c:pt>
                <c:pt idx="146">
                  <c:v>40999</c:v>
                </c:pt>
                <c:pt idx="147">
                  <c:v>40968</c:v>
                </c:pt>
                <c:pt idx="148">
                  <c:v>40939</c:v>
                </c:pt>
                <c:pt idx="149">
                  <c:v>40908</c:v>
                </c:pt>
                <c:pt idx="150">
                  <c:v>40877</c:v>
                </c:pt>
                <c:pt idx="151">
                  <c:v>40847</c:v>
                </c:pt>
                <c:pt idx="152">
                  <c:v>40816</c:v>
                </c:pt>
                <c:pt idx="153">
                  <c:v>40786</c:v>
                </c:pt>
                <c:pt idx="154">
                  <c:v>40755</c:v>
                </c:pt>
                <c:pt idx="155">
                  <c:v>40724</c:v>
                </c:pt>
                <c:pt idx="156">
                  <c:v>40694</c:v>
                </c:pt>
                <c:pt idx="157">
                  <c:v>40663</c:v>
                </c:pt>
                <c:pt idx="158">
                  <c:v>40633</c:v>
                </c:pt>
                <c:pt idx="159">
                  <c:v>40602</c:v>
                </c:pt>
                <c:pt idx="160">
                  <c:v>40574</c:v>
                </c:pt>
                <c:pt idx="161">
                  <c:v>40543</c:v>
                </c:pt>
                <c:pt idx="162">
                  <c:v>40512</c:v>
                </c:pt>
                <c:pt idx="163">
                  <c:v>40482</c:v>
                </c:pt>
                <c:pt idx="164">
                  <c:v>40451</c:v>
                </c:pt>
                <c:pt idx="165">
                  <c:v>40421</c:v>
                </c:pt>
                <c:pt idx="166">
                  <c:v>40390</c:v>
                </c:pt>
                <c:pt idx="167">
                  <c:v>40359</c:v>
                </c:pt>
                <c:pt idx="168">
                  <c:v>40329</c:v>
                </c:pt>
                <c:pt idx="169">
                  <c:v>40298</c:v>
                </c:pt>
                <c:pt idx="170">
                  <c:v>40268</c:v>
                </c:pt>
                <c:pt idx="171">
                  <c:v>40237</c:v>
                </c:pt>
                <c:pt idx="172">
                  <c:v>40209</c:v>
                </c:pt>
              </c:numCache>
            </c:numRef>
          </c:cat>
          <c:val>
            <c:numRef>
              <c:f>周期整合计算!$D$13:$D$185</c:f>
              <c:numCache>
                <c:formatCode>General</c:formatCode>
                <c:ptCount val="17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56-40D9-BA9A-2E0EEA5FAE49}"/>
            </c:ext>
          </c:extLst>
        </c:ser>
        <c:ser>
          <c:idx val="3"/>
          <c:order val="3"/>
          <c:tx>
            <c:strRef>
              <c:f>周期整合计算!$E$3</c:f>
              <c:strCache>
                <c:ptCount val="1"/>
                <c:pt idx="0">
                  <c:v>复苏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周期整合计算!$A$13:$A$185</c:f>
              <c:numCache>
                <c:formatCode>yyyy/m/d;@</c:formatCode>
                <c:ptCount val="173"/>
                <c:pt idx="0">
                  <c:v>45443</c:v>
                </c:pt>
                <c:pt idx="1">
                  <c:v>45412</c:v>
                </c:pt>
                <c:pt idx="2">
                  <c:v>45382</c:v>
                </c:pt>
                <c:pt idx="3">
                  <c:v>45351</c:v>
                </c:pt>
                <c:pt idx="4">
                  <c:v>45322</c:v>
                </c:pt>
                <c:pt idx="5">
                  <c:v>45291</c:v>
                </c:pt>
                <c:pt idx="6">
                  <c:v>45260</c:v>
                </c:pt>
                <c:pt idx="7">
                  <c:v>45230</c:v>
                </c:pt>
                <c:pt idx="8">
                  <c:v>45199</c:v>
                </c:pt>
                <c:pt idx="9">
                  <c:v>45169</c:v>
                </c:pt>
                <c:pt idx="10">
                  <c:v>45138</c:v>
                </c:pt>
                <c:pt idx="11">
                  <c:v>45107</c:v>
                </c:pt>
                <c:pt idx="12">
                  <c:v>45077</c:v>
                </c:pt>
                <c:pt idx="13">
                  <c:v>45046</c:v>
                </c:pt>
                <c:pt idx="14">
                  <c:v>45016</c:v>
                </c:pt>
                <c:pt idx="15">
                  <c:v>44985</c:v>
                </c:pt>
                <c:pt idx="16">
                  <c:v>44957</c:v>
                </c:pt>
                <c:pt idx="17">
                  <c:v>44926</c:v>
                </c:pt>
                <c:pt idx="18">
                  <c:v>44895</c:v>
                </c:pt>
                <c:pt idx="19">
                  <c:v>44865</c:v>
                </c:pt>
                <c:pt idx="20">
                  <c:v>44834</c:v>
                </c:pt>
                <c:pt idx="21">
                  <c:v>44804</c:v>
                </c:pt>
                <c:pt idx="22">
                  <c:v>44773</c:v>
                </c:pt>
                <c:pt idx="23">
                  <c:v>44742</c:v>
                </c:pt>
                <c:pt idx="24">
                  <c:v>44712</c:v>
                </c:pt>
                <c:pt idx="25">
                  <c:v>44681</c:v>
                </c:pt>
                <c:pt idx="26">
                  <c:v>44651</c:v>
                </c:pt>
                <c:pt idx="27">
                  <c:v>44620</c:v>
                </c:pt>
                <c:pt idx="28">
                  <c:v>44592</c:v>
                </c:pt>
                <c:pt idx="29">
                  <c:v>44561</c:v>
                </c:pt>
                <c:pt idx="30">
                  <c:v>44530</c:v>
                </c:pt>
                <c:pt idx="31">
                  <c:v>44500</c:v>
                </c:pt>
                <c:pt idx="32">
                  <c:v>44469</c:v>
                </c:pt>
                <c:pt idx="33">
                  <c:v>44439</c:v>
                </c:pt>
                <c:pt idx="34">
                  <c:v>44408</c:v>
                </c:pt>
                <c:pt idx="35">
                  <c:v>44377</c:v>
                </c:pt>
                <c:pt idx="36">
                  <c:v>44347</c:v>
                </c:pt>
                <c:pt idx="37">
                  <c:v>44316</c:v>
                </c:pt>
                <c:pt idx="38">
                  <c:v>44286</c:v>
                </c:pt>
                <c:pt idx="39">
                  <c:v>44255</c:v>
                </c:pt>
                <c:pt idx="40">
                  <c:v>44227</c:v>
                </c:pt>
                <c:pt idx="41">
                  <c:v>44196</c:v>
                </c:pt>
                <c:pt idx="42">
                  <c:v>44165</c:v>
                </c:pt>
                <c:pt idx="43">
                  <c:v>44135</c:v>
                </c:pt>
                <c:pt idx="44">
                  <c:v>44104</c:v>
                </c:pt>
                <c:pt idx="45">
                  <c:v>44074</c:v>
                </c:pt>
                <c:pt idx="46">
                  <c:v>44043</c:v>
                </c:pt>
                <c:pt idx="47">
                  <c:v>44012</c:v>
                </c:pt>
                <c:pt idx="48">
                  <c:v>43982</c:v>
                </c:pt>
                <c:pt idx="49">
                  <c:v>43951</c:v>
                </c:pt>
                <c:pt idx="50">
                  <c:v>43921</c:v>
                </c:pt>
                <c:pt idx="51">
                  <c:v>43890</c:v>
                </c:pt>
                <c:pt idx="52">
                  <c:v>43861</c:v>
                </c:pt>
                <c:pt idx="53">
                  <c:v>43830</c:v>
                </c:pt>
                <c:pt idx="54">
                  <c:v>43799</c:v>
                </c:pt>
                <c:pt idx="55">
                  <c:v>43769</c:v>
                </c:pt>
                <c:pt idx="56">
                  <c:v>43738</c:v>
                </c:pt>
                <c:pt idx="57">
                  <c:v>43708</c:v>
                </c:pt>
                <c:pt idx="58">
                  <c:v>43677</c:v>
                </c:pt>
                <c:pt idx="59">
                  <c:v>43646</c:v>
                </c:pt>
                <c:pt idx="60">
                  <c:v>43616</c:v>
                </c:pt>
                <c:pt idx="61">
                  <c:v>43585</c:v>
                </c:pt>
                <c:pt idx="62">
                  <c:v>43555</c:v>
                </c:pt>
                <c:pt idx="63">
                  <c:v>43524</c:v>
                </c:pt>
                <c:pt idx="64">
                  <c:v>43496</c:v>
                </c:pt>
                <c:pt idx="65">
                  <c:v>43465</c:v>
                </c:pt>
                <c:pt idx="66">
                  <c:v>43434</c:v>
                </c:pt>
                <c:pt idx="67">
                  <c:v>43404</c:v>
                </c:pt>
                <c:pt idx="68">
                  <c:v>43373</c:v>
                </c:pt>
                <c:pt idx="69">
                  <c:v>43343</c:v>
                </c:pt>
                <c:pt idx="70">
                  <c:v>43312</c:v>
                </c:pt>
                <c:pt idx="71">
                  <c:v>43281</c:v>
                </c:pt>
                <c:pt idx="72">
                  <c:v>43251</c:v>
                </c:pt>
                <c:pt idx="73">
                  <c:v>43220</c:v>
                </c:pt>
                <c:pt idx="74">
                  <c:v>43190</c:v>
                </c:pt>
                <c:pt idx="75">
                  <c:v>43159</c:v>
                </c:pt>
                <c:pt idx="76">
                  <c:v>43131</c:v>
                </c:pt>
                <c:pt idx="77">
                  <c:v>43100</c:v>
                </c:pt>
                <c:pt idx="78">
                  <c:v>43069</c:v>
                </c:pt>
                <c:pt idx="79">
                  <c:v>43039</c:v>
                </c:pt>
                <c:pt idx="80">
                  <c:v>43008</c:v>
                </c:pt>
                <c:pt idx="81">
                  <c:v>42978</c:v>
                </c:pt>
                <c:pt idx="82">
                  <c:v>42947</c:v>
                </c:pt>
                <c:pt idx="83">
                  <c:v>42916</c:v>
                </c:pt>
                <c:pt idx="84">
                  <c:v>42886</c:v>
                </c:pt>
                <c:pt idx="85">
                  <c:v>42855</c:v>
                </c:pt>
                <c:pt idx="86">
                  <c:v>42825</c:v>
                </c:pt>
                <c:pt idx="87">
                  <c:v>42794</c:v>
                </c:pt>
                <c:pt idx="88">
                  <c:v>42766</c:v>
                </c:pt>
                <c:pt idx="89">
                  <c:v>42735</c:v>
                </c:pt>
                <c:pt idx="90">
                  <c:v>42704</c:v>
                </c:pt>
                <c:pt idx="91">
                  <c:v>42674</c:v>
                </c:pt>
                <c:pt idx="92">
                  <c:v>42643</c:v>
                </c:pt>
                <c:pt idx="93">
                  <c:v>42613</c:v>
                </c:pt>
                <c:pt idx="94">
                  <c:v>42582</c:v>
                </c:pt>
                <c:pt idx="95">
                  <c:v>42551</c:v>
                </c:pt>
                <c:pt idx="96">
                  <c:v>42521</c:v>
                </c:pt>
                <c:pt idx="97">
                  <c:v>42490</c:v>
                </c:pt>
                <c:pt idx="98">
                  <c:v>42460</c:v>
                </c:pt>
                <c:pt idx="99">
                  <c:v>42429</c:v>
                </c:pt>
                <c:pt idx="100">
                  <c:v>42400</c:v>
                </c:pt>
                <c:pt idx="101">
                  <c:v>42369</c:v>
                </c:pt>
                <c:pt idx="102">
                  <c:v>42338</c:v>
                </c:pt>
                <c:pt idx="103">
                  <c:v>42308</c:v>
                </c:pt>
                <c:pt idx="104">
                  <c:v>42277</c:v>
                </c:pt>
                <c:pt idx="105">
                  <c:v>42247</c:v>
                </c:pt>
                <c:pt idx="106">
                  <c:v>42216</c:v>
                </c:pt>
                <c:pt idx="107">
                  <c:v>42185</c:v>
                </c:pt>
                <c:pt idx="108">
                  <c:v>42155</c:v>
                </c:pt>
                <c:pt idx="109">
                  <c:v>42124</c:v>
                </c:pt>
                <c:pt idx="110">
                  <c:v>42094</c:v>
                </c:pt>
                <c:pt idx="111">
                  <c:v>42063</c:v>
                </c:pt>
                <c:pt idx="112">
                  <c:v>42035</c:v>
                </c:pt>
                <c:pt idx="113">
                  <c:v>42004</c:v>
                </c:pt>
                <c:pt idx="114">
                  <c:v>41973</c:v>
                </c:pt>
                <c:pt idx="115">
                  <c:v>41943</c:v>
                </c:pt>
                <c:pt idx="116">
                  <c:v>41912</c:v>
                </c:pt>
                <c:pt idx="117">
                  <c:v>41882</c:v>
                </c:pt>
                <c:pt idx="118">
                  <c:v>41851</c:v>
                </c:pt>
                <c:pt idx="119">
                  <c:v>41820</c:v>
                </c:pt>
                <c:pt idx="120">
                  <c:v>41790</c:v>
                </c:pt>
                <c:pt idx="121">
                  <c:v>41759</c:v>
                </c:pt>
                <c:pt idx="122">
                  <c:v>41729</c:v>
                </c:pt>
                <c:pt idx="123">
                  <c:v>41698</c:v>
                </c:pt>
                <c:pt idx="124">
                  <c:v>41670</c:v>
                </c:pt>
                <c:pt idx="125">
                  <c:v>41639</c:v>
                </c:pt>
                <c:pt idx="126">
                  <c:v>41608</c:v>
                </c:pt>
                <c:pt idx="127">
                  <c:v>41578</c:v>
                </c:pt>
                <c:pt idx="128">
                  <c:v>41547</c:v>
                </c:pt>
                <c:pt idx="129">
                  <c:v>41517</c:v>
                </c:pt>
                <c:pt idx="130">
                  <c:v>41486</c:v>
                </c:pt>
                <c:pt idx="131">
                  <c:v>41455</c:v>
                </c:pt>
                <c:pt idx="132">
                  <c:v>41425</c:v>
                </c:pt>
                <c:pt idx="133">
                  <c:v>41394</c:v>
                </c:pt>
                <c:pt idx="134">
                  <c:v>41364</c:v>
                </c:pt>
                <c:pt idx="135">
                  <c:v>41333</c:v>
                </c:pt>
                <c:pt idx="136">
                  <c:v>41305</c:v>
                </c:pt>
                <c:pt idx="137">
                  <c:v>41274</c:v>
                </c:pt>
                <c:pt idx="138">
                  <c:v>41243</c:v>
                </c:pt>
                <c:pt idx="139">
                  <c:v>41213</c:v>
                </c:pt>
                <c:pt idx="140">
                  <c:v>41182</c:v>
                </c:pt>
                <c:pt idx="141">
                  <c:v>41152</c:v>
                </c:pt>
                <c:pt idx="142">
                  <c:v>41121</c:v>
                </c:pt>
                <c:pt idx="143">
                  <c:v>41090</c:v>
                </c:pt>
                <c:pt idx="144">
                  <c:v>41060</c:v>
                </c:pt>
                <c:pt idx="145">
                  <c:v>41029</c:v>
                </c:pt>
                <c:pt idx="146">
                  <c:v>40999</c:v>
                </c:pt>
                <c:pt idx="147">
                  <c:v>40968</c:v>
                </c:pt>
                <c:pt idx="148">
                  <c:v>40939</c:v>
                </c:pt>
                <c:pt idx="149">
                  <c:v>40908</c:v>
                </c:pt>
                <c:pt idx="150">
                  <c:v>40877</c:v>
                </c:pt>
                <c:pt idx="151">
                  <c:v>40847</c:v>
                </c:pt>
                <c:pt idx="152">
                  <c:v>40816</c:v>
                </c:pt>
                <c:pt idx="153">
                  <c:v>40786</c:v>
                </c:pt>
                <c:pt idx="154">
                  <c:v>40755</c:v>
                </c:pt>
                <c:pt idx="155">
                  <c:v>40724</c:v>
                </c:pt>
                <c:pt idx="156">
                  <c:v>40694</c:v>
                </c:pt>
                <c:pt idx="157">
                  <c:v>40663</c:v>
                </c:pt>
                <c:pt idx="158">
                  <c:v>40633</c:v>
                </c:pt>
                <c:pt idx="159">
                  <c:v>40602</c:v>
                </c:pt>
                <c:pt idx="160">
                  <c:v>40574</c:v>
                </c:pt>
                <c:pt idx="161">
                  <c:v>40543</c:v>
                </c:pt>
                <c:pt idx="162">
                  <c:v>40512</c:v>
                </c:pt>
                <c:pt idx="163">
                  <c:v>40482</c:v>
                </c:pt>
                <c:pt idx="164">
                  <c:v>40451</c:v>
                </c:pt>
                <c:pt idx="165">
                  <c:v>40421</c:v>
                </c:pt>
                <c:pt idx="166">
                  <c:v>40390</c:v>
                </c:pt>
                <c:pt idx="167">
                  <c:v>40359</c:v>
                </c:pt>
                <c:pt idx="168">
                  <c:v>40329</c:v>
                </c:pt>
                <c:pt idx="169">
                  <c:v>40298</c:v>
                </c:pt>
                <c:pt idx="170">
                  <c:v>40268</c:v>
                </c:pt>
                <c:pt idx="171">
                  <c:v>40237</c:v>
                </c:pt>
                <c:pt idx="172">
                  <c:v>40209</c:v>
                </c:pt>
              </c:numCache>
            </c:numRef>
          </c:cat>
          <c:val>
            <c:numRef>
              <c:f>周期整合计算!$E$13:$E$185</c:f>
              <c:numCache>
                <c:formatCode>General</c:formatCode>
                <c:ptCount val="17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056-40D9-BA9A-2E0EEA5FAE49}"/>
            </c:ext>
          </c:extLst>
        </c:ser>
        <c:ser>
          <c:idx val="4"/>
          <c:order val="4"/>
          <c:tx>
            <c:strRef>
              <c:f>周期整合计算!$F$3</c:f>
              <c:strCache>
                <c:ptCount val="1"/>
                <c:pt idx="0">
                  <c:v>过热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周期整合计算!$A$13:$A$185</c:f>
              <c:numCache>
                <c:formatCode>yyyy/m/d;@</c:formatCode>
                <c:ptCount val="173"/>
                <c:pt idx="0">
                  <c:v>45443</c:v>
                </c:pt>
                <c:pt idx="1">
                  <c:v>45412</c:v>
                </c:pt>
                <c:pt idx="2">
                  <c:v>45382</c:v>
                </c:pt>
                <c:pt idx="3">
                  <c:v>45351</c:v>
                </c:pt>
                <c:pt idx="4">
                  <c:v>45322</c:v>
                </c:pt>
                <c:pt idx="5">
                  <c:v>45291</c:v>
                </c:pt>
                <c:pt idx="6">
                  <c:v>45260</c:v>
                </c:pt>
                <c:pt idx="7">
                  <c:v>45230</c:v>
                </c:pt>
                <c:pt idx="8">
                  <c:v>45199</c:v>
                </c:pt>
                <c:pt idx="9">
                  <c:v>45169</c:v>
                </c:pt>
                <c:pt idx="10">
                  <c:v>45138</c:v>
                </c:pt>
                <c:pt idx="11">
                  <c:v>45107</c:v>
                </c:pt>
                <c:pt idx="12">
                  <c:v>45077</c:v>
                </c:pt>
                <c:pt idx="13">
                  <c:v>45046</c:v>
                </c:pt>
                <c:pt idx="14">
                  <c:v>45016</c:v>
                </c:pt>
                <c:pt idx="15">
                  <c:v>44985</c:v>
                </c:pt>
                <c:pt idx="16">
                  <c:v>44957</c:v>
                </c:pt>
                <c:pt idx="17">
                  <c:v>44926</c:v>
                </c:pt>
                <c:pt idx="18">
                  <c:v>44895</c:v>
                </c:pt>
                <c:pt idx="19">
                  <c:v>44865</c:v>
                </c:pt>
                <c:pt idx="20">
                  <c:v>44834</c:v>
                </c:pt>
                <c:pt idx="21">
                  <c:v>44804</c:v>
                </c:pt>
                <c:pt idx="22">
                  <c:v>44773</c:v>
                </c:pt>
                <c:pt idx="23">
                  <c:v>44742</c:v>
                </c:pt>
                <c:pt idx="24">
                  <c:v>44712</c:v>
                </c:pt>
                <c:pt idx="25">
                  <c:v>44681</c:v>
                </c:pt>
                <c:pt idx="26">
                  <c:v>44651</c:v>
                </c:pt>
                <c:pt idx="27">
                  <c:v>44620</c:v>
                </c:pt>
                <c:pt idx="28">
                  <c:v>44592</c:v>
                </c:pt>
                <c:pt idx="29">
                  <c:v>44561</c:v>
                </c:pt>
                <c:pt idx="30">
                  <c:v>44530</c:v>
                </c:pt>
                <c:pt idx="31">
                  <c:v>44500</c:v>
                </c:pt>
                <c:pt idx="32">
                  <c:v>44469</c:v>
                </c:pt>
                <c:pt idx="33">
                  <c:v>44439</c:v>
                </c:pt>
                <c:pt idx="34">
                  <c:v>44408</c:v>
                </c:pt>
                <c:pt idx="35">
                  <c:v>44377</c:v>
                </c:pt>
                <c:pt idx="36">
                  <c:v>44347</c:v>
                </c:pt>
                <c:pt idx="37">
                  <c:v>44316</c:v>
                </c:pt>
                <c:pt idx="38">
                  <c:v>44286</c:v>
                </c:pt>
                <c:pt idx="39">
                  <c:v>44255</c:v>
                </c:pt>
                <c:pt idx="40">
                  <c:v>44227</c:v>
                </c:pt>
                <c:pt idx="41">
                  <c:v>44196</c:v>
                </c:pt>
                <c:pt idx="42">
                  <c:v>44165</c:v>
                </c:pt>
                <c:pt idx="43">
                  <c:v>44135</c:v>
                </c:pt>
                <c:pt idx="44">
                  <c:v>44104</c:v>
                </c:pt>
                <c:pt idx="45">
                  <c:v>44074</c:v>
                </c:pt>
                <c:pt idx="46">
                  <c:v>44043</c:v>
                </c:pt>
                <c:pt idx="47">
                  <c:v>44012</c:v>
                </c:pt>
                <c:pt idx="48">
                  <c:v>43982</c:v>
                </c:pt>
                <c:pt idx="49">
                  <c:v>43951</c:v>
                </c:pt>
                <c:pt idx="50">
                  <c:v>43921</c:v>
                </c:pt>
                <c:pt idx="51">
                  <c:v>43890</c:v>
                </c:pt>
                <c:pt idx="52">
                  <c:v>43861</c:v>
                </c:pt>
                <c:pt idx="53">
                  <c:v>43830</c:v>
                </c:pt>
                <c:pt idx="54">
                  <c:v>43799</c:v>
                </c:pt>
                <c:pt idx="55">
                  <c:v>43769</c:v>
                </c:pt>
                <c:pt idx="56">
                  <c:v>43738</c:v>
                </c:pt>
                <c:pt idx="57">
                  <c:v>43708</c:v>
                </c:pt>
                <c:pt idx="58">
                  <c:v>43677</c:v>
                </c:pt>
                <c:pt idx="59">
                  <c:v>43646</c:v>
                </c:pt>
                <c:pt idx="60">
                  <c:v>43616</c:v>
                </c:pt>
                <c:pt idx="61">
                  <c:v>43585</c:v>
                </c:pt>
                <c:pt idx="62">
                  <c:v>43555</c:v>
                </c:pt>
                <c:pt idx="63">
                  <c:v>43524</c:v>
                </c:pt>
                <c:pt idx="64">
                  <c:v>43496</c:v>
                </c:pt>
                <c:pt idx="65">
                  <c:v>43465</c:v>
                </c:pt>
                <c:pt idx="66">
                  <c:v>43434</c:v>
                </c:pt>
                <c:pt idx="67">
                  <c:v>43404</c:v>
                </c:pt>
                <c:pt idx="68">
                  <c:v>43373</c:v>
                </c:pt>
                <c:pt idx="69">
                  <c:v>43343</c:v>
                </c:pt>
                <c:pt idx="70">
                  <c:v>43312</c:v>
                </c:pt>
                <c:pt idx="71">
                  <c:v>43281</c:v>
                </c:pt>
                <c:pt idx="72">
                  <c:v>43251</c:v>
                </c:pt>
                <c:pt idx="73">
                  <c:v>43220</c:v>
                </c:pt>
                <c:pt idx="74">
                  <c:v>43190</c:v>
                </c:pt>
                <c:pt idx="75">
                  <c:v>43159</c:v>
                </c:pt>
                <c:pt idx="76">
                  <c:v>43131</c:v>
                </c:pt>
                <c:pt idx="77">
                  <c:v>43100</c:v>
                </c:pt>
                <c:pt idx="78">
                  <c:v>43069</c:v>
                </c:pt>
                <c:pt idx="79">
                  <c:v>43039</c:v>
                </c:pt>
                <c:pt idx="80">
                  <c:v>43008</c:v>
                </c:pt>
                <c:pt idx="81">
                  <c:v>42978</c:v>
                </c:pt>
                <c:pt idx="82">
                  <c:v>42947</c:v>
                </c:pt>
                <c:pt idx="83">
                  <c:v>42916</c:v>
                </c:pt>
                <c:pt idx="84">
                  <c:v>42886</c:v>
                </c:pt>
                <c:pt idx="85">
                  <c:v>42855</c:v>
                </c:pt>
                <c:pt idx="86">
                  <c:v>42825</c:v>
                </c:pt>
                <c:pt idx="87">
                  <c:v>42794</c:v>
                </c:pt>
                <c:pt idx="88">
                  <c:v>42766</c:v>
                </c:pt>
                <c:pt idx="89">
                  <c:v>42735</c:v>
                </c:pt>
                <c:pt idx="90">
                  <c:v>42704</c:v>
                </c:pt>
                <c:pt idx="91">
                  <c:v>42674</c:v>
                </c:pt>
                <c:pt idx="92">
                  <c:v>42643</c:v>
                </c:pt>
                <c:pt idx="93">
                  <c:v>42613</c:v>
                </c:pt>
                <c:pt idx="94">
                  <c:v>42582</c:v>
                </c:pt>
                <c:pt idx="95">
                  <c:v>42551</c:v>
                </c:pt>
                <c:pt idx="96">
                  <c:v>42521</c:v>
                </c:pt>
                <c:pt idx="97">
                  <c:v>42490</c:v>
                </c:pt>
                <c:pt idx="98">
                  <c:v>42460</c:v>
                </c:pt>
                <c:pt idx="99">
                  <c:v>42429</c:v>
                </c:pt>
                <c:pt idx="100">
                  <c:v>42400</c:v>
                </c:pt>
                <c:pt idx="101">
                  <c:v>42369</c:v>
                </c:pt>
                <c:pt idx="102">
                  <c:v>42338</c:v>
                </c:pt>
                <c:pt idx="103">
                  <c:v>42308</c:v>
                </c:pt>
                <c:pt idx="104">
                  <c:v>42277</c:v>
                </c:pt>
                <c:pt idx="105">
                  <c:v>42247</c:v>
                </c:pt>
                <c:pt idx="106">
                  <c:v>42216</c:v>
                </c:pt>
                <c:pt idx="107">
                  <c:v>42185</c:v>
                </c:pt>
                <c:pt idx="108">
                  <c:v>42155</c:v>
                </c:pt>
                <c:pt idx="109">
                  <c:v>42124</c:v>
                </c:pt>
                <c:pt idx="110">
                  <c:v>42094</c:v>
                </c:pt>
                <c:pt idx="111">
                  <c:v>42063</c:v>
                </c:pt>
                <c:pt idx="112">
                  <c:v>42035</c:v>
                </c:pt>
                <c:pt idx="113">
                  <c:v>42004</c:v>
                </c:pt>
                <c:pt idx="114">
                  <c:v>41973</c:v>
                </c:pt>
                <c:pt idx="115">
                  <c:v>41943</c:v>
                </c:pt>
                <c:pt idx="116">
                  <c:v>41912</c:v>
                </c:pt>
                <c:pt idx="117">
                  <c:v>41882</c:v>
                </c:pt>
                <c:pt idx="118">
                  <c:v>41851</c:v>
                </c:pt>
                <c:pt idx="119">
                  <c:v>41820</c:v>
                </c:pt>
                <c:pt idx="120">
                  <c:v>41790</c:v>
                </c:pt>
                <c:pt idx="121">
                  <c:v>41759</c:v>
                </c:pt>
                <c:pt idx="122">
                  <c:v>41729</c:v>
                </c:pt>
                <c:pt idx="123">
                  <c:v>41698</c:v>
                </c:pt>
                <c:pt idx="124">
                  <c:v>41670</c:v>
                </c:pt>
                <c:pt idx="125">
                  <c:v>41639</c:v>
                </c:pt>
                <c:pt idx="126">
                  <c:v>41608</c:v>
                </c:pt>
                <c:pt idx="127">
                  <c:v>41578</c:v>
                </c:pt>
                <c:pt idx="128">
                  <c:v>41547</c:v>
                </c:pt>
                <c:pt idx="129">
                  <c:v>41517</c:v>
                </c:pt>
                <c:pt idx="130">
                  <c:v>41486</c:v>
                </c:pt>
                <c:pt idx="131">
                  <c:v>41455</c:v>
                </c:pt>
                <c:pt idx="132">
                  <c:v>41425</c:v>
                </c:pt>
                <c:pt idx="133">
                  <c:v>41394</c:v>
                </c:pt>
                <c:pt idx="134">
                  <c:v>41364</c:v>
                </c:pt>
                <c:pt idx="135">
                  <c:v>41333</c:v>
                </c:pt>
                <c:pt idx="136">
                  <c:v>41305</c:v>
                </c:pt>
                <c:pt idx="137">
                  <c:v>41274</c:v>
                </c:pt>
                <c:pt idx="138">
                  <c:v>41243</c:v>
                </c:pt>
                <c:pt idx="139">
                  <c:v>41213</c:v>
                </c:pt>
                <c:pt idx="140">
                  <c:v>41182</c:v>
                </c:pt>
                <c:pt idx="141">
                  <c:v>41152</c:v>
                </c:pt>
                <c:pt idx="142">
                  <c:v>41121</c:v>
                </c:pt>
                <c:pt idx="143">
                  <c:v>41090</c:v>
                </c:pt>
                <c:pt idx="144">
                  <c:v>41060</c:v>
                </c:pt>
                <c:pt idx="145">
                  <c:v>41029</c:v>
                </c:pt>
                <c:pt idx="146">
                  <c:v>40999</c:v>
                </c:pt>
                <c:pt idx="147">
                  <c:v>40968</c:v>
                </c:pt>
                <c:pt idx="148">
                  <c:v>40939</c:v>
                </c:pt>
                <c:pt idx="149">
                  <c:v>40908</c:v>
                </c:pt>
                <c:pt idx="150">
                  <c:v>40877</c:v>
                </c:pt>
                <c:pt idx="151">
                  <c:v>40847</c:v>
                </c:pt>
                <c:pt idx="152">
                  <c:v>40816</c:v>
                </c:pt>
                <c:pt idx="153">
                  <c:v>40786</c:v>
                </c:pt>
                <c:pt idx="154">
                  <c:v>40755</c:v>
                </c:pt>
                <c:pt idx="155">
                  <c:v>40724</c:v>
                </c:pt>
                <c:pt idx="156">
                  <c:v>40694</c:v>
                </c:pt>
                <c:pt idx="157">
                  <c:v>40663</c:v>
                </c:pt>
                <c:pt idx="158">
                  <c:v>40633</c:v>
                </c:pt>
                <c:pt idx="159">
                  <c:v>40602</c:v>
                </c:pt>
                <c:pt idx="160">
                  <c:v>40574</c:v>
                </c:pt>
                <c:pt idx="161">
                  <c:v>40543</c:v>
                </c:pt>
                <c:pt idx="162">
                  <c:v>40512</c:v>
                </c:pt>
                <c:pt idx="163">
                  <c:v>40482</c:v>
                </c:pt>
                <c:pt idx="164">
                  <c:v>40451</c:v>
                </c:pt>
                <c:pt idx="165">
                  <c:v>40421</c:v>
                </c:pt>
                <c:pt idx="166">
                  <c:v>40390</c:v>
                </c:pt>
                <c:pt idx="167">
                  <c:v>40359</c:v>
                </c:pt>
                <c:pt idx="168">
                  <c:v>40329</c:v>
                </c:pt>
                <c:pt idx="169">
                  <c:v>40298</c:v>
                </c:pt>
                <c:pt idx="170">
                  <c:v>40268</c:v>
                </c:pt>
                <c:pt idx="171">
                  <c:v>40237</c:v>
                </c:pt>
                <c:pt idx="172">
                  <c:v>40209</c:v>
                </c:pt>
              </c:numCache>
            </c:numRef>
          </c:cat>
          <c:val>
            <c:numRef>
              <c:f>周期整合计算!$F$13:$F$185</c:f>
              <c:numCache>
                <c:formatCode>General</c:formatCode>
                <c:ptCount val="17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056-40D9-BA9A-2E0EEA5FAE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711290233"/>
        <c:axId val="154230829"/>
      </c:barChart>
      <c:lineChart>
        <c:grouping val="standard"/>
        <c:varyColors val="0"/>
        <c:ser>
          <c:idx val="0"/>
          <c:order val="0"/>
          <c:tx>
            <c:strRef>
              <c:f>周期整合计算!$B$4</c:f>
              <c:strCache>
                <c:ptCount val="1"/>
                <c:pt idx="0">
                  <c:v>综合景气指标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周期整合计算!$A$13:$A$185</c:f>
              <c:numCache>
                <c:formatCode>yyyy/m/d;@</c:formatCode>
                <c:ptCount val="173"/>
                <c:pt idx="0">
                  <c:v>45443</c:v>
                </c:pt>
                <c:pt idx="1">
                  <c:v>45412</c:v>
                </c:pt>
                <c:pt idx="2">
                  <c:v>45382</c:v>
                </c:pt>
                <c:pt idx="3">
                  <c:v>45351</c:v>
                </c:pt>
                <c:pt idx="4">
                  <c:v>45322</c:v>
                </c:pt>
                <c:pt idx="5">
                  <c:v>45291</c:v>
                </c:pt>
                <c:pt idx="6">
                  <c:v>45260</c:v>
                </c:pt>
                <c:pt idx="7">
                  <c:v>45230</c:v>
                </c:pt>
                <c:pt idx="8">
                  <c:v>45199</c:v>
                </c:pt>
                <c:pt idx="9">
                  <c:v>45169</c:v>
                </c:pt>
                <c:pt idx="10">
                  <c:v>45138</c:v>
                </c:pt>
                <c:pt idx="11">
                  <c:v>45107</c:v>
                </c:pt>
                <c:pt idx="12">
                  <c:v>45077</c:v>
                </c:pt>
                <c:pt idx="13">
                  <c:v>45046</c:v>
                </c:pt>
                <c:pt idx="14">
                  <c:v>45016</c:v>
                </c:pt>
                <c:pt idx="15">
                  <c:v>44985</c:v>
                </c:pt>
                <c:pt idx="16">
                  <c:v>44957</c:v>
                </c:pt>
                <c:pt idx="17">
                  <c:v>44926</c:v>
                </c:pt>
                <c:pt idx="18">
                  <c:v>44895</c:v>
                </c:pt>
                <c:pt idx="19">
                  <c:v>44865</c:v>
                </c:pt>
                <c:pt idx="20">
                  <c:v>44834</c:v>
                </c:pt>
                <c:pt idx="21">
                  <c:v>44804</c:v>
                </c:pt>
                <c:pt idx="22">
                  <c:v>44773</c:v>
                </c:pt>
                <c:pt idx="23">
                  <c:v>44742</c:v>
                </c:pt>
                <c:pt idx="24">
                  <c:v>44712</c:v>
                </c:pt>
                <c:pt idx="25">
                  <c:v>44681</c:v>
                </c:pt>
                <c:pt idx="26">
                  <c:v>44651</c:v>
                </c:pt>
                <c:pt idx="27">
                  <c:v>44620</c:v>
                </c:pt>
                <c:pt idx="28">
                  <c:v>44592</c:v>
                </c:pt>
                <c:pt idx="29">
                  <c:v>44561</c:v>
                </c:pt>
                <c:pt idx="30">
                  <c:v>44530</c:v>
                </c:pt>
                <c:pt idx="31">
                  <c:v>44500</c:v>
                </c:pt>
                <c:pt idx="32">
                  <c:v>44469</c:v>
                </c:pt>
                <c:pt idx="33">
                  <c:v>44439</c:v>
                </c:pt>
                <c:pt idx="34">
                  <c:v>44408</c:v>
                </c:pt>
                <c:pt idx="35">
                  <c:v>44377</c:v>
                </c:pt>
                <c:pt idx="36">
                  <c:v>44347</c:v>
                </c:pt>
                <c:pt idx="37">
                  <c:v>44316</c:v>
                </c:pt>
                <c:pt idx="38">
                  <c:v>44286</c:v>
                </c:pt>
                <c:pt idx="39">
                  <c:v>44255</c:v>
                </c:pt>
                <c:pt idx="40">
                  <c:v>44227</c:v>
                </c:pt>
                <c:pt idx="41">
                  <c:v>44196</c:v>
                </c:pt>
                <c:pt idx="42">
                  <c:v>44165</c:v>
                </c:pt>
                <c:pt idx="43">
                  <c:v>44135</c:v>
                </c:pt>
                <c:pt idx="44">
                  <c:v>44104</c:v>
                </c:pt>
                <c:pt idx="45">
                  <c:v>44074</c:v>
                </c:pt>
                <c:pt idx="46">
                  <c:v>44043</c:v>
                </c:pt>
                <c:pt idx="47">
                  <c:v>44012</c:v>
                </c:pt>
                <c:pt idx="48">
                  <c:v>43982</c:v>
                </c:pt>
                <c:pt idx="49">
                  <c:v>43951</c:v>
                </c:pt>
                <c:pt idx="50">
                  <c:v>43921</c:v>
                </c:pt>
                <c:pt idx="51">
                  <c:v>43890</c:v>
                </c:pt>
                <c:pt idx="52">
                  <c:v>43861</c:v>
                </c:pt>
                <c:pt idx="53">
                  <c:v>43830</c:v>
                </c:pt>
                <c:pt idx="54">
                  <c:v>43799</c:v>
                </c:pt>
                <c:pt idx="55">
                  <c:v>43769</c:v>
                </c:pt>
                <c:pt idx="56">
                  <c:v>43738</c:v>
                </c:pt>
                <c:pt idx="57">
                  <c:v>43708</c:v>
                </c:pt>
                <c:pt idx="58">
                  <c:v>43677</c:v>
                </c:pt>
                <c:pt idx="59">
                  <c:v>43646</c:v>
                </c:pt>
                <c:pt idx="60">
                  <c:v>43616</c:v>
                </c:pt>
                <c:pt idx="61">
                  <c:v>43585</c:v>
                </c:pt>
                <c:pt idx="62">
                  <c:v>43555</c:v>
                </c:pt>
                <c:pt idx="63">
                  <c:v>43524</c:v>
                </c:pt>
                <c:pt idx="64">
                  <c:v>43496</c:v>
                </c:pt>
                <c:pt idx="65">
                  <c:v>43465</c:v>
                </c:pt>
                <c:pt idx="66">
                  <c:v>43434</c:v>
                </c:pt>
                <c:pt idx="67">
                  <c:v>43404</c:v>
                </c:pt>
                <c:pt idx="68">
                  <c:v>43373</c:v>
                </c:pt>
                <c:pt idx="69">
                  <c:v>43343</c:v>
                </c:pt>
                <c:pt idx="70">
                  <c:v>43312</c:v>
                </c:pt>
                <c:pt idx="71">
                  <c:v>43281</c:v>
                </c:pt>
                <c:pt idx="72">
                  <c:v>43251</c:v>
                </c:pt>
                <c:pt idx="73">
                  <c:v>43220</c:v>
                </c:pt>
                <c:pt idx="74">
                  <c:v>43190</c:v>
                </c:pt>
                <c:pt idx="75">
                  <c:v>43159</c:v>
                </c:pt>
                <c:pt idx="76">
                  <c:v>43131</c:v>
                </c:pt>
                <c:pt idx="77">
                  <c:v>43100</c:v>
                </c:pt>
                <c:pt idx="78">
                  <c:v>43069</c:v>
                </c:pt>
                <c:pt idx="79">
                  <c:v>43039</c:v>
                </c:pt>
                <c:pt idx="80">
                  <c:v>43008</c:v>
                </c:pt>
                <c:pt idx="81">
                  <c:v>42978</c:v>
                </c:pt>
                <c:pt idx="82">
                  <c:v>42947</c:v>
                </c:pt>
                <c:pt idx="83">
                  <c:v>42916</c:v>
                </c:pt>
                <c:pt idx="84">
                  <c:v>42886</c:v>
                </c:pt>
                <c:pt idx="85">
                  <c:v>42855</c:v>
                </c:pt>
                <c:pt idx="86">
                  <c:v>42825</c:v>
                </c:pt>
                <c:pt idx="87">
                  <c:v>42794</c:v>
                </c:pt>
                <c:pt idx="88">
                  <c:v>42766</c:v>
                </c:pt>
                <c:pt idx="89">
                  <c:v>42735</c:v>
                </c:pt>
                <c:pt idx="90">
                  <c:v>42704</c:v>
                </c:pt>
                <c:pt idx="91">
                  <c:v>42674</c:v>
                </c:pt>
                <c:pt idx="92">
                  <c:v>42643</c:v>
                </c:pt>
                <c:pt idx="93">
                  <c:v>42613</c:v>
                </c:pt>
                <c:pt idx="94">
                  <c:v>42582</c:v>
                </c:pt>
                <c:pt idx="95">
                  <c:v>42551</c:v>
                </c:pt>
                <c:pt idx="96">
                  <c:v>42521</c:v>
                </c:pt>
                <c:pt idx="97">
                  <c:v>42490</c:v>
                </c:pt>
                <c:pt idx="98">
                  <c:v>42460</c:v>
                </c:pt>
                <c:pt idx="99">
                  <c:v>42429</c:v>
                </c:pt>
                <c:pt idx="100">
                  <c:v>42400</c:v>
                </c:pt>
                <c:pt idx="101">
                  <c:v>42369</c:v>
                </c:pt>
                <c:pt idx="102">
                  <c:v>42338</c:v>
                </c:pt>
                <c:pt idx="103">
                  <c:v>42308</c:v>
                </c:pt>
                <c:pt idx="104">
                  <c:v>42277</c:v>
                </c:pt>
                <c:pt idx="105">
                  <c:v>42247</c:v>
                </c:pt>
                <c:pt idx="106">
                  <c:v>42216</c:v>
                </c:pt>
                <c:pt idx="107">
                  <c:v>42185</c:v>
                </c:pt>
                <c:pt idx="108">
                  <c:v>42155</c:v>
                </c:pt>
                <c:pt idx="109">
                  <c:v>42124</c:v>
                </c:pt>
                <c:pt idx="110">
                  <c:v>42094</c:v>
                </c:pt>
                <c:pt idx="111">
                  <c:v>42063</c:v>
                </c:pt>
                <c:pt idx="112">
                  <c:v>42035</c:v>
                </c:pt>
                <c:pt idx="113">
                  <c:v>42004</c:v>
                </c:pt>
                <c:pt idx="114">
                  <c:v>41973</c:v>
                </c:pt>
                <c:pt idx="115">
                  <c:v>41943</c:v>
                </c:pt>
                <c:pt idx="116">
                  <c:v>41912</c:v>
                </c:pt>
                <c:pt idx="117">
                  <c:v>41882</c:v>
                </c:pt>
                <c:pt idx="118">
                  <c:v>41851</c:v>
                </c:pt>
                <c:pt idx="119">
                  <c:v>41820</c:v>
                </c:pt>
                <c:pt idx="120">
                  <c:v>41790</c:v>
                </c:pt>
                <c:pt idx="121">
                  <c:v>41759</c:v>
                </c:pt>
                <c:pt idx="122">
                  <c:v>41729</c:v>
                </c:pt>
                <c:pt idx="123">
                  <c:v>41698</c:v>
                </c:pt>
                <c:pt idx="124">
                  <c:v>41670</c:v>
                </c:pt>
                <c:pt idx="125">
                  <c:v>41639</c:v>
                </c:pt>
                <c:pt idx="126">
                  <c:v>41608</c:v>
                </c:pt>
                <c:pt idx="127">
                  <c:v>41578</c:v>
                </c:pt>
                <c:pt idx="128">
                  <c:v>41547</c:v>
                </c:pt>
                <c:pt idx="129">
                  <c:v>41517</c:v>
                </c:pt>
                <c:pt idx="130">
                  <c:v>41486</c:v>
                </c:pt>
                <c:pt idx="131">
                  <c:v>41455</c:v>
                </c:pt>
                <c:pt idx="132">
                  <c:v>41425</c:v>
                </c:pt>
                <c:pt idx="133">
                  <c:v>41394</c:v>
                </c:pt>
                <c:pt idx="134">
                  <c:v>41364</c:v>
                </c:pt>
                <c:pt idx="135">
                  <c:v>41333</c:v>
                </c:pt>
                <c:pt idx="136">
                  <c:v>41305</c:v>
                </c:pt>
                <c:pt idx="137">
                  <c:v>41274</c:v>
                </c:pt>
                <c:pt idx="138">
                  <c:v>41243</c:v>
                </c:pt>
                <c:pt idx="139">
                  <c:v>41213</c:v>
                </c:pt>
                <c:pt idx="140">
                  <c:v>41182</c:v>
                </c:pt>
                <c:pt idx="141">
                  <c:v>41152</c:v>
                </c:pt>
                <c:pt idx="142">
                  <c:v>41121</c:v>
                </c:pt>
                <c:pt idx="143">
                  <c:v>41090</c:v>
                </c:pt>
                <c:pt idx="144">
                  <c:v>41060</c:v>
                </c:pt>
                <c:pt idx="145">
                  <c:v>41029</c:v>
                </c:pt>
                <c:pt idx="146">
                  <c:v>40999</c:v>
                </c:pt>
                <c:pt idx="147">
                  <c:v>40968</c:v>
                </c:pt>
                <c:pt idx="148">
                  <c:v>40939</c:v>
                </c:pt>
                <c:pt idx="149">
                  <c:v>40908</c:v>
                </c:pt>
                <c:pt idx="150">
                  <c:v>40877</c:v>
                </c:pt>
                <c:pt idx="151">
                  <c:v>40847</c:v>
                </c:pt>
                <c:pt idx="152">
                  <c:v>40816</c:v>
                </c:pt>
                <c:pt idx="153">
                  <c:v>40786</c:v>
                </c:pt>
                <c:pt idx="154">
                  <c:v>40755</c:v>
                </c:pt>
                <c:pt idx="155">
                  <c:v>40724</c:v>
                </c:pt>
                <c:pt idx="156">
                  <c:v>40694</c:v>
                </c:pt>
                <c:pt idx="157">
                  <c:v>40663</c:v>
                </c:pt>
                <c:pt idx="158">
                  <c:v>40633</c:v>
                </c:pt>
                <c:pt idx="159">
                  <c:v>40602</c:v>
                </c:pt>
                <c:pt idx="160">
                  <c:v>40574</c:v>
                </c:pt>
                <c:pt idx="161">
                  <c:v>40543</c:v>
                </c:pt>
                <c:pt idx="162">
                  <c:v>40512</c:v>
                </c:pt>
                <c:pt idx="163">
                  <c:v>40482</c:v>
                </c:pt>
                <c:pt idx="164">
                  <c:v>40451</c:v>
                </c:pt>
                <c:pt idx="165">
                  <c:v>40421</c:v>
                </c:pt>
                <c:pt idx="166">
                  <c:v>40390</c:v>
                </c:pt>
                <c:pt idx="167">
                  <c:v>40359</c:v>
                </c:pt>
                <c:pt idx="168">
                  <c:v>40329</c:v>
                </c:pt>
                <c:pt idx="169">
                  <c:v>40298</c:v>
                </c:pt>
                <c:pt idx="170">
                  <c:v>40268</c:v>
                </c:pt>
                <c:pt idx="171">
                  <c:v>40237</c:v>
                </c:pt>
                <c:pt idx="172">
                  <c:v>40209</c:v>
                </c:pt>
              </c:numCache>
            </c:numRef>
          </c:cat>
          <c:val>
            <c:numRef>
              <c:f>周期整合计算!$B$13:$B$185</c:f>
              <c:numCache>
                <c:formatCode>General</c:formatCode>
                <c:ptCount val="173"/>
                <c:pt idx="0">
                  <c:v>-1.8498160316271772</c:v>
                </c:pt>
                <c:pt idx="1">
                  <c:v>-1.6840842421453874</c:v>
                </c:pt>
                <c:pt idx="2">
                  <c:v>-1.2461303093230336</c:v>
                </c:pt>
                <c:pt idx="3">
                  <c:v>-0.86496174341762566</c:v>
                </c:pt>
                <c:pt idx="4">
                  <c:v>#N/A</c:v>
                </c:pt>
                <c:pt idx="5">
                  <c:v>-0.77144220739808966</c:v>
                </c:pt>
                <c:pt idx="6">
                  <c:v>-0.79189289203995072</c:v>
                </c:pt>
                <c:pt idx="7">
                  <c:v>-0.64542370502896806</c:v>
                </c:pt>
                <c:pt idx="8">
                  <c:v>-0.39051039886566191</c:v>
                </c:pt>
                <c:pt idx="9">
                  <c:v>-0.40977377989374886</c:v>
                </c:pt>
                <c:pt idx="10">
                  <c:v>-0.44441917512737944</c:v>
                </c:pt>
                <c:pt idx="11">
                  <c:v>-0.58278607731007104</c:v>
                </c:pt>
                <c:pt idx="12">
                  <c:v>-0.66536141815154093</c:v>
                </c:pt>
                <c:pt idx="13">
                  <c:v>-0.80832806901292864</c:v>
                </c:pt>
                <c:pt idx="14">
                  <c:v>-0.70828594488358354</c:v>
                </c:pt>
                <c:pt idx="15">
                  <c:v>-0.30840265823559082</c:v>
                </c:pt>
                <c:pt idx="16">
                  <c:v>#N/A</c:v>
                </c:pt>
                <c:pt idx="17">
                  <c:v>-0.10910293834763581</c:v>
                </c:pt>
                <c:pt idx="18">
                  <c:v>-0.18593988470212605</c:v>
                </c:pt>
                <c:pt idx="19">
                  <c:v>-0.22302937227548458</c:v>
                </c:pt>
                <c:pt idx="20">
                  <c:v>-0.32728793534983713</c:v>
                </c:pt>
                <c:pt idx="21">
                  <c:v>-0.80717247953899374</c:v>
                </c:pt>
                <c:pt idx="22">
                  <c:v>-1.4132283659657239</c:v>
                </c:pt>
                <c:pt idx="23">
                  <c:v>-1.7622182649556228</c:v>
                </c:pt>
                <c:pt idx="24">
                  <c:v>-1.7890809084849331</c:v>
                </c:pt>
                <c:pt idx="25">
                  <c:v>-1.6619965308742397</c:v>
                </c:pt>
                <c:pt idx="26">
                  <c:v>-1.8376982852602044</c:v>
                </c:pt>
                <c:pt idx="27">
                  <c:v>-1.7266396413371108</c:v>
                </c:pt>
                <c:pt idx="28">
                  <c:v>#N/A</c:v>
                </c:pt>
                <c:pt idx="29">
                  <c:v>-1.9153258184024438</c:v>
                </c:pt>
                <c:pt idx="30">
                  <c:v>-2.1126322157088411</c:v>
                </c:pt>
                <c:pt idx="31">
                  <c:v>-2.2571608352374604</c:v>
                </c:pt>
                <c:pt idx="32">
                  <c:v>-2.444149139331028</c:v>
                </c:pt>
                <c:pt idx="33">
                  <c:v>-2.2880818878690397</c:v>
                </c:pt>
                <c:pt idx="34">
                  <c:v>-1.8609730060387955</c:v>
                </c:pt>
                <c:pt idx="35">
                  <c:v>-1.3289920118867486</c:v>
                </c:pt>
                <c:pt idx="36">
                  <c:v>-0.64556121266647581</c:v>
                </c:pt>
                <c:pt idx="37">
                  <c:v>7.5269458783390683E-2</c:v>
                </c:pt>
                <c:pt idx="38">
                  <c:v>0.5854893193321985</c:v>
                </c:pt>
                <c:pt idx="39">
                  <c:v>0.99577893225339043</c:v>
                </c:pt>
                <c:pt idx="40">
                  <c:v>#N/A</c:v>
                </c:pt>
                <c:pt idx="41">
                  <c:v>0.84900129840145311</c:v>
                </c:pt>
                <c:pt idx="42">
                  <c:v>0.74506042015716945</c:v>
                </c:pt>
                <c:pt idx="43">
                  <c:v>0.54955650886378438</c:v>
                </c:pt>
                <c:pt idx="44">
                  <c:v>0.48898768205076254</c:v>
                </c:pt>
                <c:pt idx="45">
                  <c:v>0.49608079055516141</c:v>
                </c:pt>
                <c:pt idx="46">
                  <c:v>0.36920805315610816</c:v>
                </c:pt>
                <c:pt idx="47">
                  <c:v>0.35672170537564279</c:v>
                </c:pt>
                <c:pt idx="48">
                  <c:v>0.34854448120577158</c:v>
                </c:pt>
                <c:pt idx="49">
                  <c:v>0.30534693800822837</c:v>
                </c:pt>
                <c:pt idx="50">
                  <c:v>0.15306415939392801</c:v>
                </c:pt>
                <c:pt idx="51">
                  <c:v>-5.217574962796101E-2</c:v>
                </c:pt>
                <c:pt idx="52">
                  <c:v>#N/A</c:v>
                </c:pt>
                <c:pt idx="53">
                  <c:v>-5.6527409776722611E-2</c:v>
                </c:pt>
                <c:pt idx="54">
                  <c:v>-6.5502385418364936E-2</c:v>
                </c:pt>
                <c:pt idx="55">
                  <c:v>-6.3956082874255374E-2</c:v>
                </c:pt>
                <c:pt idx="56">
                  <c:v>-5.590764982582231E-2</c:v>
                </c:pt>
                <c:pt idx="57">
                  <c:v>-0.10784669750184672</c:v>
                </c:pt>
                <c:pt idx="58">
                  <c:v>-0.11819857423303382</c:v>
                </c:pt>
                <c:pt idx="59">
                  <c:v>-1.2026139399720266E-3</c:v>
                </c:pt>
                <c:pt idx="60">
                  <c:v>0.15096944239875099</c:v>
                </c:pt>
                <c:pt idx="61">
                  <c:v>0.22421604521819896</c:v>
                </c:pt>
                <c:pt idx="62">
                  <c:v>0.31309164330432337</c:v>
                </c:pt>
                <c:pt idx="63">
                  <c:v>0.50916802707420561</c:v>
                </c:pt>
                <c:pt idx="64">
                  <c:v>#N/A</c:v>
                </c:pt>
                <c:pt idx="65">
                  <c:v>0.7682716685307881</c:v>
                </c:pt>
                <c:pt idx="66">
                  <c:v>0.75929800330712283</c:v>
                </c:pt>
                <c:pt idx="67">
                  <c:v>0.80047488198400174</c:v>
                </c:pt>
                <c:pt idx="68">
                  <c:v>0.9704024182158858</c:v>
                </c:pt>
                <c:pt idx="69">
                  <c:v>1.2552056372868394</c:v>
                </c:pt>
                <c:pt idx="70">
                  <c:v>1.3657996728808748</c:v>
                </c:pt>
                <c:pt idx="71">
                  <c:v>1.6668150790433398</c:v>
                </c:pt>
                <c:pt idx="72">
                  <c:v>1.9461853797952198</c:v>
                </c:pt>
                <c:pt idx="73">
                  <c:v>2.0030280741379145</c:v>
                </c:pt>
                <c:pt idx="74">
                  <c:v>1.9676522571444499</c:v>
                </c:pt>
                <c:pt idx="75">
                  <c:v>1.781807203983927</c:v>
                </c:pt>
                <c:pt idx="76">
                  <c:v>#N/A</c:v>
                </c:pt>
                <c:pt idx="77">
                  <c:v>1.7134089355856583</c:v>
                </c:pt>
                <c:pt idx="78">
                  <c:v>1.4275381780685592</c:v>
                </c:pt>
                <c:pt idx="79">
                  <c:v>1.3228549957537981</c:v>
                </c:pt>
                <c:pt idx="80">
                  <c:v>1.3108026962014985</c:v>
                </c:pt>
                <c:pt idx="81">
                  <c:v>1.3999198741731655</c:v>
                </c:pt>
                <c:pt idx="82">
                  <c:v>1.4900533631438639</c:v>
                </c:pt>
                <c:pt idx="83">
                  <c:v>1.4666615502783669</c:v>
                </c:pt>
                <c:pt idx="84">
                  <c:v>1.3078427653118057</c:v>
                </c:pt>
                <c:pt idx="85">
                  <c:v>1.1350097976258964</c:v>
                </c:pt>
                <c:pt idx="86">
                  <c:v>0.95503167389777277</c:v>
                </c:pt>
                <c:pt idx="87">
                  <c:v>0.91551202310902202</c:v>
                </c:pt>
                <c:pt idx="88">
                  <c:v>#N/A</c:v>
                </c:pt>
                <c:pt idx="89">
                  <c:v>0.89302910062609941</c:v>
                </c:pt>
                <c:pt idx="90">
                  <c:v>0.91936289488185385</c:v>
                </c:pt>
                <c:pt idx="91">
                  <c:v>1.0354389212519979</c:v>
                </c:pt>
                <c:pt idx="92">
                  <c:v>1.0185304575298086</c:v>
                </c:pt>
                <c:pt idx="93">
                  <c:v>1.0015157592651105</c:v>
                </c:pt>
                <c:pt idx="94">
                  <c:v>0.83566345744506665</c:v>
                </c:pt>
                <c:pt idx="95">
                  <c:v>0.42181895519476725</c:v>
                </c:pt>
                <c:pt idx="96">
                  <c:v>8.8557293484829713E-2</c:v>
                </c:pt>
                <c:pt idx="97">
                  <c:v>-4.6413846486310271E-2</c:v>
                </c:pt>
                <c:pt idx="98">
                  <c:v>-9.5347628753425881E-2</c:v>
                </c:pt>
                <c:pt idx="99">
                  <c:v>-0.14708293048872764</c:v>
                </c:pt>
                <c:pt idx="100">
                  <c:v>#N/A</c:v>
                </c:pt>
                <c:pt idx="101">
                  <c:v>-0.24823011663591377</c:v>
                </c:pt>
                <c:pt idx="102">
                  <c:v>-9.0795870795870828E-2</c:v>
                </c:pt>
                <c:pt idx="103">
                  <c:v>4.4285714285714262E-2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#N/A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#N/A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#N/A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#N/A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#N/A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056-40D9-BA9A-2E0EEA5FAE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9114768"/>
        <c:axId val="158753255"/>
      </c:lineChart>
      <c:dateAx>
        <c:axId val="459114768"/>
        <c:scaling>
          <c:orientation val="minMax"/>
        </c:scaling>
        <c:delete val="0"/>
        <c:axPos val="b"/>
        <c:numFmt formatCode="yyyy/mm;@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8753255"/>
        <c:crosses val="autoZero"/>
        <c:auto val="1"/>
        <c:lblOffset val="100"/>
        <c:baseTimeUnit val="months"/>
      </c:dateAx>
      <c:valAx>
        <c:axId val="158753255"/>
        <c:scaling>
          <c:orientation val="minMax"/>
          <c:min val="-1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#,##0.0_ 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9114768"/>
        <c:crosses val="autoZero"/>
        <c:crossBetween val="between"/>
      </c:valAx>
      <c:dateAx>
        <c:axId val="711290233"/>
        <c:scaling>
          <c:orientation val="minMax"/>
        </c:scaling>
        <c:delete val="1"/>
        <c:axPos val="b"/>
        <c:numFmt formatCode="yyyy/m/d;@" sourceLinked="1"/>
        <c:majorTickMark val="out"/>
        <c:minorTickMark val="none"/>
        <c:tickLblPos val="nextTo"/>
        <c:crossAx val="154230829"/>
        <c:crosses val="autoZero"/>
        <c:auto val="1"/>
        <c:lblOffset val="100"/>
        <c:baseTimeUnit val="months"/>
      </c:dateAx>
      <c:valAx>
        <c:axId val="154230829"/>
        <c:scaling>
          <c:orientation val="minMax"/>
          <c:max val="1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11290233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1"/>
          <c:tx>
            <c:strRef>
              <c:f>'框架指示的股债胜率（综合）'!$Z$3:$Z$4</c:f>
              <c:strCache>
                <c:ptCount val="2"/>
                <c:pt idx="0">
                  <c:v>实际股债强弱（十年国债口径）</c:v>
                </c:pt>
              </c:strCache>
            </c:strRef>
          </c:tx>
          <c:spPr>
            <a:ln w="15875" cap="rnd">
              <a:solidFill>
                <a:srgbClr val="0B3774"/>
              </a:solidFill>
              <a:round/>
            </a:ln>
            <a:effectLst/>
          </c:spPr>
          <c:marker>
            <c:symbol val="none"/>
          </c:marker>
          <c:cat>
            <c:numRef>
              <c:f>'框架指示的股债胜率（综合）'!$A$17:$A$174</c:f>
              <c:numCache>
                <c:formatCode>yyyy/m/d;@</c:formatCode>
                <c:ptCount val="158"/>
                <c:pt idx="0">
                  <c:v>46022</c:v>
                </c:pt>
                <c:pt idx="1">
                  <c:v>45991</c:v>
                </c:pt>
                <c:pt idx="2">
                  <c:v>45961</c:v>
                </c:pt>
                <c:pt idx="3">
                  <c:v>45930</c:v>
                </c:pt>
                <c:pt idx="4">
                  <c:v>45900</c:v>
                </c:pt>
                <c:pt idx="5">
                  <c:v>45869</c:v>
                </c:pt>
                <c:pt idx="6">
                  <c:v>45838</c:v>
                </c:pt>
                <c:pt idx="7">
                  <c:v>45808</c:v>
                </c:pt>
                <c:pt idx="8">
                  <c:v>45777</c:v>
                </c:pt>
                <c:pt idx="9">
                  <c:v>45747</c:v>
                </c:pt>
                <c:pt idx="10">
                  <c:v>45716</c:v>
                </c:pt>
                <c:pt idx="11">
                  <c:v>45688</c:v>
                </c:pt>
                <c:pt idx="12">
                  <c:v>45657</c:v>
                </c:pt>
                <c:pt idx="13">
                  <c:v>45626</c:v>
                </c:pt>
                <c:pt idx="14">
                  <c:v>45596</c:v>
                </c:pt>
                <c:pt idx="15">
                  <c:v>45565</c:v>
                </c:pt>
                <c:pt idx="16">
                  <c:v>45535</c:v>
                </c:pt>
                <c:pt idx="17">
                  <c:v>45504</c:v>
                </c:pt>
                <c:pt idx="18">
                  <c:v>45473</c:v>
                </c:pt>
                <c:pt idx="19">
                  <c:v>45443</c:v>
                </c:pt>
                <c:pt idx="20">
                  <c:v>45412</c:v>
                </c:pt>
                <c:pt idx="21">
                  <c:v>45382</c:v>
                </c:pt>
                <c:pt idx="22">
                  <c:v>45351</c:v>
                </c:pt>
                <c:pt idx="23">
                  <c:v>45291</c:v>
                </c:pt>
                <c:pt idx="24">
                  <c:v>45260</c:v>
                </c:pt>
                <c:pt idx="25">
                  <c:v>45230</c:v>
                </c:pt>
                <c:pt idx="26">
                  <c:v>45199</c:v>
                </c:pt>
                <c:pt idx="27">
                  <c:v>45169</c:v>
                </c:pt>
                <c:pt idx="28">
                  <c:v>45138</c:v>
                </c:pt>
                <c:pt idx="29">
                  <c:v>45107</c:v>
                </c:pt>
                <c:pt idx="30">
                  <c:v>45077</c:v>
                </c:pt>
                <c:pt idx="31">
                  <c:v>45046</c:v>
                </c:pt>
                <c:pt idx="32">
                  <c:v>45016</c:v>
                </c:pt>
                <c:pt idx="33">
                  <c:v>44985</c:v>
                </c:pt>
                <c:pt idx="34">
                  <c:v>44926</c:v>
                </c:pt>
                <c:pt idx="35">
                  <c:v>44895</c:v>
                </c:pt>
                <c:pt idx="36">
                  <c:v>44865</c:v>
                </c:pt>
                <c:pt idx="37">
                  <c:v>44834</c:v>
                </c:pt>
                <c:pt idx="38">
                  <c:v>44804</c:v>
                </c:pt>
                <c:pt idx="39">
                  <c:v>44773</c:v>
                </c:pt>
                <c:pt idx="40">
                  <c:v>44742</c:v>
                </c:pt>
                <c:pt idx="41">
                  <c:v>44712</c:v>
                </c:pt>
                <c:pt idx="42">
                  <c:v>44681</c:v>
                </c:pt>
                <c:pt idx="43">
                  <c:v>44651</c:v>
                </c:pt>
                <c:pt idx="44">
                  <c:v>44620</c:v>
                </c:pt>
                <c:pt idx="45">
                  <c:v>44561</c:v>
                </c:pt>
                <c:pt idx="46">
                  <c:v>44530</c:v>
                </c:pt>
                <c:pt idx="47">
                  <c:v>44500</c:v>
                </c:pt>
                <c:pt idx="48">
                  <c:v>44469</c:v>
                </c:pt>
                <c:pt idx="49">
                  <c:v>44439</c:v>
                </c:pt>
                <c:pt idx="50">
                  <c:v>44408</c:v>
                </c:pt>
                <c:pt idx="51">
                  <c:v>44377</c:v>
                </c:pt>
                <c:pt idx="52">
                  <c:v>44347</c:v>
                </c:pt>
                <c:pt idx="53">
                  <c:v>44316</c:v>
                </c:pt>
                <c:pt idx="54">
                  <c:v>44286</c:v>
                </c:pt>
                <c:pt idx="55">
                  <c:v>44255</c:v>
                </c:pt>
                <c:pt idx="56">
                  <c:v>44196</c:v>
                </c:pt>
                <c:pt idx="57">
                  <c:v>44165</c:v>
                </c:pt>
                <c:pt idx="58">
                  <c:v>44135</c:v>
                </c:pt>
                <c:pt idx="59">
                  <c:v>44104</c:v>
                </c:pt>
                <c:pt idx="60">
                  <c:v>44074</c:v>
                </c:pt>
                <c:pt idx="61">
                  <c:v>44043</c:v>
                </c:pt>
                <c:pt idx="62">
                  <c:v>44012</c:v>
                </c:pt>
                <c:pt idx="63">
                  <c:v>43982</c:v>
                </c:pt>
                <c:pt idx="64">
                  <c:v>43951</c:v>
                </c:pt>
                <c:pt idx="65">
                  <c:v>43921</c:v>
                </c:pt>
                <c:pt idx="66">
                  <c:v>43890</c:v>
                </c:pt>
                <c:pt idx="67">
                  <c:v>43830</c:v>
                </c:pt>
                <c:pt idx="68">
                  <c:v>43799</c:v>
                </c:pt>
                <c:pt idx="69">
                  <c:v>43769</c:v>
                </c:pt>
                <c:pt idx="70">
                  <c:v>43738</c:v>
                </c:pt>
                <c:pt idx="71">
                  <c:v>43708</c:v>
                </c:pt>
                <c:pt idx="72">
                  <c:v>43677</c:v>
                </c:pt>
                <c:pt idx="73">
                  <c:v>43646</c:v>
                </c:pt>
                <c:pt idx="74">
                  <c:v>43616</c:v>
                </c:pt>
                <c:pt idx="75">
                  <c:v>43585</c:v>
                </c:pt>
                <c:pt idx="76">
                  <c:v>43555</c:v>
                </c:pt>
                <c:pt idx="77">
                  <c:v>43524</c:v>
                </c:pt>
                <c:pt idx="78">
                  <c:v>43465</c:v>
                </c:pt>
                <c:pt idx="79">
                  <c:v>43434</c:v>
                </c:pt>
                <c:pt idx="80">
                  <c:v>43404</c:v>
                </c:pt>
                <c:pt idx="81">
                  <c:v>43373</c:v>
                </c:pt>
                <c:pt idx="82">
                  <c:v>43343</c:v>
                </c:pt>
                <c:pt idx="83">
                  <c:v>43312</c:v>
                </c:pt>
                <c:pt idx="84">
                  <c:v>43281</c:v>
                </c:pt>
                <c:pt idx="85">
                  <c:v>43251</c:v>
                </c:pt>
                <c:pt idx="86">
                  <c:v>43220</c:v>
                </c:pt>
                <c:pt idx="87">
                  <c:v>43190</c:v>
                </c:pt>
                <c:pt idx="88">
                  <c:v>43159</c:v>
                </c:pt>
                <c:pt idx="89">
                  <c:v>43100</c:v>
                </c:pt>
                <c:pt idx="90">
                  <c:v>43069</c:v>
                </c:pt>
                <c:pt idx="91">
                  <c:v>43039</c:v>
                </c:pt>
                <c:pt idx="92">
                  <c:v>43008</c:v>
                </c:pt>
                <c:pt idx="93">
                  <c:v>42978</c:v>
                </c:pt>
                <c:pt idx="94">
                  <c:v>42947</c:v>
                </c:pt>
                <c:pt idx="95">
                  <c:v>42916</c:v>
                </c:pt>
                <c:pt idx="96">
                  <c:v>42886</c:v>
                </c:pt>
                <c:pt idx="97">
                  <c:v>42855</c:v>
                </c:pt>
                <c:pt idx="98">
                  <c:v>42825</c:v>
                </c:pt>
                <c:pt idx="99">
                  <c:v>42794</c:v>
                </c:pt>
                <c:pt idx="100">
                  <c:v>42735</c:v>
                </c:pt>
                <c:pt idx="101">
                  <c:v>42704</c:v>
                </c:pt>
                <c:pt idx="102">
                  <c:v>42674</c:v>
                </c:pt>
                <c:pt idx="103">
                  <c:v>42643</c:v>
                </c:pt>
                <c:pt idx="104">
                  <c:v>42613</c:v>
                </c:pt>
                <c:pt idx="105">
                  <c:v>42582</c:v>
                </c:pt>
                <c:pt idx="106">
                  <c:v>42551</c:v>
                </c:pt>
                <c:pt idx="107">
                  <c:v>42521</c:v>
                </c:pt>
                <c:pt idx="108">
                  <c:v>42490</c:v>
                </c:pt>
                <c:pt idx="109">
                  <c:v>42460</c:v>
                </c:pt>
                <c:pt idx="110">
                  <c:v>42429</c:v>
                </c:pt>
                <c:pt idx="111">
                  <c:v>42369</c:v>
                </c:pt>
                <c:pt idx="112">
                  <c:v>42338</c:v>
                </c:pt>
                <c:pt idx="113">
                  <c:v>42308</c:v>
                </c:pt>
                <c:pt idx="114">
                  <c:v>42277</c:v>
                </c:pt>
                <c:pt idx="115">
                  <c:v>42247</c:v>
                </c:pt>
                <c:pt idx="116">
                  <c:v>42216</c:v>
                </c:pt>
                <c:pt idx="117">
                  <c:v>42185</c:v>
                </c:pt>
                <c:pt idx="118">
                  <c:v>42155</c:v>
                </c:pt>
                <c:pt idx="119">
                  <c:v>42124</c:v>
                </c:pt>
                <c:pt idx="120">
                  <c:v>42094</c:v>
                </c:pt>
                <c:pt idx="121">
                  <c:v>42063</c:v>
                </c:pt>
                <c:pt idx="122">
                  <c:v>42004</c:v>
                </c:pt>
                <c:pt idx="123">
                  <c:v>41973</c:v>
                </c:pt>
                <c:pt idx="124">
                  <c:v>41943</c:v>
                </c:pt>
                <c:pt idx="125">
                  <c:v>41912</c:v>
                </c:pt>
                <c:pt idx="126">
                  <c:v>41882</c:v>
                </c:pt>
                <c:pt idx="127">
                  <c:v>41851</c:v>
                </c:pt>
                <c:pt idx="128">
                  <c:v>41820</c:v>
                </c:pt>
                <c:pt idx="129">
                  <c:v>41790</c:v>
                </c:pt>
                <c:pt idx="130">
                  <c:v>41759</c:v>
                </c:pt>
                <c:pt idx="131">
                  <c:v>41729</c:v>
                </c:pt>
                <c:pt idx="132">
                  <c:v>41698</c:v>
                </c:pt>
                <c:pt idx="133">
                  <c:v>41639</c:v>
                </c:pt>
                <c:pt idx="134">
                  <c:v>41608</c:v>
                </c:pt>
                <c:pt idx="135">
                  <c:v>41578</c:v>
                </c:pt>
                <c:pt idx="136">
                  <c:v>41547</c:v>
                </c:pt>
                <c:pt idx="137">
                  <c:v>41517</c:v>
                </c:pt>
                <c:pt idx="138">
                  <c:v>41486</c:v>
                </c:pt>
                <c:pt idx="139">
                  <c:v>41455</c:v>
                </c:pt>
                <c:pt idx="140">
                  <c:v>41425</c:v>
                </c:pt>
                <c:pt idx="141">
                  <c:v>41394</c:v>
                </c:pt>
                <c:pt idx="142">
                  <c:v>41364</c:v>
                </c:pt>
                <c:pt idx="143">
                  <c:v>41333</c:v>
                </c:pt>
                <c:pt idx="144">
                  <c:v>41274</c:v>
                </c:pt>
                <c:pt idx="145">
                  <c:v>41243</c:v>
                </c:pt>
                <c:pt idx="146">
                  <c:v>41213</c:v>
                </c:pt>
                <c:pt idx="147">
                  <c:v>41182</c:v>
                </c:pt>
                <c:pt idx="148">
                  <c:v>41152</c:v>
                </c:pt>
                <c:pt idx="149">
                  <c:v>41121</c:v>
                </c:pt>
                <c:pt idx="150">
                  <c:v>41090</c:v>
                </c:pt>
                <c:pt idx="151">
                  <c:v>41060</c:v>
                </c:pt>
                <c:pt idx="152">
                  <c:v>41029</c:v>
                </c:pt>
                <c:pt idx="153">
                  <c:v>40999</c:v>
                </c:pt>
                <c:pt idx="154">
                  <c:v>40968</c:v>
                </c:pt>
                <c:pt idx="155">
                  <c:v>40908</c:v>
                </c:pt>
                <c:pt idx="156">
                  <c:v>40877</c:v>
                </c:pt>
                <c:pt idx="157">
                  <c:v>40847</c:v>
                </c:pt>
              </c:numCache>
            </c:numRef>
          </c:cat>
          <c:val>
            <c:numRef>
              <c:f>'框架指示的股债胜率（综合）'!$Z$17:$Z$174</c:f>
              <c:numCache>
                <c:formatCode>General</c:formatCode>
                <c:ptCount val="158"/>
                <c:pt idx="12">
                  <c:v>0.80849248980128119</c:v>
                </c:pt>
                <c:pt idx="13">
                  <c:v>-0.1333946901814409</c:v>
                </c:pt>
                <c:pt idx="14">
                  <c:v>0.14161395813908437</c:v>
                </c:pt>
                <c:pt idx="15">
                  <c:v>-1.1986391430678958</c:v>
                </c:pt>
                <c:pt idx="16">
                  <c:v>-5.9851538982347412</c:v>
                </c:pt>
                <c:pt idx="17">
                  <c:v>-5.9292294840318158</c:v>
                </c:pt>
                <c:pt idx="18">
                  <c:v>-6.8747600002178793</c:v>
                </c:pt>
                <c:pt idx="19">
                  <c:v>-5.6043878602727917</c:v>
                </c:pt>
                <c:pt idx="20">
                  <c:v>-5.2939375056678051</c:v>
                </c:pt>
                <c:pt idx="21">
                  <c:v>-4.4443731404850135</c:v>
                </c:pt>
                <c:pt idx="22">
                  <c:v>-3.7673703898571471</c:v>
                </c:pt>
                <c:pt idx="23">
                  <c:v>-2.1617524016444456</c:v>
                </c:pt>
                <c:pt idx="24">
                  <c:v>-1.5478393039443203</c:v>
                </c:pt>
                <c:pt idx="25">
                  <c:v>-3.575511612982917</c:v>
                </c:pt>
                <c:pt idx="26">
                  <c:v>-4.9593523160539705</c:v>
                </c:pt>
                <c:pt idx="27">
                  <c:v>-6.0941734215010435</c:v>
                </c:pt>
                <c:pt idx="28">
                  <c:v>-3.6917901846594465</c:v>
                </c:pt>
                <c:pt idx="29">
                  <c:v>-2.4406587166589415</c:v>
                </c:pt>
                <c:pt idx="30">
                  <c:v>0.46714585051953134</c:v>
                </c:pt>
                <c:pt idx="31">
                  <c:v>3.2550282578419751</c:v>
                </c:pt>
                <c:pt idx="32">
                  <c:v>2.8913535805445765</c:v>
                </c:pt>
                <c:pt idx="33">
                  <c:v>0.74669906477686432</c:v>
                </c:pt>
                <c:pt idx="34">
                  <c:v>-0.25689076530757898</c:v>
                </c:pt>
                <c:pt idx="35">
                  <c:v>0.15060607213014934</c:v>
                </c:pt>
                <c:pt idx="36">
                  <c:v>-1.4148032011093534</c:v>
                </c:pt>
                <c:pt idx="37">
                  <c:v>-3.5281459512937823</c:v>
                </c:pt>
                <c:pt idx="38">
                  <c:v>-2.8104242486772257</c:v>
                </c:pt>
                <c:pt idx="39">
                  <c:v>-1.2633680015639603</c:v>
                </c:pt>
                <c:pt idx="40">
                  <c:v>-2.0379954649329135</c:v>
                </c:pt>
                <c:pt idx="41">
                  <c:v>-4.3111329475404672</c:v>
                </c:pt>
                <c:pt idx="42">
                  <c:v>-3.2566891998903795</c:v>
                </c:pt>
                <c:pt idx="43">
                  <c:v>-1.4852444758630308</c:v>
                </c:pt>
                <c:pt idx="44">
                  <c:v>-2.1570659445475378</c:v>
                </c:pt>
                <c:pt idx="45">
                  <c:v>-3.7707672482944194</c:v>
                </c:pt>
                <c:pt idx="46">
                  <c:v>-2.9350306649329845</c:v>
                </c:pt>
                <c:pt idx="47">
                  <c:v>-2.5273300318917777</c:v>
                </c:pt>
                <c:pt idx="48">
                  <c:v>-4.811402502300262</c:v>
                </c:pt>
                <c:pt idx="49">
                  <c:v>-4.7060883065040899</c:v>
                </c:pt>
                <c:pt idx="50">
                  <c:v>-3.8759556122304555</c:v>
                </c:pt>
                <c:pt idx="51">
                  <c:v>-0.81172608612409203</c:v>
                </c:pt>
                <c:pt idx="52">
                  <c:v>1.0038950263651596</c:v>
                </c:pt>
                <c:pt idx="53">
                  <c:v>2.7966174367462813</c:v>
                </c:pt>
                <c:pt idx="54">
                  <c:v>4.3750379947544262</c:v>
                </c:pt>
                <c:pt idx="55">
                  <c:v>5.1721961386757327</c:v>
                </c:pt>
                <c:pt idx="56">
                  <c:v>9.7990632527877271</c:v>
                </c:pt>
                <c:pt idx="57">
                  <c:v>13.317510566382566</c:v>
                </c:pt>
                <c:pt idx="58">
                  <c:v>14.022070621392965</c:v>
                </c:pt>
                <c:pt idx="59">
                  <c:v>11.560079057935347</c:v>
                </c:pt>
                <c:pt idx="60">
                  <c:v>4.2042652730346264</c:v>
                </c:pt>
                <c:pt idx="61">
                  <c:v>1.4823971411359553</c:v>
                </c:pt>
                <c:pt idx="62">
                  <c:v>-2.2660857863620554</c:v>
                </c:pt>
                <c:pt idx="63">
                  <c:v>-6.0482977203663779</c:v>
                </c:pt>
                <c:pt idx="64">
                  <c:v>-6.4480708112948379</c:v>
                </c:pt>
                <c:pt idx="65">
                  <c:v>-4.6700223450799898</c:v>
                </c:pt>
                <c:pt idx="66">
                  <c:v>-0.57035718583562256</c:v>
                </c:pt>
                <c:pt idx="67">
                  <c:v>7.111399527372475E-2</c:v>
                </c:pt>
                <c:pt idx="68">
                  <c:v>-1.0190250648631038</c:v>
                </c:pt>
                <c:pt idx="69">
                  <c:v>-2.6512148532778053</c:v>
                </c:pt>
                <c:pt idx="70">
                  <c:v>-1.5248339435419609</c:v>
                </c:pt>
                <c:pt idx="71">
                  <c:v>-0.76124949716965296</c:v>
                </c:pt>
                <c:pt idx="72">
                  <c:v>1.6613664795550387</c:v>
                </c:pt>
                <c:pt idx="73">
                  <c:v>-0.23147398255573512</c:v>
                </c:pt>
                <c:pt idx="74">
                  <c:v>-1.5253066369877086</c:v>
                </c:pt>
                <c:pt idx="75">
                  <c:v>-2.7017941391565823</c:v>
                </c:pt>
                <c:pt idx="76">
                  <c:v>-4.4051662974450023</c:v>
                </c:pt>
                <c:pt idx="77">
                  <c:v>-6.0656128337390198</c:v>
                </c:pt>
                <c:pt idx="78">
                  <c:v>-7.9495238451186694</c:v>
                </c:pt>
                <c:pt idx="79">
                  <c:v>-7.2405978884713962</c:v>
                </c:pt>
                <c:pt idx="80">
                  <c:v>-5.0860696958057217</c:v>
                </c:pt>
                <c:pt idx="81">
                  <c:v>-5.3541228135804433</c:v>
                </c:pt>
                <c:pt idx="82">
                  <c:v>-8.6658068675433437</c:v>
                </c:pt>
                <c:pt idx="83">
                  <c:v>-8.7705343806941691</c:v>
                </c:pt>
                <c:pt idx="84">
                  <c:v>-7.6286185983098278</c:v>
                </c:pt>
                <c:pt idx="85">
                  <c:v>-2.7700009168434998</c:v>
                </c:pt>
                <c:pt idx="86">
                  <c:v>-0.8798203652803972</c:v>
                </c:pt>
                <c:pt idx="87">
                  <c:v>2.313006522492036</c:v>
                </c:pt>
                <c:pt idx="88">
                  <c:v>5.3241646137665706</c:v>
                </c:pt>
                <c:pt idx="89">
                  <c:v>6.0547412777841423</c:v>
                </c:pt>
                <c:pt idx="90">
                  <c:v>6.5117129470232102</c:v>
                </c:pt>
                <c:pt idx="91">
                  <c:v>7.4220699079042545</c:v>
                </c:pt>
                <c:pt idx="92">
                  <c:v>5.7089126790847322</c:v>
                </c:pt>
                <c:pt idx="93">
                  <c:v>5.90074465809582</c:v>
                </c:pt>
                <c:pt idx="94">
                  <c:v>6.2904239355640543</c:v>
                </c:pt>
                <c:pt idx="95">
                  <c:v>10.189361117835182</c:v>
                </c:pt>
                <c:pt idx="96">
                  <c:v>13.143962664091916</c:v>
                </c:pt>
                <c:pt idx="97">
                  <c:v>9.2117918895084916</c:v>
                </c:pt>
                <c:pt idx="98">
                  <c:v>9.0623693896986506</c:v>
                </c:pt>
                <c:pt idx="99">
                  <c:v>7.8778127199879755</c:v>
                </c:pt>
                <c:pt idx="100">
                  <c:v>4.2306656801023594</c:v>
                </c:pt>
                <c:pt idx="101">
                  <c:v>0.67102401117120358</c:v>
                </c:pt>
                <c:pt idx="102">
                  <c:v>-1.9998989977065944</c:v>
                </c:pt>
                <c:pt idx="103">
                  <c:v>-0.97764121455676245</c:v>
                </c:pt>
                <c:pt idx="104">
                  <c:v>1.8145749397948692</c:v>
                </c:pt>
                <c:pt idx="105">
                  <c:v>-0.67230997131435422</c:v>
                </c:pt>
                <c:pt idx="106">
                  <c:v>-0.6153653140992924</c:v>
                </c:pt>
                <c:pt idx="107">
                  <c:v>9.0150124064539483E-2</c:v>
                </c:pt>
                <c:pt idx="108">
                  <c:v>-1.2139012917943031</c:v>
                </c:pt>
                <c:pt idx="109">
                  <c:v>-5.3380229032657267</c:v>
                </c:pt>
                <c:pt idx="110">
                  <c:v>-11.383145959658258</c:v>
                </c:pt>
                <c:pt idx="111">
                  <c:v>-12.441980564698357</c:v>
                </c:pt>
                <c:pt idx="112">
                  <c:v>-9.3750019892309098</c:v>
                </c:pt>
                <c:pt idx="113">
                  <c:v>-9.9784062364503381</c:v>
                </c:pt>
                <c:pt idx="114">
                  <c:v>-5.313824762916826</c:v>
                </c:pt>
                <c:pt idx="115">
                  <c:v>1.9546366339627983</c:v>
                </c:pt>
                <c:pt idx="116">
                  <c:v>3.8253990098695412</c:v>
                </c:pt>
                <c:pt idx="117">
                  <c:v>11.694677182963309</c:v>
                </c:pt>
                <c:pt idx="118">
                  <c:v>7.9285121595820582</c:v>
                </c:pt>
                <c:pt idx="119">
                  <c:v>2.0351384695385479</c:v>
                </c:pt>
                <c:pt idx="120">
                  <c:v>-1.4993378074378294</c:v>
                </c:pt>
                <c:pt idx="121">
                  <c:v>-4.0495486015225346</c:v>
                </c:pt>
                <c:pt idx="122">
                  <c:v>1.0728442978515769</c:v>
                </c:pt>
                <c:pt idx="123">
                  <c:v>-4.0901924457977543</c:v>
                </c:pt>
                <c:pt idx="124">
                  <c:v>-4.4593624896838087</c:v>
                </c:pt>
                <c:pt idx="125">
                  <c:v>-1.664292645451307</c:v>
                </c:pt>
                <c:pt idx="126">
                  <c:v>-2.5270043164698195</c:v>
                </c:pt>
                <c:pt idx="127">
                  <c:v>-3.9102884678735599</c:v>
                </c:pt>
                <c:pt idx="128">
                  <c:v>-7.1414753250919558</c:v>
                </c:pt>
                <c:pt idx="129">
                  <c:v>1.2295027468432866</c:v>
                </c:pt>
                <c:pt idx="130">
                  <c:v>4.9800153573818013</c:v>
                </c:pt>
                <c:pt idx="131">
                  <c:v>10.242738147154766</c:v>
                </c:pt>
                <c:pt idx="132">
                  <c:v>16.74391048542185</c:v>
                </c:pt>
                <c:pt idx="133">
                  <c:v>19.620929533391784</c:v>
                </c:pt>
                <c:pt idx="134">
                  <c:v>17.849141697664564</c:v>
                </c:pt>
                <c:pt idx="135">
                  <c:v>12.179760830795432</c:v>
                </c:pt>
                <c:pt idx="136">
                  <c:v>9.2407103919174123</c:v>
                </c:pt>
                <c:pt idx="137">
                  <c:v>4.9954030507772282</c:v>
                </c:pt>
                <c:pt idx="138">
                  <c:v>-0.100749551884925</c:v>
                </c:pt>
                <c:pt idx="139">
                  <c:v>0.26812343206173672</c:v>
                </c:pt>
                <c:pt idx="140">
                  <c:v>0.65684587374239334</c:v>
                </c:pt>
                <c:pt idx="141">
                  <c:v>0.40180685623398649</c:v>
                </c:pt>
                <c:pt idx="142">
                  <c:v>5.2948248856034779</c:v>
                </c:pt>
                <c:pt idx="143">
                  <c:v>6.9044211915844569</c:v>
                </c:pt>
                <c:pt idx="144">
                  <c:v>3.9352995674815179</c:v>
                </c:pt>
                <c:pt idx="145">
                  <c:v>-1.0277612029236953</c:v>
                </c:pt>
                <c:pt idx="146">
                  <c:v>-2.0851181134894956</c:v>
                </c:pt>
                <c:pt idx="147">
                  <c:v>-1.9709324141292346</c:v>
                </c:pt>
                <c:pt idx="148">
                  <c:v>-4.2973722428035535</c:v>
                </c:pt>
                <c:pt idx="149">
                  <c:v>-4.063546083436882</c:v>
                </c:pt>
                <c:pt idx="150">
                  <c:v>-5.9070659894126507</c:v>
                </c:pt>
                <c:pt idx="151">
                  <c:v>-6.9474952814608928</c:v>
                </c:pt>
                <c:pt idx="152">
                  <c:v>-8.482604770772646</c:v>
                </c:pt>
                <c:pt idx="153">
                  <c:v>-10.608279802897956</c:v>
                </c:pt>
                <c:pt idx="154">
                  <c:v>-11.169247222713983</c:v>
                </c:pt>
                <c:pt idx="155">
                  <c:v>-10.93765465067642</c:v>
                </c:pt>
                <c:pt idx="156">
                  <c:v>-5.3292386018052813</c:v>
                </c:pt>
                <c:pt idx="157">
                  <c:v>-4.1746914808262199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235-4EFE-B1F6-7005579006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929804"/>
        <c:axId val="623162877"/>
      </c:lineChart>
      <c:lineChart>
        <c:grouping val="standard"/>
        <c:varyColors val="0"/>
        <c:ser>
          <c:idx val="0"/>
          <c:order val="0"/>
          <c:tx>
            <c:strRef>
              <c:f>'框架指示的股债胜率（综合）'!$Y$3:$Y$4</c:f>
              <c:strCache>
                <c:ptCount val="2"/>
                <c:pt idx="0">
                  <c:v>打分指示的股债强弱(向前滚动5年、右轴)</c:v>
                </c:pt>
              </c:strCache>
            </c:strRef>
          </c:tx>
          <c:spPr>
            <a:ln w="158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'框架指示的股债胜率（综合）'!$A$17:$A$174</c:f>
              <c:numCache>
                <c:formatCode>yyyy/m/d;@</c:formatCode>
                <c:ptCount val="158"/>
                <c:pt idx="0">
                  <c:v>46022</c:v>
                </c:pt>
                <c:pt idx="1">
                  <c:v>45991</c:v>
                </c:pt>
                <c:pt idx="2">
                  <c:v>45961</c:v>
                </c:pt>
                <c:pt idx="3">
                  <c:v>45930</c:v>
                </c:pt>
                <c:pt idx="4">
                  <c:v>45900</c:v>
                </c:pt>
                <c:pt idx="5">
                  <c:v>45869</c:v>
                </c:pt>
                <c:pt idx="6">
                  <c:v>45838</c:v>
                </c:pt>
                <c:pt idx="7">
                  <c:v>45808</c:v>
                </c:pt>
                <c:pt idx="8">
                  <c:v>45777</c:v>
                </c:pt>
                <c:pt idx="9">
                  <c:v>45747</c:v>
                </c:pt>
                <c:pt idx="10">
                  <c:v>45716</c:v>
                </c:pt>
                <c:pt idx="11">
                  <c:v>45688</c:v>
                </c:pt>
                <c:pt idx="12">
                  <c:v>45657</c:v>
                </c:pt>
                <c:pt idx="13">
                  <c:v>45626</c:v>
                </c:pt>
                <c:pt idx="14">
                  <c:v>45596</c:v>
                </c:pt>
                <c:pt idx="15">
                  <c:v>45565</c:v>
                </c:pt>
                <c:pt idx="16">
                  <c:v>45535</c:v>
                </c:pt>
                <c:pt idx="17">
                  <c:v>45504</c:v>
                </c:pt>
                <c:pt idx="18">
                  <c:v>45473</c:v>
                </c:pt>
                <c:pt idx="19">
                  <c:v>45443</c:v>
                </c:pt>
                <c:pt idx="20">
                  <c:v>45412</c:v>
                </c:pt>
                <c:pt idx="21">
                  <c:v>45382</c:v>
                </c:pt>
                <c:pt idx="22">
                  <c:v>45351</c:v>
                </c:pt>
                <c:pt idx="23">
                  <c:v>45291</c:v>
                </c:pt>
                <c:pt idx="24">
                  <c:v>45260</c:v>
                </c:pt>
                <c:pt idx="25">
                  <c:v>45230</c:v>
                </c:pt>
                <c:pt idx="26">
                  <c:v>45199</c:v>
                </c:pt>
                <c:pt idx="27">
                  <c:v>45169</c:v>
                </c:pt>
                <c:pt idx="28">
                  <c:v>45138</c:v>
                </c:pt>
                <c:pt idx="29">
                  <c:v>45107</c:v>
                </c:pt>
                <c:pt idx="30">
                  <c:v>45077</c:v>
                </c:pt>
                <c:pt idx="31">
                  <c:v>45046</c:v>
                </c:pt>
                <c:pt idx="32">
                  <c:v>45016</c:v>
                </c:pt>
                <c:pt idx="33">
                  <c:v>44985</c:v>
                </c:pt>
                <c:pt idx="34">
                  <c:v>44926</c:v>
                </c:pt>
                <c:pt idx="35">
                  <c:v>44895</c:v>
                </c:pt>
                <c:pt idx="36">
                  <c:v>44865</c:v>
                </c:pt>
                <c:pt idx="37">
                  <c:v>44834</c:v>
                </c:pt>
                <c:pt idx="38">
                  <c:v>44804</c:v>
                </c:pt>
                <c:pt idx="39">
                  <c:v>44773</c:v>
                </c:pt>
                <c:pt idx="40">
                  <c:v>44742</c:v>
                </c:pt>
                <c:pt idx="41">
                  <c:v>44712</c:v>
                </c:pt>
                <c:pt idx="42">
                  <c:v>44681</c:v>
                </c:pt>
                <c:pt idx="43">
                  <c:v>44651</c:v>
                </c:pt>
                <c:pt idx="44">
                  <c:v>44620</c:v>
                </c:pt>
                <c:pt idx="45">
                  <c:v>44561</c:v>
                </c:pt>
                <c:pt idx="46">
                  <c:v>44530</c:v>
                </c:pt>
                <c:pt idx="47">
                  <c:v>44500</c:v>
                </c:pt>
                <c:pt idx="48">
                  <c:v>44469</c:v>
                </c:pt>
                <c:pt idx="49">
                  <c:v>44439</c:v>
                </c:pt>
                <c:pt idx="50">
                  <c:v>44408</c:v>
                </c:pt>
                <c:pt idx="51">
                  <c:v>44377</c:v>
                </c:pt>
                <c:pt idx="52">
                  <c:v>44347</c:v>
                </c:pt>
                <c:pt idx="53">
                  <c:v>44316</c:v>
                </c:pt>
                <c:pt idx="54">
                  <c:v>44286</c:v>
                </c:pt>
                <c:pt idx="55">
                  <c:v>44255</c:v>
                </c:pt>
                <c:pt idx="56">
                  <c:v>44196</c:v>
                </c:pt>
                <c:pt idx="57">
                  <c:v>44165</c:v>
                </c:pt>
                <c:pt idx="58">
                  <c:v>44135</c:v>
                </c:pt>
                <c:pt idx="59">
                  <c:v>44104</c:v>
                </c:pt>
                <c:pt idx="60">
                  <c:v>44074</c:v>
                </c:pt>
                <c:pt idx="61">
                  <c:v>44043</c:v>
                </c:pt>
                <c:pt idx="62">
                  <c:v>44012</c:v>
                </c:pt>
                <c:pt idx="63">
                  <c:v>43982</c:v>
                </c:pt>
                <c:pt idx="64">
                  <c:v>43951</c:v>
                </c:pt>
                <c:pt idx="65">
                  <c:v>43921</c:v>
                </c:pt>
                <c:pt idx="66">
                  <c:v>43890</c:v>
                </c:pt>
                <c:pt idx="67">
                  <c:v>43830</c:v>
                </c:pt>
                <c:pt idx="68">
                  <c:v>43799</c:v>
                </c:pt>
                <c:pt idx="69">
                  <c:v>43769</c:v>
                </c:pt>
                <c:pt idx="70">
                  <c:v>43738</c:v>
                </c:pt>
                <c:pt idx="71">
                  <c:v>43708</c:v>
                </c:pt>
                <c:pt idx="72">
                  <c:v>43677</c:v>
                </c:pt>
                <c:pt idx="73">
                  <c:v>43646</c:v>
                </c:pt>
                <c:pt idx="74">
                  <c:v>43616</c:v>
                </c:pt>
                <c:pt idx="75">
                  <c:v>43585</c:v>
                </c:pt>
                <c:pt idx="76">
                  <c:v>43555</c:v>
                </c:pt>
                <c:pt idx="77">
                  <c:v>43524</c:v>
                </c:pt>
                <c:pt idx="78">
                  <c:v>43465</c:v>
                </c:pt>
                <c:pt idx="79">
                  <c:v>43434</c:v>
                </c:pt>
                <c:pt idx="80">
                  <c:v>43404</c:v>
                </c:pt>
                <c:pt idx="81">
                  <c:v>43373</c:v>
                </c:pt>
                <c:pt idx="82">
                  <c:v>43343</c:v>
                </c:pt>
                <c:pt idx="83">
                  <c:v>43312</c:v>
                </c:pt>
                <c:pt idx="84">
                  <c:v>43281</c:v>
                </c:pt>
                <c:pt idx="85">
                  <c:v>43251</c:v>
                </c:pt>
                <c:pt idx="86">
                  <c:v>43220</c:v>
                </c:pt>
                <c:pt idx="87">
                  <c:v>43190</c:v>
                </c:pt>
                <c:pt idx="88">
                  <c:v>43159</c:v>
                </c:pt>
                <c:pt idx="89">
                  <c:v>43100</c:v>
                </c:pt>
                <c:pt idx="90">
                  <c:v>43069</c:v>
                </c:pt>
                <c:pt idx="91">
                  <c:v>43039</c:v>
                </c:pt>
                <c:pt idx="92">
                  <c:v>43008</c:v>
                </c:pt>
                <c:pt idx="93">
                  <c:v>42978</c:v>
                </c:pt>
                <c:pt idx="94">
                  <c:v>42947</c:v>
                </c:pt>
                <c:pt idx="95">
                  <c:v>42916</c:v>
                </c:pt>
                <c:pt idx="96">
                  <c:v>42886</c:v>
                </c:pt>
                <c:pt idx="97">
                  <c:v>42855</c:v>
                </c:pt>
                <c:pt idx="98">
                  <c:v>42825</c:v>
                </c:pt>
                <c:pt idx="99">
                  <c:v>42794</c:v>
                </c:pt>
                <c:pt idx="100">
                  <c:v>42735</c:v>
                </c:pt>
                <c:pt idx="101">
                  <c:v>42704</c:v>
                </c:pt>
                <c:pt idx="102">
                  <c:v>42674</c:v>
                </c:pt>
                <c:pt idx="103">
                  <c:v>42643</c:v>
                </c:pt>
                <c:pt idx="104">
                  <c:v>42613</c:v>
                </c:pt>
                <c:pt idx="105">
                  <c:v>42582</c:v>
                </c:pt>
                <c:pt idx="106">
                  <c:v>42551</c:v>
                </c:pt>
                <c:pt idx="107">
                  <c:v>42521</c:v>
                </c:pt>
                <c:pt idx="108">
                  <c:v>42490</c:v>
                </c:pt>
                <c:pt idx="109">
                  <c:v>42460</c:v>
                </c:pt>
                <c:pt idx="110">
                  <c:v>42429</c:v>
                </c:pt>
                <c:pt idx="111">
                  <c:v>42369</c:v>
                </c:pt>
                <c:pt idx="112">
                  <c:v>42338</c:v>
                </c:pt>
                <c:pt idx="113">
                  <c:v>42308</c:v>
                </c:pt>
                <c:pt idx="114">
                  <c:v>42277</c:v>
                </c:pt>
                <c:pt idx="115">
                  <c:v>42247</c:v>
                </c:pt>
                <c:pt idx="116">
                  <c:v>42216</c:v>
                </c:pt>
                <c:pt idx="117">
                  <c:v>42185</c:v>
                </c:pt>
                <c:pt idx="118">
                  <c:v>42155</c:v>
                </c:pt>
                <c:pt idx="119">
                  <c:v>42124</c:v>
                </c:pt>
                <c:pt idx="120">
                  <c:v>42094</c:v>
                </c:pt>
                <c:pt idx="121">
                  <c:v>42063</c:v>
                </c:pt>
                <c:pt idx="122">
                  <c:v>42004</c:v>
                </c:pt>
                <c:pt idx="123">
                  <c:v>41973</c:v>
                </c:pt>
                <c:pt idx="124">
                  <c:v>41943</c:v>
                </c:pt>
                <c:pt idx="125">
                  <c:v>41912</c:v>
                </c:pt>
                <c:pt idx="126">
                  <c:v>41882</c:v>
                </c:pt>
                <c:pt idx="127">
                  <c:v>41851</c:v>
                </c:pt>
                <c:pt idx="128">
                  <c:v>41820</c:v>
                </c:pt>
                <c:pt idx="129">
                  <c:v>41790</c:v>
                </c:pt>
                <c:pt idx="130">
                  <c:v>41759</c:v>
                </c:pt>
                <c:pt idx="131">
                  <c:v>41729</c:v>
                </c:pt>
                <c:pt idx="132">
                  <c:v>41698</c:v>
                </c:pt>
                <c:pt idx="133">
                  <c:v>41639</c:v>
                </c:pt>
                <c:pt idx="134">
                  <c:v>41608</c:v>
                </c:pt>
                <c:pt idx="135">
                  <c:v>41578</c:v>
                </c:pt>
                <c:pt idx="136">
                  <c:v>41547</c:v>
                </c:pt>
                <c:pt idx="137">
                  <c:v>41517</c:v>
                </c:pt>
                <c:pt idx="138">
                  <c:v>41486</c:v>
                </c:pt>
                <c:pt idx="139">
                  <c:v>41455</c:v>
                </c:pt>
                <c:pt idx="140">
                  <c:v>41425</c:v>
                </c:pt>
                <c:pt idx="141">
                  <c:v>41394</c:v>
                </c:pt>
                <c:pt idx="142">
                  <c:v>41364</c:v>
                </c:pt>
                <c:pt idx="143">
                  <c:v>41333</c:v>
                </c:pt>
                <c:pt idx="144">
                  <c:v>41274</c:v>
                </c:pt>
                <c:pt idx="145">
                  <c:v>41243</c:v>
                </c:pt>
                <c:pt idx="146">
                  <c:v>41213</c:v>
                </c:pt>
                <c:pt idx="147">
                  <c:v>41182</c:v>
                </c:pt>
                <c:pt idx="148">
                  <c:v>41152</c:v>
                </c:pt>
                <c:pt idx="149">
                  <c:v>41121</c:v>
                </c:pt>
                <c:pt idx="150">
                  <c:v>41090</c:v>
                </c:pt>
                <c:pt idx="151">
                  <c:v>41060</c:v>
                </c:pt>
                <c:pt idx="152">
                  <c:v>41029</c:v>
                </c:pt>
                <c:pt idx="153">
                  <c:v>40999</c:v>
                </c:pt>
                <c:pt idx="154">
                  <c:v>40968</c:v>
                </c:pt>
                <c:pt idx="155">
                  <c:v>40908</c:v>
                </c:pt>
                <c:pt idx="156">
                  <c:v>40877</c:v>
                </c:pt>
                <c:pt idx="157">
                  <c:v>40847</c:v>
                </c:pt>
              </c:numCache>
            </c:numRef>
          </c:cat>
          <c:val>
            <c:numRef>
              <c:f>'框架指示的股债胜率（综合）'!$Y$17:$Y$174</c:f>
              <c:numCache>
                <c:formatCode>General</c:formatCode>
                <c:ptCount val="158"/>
                <c:pt idx="0">
                  <c:v>-3.316078468435645</c:v>
                </c:pt>
                <c:pt idx="1">
                  <c:v>-3.2575214069565916</c:v>
                </c:pt>
                <c:pt idx="2">
                  <c:v>-3.1881386290166454</c:v>
                </c:pt>
                <c:pt idx="3">
                  <c:v>-2.9631336747084536</c:v>
                </c:pt>
                <c:pt idx="4">
                  <c:v>-2.8692678526457005</c:v>
                </c:pt>
                <c:pt idx="5">
                  <c:v>-2.5582214352442412</c:v>
                </c:pt>
                <c:pt idx="6">
                  <c:v>-2.0756232463960527</c:v>
                </c:pt>
                <c:pt idx="7">
                  <c:v>-1.6159861719757584</c:v>
                </c:pt>
                <c:pt idx="8">
                  <c:v>-1.2574154266773243</c:v>
                </c:pt>
                <c:pt idx="9">
                  <c:v>-1.0633670439716525</c:v>
                </c:pt>
                <c:pt idx="10">
                  <c:v>-1.00258101627386</c:v>
                </c:pt>
                <c:pt idx="11">
                  <c:v>-1.419533616352453</c:v>
                </c:pt>
                <c:pt idx="12">
                  <c:v>-1.7174815018003387</c:v>
                </c:pt>
                <c:pt idx="13">
                  <c:v>-2.0424001069991724</c:v>
                </c:pt>
                <c:pt idx="14">
                  <c:v>-2.3084845861271295</c:v>
                </c:pt>
                <c:pt idx="15">
                  <c:v>-2.5968375343484991</c:v>
                </c:pt>
                <c:pt idx="16">
                  <c:v>-2.648594768342575</c:v>
                </c:pt>
                <c:pt idx="17">
                  <c:v>-2.2078798521802372</c:v>
                </c:pt>
                <c:pt idx="18">
                  <c:v>-2.020826832186041</c:v>
                </c:pt>
                <c:pt idx="19">
                  <c:v>-1.8498160316271772</c:v>
                </c:pt>
                <c:pt idx="20">
                  <c:v>-1.6840842421453874</c:v>
                </c:pt>
                <c:pt idx="21">
                  <c:v>-1.2461303093230336</c:v>
                </c:pt>
                <c:pt idx="22">
                  <c:v>-0.86496174341762566</c:v>
                </c:pt>
                <c:pt idx="23">
                  <c:v>-0.77144220739808966</c:v>
                </c:pt>
                <c:pt idx="24">
                  <c:v>-0.79189289203995072</c:v>
                </c:pt>
                <c:pt idx="25">
                  <c:v>-0.64542370502896806</c:v>
                </c:pt>
                <c:pt idx="26">
                  <c:v>-0.39051039886566191</c:v>
                </c:pt>
                <c:pt idx="27">
                  <c:v>-0.40977377989374886</c:v>
                </c:pt>
                <c:pt idx="28">
                  <c:v>-0.44441917512737944</c:v>
                </c:pt>
                <c:pt idx="29">
                  <c:v>-0.58278607731007104</c:v>
                </c:pt>
                <c:pt idx="30">
                  <c:v>-0.66536141815154093</c:v>
                </c:pt>
                <c:pt idx="31">
                  <c:v>-0.80832806901292864</c:v>
                </c:pt>
                <c:pt idx="32">
                  <c:v>-0.70828594488358354</c:v>
                </c:pt>
                <c:pt idx="33">
                  <c:v>-0.30840265823559082</c:v>
                </c:pt>
                <c:pt idx="34">
                  <c:v>-0.10910293834763581</c:v>
                </c:pt>
                <c:pt idx="35">
                  <c:v>-0.18593988470212605</c:v>
                </c:pt>
                <c:pt idx="36">
                  <c:v>-0.22302937227548458</c:v>
                </c:pt>
                <c:pt idx="37">
                  <c:v>-0.32728793534983713</c:v>
                </c:pt>
                <c:pt idx="38">
                  <c:v>-0.80717247953899374</c:v>
                </c:pt>
                <c:pt idx="39">
                  <c:v>-1.4132283659657239</c:v>
                </c:pt>
                <c:pt idx="40">
                  <c:v>-1.7622182649556228</c:v>
                </c:pt>
                <c:pt idx="41">
                  <c:v>-1.7890809084849331</c:v>
                </c:pt>
                <c:pt idx="42">
                  <c:v>-1.6619965308742397</c:v>
                </c:pt>
                <c:pt idx="43">
                  <c:v>-1.8376982852602044</c:v>
                </c:pt>
                <c:pt idx="44">
                  <c:v>-1.7266396413371108</c:v>
                </c:pt>
                <c:pt idx="45">
                  <c:v>-1.9153258184024438</c:v>
                </c:pt>
                <c:pt idx="46">
                  <c:v>-2.1126322157088411</c:v>
                </c:pt>
                <c:pt idx="47">
                  <c:v>-2.2571608352374604</c:v>
                </c:pt>
                <c:pt idx="48">
                  <c:v>-2.444149139331028</c:v>
                </c:pt>
                <c:pt idx="49">
                  <c:v>-2.2880818878690397</c:v>
                </c:pt>
                <c:pt idx="50">
                  <c:v>-1.8609730060387955</c:v>
                </c:pt>
                <c:pt idx="51">
                  <c:v>-1.3289920118867486</c:v>
                </c:pt>
                <c:pt idx="52">
                  <c:v>-0.64556121266647581</c:v>
                </c:pt>
                <c:pt idx="53">
                  <c:v>7.5269458783390683E-2</c:v>
                </c:pt>
                <c:pt idx="54">
                  <c:v>0.5854893193321985</c:v>
                </c:pt>
                <c:pt idx="55">
                  <c:v>0.99577893225339043</c:v>
                </c:pt>
                <c:pt idx="56">
                  <c:v>0.84900129840145311</c:v>
                </c:pt>
                <c:pt idx="57">
                  <c:v>0.74506042015716945</c:v>
                </c:pt>
                <c:pt idx="58">
                  <c:v>0.54955650886378438</c:v>
                </c:pt>
                <c:pt idx="59">
                  <c:v>0.48898768205076254</c:v>
                </c:pt>
                <c:pt idx="60">
                  <c:v>0.49608079055516141</c:v>
                </c:pt>
                <c:pt idx="61">
                  <c:v>0.36920805315610816</c:v>
                </c:pt>
                <c:pt idx="62">
                  <c:v>0.35672170537564279</c:v>
                </c:pt>
                <c:pt idx="63">
                  <c:v>0.34854448120577158</c:v>
                </c:pt>
                <c:pt idx="64">
                  <c:v>0.30534693800822837</c:v>
                </c:pt>
                <c:pt idx="65">
                  <c:v>0.15306415939392801</c:v>
                </c:pt>
                <c:pt idx="66">
                  <c:v>-5.217574962796101E-2</c:v>
                </c:pt>
                <c:pt idx="67">
                  <c:v>-5.6527409776722611E-2</c:v>
                </c:pt>
                <c:pt idx="68">
                  <c:v>-6.5502385418364936E-2</c:v>
                </c:pt>
                <c:pt idx="69">
                  <c:v>-6.3956082874255374E-2</c:v>
                </c:pt>
                <c:pt idx="70">
                  <c:v>-5.590764982582231E-2</c:v>
                </c:pt>
                <c:pt idx="71">
                  <c:v>-0.10784669750184672</c:v>
                </c:pt>
                <c:pt idx="72">
                  <c:v>-0.11819857423303382</c:v>
                </c:pt>
                <c:pt idx="73">
                  <c:v>-1.2026139399720266E-3</c:v>
                </c:pt>
                <c:pt idx="74">
                  <c:v>0.15096944239875099</c:v>
                </c:pt>
                <c:pt idx="75">
                  <c:v>0.22421604521819896</c:v>
                </c:pt>
                <c:pt idx="76">
                  <c:v>0.31309164330432337</c:v>
                </c:pt>
                <c:pt idx="77">
                  <c:v>0.50916802707420561</c:v>
                </c:pt>
                <c:pt idx="78">
                  <c:v>0.7682716685307881</c:v>
                </c:pt>
                <c:pt idx="79">
                  <c:v>0.75929800330712283</c:v>
                </c:pt>
                <c:pt idx="80">
                  <c:v>0.80047488198400174</c:v>
                </c:pt>
                <c:pt idx="81">
                  <c:v>0.9704024182158858</c:v>
                </c:pt>
                <c:pt idx="82">
                  <c:v>1.2552056372868394</c:v>
                </c:pt>
                <c:pt idx="83">
                  <c:v>1.3657996728808748</c:v>
                </c:pt>
                <c:pt idx="84">
                  <c:v>1.6668150790433398</c:v>
                </c:pt>
                <c:pt idx="85">
                  <c:v>1.9461853797952198</c:v>
                </c:pt>
                <c:pt idx="86">
                  <c:v>2.0030280741379145</c:v>
                </c:pt>
                <c:pt idx="87">
                  <c:v>1.9676522571444499</c:v>
                </c:pt>
                <c:pt idx="88">
                  <c:v>1.781807203983927</c:v>
                </c:pt>
                <c:pt idx="89">
                  <c:v>1.7134089355856583</c:v>
                </c:pt>
                <c:pt idx="90">
                  <c:v>1.4275381780685592</c:v>
                </c:pt>
                <c:pt idx="91">
                  <c:v>1.3228549957537981</c:v>
                </c:pt>
                <c:pt idx="92">
                  <c:v>1.3108026962014985</c:v>
                </c:pt>
                <c:pt idx="93">
                  <c:v>1.3999198741731655</c:v>
                </c:pt>
                <c:pt idx="94">
                  <c:v>1.4900533631438639</c:v>
                </c:pt>
                <c:pt idx="95">
                  <c:v>1.4666615502783669</c:v>
                </c:pt>
                <c:pt idx="96">
                  <c:v>1.3078427653118057</c:v>
                </c:pt>
                <c:pt idx="97">
                  <c:v>1.1350097976258964</c:v>
                </c:pt>
                <c:pt idx="98">
                  <c:v>0.95503167389777277</c:v>
                </c:pt>
                <c:pt idx="99">
                  <c:v>0.91551202310902202</c:v>
                </c:pt>
                <c:pt idx="100">
                  <c:v>0.89302910062609941</c:v>
                </c:pt>
                <c:pt idx="101">
                  <c:v>0.91936289488185385</c:v>
                </c:pt>
                <c:pt idx="102">
                  <c:v>1.0354389212519979</c:v>
                </c:pt>
                <c:pt idx="103">
                  <c:v>1.0185304575298086</c:v>
                </c:pt>
                <c:pt idx="104">
                  <c:v>1.0015157592651105</c:v>
                </c:pt>
                <c:pt idx="105">
                  <c:v>0.83566345744506665</c:v>
                </c:pt>
                <c:pt idx="106">
                  <c:v>0.42181895519476725</c:v>
                </c:pt>
                <c:pt idx="107">
                  <c:v>8.8557293484829713E-2</c:v>
                </c:pt>
                <c:pt idx="108">
                  <c:v>-4.6413846486310271E-2</c:v>
                </c:pt>
                <c:pt idx="109">
                  <c:v>-9.5347628753425881E-2</c:v>
                </c:pt>
                <c:pt idx="110">
                  <c:v>-0.14708293048872764</c:v>
                </c:pt>
                <c:pt idx="111">
                  <c:v>-0.24823011663591377</c:v>
                </c:pt>
                <c:pt idx="112">
                  <c:v>-9.0795870795870828E-2</c:v>
                </c:pt>
                <c:pt idx="113">
                  <c:v>4.4285714285714262E-2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235-4EFE-B1F6-7005579006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3369545"/>
        <c:axId val="603172358"/>
      </c:lineChart>
      <c:dateAx>
        <c:axId val="145929804"/>
        <c:scaling>
          <c:orientation val="minMax"/>
          <c:min val="42036"/>
        </c:scaling>
        <c:delete val="0"/>
        <c:axPos val="b"/>
        <c:numFmt formatCode="yyyy/m/d;@" sourceLinked="0"/>
        <c:majorTickMark val="out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0" spcFirstLastPara="0" vertOverflow="ellipsis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000000"/>
                </a:solidFill>
                <a:latin typeface="黑体" panose="02010609060101010101" pitchFamily="49" charset="-122"/>
                <a:ea typeface="黑体" panose="02010609060101010101" pitchFamily="49" charset="-122"/>
                <a:cs typeface="黑体" panose="02010609060101010101" pitchFamily="49" charset="-122"/>
                <a:sym typeface="黑体" panose="02010609060101010101" pitchFamily="49" charset="-122"/>
              </a:defRPr>
            </a:pPr>
            <a:endParaRPr lang="zh-CN"/>
          </a:p>
        </c:txPr>
        <c:crossAx val="623162877"/>
        <c:crosses val="autoZero"/>
        <c:auto val="1"/>
        <c:lblOffset val="100"/>
        <c:baseTimeUnit val="months"/>
      </c:dateAx>
      <c:valAx>
        <c:axId val="623162877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6350">
            <a:solidFill>
              <a:schemeClr val="tx1"/>
            </a:solidFill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000000"/>
                </a:solidFill>
                <a:latin typeface="黑体" panose="02010609060101010101" pitchFamily="49" charset="-122"/>
                <a:ea typeface="黑体" panose="02010609060101010101" pitchFamily="49" charset="-122"/>
                <a:cs typeface="黑体" panose="02010609060101010101" pitchFamily="49" charset="-122"/>
                <a:sym typeface="黑体" panose="02010609060101010101" pitchFamily="49" charset="-122"/>
              </a:defRPr>
            </a:pPr>
            <a:endParaRPr lang="zh-CN"/>
          </a:p>
        </c:txPr>
        <c:crossAx val="145929804"/>
        <c:crosses val="autoZero"/>
        <c:crossBetween val="between"/>
      </c:valAx>
      <c:dateAx>
        <c:axId val="383369545"/>
        <c:scaling>
          <c:orientation val="minMax"/>
        </c:scaling>
        <c:delete val="1"/>
        <c:axPos val="b"/>
        <c:numFmt formatCode="yyyy/m/d;@" sourceLinked="1"/>
        <c:majorTickMark val="none"/>
        <c:minorTickMark val="none"/>
        <c:tickLblPos val="nextTo"/>
        <c:crossAx val="603172358"/>
        <c:crosses val="autoZero"/>
        <c:auto val="1"/>
        <c:lblOffset val="100"/>
        <c:baseTimeUnit val="months"/>
      </c:dateAx>
      <c:valAx>
        <c:axId val="603172358"/>
        <c:scaling>
          <c:orientation val="minMax"/>
        </c:scaling>
        <c:delete val="0"/>
        <c:axPos val="r"/>
        <c:numFmt formatCode="General" sourceLinked="1"/>
        <c:majorTickMark val="in"/>
        <c:minorTickMark val="none"/>
        <c:tickLblPos val="nextTo"/>
        <c:spPr>
          <a:noFill/>
          <a:ln w="6350">
            <a:solidFill>
              <a:schemeClr val="tx1"/>
            </a:solidFill>
          </a:ln>
          <a:effectLst/>
        </c:spPr>
        <c:txPr>
          <a:bodyPr rot="0" spcFirstLastPara="0" vertOverflow="ellipsis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000000"/>
                </a:solidFill>
                <a:latin typeface="黑体" panose="02010609060101010101" pitchFamily="49" charset="-122"/>
                <a:ea typeface="黑体" panose="02010609060101010101" pitchFamily="49" charset="-122"/>
                <a:cs typeface="黑体" panose="02010609060101010101" pitchFamily="49" charset="-122"/>
                <a:sym typeface="黑体" panose="02010609060101010101" pitchFamily="49" charset="-122"/>
              </a:defRPr>
            </a:pPr>
            <a:endParaRPr lang="zh-CN"/>
          </a:p>
        </c:txPr>
        <c:crossAx val="383369545"/>
        <c:crosses val="max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000000">
                    <a:lumMod val="65000"/>
                    <a:lumOff val="35000"/>
                  </a:srgbClr>
                </a:solidFill>
                <a:latin typeface="黑体" panose="02010609060101010101" pitchFamily="49" charset="-122"/>
                <a:ea typeface="黑体" panose="02010609060101010101" pitchFamily="49" charset="-122"/>
                <a:cs typeface="黑体" panose="02010609060101010101" pitchFamily="49" charset="-122"/>
                <a:sym typeface="黑体" panose="02010609060101010101" pitchFamily="49" charset="-122"/>
              </a:defRPr>
            </a:pPr>
            <a:endParaRPr lang="zh-CN"/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000000">
                    <a:lumMod val="65000"/>
                    <a:lumOff val="35000"/>
                  </a:srgbClr>
                </a:solidFill>
                <a:latin typeface="黑体" panose="02010609060101010101" pitchFamily="49" charset="-122"/>
                <a:ea typeface="黑体" panose="02010609060101010101" pitchFamily="49" charset="-122"/>
                <a:cs typeface="黑体" panose="02010609060101010101" pitchFamily="49" charset="-122"/>
                <a:sym typeface="黑体" panose="02010609060101010101" pitchFamily="49" charset="-122"/>
              </a:defRPr>
            </a:pPr>
            <a:endParaRPr lang="zh-CN"/>
          </a:p>
        </c:txPr>
      </c:legendEntry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rgbClr val="000000">
                  <a:lumMod val="65000"/>
                  <a:lumOff val="35000"/>
                </a:srgbClr>
              </a:solidFill>
              <a:latin typeface="黑体" panose="02010609060101010101" pitchFamily="49" charset="-122"/>
              <a:ea typeface="黑体" panose="02010609060101010101" pitchFamily="49" charset="-122"/>
              <a:cs typeface="黑体" panose="02010609060101010101" pitchFamily="49" charset="-122"/>
              <a:sym typeface="黑体" panose="02010609060101010101" pitchFamily="49" charset="-122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zh-CN" sz="900">
          <a:latin typeface="黑体" panose="02010609060101010101" pitchFamily="49" charset="-122"/>
          <a:ea typeface="黑体" panose="02010609060101010101" pitchFamily="49" charset="-122"/>
          <a:cs typeface="黑体" panose="02010609060101010101" pitchFamily="49" charset="-122"/>
          <a:sym typeface="黑体" panose="02010609060101010101" pitchFamily="49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'框架指示的股债胜率（综合）'!$AA$2:$AA$3</c:f>
              <c:strCache>
                <c:ptCount val="2"/>
                <c:pt idx="1">
                  <c:v>实际股债强弱（中证债基口径）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'框架指示的股债胜率（综合）'!$A$36:$A$193</c:f>
              <c:numCache>
                <c:formatCode>yyyy/m/d;@</c:formatCode>
                <c:ptCount val="158"/>
                <c:pt idx="0">
                  <c:v>45443</c:v>
                </c:pt>
                <c:pt idx="1">
                  <c:v>45412</c:v>
                </c:pt>
                <c:pt idx="2">
                  <c:v>45382</c:v>
                </c:pt>
                <c:pt idx="3">
                  <c:v>45351</c:v>
                </c:pt>
                <c:pt idx="4">
                  <c:v>45291</c:v>
                </c:pt>
                <c:pt idx="5">
                  <c:v>45260</c:v>
                </c:pt>
                <c:pt idx="6">
                  <c:v>45230</c:v>
                </c:pt>
                <c:pt idx="7">
                  <c:v>45199</c:v>
                </c:pt>
                <c:pt idx="8">
                  <c:v>45169</c:v>
                </c:pt>
                <c:pt idx="9">
                  <c:v>45138</c:v>
                </c:pt>
                <c:pt idx="10">
                  <c:v>45107</c:v>
                </c:pt>
                <c:pt idx="11">
                  <c:v>45077</c:v>
                </c:pt>
                <c:pt idx="12">
                  <c:v>45046</c:v>
                </c:pt>
                <c:pt idx="13">
                  <c:v>45016</c:v>
                </c:pt>
                <c:pt idx="14">
                  <c:v>44985</c:v>
                </c:pt>
                <c:pt idx="15">
                  <c:v>44926</c:v>
                </c:pt>
                <c:pt idx="16">
                  <c:v>44895</c:v>
                </c:pt>
                <c:pt idx="17">
                  <c:v>44865</c:v>
                </c:pt>
                <c:pt idx="18">
                  <c:v>44834</c:v>
                </c:pt>
                <c:pt idx="19">
                  <c:v>44804</c:v>
                </c:pt>
                <c:pt idx="20">
                  <c:v>44773</c:v>
                </c:pt>
                <c:pt idx="21">
                  <c:v>44742</c:v>
                </c:pt>
                <c:pt idx="22">
                  <c:v>44712</c:v>
                </c:pt>
                <c:pt idx="23">
                  <c:v>44681</c:v>
                </c:pt>
                <c:pt idx="24">
                  <c:v>44651</c:v>
                </c:pt>
                <c:pt idx="25">
                  <c:v>44620</c:v>
                </c:pt>
                <c:pt idx="26">
                  <c:v>44561</c:v>
                </c:pt>
                <c:pt idx="27">
                  <c:v>44530</c:v>
                </c:pt>
                <c:pt idx="28">
                  <c:v>44500</c:v>
                </c:pt>
                <c:pt idx="29">
                  <c:v>44469</c:v>
                </c:pt>
                <c:pt idx="30">
                  <c:v>44439</c:v>
                </c:pt>
                <c:pt idx="31">
                  <c:v>44408</c:v>
                </c:pt>
                <c:pt idx="32">
                  <c:v>44377</c:v>
                </c:pt>
                <c:pt idx="33">
                  <c:v>44347</c:v>
                </c:pt>
                <c:pt idx="34">
                  <c:v>44316</c:v>
                </c:pt>
                <c:pt idx="35">
                  <c:v>44286</c:v>
                </c:pt>
                <c:pt idx="36">
                  <c:v>44255</c:v>
                </c:pt>
                <c:pt idx="37">
                  <c:v>44196</c:v>
                </c:pt>
                <c:pt idx="38">
                  <c:v>44165</c:v>
                </c:pt>
                <c:pt idx="39">
                  <c:v>44135</c:v>
                </c:pt>
                <c:pt idx="40">
                  <c:v>44104</c:v>
                </c:pt>
                <c:pt idx="41">
                  <c:v>44074</c:v>
                </c:pt>
                <c:pt idx="42">
                  <c:v>44043</c:v>
                </c:pt>
                <c:pt idx="43">
                  <c:v>44012</c:v>
                </c:pt>
                <c:pt idx="44">
                  <c:v>43982</c:v>
                </c:pt>
                <c:pt idx="45">
                  <c:v>43951</c:v>
                </c:pt>
                <c:pt idx="46">
                  <c:v>43921</c:v>
                </c:pt>
                <c:pt idx="47">
                  <c:v>43890</c:v>
                </c:pt>
                <c:pt idx="48">
                  <c:v>43830</c:v>
                </c:pt>
                <c:pt idx="49">
                  <c:v>43799</c:v>
                </c:pt>
                <c:pt idx="50">
                  <c:v>43769</c:v>
                </c:pt>
                <c:pt idx="51">
                  <c:v>43738</c:v>
                </c:pt>
                <c:pt idx="52">
                  <c:v>43708</c:v>
                </c:pt>
                <c:pt idx="53">
                  <c:v>43677</c:v>
                </c:pt>
                <c:pt idx="54">
                  <c:v>43646</c:v>
                </c:pt>
                <c:pt idx="55">
                  <c:v>43616</c:v>
                </c:pt>
                <c:pt idx="56">
                  <c:v>43585</c:v>
                </c:pt>
                <c:pt idx="57">
                  <c:v>43555</c:v>
                </c:pt>
                <c:pt idx="58">
                  <c:v>43524</c:v>
                </c:pt>
                <c:pt idx="59">
                  <c:v>43465</c:v>
                </c:pt>
                <c:pt idx="60">
                  <c:v>43434</c:v>
                </c:pt>
                <c:pt idx="61">
                  <c:v>43404</c:v>
                </c:pt>
                <c:pt idx="62">
                  <c:v>43373</c:v>
                </c:pt>
                <c:pt idx="63">
                  <c:v>43343</c:v>
                </c:pt>
                <c:pt idx="64">
                  <c:v>43312</c:v>
                </c:pt>
                <c:pt idx="65">
                  <c:v>43281</c:v>
                </c:pt>
                <c:pt idx="66">
                  <c:v>43251</c:v>
                </c:pt>
                <c:pt idx="67">
                  <c:v>43220</c:v>
                </c:pt>
                <c:pt idx="68">
                  <c:v>43190</c:v>
                </c:pt>
                <c:pt idx="69">
                  <c:v>43159</c:v>
                </c:pt>
                <c:pt idx="70">
                  <c:v>43100</c:v>
                </c:pt>
                <c:pt idx="71">
                  <c:v>43069</c:v>
                </c:pt>
                <c:pt idx="72">
                  <c:v>43039</c:v>
                </c:pt>
                <c:pt idx="73">
                  <c:v>43008</c:v>
                </c:pt>
                <c:pt idx="74">
                  <c:v>42978</c:v>
                </c:pt>
                <c:pt idx="75">
                  <c:v>42947</c:v>
                </c:pt>
                <c:pt idx="76">
                  <c:v>42916</c:v>
                </c:pt>
                <c:pt idx="77">
                  <c:v>42886</c:v>
                </c:pt>
                <c:pt idx="78">
                  <c:v>42855</c:v>
                </c:pt>
                <c:pt idx="79">
                  <c:v>42825</c:v>
                </c:pt>
                <c:pt idx="80">
                  <c:v>42794</c:v>
                </c:pt>
                <c:pt idx="81">
                  <c:v>42735</c:v>
                </c:pt>
                <c:pt idx="82">
                  <c:v>42704</c:v>
                </c:pt>
                <c:pt idx="83">
                  <c:v>42674</c:v>
                </c:pt>
                <c:pt idx="84">
                  <c:v>42643</c:v>
                </c:pt>
                <c:pt idx="85">
                  <c:v>42613</c:v>
                </c:pt>
                <c:pt idx="86">
                  <c:v>42582</c:v>
                </c:pt>
                <c:pt idx="87">
                  <c:v>42551</c:v>
                </c:pt>
                <c:pt idx="88">
                  <c:v>42521</c:v>
                </c:pt>
                <c:pt idx="89">
                  <c:v>42490</c:v>
                </c:pt>
                <c:pt idx="90">
                  <c:v>42460</c:v>
                </c:pt>
                <c:pt idx="91">
                  <c:v>42429</c:v>
                </c:pt>
                <c:pt idx="92">
                  <c:v>42369</c:v>
                </c:pt>
                <c:pt idx="93">
                  <c:v>42338</c:v>
                </c:pt>
                <c:pt idx="94">
                  <c:v>42308</c:v>
                </c:pt>
                <c:pt idx="95">
                  <c:v>42277</c:v>
                </c:pt>
                <c:pt idx="96">
                  <c:v>42247</c:v>
                </c:pt>
                <c:pt idx="97">
                  <c:v>42216</c:v>
                </c:pt>
                <c:pt idx="98">
                  <c:v>42185</c:v>
                </c:pt>
                <c:pt idx="99">
                  <c:v>42155</c:v>
                </c:pt>
                <c:pt idx="100">
                  <c:v>42124</c:v>
                </c:pt>
                <c:pt idx="101">
                  <c:v>42094</c:v>
                </c:pt>
                <c:pt idx="102">
                  <c:v>42063</c:v>
                </c:pt>
                <c:pt idx="103">
                  <c:v>42004</c:v>
                </c:pt>
                <c:pt idx="104">
                  <c:v>41973</c:v>
                </c:pt>
                <c:pt idx="105">
                  <c:v>41943</c:v>
                </c:pt>
                <c:pt idx="106">
                  <c:v>41912</c:v>
                </c:pt>
                <c:pt idx="107">
                  <c:v>41882</c:v>
                </c:pt>
                <c:pt idx="108">
                  <c:v>41851</c:v>
                </c:pt>
                <c:pt idx="109">
                  <c:v>41820</c:v>
                </c:pt>
                <c:pt idx="110">
                  <c:v>41790</c:v>
                </c:pt>
                <c:pt idx="111">
                  <c:v>41759</c:v>
                </c:pt>
                <c:pt idx="112">
                  <c:v>41729</c:v>
                </c:pt>
                <c:pt idx="113">
                  <c:v>41698</c:v>
                </c:pt>
                <c:pt idx="114">
                  <c:v>41639</c:v>
                </c:pt>
                <c:pt idx="115">
                  <c:v>41608</c:v>
                </c:pt>
                <c:pt idx="116">
                  <c:v>41578</c:v>
                </c:pt>
                <c:pt idx="117">
                  <c:v>41547</c:v>
                </c:pt>
                <c:pt idx="118">
                  <c:v>41517</c:v>
                </c:pt>
                <c:pt idx="119">
                  <c:v>41486</c:v>
                </c:pt>
                <c:pt idx="120">
                  <c:v>41455</c:v>
                </c:pt>
                <c:pt idx="121">
                  <c:v>41425</c:v>
                </c:pt>
                <c:pt idx="122">
                  <c:v>41394</c:v>
                </c:pt>
                <c:pt idx="123">
                  <c:v>41364</c:v>
                </c:pt>
                <c:pt idx="124">
                  <c:v>41333</c:v>
                </c:pt>
                <c:pt idx="125">
                  <c:v>41274</c:v>
                </c:pt>
                <c:pt idx="126">
                  <c:v>41243</c:v>
                </c:pt>
                <c:pt idx="127">
                  <c:v>41213</c:v>
                </c:pt>
                <c:pt idx="128">
                  <c:v>41182</c:v>
                </c:pt>
                <c:pt idx="129">
                  <c:v>41152</c:v>
                </c:pt>
                <c:pt idx="130">
                  <c:v>41121</c:v>
                </c:pt>
                <c:pt idx="131">
                  <c:v>41090</c:v>
                </c:pt>
                <c:pt idx="132">
                  <c:v>41060</c:v>
                </c:pt>
                <c:pt idx="133">
                  <c:v>41029</c:v>
                </c:pt>
                <c:pt idx="134">
                  <c:v>40999</c:v>
                </c:pt>
                <c:pt idx="135">
                  <c:v>40968</c:v>
                </c:pt>
                <c:pt idx="136">
                  <c:v>40908</c:v>
                </c:pt>
                <c:pt idx="137">
                  <c:v>40877</c:v>
                </c:pt>
                <c:pt idx="138">
                  <c:v>40847</c:v>
                </c:pt>
                <c:pt idx="139">
                  <c:v>40816</c:v>
                </c:pt>
                <c:pt idx="140">
                  <c:v>40786</c:v>
                </c:pt>
                <c:pt idx="141">
                  <c:v>40755</c:v>
                </c:pt>
                <c:pt idx="142">
                  <c:v>40724</c:v>
                </c:pt>
                <c:pt idx="143">
                  <c:v>40694</c:v>
                </c:pt>
                <c:pt idx="144">
                  <c:v>40663</c:v>
                </c:pt>
                <c:pt idx="145">
                  <c:v>40633</c:v>
                </c:pt>
                <c:pt idx="146">
                  <c:v>40602</c:v>
                </c:pt>
                <c:pt idx="147">
                  <c:v>40543</c:v>
                </c:pt>
                <c:pt idx="148">
                  <c:v>40512</c:v>
                </c:pt>
                <c:pt idx="149">
                  <c:v>40482</c:v>
                </c:pt>
                <c:pt idx="150">
                  <c:v>40451</c:v>
                </c:pt>
                <c:pt idx="151">
                  <c:v>40421</c:v>
                </c:pt>
                <c:pt idx="152">
                  <c:v>40390</c:v>
                </c:pt>
                <c:pt idx="153">
                  <c:v>40359</c:v>
                </c:pt>
                <c:pt idx="154">
                  <c:v>40329</c:v>
                </c:pt>
                <c:pt idx="155">
                  <c:v>40298</c:v>
                </c:pt>
                <c:pt idx="156">
                  <c:v>40268</c:v>
                </c:pt>
                <c:pt idx="157">
                  <c:v>40237</c:v>
                </c:pt>
              </c:numCache>
            </c:numRef>
          </c:cat>
          <c:val>
            <c:numRef>
              <c:f>'框架指示的股债胜率（综合）'!$AA$36:$AA$193</c:f>
              <c:numCache>
                <c:formatCode>General</c:formatCode>
                <c:ptCount val="158"/>
                <c:pt idx="0">
                  <c:v>-0.831618452536247</c:v>
                </c:pt>
                <c:pt idx="1">
                  <c:v>-0.91933607469126366</c:v>
                </c:pt>
                <c:pt idx="2">
                  <c:v>-1.172737908768142</c:v>
                </c:pt>
                <c:pt idx="3">
                  <c:v>-2.333544331656022</c:v>
                </c:pt>
                <c:pt idx="4">
                  <c:v>-1.5061427335347772</c:v>
                </c:pt>
                <c:pt idx="5">
                  <c:v>-0.87743526354031898</c:v>
                </c:pt>
                <c:pt idx="6">
                  <c:v>-1.5095291568425837</c:v>
                </c:pt>
                <c:pt idx="7">
                  <c:v>-1.451609562430807</c:v>
                </c:pt>
                <c:pt idx="8">
                  <c:v>-1.4959165777007104</c:v>
                </c:pt>
                <c:pt idx="9">
                  <c:v>4.7752315915631526E-2</c:v>
                </c:pt>
                <c:pt idx="10">
                  <c:v>-0.62850689303969354</c:v>
                </c:pt>
                <c:pt idx="11">
                  <c:v>0.53977266211377817</c:v>
                </c:pt>
                <c:pt idx="12">
                  <c:v>0.68591168319272489</c:v>
                </c:pt>
                <c:pt idx="13">
                  <c:v>-0.25980785262767681</c:v>
                </c:pt>
                <c:pt idx="14">
                  <c:v>-0.57458946754438844</c:v>
                </c:pt>
                <c:pt idx="15">
                  <c:v>-1.6641371421192452</c:v>
                </c:pt>
                <c:pt idx="16">
                  <c:v>0.19674243576647812</c:v>
                </c:pt>
                <c:pt idx="17">
                  <c:v>-0.30005452386068682</c:v>
                </c:pt>
                <c:pt idx="18">
                  <c:v>-1.4699299402516151</c:v>
                </c:pt>
                <c:pt idx="19">
                  <c:v>-1.4121018064757231</c:v>
                </c:pt>
                <c:pt idx="20">
                  <c:v>-1.4775539164189564</c:v>
                </c:pt>
                <c:pt idx="21">
                  <c:v>-0.85287903961608336</c:v>
                </c:pt>
                <c:pt idx="22">
                  <c:v>-1.95538817997763</c:v>
                </c:pt>
                <c:pt idx="23">
                  <c:v>-2.8143180848188778</c:v>
                </c:pt>
                <c:pt idx="24">
                  <c:v>-1.3753750861193694</c:v>
                </c:pt>
                <c:pt idx="25">
                  <c:v>0.28552184620946047</c:v>
                </c:pt>
                <c:pt idx="26">
                  <c:v>0.24402571236807705</c:v>
                </c:pt>
                <c:pt idx="27">
                  <c:v>0.33413998897451869</c:v>
                </c:pt>
                <c:pt idx="28">
                  <c:v>0.66749617131671879</c:v>
                </c:pt>
                <c:pt idx="29">
                  <c:v>0.9342661406510665</c:v>
                </c:pt>
                <c:pt idx="30">
                  <c:v>0.54149146176690655</c:v>
                </c:pt>
                <c:pt idx="31">
                  <c:v>2.4990069006374672E-2</c:v>
                </c:pt>
                <c:pt idx="32">
                  <c:v>1.0443813053832398</c:v>
                </c:pt>
                <c:pt idx="33">
                  <c:v>1.5148611332884896</c:v>
                </c:pt>
                <c:pt idx="34">
                  <c:v>0.86453281495294643</c:v>
                </c:pt>
                <c:pt idx="35">
                  <c:v>-0.42279526246157345</c:v>
                </c:pt>
                <c:pt idx="36">
                  <c:v>0.46653043108840309</c:v>
                </c:pt>
                <c:pt idx="37">
                  <c:v>2.6647913411245634</c:v>
                </c:pt>
                <c:pt idx="38">
                  <c:v>3.7511279431579019</c:v>
                </c:pt>
                <c:pt idx="39">
                  <c:v>3.2890224930508016</c:v>
                </c:pt>
                <c:pt idx="40">
                  <c:v>3.8072068576718485</c:v>
                </c:pt>
                <c:pt idx="41">
                  <c:v>3.6487117016061283</c:v>
                </c:pt>
                <c:pt idx="42">
                  <c:v>3.1456228493045395</c:v>
                </c:pt>
                <c:pt idx="43">
                  <c:v>2.1660562590925241</c:v>
                </c:pt>
                <c:pt idx="44">
                  <c:v>0.35358116719353744</c:v>
                </c:pt>
                <c:pt idx="45">
                  <c:v>0.28794569303424272</c:v>
                </c:pt>
                <c:pt idx="46">
                  <c:v>-0.25416817841324513</c:v>
                </c:pt>
                <c:pt idx="47">
                  <c:v>0.70562000454645568</c:v>
                </c:pt>
                <c:pt idx="48">
                  <c:v>0.78855817390221983</c:v>
                </c:pt>
                <c:pt idx="49">
                  <c:v>0.10129239545439302</c:v>
                </c:pt>
                <c:pt idx="50">
                  <c:v>-0.69946445455380524</c:v>
                </c:pt>
                <c:pt idx="51">
                  <c:v>-1.0338815625896272</c:v>
                </c:pt>
                <c:pt idx="52">
                  <c:v>0.13203704471985253</c:v>
                </c:pt>
                <c:pt idx="53">
                  <c:v>2.0205673921335454</c:v>
                </c:pt>
                <c:pt idx="54">
                  <c:v>1.2716694444114385</c:v>
                </c:pt>
                <c:pt idx="55">
                  <c:v>1.0236780345049667</c:v>
                </c:pt>
                <c:pt idx="56">
                  <c:v>0.55036633801191803</c:v>
                </c:pt>
                <c:pt idx="57">
                  <c:v>0.92661225488499843</c:v>
                </c:pt>
                <c:pt idx="58">
                  <c:v>-1.413539042760193</c:v>
                </c:pt>
                <c:pt idx="59">
                  <c:v>-3.2447412364230099</c:v>
                </c:pt>
                <c:pt idx="60">
                  <c:v>-3.8314312218047384</c:v>
                </c:pt>
                <c:pt idx="61">
                  <c:v>-4.0887178439538925</c:v>
                </c:pt>
                <c:pt idx="62">
                  <c:v>-3.2119835639412782</c:v>
                </c:pt>
                <c:pt idx="63">
                  <c:v>-3.5014035311099287</c:v>
                </c:pt>
                <c:pt idx="64">
                  <c:v>-2.743955242121709</c:v>
                </c:pt>
                <c:pt idx="65">
                  <c:v>-2.6892463108573677</c:v>
                </c:pt>
                <c:pt idx="66">
                  <c:v>-1.6684985046137044</c:v>
                </c:pt>
                <c:pt idx="67">
                  <c:v>-1.4944329263127731</c:v>
                </c:pt>
                <c:pt idx="68">
                  <c:v>-0.62276611759150491</c:v>
                </c:pt>
                <c:pt idx="69">
                  <c:v>-1.6177151068553997E-2</c:v>
                </c:pt>
                <c:pt idx="70">
                  <c:v>0.48298897211881431</c:v>
                </c:pt>
                <c:pt idx="71">
                  <c:v>1.1866299744403817</c:v>
                </c:pt>
                <c:pt idx="72">
                  <c:v>1.1871008676565935</c:v>
                </c:pt>
                <c:pt idx="73">
                  <c:v>0.56667618369607342</c:v>
                </c:pt>
                <c:pt idx="74">
                  <c:v>0.32312642773724481</c:v>
                </c:pt>
                <c:pt idx="75">
                  <c:v>7.4501293814771399E-2</c:v>
                </c:pt>
                <c:pt idx="76">
                  <c:v>-0.71106525689610356</c:v>
                </c:pt>
                <c:pt idx="77">
                  <c:v>-0.57133023300587193</c:v>
                </c:pt>
                <c:pt idx="78">
                  <c:v>0.31418278522603149</c:v>
                </c:pt>
                <c:pt idx="79">
                  <c:v>0.43953853538902649</c:v>
                </c:pt>
                <c:pt idx="80">
                  <c:v>1.190878218880095</c:v>
                </c:pt>
                <c:pt idx="81">
                  <c:v>0.95228748824601983</c:v>
                </c:pt>
                <c:pt idx="82">
                  <c:v>2.0038811540283663</c:v>
                </c:pt>
                <c:pt idx="83">
                  <c:v>1.094823224515568</c:v>
                </c:pt>
                <c:pt idx="84">
                  <c:v>0.49406685997740446</c:v>
                </c:pt>
                <c:pt idx="85">
                  <c:v>3.356561453482533</c:v>
                </c:pt>
                <c:pt idx="86">
                  <c:v>0.17199936558473125</c:v>
                </c:pt>
                <c:pt idx="87">
                  <c:v>0.87663553418696016</c:v>
                </c:pt>
                <c:pt idx="88">
                  <c:v>1.4412250464247951</c:v>
                </c:pt>
                <c:pt idx="89">
                  <c:v>4.1454011437934541</c:v>
                </c:pt>
                <c:pt idx="90">
                  <c:v>3.2188571720735304</c:v>
                </c:pt>
                <c:pt idx="91">
                  <c:v>-1.8255884918643364</c:v>
                </c:pt>
                <c:pt idx="92">
                  <c:v>-1.798971592993686</c:v>
                </c:pt>
                <c:pt idx="93">
                  <c:v>-3.888240084469071</c:v>
                </c:pt>
                <c:pt idx="94">
                  <c:v>-2.9636707867148413</c:v>
                </c:pt>
                <c:pt idx="95">
                  <c:v>-2.8783197124116593</c:v>
                </c:pt>
                <c:pt idx="96">
                  <c:v>1.1118238421794668</c:v>
                </c:pt>
                <c:pt idx="97">
                  <c:v>4.1614287768487097</c:v>
                </c:pt>
                <c:pt idx="98">
                  <c:v>8.0413646449046432</c:v>
                </c:pt>
                <c:pt idx="99">
                  <c:v>10.435802796126559</c:v>
                </c:pt>
                <c:pt idx="100">
                  <c:v>8.4173115014653863</c:v>
                </c:pt>
                <c:pt idx="101">
                  <c:v>7.0914319055856687</c:v>
                </c:pt>
                <c:pt idx="102">
                  <c:v>4.4328998923677965</c:v>
                </c:pt>
                <c:pt idx="103">
                  <c:v>5.1896232833589089</c:v>
                </c:pt>
                <c:pt idx="104">
                  <c:v>4.1032837446784116</c:v>
                </c:pt>
                <c:pt idx="105">
                  <c:v>3.0994470341256899</c:v>
                </c:pt>
                <c:pt idx="106">
                  <c:v>2.8875074988488585</c:v>
                </c:pt>
                <c:pt idx="107">
                  <c:v>1.1658058227373365</c:v>
                </c:pt>
                <c:pt idx="108">
                  <c:v>0.60903993443601845</c:v>
                </c:pt>
                <c:pt idx="109">
                  <c:v>-1.142215637883875</c:v>
                </c:pt>
                <c:pt idx="110">
                  <c:v>-0.37799550245648356</c:v>
                </c:pt>
                <c:pt idx="111">
                  <c:v>-0.76248289191797014</c:v>
                </c:pt>
                <c:pt idx="112">
                  <c:v>0.31293109554616166</c:v>
                </c:pt>
                <c:pt idx="113">
                  <c:v>1.8002342570252601</c:v>
                </c:pt>
                <c:pt idx="114">
                  <c:v>2.7624127869802693</c:v>
                </c:pt>
                <c:pt idx="115">
                  <c:v>1.067125103148042</c:v>
                </c:pt>
                <c:pt idx="116">
                  <c:v>1.3376179736525966</c:v>
                </c:pt>
                <c:pt idx="117">
                  <c:v>1.3701548363619087</c:v>
                </c:pt>
                <c:pt idx="118">
                  <c:v>-0.31384382979318987</c:v>
                </c:pt>
                <c:pt idx="119">
                  <c:v>-0.98883415660946961</c:v>
                </c:pt>
                <c:pt idx="120">
                  <c:v>0.55610043227169348</c:v>
                </c:pt>
                <c:pt idx="121">
                  <c:v>1.700716901951689</c:v>
                </c:pt>
                <c:pt idx="122">
                  <c:v>0.15868774495311452</c:v>
                </c:pt>
                <c:pt idx="123">
                  <c:v>0.90857257901543953</c:v>
                </c:pt>
                <c:pt idx="124">
                  <c:v>1.5204768108018294</c:v>
                </c:pt>
                <c:pt idx="125">
                  <c:v>0.22023210716401934</c:v>
                </c:pt>
                <c:pt idx="126">
                  <c:v>-2.878291505954031</c:v>
                </c:pt>
                <c:pt idx="127">
                  <c:v>-2.1436756183628325</c:v>
                </c:pt>
                <c:pt idx="128">
                  <c:v>-1.1813913513274048</c:v>
                </c:pt>
                <c:pt idx="129">
                  <c:v>-2.7861204667308876</c:v>
                </c:pt>
                <c:pt idx="130">
                  <c:v>-1.6931013548207965</c:v>
                </c:pt>
                <c:pt idx="131">
                  <c:v>-2.0019437245647365</c:v>
                </c:pt>
                <c:pt idx="132">
                  <c:v>-1.9988570233469762</c:v>
                </c:pt>
                <c:pt idx="133">
                  <c:v>-1.4661882285647281</c:v>
                </c:pt>
                <c:pt idx="134">
                  <c:v>-3.2292843496442081</c:v>
                </c:pt>
                <c:pt idx="135">
                  <c:v>-2.6263586179967384</c:v>
                </c:pt>
                <c:pt idx="136">
                  <c:v>-3.4185207652382563</c:v>
                </c:pt>
                <c:pt idx="137">
                  <c:v>-1.7408259033926134</c:v>
                </c:pt>
                <c:pt idx="138">
                  <c:v>-1.7918211104558901</c:v>
                </c:pt>
                <c:pt idx="139">
                  <c:v>-2.3247985311384718</c:v>
                </c:pt>
                <c:pt idx="140">
                  <c:v>-1.3065942275876654</c:v>
                </c:pt>
                <c:pt idx="141">
                  <c:v>-0.55896896373790372</c:v>
                </c:pt>
                <c:pt idx="142">
                  <c:v>-0.80845481541518227</c:v>
                </c:pt>
                <c:pt idx="143">
                  <c:v>-1.8183621473263056</c:v>
                </c:pt>
                <c:pt idx="144">
                  <c:v>0.81254258250172773</c:v>
                </c:pt>
                <c:pt idx="145">
                  <c:v>1.2173962585423193</c:v>
                </c:pt>
                <c:pt idx="146">
                  <c:v>1.2975006936932332</c:v>
                </c:pt>
                <c:pt idx="147">
                  <c:v>2.8526931368443065</c:v>
                </c:pt>
                <c:pt idx="148">
                  <c:v>1.9108416514444633</c:v>
                </c:pt>
                <c:pt idx="149">
                  <c:v>1.0946041206806931</c:v>
                </c:pt>
                <c:pt idx="150">
                  <c:v>-1.9557104482173873</c:v>
                </c:pt>
                <c:pt idx="151">
                  <c:v>-1.8840284216742107</c:v>
                </c:pt>
                <c:pt idx="152">
                  <c:v>-2.5706241969237822</c:v>
                </c:pt>
                <c:pt idx="153">
                  <c:v>-0.71744676822754305</c:v>
                </c:pt>
                <c:pt idx="154">
                  <c:v>-0.71744676822754305</c:v>
                </c:pt>
                <c:pt idx="155">
                  <c:v>-0.71744676822754305</c:v>
                </c:pt>
                <c:pt idx="156">
                  <c:v>-0.71744676822754305</c:v>
                </c:pt>
                <c:pt idx="157">
                  <c:v>-0.71744676822754305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AC-4EF9-B6EE-5EDF904705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929804"/>
        <c:axId val="623162877"/>
      </c:lineChart>
      <c:lineChart>
        <c:grouping val="standard"/>
        <c:varyColors val="0"/>
        <c:ser>
          <c:idx val="0"/>
          <c:order val="0"/>
          <c:tx>
            <c:strRef>
              <c:f>'框架指示的股债胜率（综合）'!$Y$3:$Y$4</c:f>
              <c:strCache>
                <c:ptCount val="2"/>
                <c:pt idx="0">
                  <c:v>打分指示的股债强弱(向前滚动5年、右轴)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'框架指示的股债胜率（综合）'!$A$36:$A$193</c:f>
              <c:numCache>
                <c:formatCode>yyyy/m/d;@</c:formatCode>
                <c:ptCount val="158"/>
                <c:pt idx="0">
                  <c:v>45443</c:v>
                </c:pt>
                <c:pt idx="1">
                  <c:v>45412</c:v>
                </c:pt>
                <c:pt idx="2">
                  <c:v>45382</c:v>
                </c:pt>
                <c:pt idx="3">
                  <c:v>45351</c:v>
                </c:pt>
                <c:pt idx="4">
                  <c:v>45291</c:v>
                </c:pt>
                <c:pt idx="5">
                  <c:v>45260</c:v>
                </c:pt>
                <c:pt idx="6">
                  <c:v>45230</c:v>
                </c:pt>
                <c:pt idx="7">
                  <c:v>45199</c:v>
                </c:pt>
                <c:pt idx="8">
                  <c:v>45169</c:v>
                </c:pt>
                <c:pt idx="9">
                  <c:v>45138</c:v>
                </c:pt>
                <c:pt idx="10">
                  <c:v>45107</c:v>
                </c:pt>
                <c:pt idx="11">
                  <c:v>45077</c:v>
                </c:pt>
                <c:pt idx="12">
                  <c:v>45046</c:v>
                </c:pt>
                <c:pt idx="13">
                  <c:v>45016</c:v>
                </c:pt>
                <c:pt idx="14">
                  <c:v>44985</c:v>
                </c:pt>
                <c:pt idx="15">
                  <c:v>44926</c:v>
                </c:pt>
                <c:pt idx="16">
                  <c:v>44895</c:v>
                </c:pt>
                <c:pt idx="17">
                  <c:v>44865</c:v>
                </c:pt>
                <c:pt idx="18">
                  <c:v>44834</c:v>
                </c:pt>
                <c:pt idx="19">
                  <c:v>44804</c:v>
                </c:pt>
                <c:pt idx="20">
                  <c:v>44773</c:v>
                </c:pt>
                <c:pt idx="21">
                  <c:v>44742</c:v>
                </c:pt>
                <c:pt idx="22">
                  <c:v>44712</c:v>
                </c:pt>
                <c:pt idx="23">
                  <c:v>44681</c:v>
                </c:pt>
                <c:pt idx="24">
                  <c:v>44651</c:v>
                </c:pt>
                <c:pt idx="25">
                  <c:v>44620</c:v>
                </c:pt>
                <c:pt idx="26">
                  <c:v>44561</c:v>
                </c:pt>
                <c:pt idx="27">
                  <c:v>44530</c:v>
                </c:pt>
                <c:pt idx="28">
                  <c:v>44500</c:v>
                </c:pt>
                <c:pt idx="29">
                  <c:v>44469</c:v>
                </c:pt>
                <c:pt idx="30">
                  <c:v>44439</c:v>
                </c:pt>
                <c:pt idx="31">
                  <c:v>44408</c:v>
                </c:pt>
                <c:pt idx="32">
                  <c:v>44377</c:v>
                </c:pt>
                <c:pt idx="33">
                  <c:v>44347</c:v>
                </c:pt>
                <c:pt idx="34">
                  <c:v>44316</c:v>
                </c:pt>
                <c:pt idx="35">
                  <c:v>44286</c:v>
                </c:pt>
                <c:pt idx="36">
                  <c:v>44255</c:v>
                </c:pt>
                <c:pt idx="37">
                  <c:v>44196</c:v>
                </c:pt>
                <c:pt idx="38">
                  <c:v>44165</c:v>
                </c:pt>
                <c:pt idx="39">
                  <c:v>44135</c:v>
                </c:pt>
                <c:pt idx="40">
                  <c:v>44104</c:v>
                </c:pt>
                <c:pt idx="41">
                  <c:v>44074</c:v>
                </c:pt>
                <c:pt idx="42">
                  <c:v>44043</c:v>
                </c:pt>
                <c:pt idx="43">
                  <c:v>44012</c:v>
                </c:pt>
                <c:pt idx="44">
                  <c:v>43982</c:v>
                </c:pt>
                <c:pt idx="45">
                  <c:v>43951</c:v>
                </c:pt>
                <c:pt idx="46">
                  <c:v>43921</c:v>
                </c:pt>
                <c:pt idx="47">
                  <c:v>43890</c:v>
                </c:pt>
                <c:pt idx="48">
                  <c:v>43830</c:v>
                </c:pt>
                <c:pt idx="49">
                  <c:v>43799</c:v>
                </c:pt>
                <c:pt idx="50">
                  <c:v>43769</c:v>
                </c:pt>
                <c:pt idx="51">
                  <c:v>43738</c:v>
                </c:pt>
                <c:pt idx="52">
                  <c:v>43708</c:v>
                </c:pt>
                <c:pt idx="53">
                  <c:v>43677</c:v>
                </c:pt>
                <c:pt idx="54">
                  <c:v>43646</c:v>
                </c:pt>
                <c:pt idx="55">
                  <c:v>43616</c:v>
                </c:pt>
                <c:pt idx="56">
                  <c:v>43585</c:v>
                </c:pt>
                <c:pt idx="57">
                  <c:v>43555</c:v>
                </c:pt>
                <c:pt idx="58">
                  <c:v>43524</c:v>
                </c:pt>
                <c:pt idx="59">
                  <c:v>43465</c:v>
                </c:pt>
                <c:pt idx="60">
                  <c:v>43434</c:v>
                </c:pt>
                <c:pt idx="61">
                  <c:v>43404</c:v>
                </c:pt>
                <c:pt idx="62">
                  <c:v>43373</c:v>
                </c:pt>
                <c:pt idx="63">
                  <c:v>43343</c:v>
                </c:pt>
                <c:pt idx="64">
                  <c:v>43312</c:v>
                </c:pt>
                <c:pt idx="65">
                  <c:v>43281</c:v>
                </c:pt>
                <c:pt idx="66">
                  <c:v>43251</c:v>
                </c:pt>
                <c:pt idx="67">
                  <c:v>43220</c:v>
                </c:pt>
                <c:pt idx="68">
                  <c:v>43190</c:v>
                </c:pt>
                <c:pt idx="69">
                  <c:v>43159</c:v>
                </c:pt>
                <c:pt idx="70">
                  <c:v>43100</c:v>
                </c:pt>
                <c:pt idx="71">
                  <c:v>43069</c:v>
                </c:pt>
                <c:pt idx="72">
                  <c:v>43039</c:v>
                </c:pt>
                <c:pt idx="73">
                  <c:v>43008</c:v>
                </c:pt>
                <c:pt idx="74">
                  <c:v>42978</c:v>
                </c:pt>
                <c:pt idx="75">
                  <c:v>42947</c:v>
                </c:pt>
                <c:pt idx="76">
                  <c:v>42916</c:v>
                </c:pt>
                <c:pt idx="77">
                  <c:v>42886</c:v>
                </c:pt>
                <c:pt idx="78">
                  <c:v>42855</c:v>
                </c:pt>
                <c:pt idx="79">
                  <c:v>42825</c:v>
                </c:pt>
                <c:pt idx="80">
                  <c:v>42794</c:v>
                </c:pt>
                <c:pt idx="81">
                  <c:v>42735</c:v>
                </c:pt>
                <c:pt idx="82">
                  <c:v>42704</c:v>
                </c:pt>
                <c:pt idx="83">
                  <c:v>42674</c:v>
                </c:pt>
                <c:pt idx="84">
                  <c:v>42643</c:v>
                </c:pt>
                <c:pt idx="85">
                  <c:v>42613</c:v>
                </c:pt>
                <c:pt idx="86">
                  <c:v>42582</c:v>
                </c:pt>
                <c:pt idx="87">
                  <c:v>42551</c:v>
                </c:pt>
                <c:pt idx="88">
                  <c:v>42521</c:v>
                </c:pt>
                <c:pt idx="89">
                  <c:v>42490</c:v>
                </c:pt>
                <c:pt idx="90">
                  <c:v>42460</c:v>
                </c:pt>
                <c:pt idx="91">
                  <c:v>42429</c:v>
                </c:pt>
                <c:pt idx="92">
                  <c:v>42369</c:v>
                </c:pt>
                <c:pt idx="93">
                  <c:v>42338</c:v>
                </c:pt>
                <c:pt idx="94">
                  <c:v>42308</c:v>
                </c:pt>
                <c:pt idx="95">
                  <c:v>42277</c:v>
                </c:pt>
                <c:pt idx="96">
                  <c:v>42247</c:v>
                </c:pt>
                <c:pt idx="97">
                  <c:v>42216</c:v>
                </c:pt>
                <c:pt idx="98">
                  <c:v>42185</c:v>
                </c:pt>
                <c:pt idx="99">
                  <c:v>42155</c:v>
                </c:pt>
                <c:pt idx="100">
                  <c:v>42124</c:v>
                </c:pt>
                <c:pt idx="101">
                  <c:v>42094</c:v>
                </c:pt>
                <c:pt idx="102">
                  <c:v>42063</c:v>
                </c:pt>
                <c:pt idx="103">
                  <c:v>42004</c:v>
                </c:pt>
                <c:pt idx="104">
                  <c:v>41973</c:v>
                </c:pt>
                <c:pt idx="105">
                  <c:v>41943</c:v>
                </c:pt>
                <c:pt idx="106">
                  <c:v>41912</c:v>
                </c:pt>
                <c:pt idx="107">
                  <c:v>41882</c:v>
                </c:pt>
                <c:pt idx="108">
                  <c:v>41851</c:v>
                </c:pt>
                <c:pt idx="109">
                  <c:v>41820</c:v>
                </c:pt>
                <c:pt idx="110">
                  <c:v>41790</c:v>
                </c:pt>
                <c:pt idx="111">
                  <c:v>41759</c:v>
                </c:pt>
                <c:pt idx="112">
                  <c:v>41729</c:v>
                </c:pt>
                <c:pt idx="113">
                  <c:v>41698</c:v>
                </c:pt>
                <c:pt idx="114">
                  <c:v>41639</c:v>
                </c:pt>
                <c:pt idx="115">
                  <c:v>41608</c:v>
                </c:pt>
                <c:pt idx="116">
                  <c:v>41578</c:v>
                </c:pt>
                <c:pt idx="117">
                  <c:v>41547</c:v>
                </c:pt>
                <c:pt idx="118">
                  <c:v>41517</c:v>
                </c:pt>
                <c:pt idx="119">
                  <c:v>41486</c:v>
                </c:pt>
                <c:pt idx="120">
                  <c:v>41455</c:v>
                </c:pt>
                <c:pt idx="121">
                  <c:v>41425</c:v>
                </c:pt>
                <c:pt idx="122">
                  <c:v>41394</c:v>
                </c:pt>
                <c:pt idx="123">
                  <c:v>41364</c:v>
                </c:pt>
                <c:pt idx="124">
                  <c:v>41333</c:v>
                </c:pt>
                <c:pt idx="125">
                  <c:v>41274</c:v>
                </c:pt>
                <c:pt idx="126">
                  <c:v>41243</c:v>
                </c:pt>
                <c:pt idx="127">
                  <c:v>41213</c:v>
                </c:pt>
                <c:pt idx="128">
                  <c:v>41182</c:v>
                </c:pt>
                <c:pt idx="129">
                  <c:v>41152</c:v>
                </c:pt>
                <c:pt idx="130">
                  <c:v>41121</c:v>
                </c:pt>
                <c:pt idx="131">
                  <c:v>41090</c:v>
                </c:pt>
                <c:pt idx="132">
                  <c:v>41060</c:v>
                </c:pt>
                <c:pt idx="133">
                  <c:v>41029</c:v>
                </c:pt>
                <c:pt idx="134">
                  <c:v>40999</c:v>
                </c:pt>
                <c:pt idx="135">
                  <c:v>40968</c:v>
                </c:pt>
                <c:pt idx="136">
                  <c:v>40908</c:v>
                </c:pt>
                <c:pt idx="137">
                  <c:v>40877</c:v>
                </c:pt>
                <c:pt idx="138">
                  <c:v>40847</c:v>
                </c:pt>
                <c:pt idx="139">
                  <c:v>40816</c:v>
                </c:pt>
                <c:pt idx="140">
                  <c:v>40786</c:v>
                </c:pt>
                <c:pt idx="141">
                  <c:v>40755</c:v>
                </c:pt>
                <c:pt idx="142">
                  <c:v>40724</c:v>
                </c:pt>
                <c:pt idx="143">
                  <c:v>40694</c:v>
                </c:pt>
                <c:pt idx="144">
                  <c:v>40663</c:v>
                </c:pt>
                <c:pt idx="145">
                  <c:v>40633</c:v>
                </c:pt>
                <c:pt idx="146">
                  <c:v>40602</c:v>
                </c:pt>
                <c:pt idx="147">
                  <c:v>40543</c:v>
                </c:pt>
                <c:pt idx="148">
                  <c:v>40512</c:v>
                </c:pt>
                <c:pt idx="149">
                  <c:v>40482</c:v>
                </c:pt>
                <c:pt idx="150">
                  <c:v>40451</c:v>
                </c:pt>
                <c:pt idx="151">
                  <c:v>40421</c:v>
                </c:pt>
                <c:pt idx="152">
                  <c:v>40390</c:v>
                </c:pt>
                <c:pt idx="153">
                  <c:v>40359</c:v>
                </c:pt>
                <c:pt idx="154">
                  <c:v>40329</c:v>
                </c:pt>
                <c:pt idx="155">
                  <c:v>40298</c:v>
                </c:pt>
                <c:pt idx="156">
                  <c:v>40268</c:v>
                </c:pt>
                <c:pt idx="157">
                  <c:v>40237</c:v>
                </c:pt>
              </c:numCache>
            </c:numRef>
          </c:cat>
          <c:val>
            <c:numRef>
              <c:f>'框架指示的股债胜率（综合）'!$Y$36:$Y$193</c:f>
              <c:numCache>
                <c:formatCode>General</c:formatCode>
                <c:ptCount val="158"/>
                <c:pt idx="0">
                  <c:v>-1.8498160316271772</c:v>
                </c:pt>
                <c:pt idx="1">
                  <c:v>-1.6840842421453874</c:v>
                </c:pt>
                <c:pt idx="2">
                  <c:v>-1.2461303093230336</c:v>
                </c:pt>
                <c:pt idx="3">
                  <c:v>-0.86496174341762566</c:v>
                </c:pt>
                <c:pt idx="4">
                  <c:v>-0.77144220739808966</c:v>
                </c:pt>
                <c:pt idx="5">
                  <c:v>-0.79189289203995072</c:v>
                </c:pt>
                <c:pt idx="6">
                  <c:v>-0.64542370502896806</c:v>
                </c:pt>
                <c:pt idx="7">
                  <c:v>-0.39051039886566191</c:v>
                </c:pt>
                <c:pt idx="8">
                  <c:v>-0.40977377989374886</c:v>
                </c:pt>
                <c:pt idx="9">
                  <c:v>-0.44441917512737944</c:v>
                </c:pt>
                <c:pt idx="10">
                  <c:v>-0.58278607731007104</c:v>
                </c:pt>
                <c:pt idx="11">
                  <c:v>-0.66536141815154093</c:v>
                </c:pt>
                <c:pt idx="12">
                  <c:v>-0.80832806901292864</c:v>
                </c:pt>
                <c:pt idx="13">
                  <c:v>-0.70828594488358354</c:v>
                </c:pt>
                <c:pt idx="14">
                  <c:v>-0.30840265823559082</c:v>
                </c:pt>
                <c:pt idx="15">
                  <c:v>-0.10910293834763581</c:v>
                </c:pt>
                <c:pt idx="16">
                  <c:v>-0.18593988470212605</c:v>
                </c:pt>
                <c:pt idx="17">
                  <c:v>-0.22302937227548458</c:v>
                </c:pt>
                <c:pt idx="18">
                  <c:v>-0.32728793534983713</c:v>
                </c:pt>
                <c:pt idx="19">
                  <c:v>-0.80717247953899374</c:v>
                </c:pt>
                <c:pt idx="20">
                  <c:v>-1.4132283659657239</c:v>
                </c:pt>
                <c:pt idx="21">
                  <c:v>-1.7622182649556228</c:v>
                </c:pt>
                <c:pt idx="22">
                  <c:v>-1.7890809084849331</c:v>
                </c:pt>
                <c:pt idx="23">
                  <c:v>-1.6619965308742397</c:v>
                </c:pt>
                <c:pt idx="24">
                  <c:v>-1.8376982852602044</c:v>
                </c:pt>
                <c:pt idx="25">
                  <c:v>-1.7266396413371108</c:v>
                </c:pt>
                <c:pt idx="26">
                  <c:v>-1.9153258184024438</c:v>
                </c:pt>
                <c:pt idx="27">
                  <c:v>-2.1126322157088411</c:v>
                </c:pt>
                <c:pt idx="28">
                  <c:v>-2.2571608352374604</c:v>
                </c:pt>
                <c:pt idx="29">
                  <c:v>-2.444149139331028</c:v>
                </c:pt>
                <c:pt idx="30">
                  <c:v>-2.2880818878690397</c:v>
                </c:pt>
                <c:pt idx="31">
                  <c:v>-1.8609730060387955</c:v>
                </c:pt>
                <c:pt idx="32">
                  <c:v>-1.3289920118867486</c:v>
                </c:pt>
                <c:pt idx="33">
                  <c:v>-0.64556121266647581</c:v>
                </c:pt>
                <c:pt idx="34">
                  <c:v>7.5269458783390683E-2</c:v>
                </c:pt>
                <c:pt idx="35">
                  <c:v>0.5854893193321985</c:v>
                </c:pt>
                <c:pt idx="36">
                  <c:v>0.99577893225339043</c:v>
                </c:pt>
                <c:pt idx="37">
                  <c:v>0.84900129840145311</c:v>
                </c:pt>
                <c:pt idx="38">
                  <c:v>0.74506042015716945</c:v>
                </c:pt>
                <c:pt idx="39">
                  <c:v>0.54955650886378438</c:v>
                </c:pt>
                <c:pt idx="40">
                  <c:v>0.48898768205076254</c:v>
                </c:pt>
                <c:pt idx="41">
                  <c:v>0.49608079055516141</c:v>
                </c:pt>
                <c:pt idx="42">
                  <c:v>0.36920805315610816</c:v>
                </c:pt>
                <c:pt idx="43">
                  <c:v>0.35672170537564279</c:v>
                </c:pt>
                <c:pt idx="44">
                  <c:v>0.34854448120577158</c:v>
                </c:pt>
                <c:pt idx="45">
                  <c:v>0.30534693800822837</c:v>
                </c:pt>
                <c:pt idx="46">
                  <c:v>0.15306415939392801</c:v>
                </c:pt>
                <c:pt idx="47">
                  <c:v>-5.217574962796101E-2</c:v>
                </c:pt>
                <c:pt idx="48">
                  <c:v>-5.6527409776722611E-2</c:v>
                </c:pt>
                <c:pt idx="49">
                  <c:v>-6.5502385418364936E-2</c:v>
                </c:pt>
                <c:pt idx="50">
                  <c:v>-6.3956082874255374E-2</c:v>
                </c:pt>
                <c:pt idx="51">
                  <c:v>-5.590764982582231E-2</c:v>
                </c:pt>
                <c:pt idx="52">
                  <c:v>-0.10784669750184672</c:v>
                </c:pt>
                <c:pt idx="53">
                  <c:v>-0.11819857423303382</c:v>
                </c:pt>
                <c:pt idx="54">
                  <c:v>-1.2026139399720266E-3</c:v>
                </c:pt>
                <c:pt idx="55">
                  <c:v>0.15096944239875099</c:v>
                </c:pt>
                <c:pt idx="56">
                  <c:v>0.22421604521819896</c:v>
                </c:pt>
                <c:pt idx="57">
                  <c:v>0.31309164330432337</c:v>
                </c:pt>
                <c:pt idx="58">
                  <c:v>0.50916802707420561</c:v>
                </c:pt>
                <c:pt idx="59">
                  <c:v>0.7682716685307881</c:v>
                </c:pt>
                <c:pt idx="60">
                  <c:v>0.75929800330712283</c:v>
                </c:pt>
                <c:pt idx="61">
                  <c:v>0.80047488198400174</c:v>
                </c:pt>
                <c:pt idx="62">
                  <c:v>0.9704024182158858</c:v>
                </c:pt>
                <c:pt idx="63">
                  <c:v>1.2552056372868394</c:v>
                </c:pt>
                <c:pt idx="64">
                  <c:v>1.3657996728808748</c:v>
                </c:pt>
                <c:pt idx="65">
                  <c:v>1.6668150790433398</c:v>
                </c:pt>
                <c:pt idx="66">
                  <c:v>1.9461853797952198</c:v>
                </c:pt>
                <c:pt idx="67">
                  <c:v>2.0030280741379145</c:v>
                </c:pt>
                <c:pt idx="68">
                  <c:v>1.9676522571444499</c:v>
                </c:pt>
                <c:pt idx="69">
                  <c:v>1.781807203983927</c:v>
                </c:pt>
                <c:pt idx="70">
                  <c:v>1.7134089355856583</c:v>
                </c:pt>
                <c:pt idx="71">
                  <c:v>1.4275381780685592</c:v>
                </c:pt>
                <c:pt idx="72">
                  <c:v>1.3228549957537981</c:v>
                </c:pt>
                <c:pt idx="73">
                  <c:v>1.3108026962014985</c:v>
                </c:pt>
                <c:pt idx="74">
                  <c:v>1.3999198741731655</c:v>
                </c:pt>
                <c:pt idx="75">
                  <c:v>1.4900533631438639</c:v>
                </c:pt>
                <c:pt idx="76">
                  <c:v>1.4666615502783669</c:v>
                </c:pt>
                <c:pt idx="77">
                  <c:v>1.3078427653118057</c:v>
                </c:pt>
                <c:pt idx="78">
                  <c:v>1.1350097976258964</c:v>
                </c:pt>
                <c:pt idx="79">
                  <c:v>0.95503167389777277</c:v>
                </c:pt>
                <c:pt idx="80">
                  <c:v>0.91551202310902202</c:v>
                </c:pt>
                <c:pt idx="81">
                  <c:v>0.89302910062609941</c:v>
                </c:pt>
                <c:pt idx="82">
                  <c:v>0.91936289488185385</c:v>
                </c:pt>
                <c:pt idx="83">
                  <c:v>1.0354389212519979</c:v>
                </c:pt>
                <c:pt idx="84">
                  <c:v>1.0185304575298086</c:v>
                </c:pt>
                <c:pt idx="85">
                  <c:v>1.0015157592651105</c:v>
                </c:pt>
                <c:pt idx="86">
                  <c:v>0.83566345744506665</c:v>
                </c:pt>
                <c:pt idx="87">
                  <c:v>0.42181895519476725</c:v>
                </c:pt>
                <c:pt idx="88">
                  <c:v>8.8557293484829713E-2</c:v>
                </c:pt>
                <c:pt idx="89">
                  <c:v>-4.6413846486310271E-2</c:v>
                </c:pt>
                <c:pt idx="90">
                  <c:v>-9.5347628753425881E-2</c:v>
                </c:pt>
                <c:pt idx="91">
                  <c:v>-0.14708293048872764</c:v>
                </c:pt>
                <c:pt idx="92">
                  <c:v>-0.24823011663591377</c:v>
                </c:pt>
                <c:pt idx="93">
                  <c:v>-9.0795870795870828E-2</c:v>
                </c:pt>
                <c:pt idx="94">
                  <c:v>4.4285714285714262E-2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1AC-4EF9-B6EE-5EDF904705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3369545"/>
        <c:axId val="603172358"/>
      </c:lineChart>
      <c:dateAx>
        <c:axId val="145929804"/>
        <c:scaling>
          <c:orientation val="minMax"/>
          <c:min val="42036"/>
        </c:scaling>
        <c:delete val="0"/>
        <c:axPos val="b"/>
        <c:numFmt formatCode="yyyy/m/d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23162877"/>
        <c:crosses val="autoZero"/>
        <c:auto val="1"/>
        <c:lblOffset val="100"/>
        <c:baseTimeUnit val="months"/>
      </c:dateAx>
      <c:valAx>
        <c:axId val="62316287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5929804"/>
        <c:crosses val="autoZero"/>
        <c:crossBetween val="between"/>
      </c:valAx>
      <c:dateAx>
        <c:axId val="383369545"/>
        <c:scaling>
          <c:orientation val="minMax"/>
        </c:scaling>
        <c:delete val="1"/>
        <c:axPos val="b"/>
        <c:numFmt formatCode="yyyy/m/d;@" sourceLinked="1"/>
        <c:majorTickMark val="none"/>
        <c:minorTickMark val="none"/>
        <c:tickLblPos val="nextTo"/>
        <c:crossAx val="603172358"/>
        <c:crosses val="autoZero"/>
        <c:auto val="1"/>
        <c:lblOffset val="100"/>
        <c:baseTimeUnit val="months"/>
      </c:dateAx>
      <c:valAx>
        <c:axId val="603172358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83369545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1"/>
          <c:tx>
            <c:strRef>
              <c:f>主要指标对比!$C$1:$C$3</c:f>
              <c:strCache>
                <c:ptCount val="3"/>
                <c:pt idx="2">
                  <c:v>月度GDP同比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主要指标对比!$A$4:$A$336</c:f>
              <c:numCache>
                <c:formatCode>yyyy/m/d;@</c:formatCode>
                <c:ptCount val="333"/>
                <c:pt idx="1">
                  <c:v>45688</c:v>
                </c:pt>
                <c:pt idx="2">
                  <c:v>45657</c:v>
                </c:pt>
                <c:pt idx="3">
                  <c:v>45626</c:v>
                </c:pt>
                <c:pt idx="4">
                  <c:v>45596</c:v>
                </c:pt>
                <c:pt idx="5">
                  <c:v>45565</c:v>
                </c:pt>
                <c:pt idx="6">
                  <c:v>45535</c:v>
                </c:pt>
                <c:pt idx="7">
                  <c:v>45504</c:v>
                </c:pt>
                <c:pt idx="8">
                  <c:v>45473</c:v>
                </c:pt>
                <c:pt idx="9">
                  <c:v>45443</c:v>
                </c:pt>
                <c:pt idx="10">
                  <c:v>45412</c:v>
                </c:pt>
                <c:pt idx="11">
                  <c:v>45382</c:v>
                </c:pt>
                <c:pt idx="12">
                  <c:v>45351</c:v>
                </c:pt>
                <c:pt idx="13">
                  <c:v>45291</c:v>
                </c:pt>
                <c:pt idx="14">
                  <c:v>45260</c:v>
                </c:pt>
                <c:pt idx="15">
                  <c:v>45230</c:v>
                </c:pt>
                <c:pt idx="16">
                  <c:v>45199</c:v>
                </c:pt>
                <c:pt idx="17">
                  <c:v>45169</c:v>
                </c:pt>
                <c:pt idx="18">
                  <c:v>45138</c:v>
                </c:pt>
                <c:pt idx="19">
                  <c:v>45107</c:v>
                </c:pt>
                <c:pt idx="20">
                  <c:v>45077</c:v>
                </c:pt>
                <c:pt idx="21">
                  <c:v>45046</c:v>
                </c:pt>
                <c:pt idx="22">
                  <c:v>45016</c:v>
                </c:pt>
                <c:pt idx="23">
                  <c:v>44985</c:v>
                </c:pt>
                <c:pt idx="24">
                  <c:v>44926</c:v>
                </c:pt>
                <c:pt idx="25">
                  <c:v>44895</c:v>
                </c:pt>
                <c:pt idx="26">
                  <c:v>44865</c:v>
                </c:pt>
                <c:pt idx="27">
                  <c:v>44834</c:v>
                </c:pt>
                <c:pt idx="28">
                  <c:v>44804</c:v>
                </c:pt>
                <c:pt idx="29">
                  <c:v>44773</c:v>
                </c:pt>
                <c:pt idx="30">
                  <c:v>44742</c:v>
                </c:pt>
                <c:pt idx="31">
                  <c:v>44712</c:v>
                </c:pt>
                <c:pt idx="32">
                  <c:v>44681</c:v>
                </c:pt>
                <c:pt idx="33">
                  <c:v>44651</c:v>
                </c:pt>
                <c:pt idx="34">
                  <c:v>44620</c:v>
                </c:pt>
                <c:pt idx="35">
                  <c:v>44561</c:v>
                </c:pt>
                <c:pt idx="36">
                  <c:v>44530</c:v>
                </c:pt>
                <c:pt idx="37">
                  <c:v>44500</c:v>
                </c:pt>
                <c:pt idx="38">
                  <c:v>44469</c:v>
                </c:pt>
                <c:pt idx="39">
                  <c:v>44439</c:v>
                </c:pt>
                <c:pt idx="40">
                  <c:v>44408</c:v>
                </c:pt>
                <c:pt idx="41">
                  <c:v>44377</c:v>
                </c:pt>
                <c:pt idx="42">
                  <c:v>44347</c:v>
                </c:pt>
                <c:pt idx="43">
                  <c:v>44316</c:v>
                </c:pt>
                <c:pt idx="44">
                  <c:v>44286</c:v>
                </c:pt>
                <c:pt idx="45">
                  <c:v>44255</c:v>
                </c:pt>
                <c:pt idx="46">
                  <c:v>44196</c:v>
                </c:pt>
                <c:pt idx="47">
                  <c:v>44165</c:v>
                </c:pt>
                <c:pt idx="48">
                  <c:v>44135</c:v>
                </c:pt>
                <c:pt idx="49">
                  <c:v>44104</c:v>
                </c:pt>
                <c:pt idx="50">
                  <c:v>44074</c:v>
                </c:pt>
                <c:pt idx="51">
                  <c:v>44043</c:v>
                </c:pt>
                <c:pt idx="52">
                  <c:v>44012</c:v>
                </c:pt>
                <c:pt idx="53">
                  <c:v>43982</c:v>
                </c:pt>
                <c:pt idx="54">
                  <c:v>43951</c:v>
                </c:pt>
                <c:pt idx="55">
                  <c:v>43921</c:v>
                </c:pt>
                <c:pt idx="56">
                  <c:v>43890</c:v>
                </c:pt>
                <c:pt idx="57">
                  <c:v>43830</c:v>
                </c:pt>
                <c:pt idx="58">
                  <c:v>43799</c:v>
                </c:pt>
                <c:pt idx="59">
                  <c:v>43769</c:v>
                </c:pt>
                <c:pt idx="60">
                  <c:v>43738</c:v>
                </c:pt>
                <c:pt idx="61">
                  <c:v>43708</c:v>
                </c:pt>
                <c:pt idx="62">
                  <c:v>43677</c:v>
                </c:pt>
                <c:pt idx="63">
                  <c:v>43646</c:v>
                </c:pt>
                <c:pt idx="64">
                  <c:v>43616</c:v>
                </c:pt>
                <c:pt idx="65">
                  <c:v>43585</c:v>
                </c:pt>
                <c:pt idx="66">
                  <c:v>43555</c:v>
                </c:pt>
                <c:pt idx="67">
                  <c:v>43524</c:v>
                </c:pt>
                <c:pt idx="68">
                  <c:v>43465</c:v>
                </c:pt>
                <c:pt idx="69">
                  <c:v>43434</c:v>
                </c:pt>
                <c:pt idx="70">
                  <c:v>43404</c:v>
                </c:pt>
                <c:pt idx="71">
                  <c:v>43373</c:v>
                </c:pt>
                <c:pt idx="72">
                  <c:v>43343</c:v>
                </c:pt>
                <c:pt idx="73">
                  <c:v>43312</c:v>
                </c:pt>
                <c:pt idx="74">
                  <c:v>43281</c:v>
                </c:pt>
                <c:pt idx="75">
                  <c:v>43251</c:v>
                </c:pt>
                <c:pt idx="76">
                  <c:v>43220</c:v>
                </c:pt>
                <c:pt idx="77">
                  <c:v>43190</c:v>
                </c:pt>
                <c:pt idx="78">
                  <c:v>43159</c:v>
                </c:pt>
                <c:pt idx="79">
                  <c:v>43100</c:v>
                </c:pt>
                <c:pt idx="80">
                  <c:v>43069</c:v>
                </c:pt>
                <c:pt idx="81">
                  <c:v>43039</c:v>
                </c:pt>
                <c:pt idx="82">
                  <c:v>43008</c:v>
                </c:pt>
                <c:pt idx="83">
                  <c:v>42978</c:v>
                </c:pt>
                <c:pt idx="84">
                  <c:v>42947</c:v>
                </c:pt>
                <c:pt idx="85">
                  <c:v>42916</c:v>
                </c:pt>
                <c:pt idx="86">
                  <c:v>42886</c:v>
                </c:pt>
                <c:pt idx="87">
                  <c:v>42855</c:v>
                </c:pt>
                <c:pt idx="88">
                  <c:v>42825</c:v>
                </c:pt>
                <c:pt idx="89">
                  <c:v>42794</c:v>
                </c:pt>
                <c:pt idx="90">
                  <c:v>42735</c:v>
                </c:pt>
                <c:pt idx="91">
                  <c:v>42704</c:v>
                </c:pt>
                <c:pt idx="92">
                  <c:v>42674</c:v>
                </c:pt>
                <c:pt idx="93">
                  <c:v>42643</c:v>
                </c:pt>
                <c:pt idx="94">
                  <c:v>42613</c:v>
                </c:pt>
                <c:pt idx="95">
                  <c:v>42582</c:v>
                </c:pt>
                <c:pt idx="96">
                  <c:v>42551</c:v>
                </c:pt>
                <c:pt idx="97">
                  <c:v>42521</c:v>
                </c:pt>
                <c:pt idx="98">
                  <c:v>42490</c:v>
                </c:pt>
                <c:pt idx="99">
                  <c:v>42460</c:v>
                </c:pt>
                <c:pt idx="100">
                  <c:v>42429</c:v>
                </c:pt>
                <c:pt idx="101">
                  <c:v>42369</c:v>
                </c:pt>
                <c:pt idx="102">
                  <c:v>42338</c:v>
                </c:pt>
                <c:pt idx="103">
                  <c:v>42308</c:v>
                </c:pt>
                <c:pt idx="104">
                  <c:v>42277</c:v>
                </c:pt>
                <c:pt idx="105">
                  <c:v>42247</c:v>
                </c:pt>
                <c:pt idx="106">
                  <c:v>42216</c:v>
                </c:pt>
              </c:numCache>
            </c:numRef>
          </c:cat>
          <c:val>
            <c:numRef>
              <c:f>主要指标对比!$C$4:$C$336</c:f>
              <c:numCache>
                <c:formatCode>General</c:formatCode>
                <c:ptCount val="333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4.8086568212091496</c:v>
                </c:pt>
                <c:pt idx="10">
                  <c:v>4.9271528114096501</c:v>
                </c:pt>
                <c:pt idx="11">
                  <c:v>4.7760786025311504</c:v>
                </c:pt>
                <c:pt idx="12">
                  <c:v>5.7826378922980304</c:v>
                </c:pt>
                <c:pt idx="13">
                  <c:v>5.7064247910709396</c:v>
                </c:pt>
                <c:pt idx="14">
                  <c:v>5.5399149892992297</c:v>
                </c:pt>
                <c:pt idx="15">
                  <c:v>4.3643493986414397</c:v>
                </c:pt>
                <c:pt idx="16">
                  <c:v>5.1888546035193501</c:v>
                </c:pt>
                <c:pt idx="17">
                  <c:v>5.1282424349192901</c:v>
                </c:pt>
                <c:pt idx="18">
                  <c:v>4.3932439690466003</c:v>
                </c:pt>
                <c:pt idx="19">
                  <c:v>5.2278400843714099</c:v>
                </c:pt>
                <c:pt idx="20">
                  <c:v>6.2216299505944104</c:v>
                </c:pt>
                <c:pt idx="21">
                  <c:v>7.54366264577396</c:v>
                </c:pt>
                <c:pt idx="22">
                  <c:v>5.3201714922496901</c:v>
                </c:pt>
                <c:pt idx="23">
                  <c:v>3.6995119806351799</c:v>
                </c:pt>
                <c:pt idx="24">
                  <c:v>2.5729369469860899</c:v>
                </c:pt>
                <c:pt idx="25">
                  <c:v>2.2579904767346402</c:v>
                </c:pt>
                <c:pt idx="26">
                  <c:v>3.9399728413520201</c:v>
                </c:pt>
                <c:pt idx="27">
                  <c:v>4.5266994697887197</c:v>
                </c:pt>
                <c:pt idx="28">
                  <c:v>3.8448335442927899</c:v>
                </c:pt>
                <c:pt idx="29">
                  <c:v>3.22130794295389</c:v>
                </c:pt>
                <c:pt idx="30">
                  <c:v>3.1429739579445299</c:v>
                </c:pt>
                <c:pt idx="31">
                  <c:v>-6.8426301887219806E-2</c:v>
                </c:pt>
                <c:pt idx="32">
                  <c:v>-1.7769660858488401</c:v>
                </c:pt>
                <c:pt idx="33">
                  <c:v>3.7003506568206701</c:v>
                </c:pt>
                <c:pt idx="34">
                  <c:v>5.9578911682642799</c:v>
                </c:pt>
                <c:pt idx="35">
                  <c:v>4.3979261043654798</c:v>
                </c:pt>
                <c:pt idx="36">
                  <c:v>3.9285936801380701</c:v>
                </c:pt>
                <c:pt idx="37">
                  <c:v>4.1648010614454396</c:v>
                </c:pt>
                <c:pt idx="38">
                  <c:v>3.9746122623603801</c:v>
                </c:pt>
                <c:pt idx="39">
                  <c:v>4.6953913083057497</c:v>
                </c:pt>
                <c:pt idx="40">
                  <c:v>5.8597592149681299</c:v>
                </c:pt>
                <c:pt idx="41">
                  <c:v>6.3028357230476901</c:v>
                </c:pt>
                <c:pt idx="42">
                  <c:v>6.9519650167875398</c:v>
                </c:pt>
                <c:pt idx="43">
                  <c:v>9.5153254974675097</c:v>
                </c:pt>
                <c:pt idx="44">
                  <c:v>14.315767556918701</c:v>
                </c:pt>
                <c:pt idx="45">
                  <c:v>24.3210762751843</c:v>
                </c:pt>
                <c:pt idx="46">
                  <c:v>6.48590387109879</c:v>
                </c:pt>
                <c:pt idx="47">
                  <c:v>6.67822699191853</c:v>
                </c:pt>
                <c:pt idx="48">
                  <c:v>6.5669251037802701</c:v>
                </c:pt>
                <c:pt idx="49">
                  <c:v>5.6485673259356197</c:v>
                </c:pt>
                <c:pt idx="50">
                  <c:v>4.87797709653917</c:v>
                </c:pt>
                <c:pt idx="51">
                  <c:v>4.4697384619012404</c:v>
                </c:pt>
                <c:pt idx="52">
                  <c:v>4.70576333242734</c:v>
                </c:pt>
                <c:pt idx="53">
                  <c:v>4.2828556874998203</c:v>
                </c:pt>
                <c:pt idx="54">
                  <c:v>2.0680994449753798</c:v>
                </c:pt>
                <c:pt idx="55">
                  <c:v>-4.1064703891970904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59-48E9-B956-737F8E3618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5673056"/>
        <c:axId val="545691776"/>
      </c:lineChart>
      <c:lineChart>
        <c:grouping val="standard"/>
        <c:varyColors val="0"/>
        <c:ser>
          <c:idx val="0"/>
          <c:order val="0"/>
          <c:tx>
            <c:strRef>
              <c:f>主要指标对比!$B$1:$B$3</c:f>
              <c:strCache>
                <c:ptCount val="3"/>
                <c:pt idx="2">
                  <c:v>综合景气指标(向前滚动5年、右轴)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主要指标对比!$A$4:$A$336</c:f>
              <c:numCache>
                <c:formatCode>yyyy/m/d;@</c:formatCode>
                <c:ptCount val="333"/>
                <c:pt idx="1">
                  <c:v>45688</c:v>
                </c:pt>
                <c:pt idx="2">
                  <c:v>45657</c:v>
                </c:pt>
                <c:pt idx="3">
                  <c:v>45626</c:v>
                </c:pt>
                <c:pt idx="4">
                  <c:v>45596</c:v>
                </c:pt>
                <c:pt idx="5">
                  <c:v>45565</c:v>
                </c:pt>
                <c:pt idx="6">
                  <c:v>45535</c:v>
                </c:pt>
                <c:pt idx="7">
                  <c:v>45504</c:v>
                </c:pt>
                <c:pt idx="8">
                  <c:v>45473</c:v>
                </c:pt>
                <c:pt idx="9">
                  <c:v>45443</c:v>
                </c:pt>
                <c:pt idx="10">
                  <c:v>45412</c:v>
                </c:pt>
                <c:pt idx="11">
                  <c:v>45382</c:v>
                </c:pt>
                <c:pt idx="12">
                  <c:v>45351</c:v>
                </c:pt>
                <c:pt idx="13">
                  <c:v>45291</c:v>
                </c:pt>
                <c:pt idx="14">
                  <c:v>45260</c:v>
                </c:pt>
                <c:pt idx="15">
                  <c:v>45230</c:v>
                </c:pt>
                <c:pt idx="16">
                  <c:v>45199</c:v>
                </c:pt>
                <c:pt idx="17">
                  <c:v>45169</c:v>
                </c:pt>
                <c:pt idx="18">
                  <c:v>45138</c:v>
                </c:pt>
                <c:pt idx="19">
                  <c:v>45107</c:v>
                </c:pt>
                <c:pt idx="20">
                  <c:v>45077</c:v>
                </c:pt>
                <c:pt idx="21">
                  <c:v>45046</c:v>
                </c:pt>
                <c:pt idx="22">
                  <c:v>45016</c:v>
                </c:pt>
                <c:pt idx="23">
                  <c:v>44985</c:v>
                </c:pt>
                <c:pt idx="24">
                  <c:v>44926</c:v>
                </c:pt>
                <c:pt idx="25">
                  <c:v>44895</c:v>
                </c:pt>
                <c:pt idx="26">
                  <c:v>44865</c:v>
                </c:pt>
                <c:pt idx="27">
                  <c:v>44834</c:v>
                </c:pt>
                <c:pt idx="28">
                  <c:v>44804</c:v>
                </c:pt>
                <c:pt idx="29">
                  <c:v>44773</c:v>
                </c:pt>
                <c:pt idx="30">
                  <c:v>44742</c:v>
                </c:pt>
                <c:pt idx="31">
                  <c:v>44712</c:v>
                </c:pt>
                <c:pt idx="32">
                  <c:v>44681</c:v>
                </c:pt>
                <c:pt idx="33">
                  <c:v>44651</c:v>
                </c:pt>
                <c:pt idx="34">
                  <c:v>44620</c:v>
                </c:pt>
                <c:pt idx="35">
                  <c:v>44561</c:v>
                </c:pt>
                <c:pt idx="36">
                  <c:v>44530</c:v>
                </c:pt>
                <c:pt idx="37">
                  <c:v>44500</c:v>
                </c:pt>
                <c:pt idx="38">
                  <c:v>44469</c:v>
                </c:pt>
                <c:pt idx="39">
                  <c:v>44439</c:v>
                </c:pt>
                <c:pt idx="40">
                  <c:v>44408</c:v>
                </c:pt>
                <c:pt idx="41">
                  <c:v>44377</c:v>
                </c:pt>
                <c:pt idx="42">
                  <c:v>44347</c:v>
                </c:pt>
                <c:pt idx="43">
                  <c:v>44316</c:v>
                </c:pt>
                <c:pt idx="44">
                  <c:v>44286</c:v>
                </c:pt>
                <c:pt idx="45">
                  <c:v>44255</c:v>
                </c:pt>
                <c:pt idx="46">
                  <c:v>44196</c:v>
                </c:pt>
                <c:pt idx="47">
                  <c:v>44165</c:v>
                </c:pt>
                <c:pt idx="48">
                  <c:v>44135</c:v>
                </c:pt>
                <c:pt idx="49">
                  <c:v>44104</c:v>
                </c:pt>
                <c:pt idx="50">
                  <c:v>44074</c:v>
                </c:pt>
                <c:pt idx="51">
                  <c:v>44043</c:v>
                </c:pt>
                <c:pt idx="52">
                  <c:v>44012</c:v>
                </c:pt>
                <c:pt idx="53">
                  <c:v>43982</c:v>
                </c:pt>
                <c:pt idx="54">
                  <c:v>43951</c:v>
                </c:pt>
                <c:pt idx="55">
                  <c:v>43921</c:v>
                </c:pt>
                <c:pt idx="56">
                  <c:v>43890</c:v>
                </c:pt>
                <c:pt idx="57">
                  <c:v>43830</c:v>
                </c:pt>
                <c:pt idx="58">
                  <c:v>43799</c:v>
                </c:pt>
                <c:pt idx="59">
                  <c:v>43769</c:v>
                </c:pt>
                <c:pt idx="60">
                  <c:v>43738</c:v>
                </c:pt>
                <c:pt idx="61">
                  <c:v>43708</c:v>
                </c:pt>
                <c:pt idx="62">
                  <c:v>43677</c:v>
                </c:pt>
                <c:pt idx="63">
                  <c:v>43646</c:v>
                </c:pt>
                <c:pt idx="64">
                  <c:v>43616</c:v>
                </c:pt>
                <c:pt idx="65">
                  <c:v>43585</c:v>
                </c:pt>
                <c:pt idx="66">
                  <c:v>43555</c:v>
                </c:pt>
                <c:pt idx="67">
                  <c:v>43524</c:v>
                </c:pt>
                <c:pt idx="68">
                  <c:v>43465</c:v>
                </c:pt>
                <c:pt idx="69">
                  <c:v>43434</c:v>
                </c:pt>
                <c:pt idx="70">
                  <c:v>43404</c:v>
                </c:pt>
                <c:pt idx="71">
                  <c:v>43373</c:v>
                </c:pt>
                <c:pt idx="72">
                  <c:v>43343</c:v>
                </c:pt>
                <c:pt idx="73">
                  <c:v>43312</c:v>
                </c:pt>
                <c:pt idx="74">
                  <c:v>43281</c:v>
                </c:pt>
                <c:pt idx="75">
                  <c:v>43251</c:v>
                </c:pt>
                <c:pt idx="76">
                  <c:v>43220</c:v>
                </c:pt>
                <c:pt idx="77">
                  <c:v>43190</c:v>
                </c:pt>
                <c:pt idx="78">
                  <c:v>43159</c:v>
                </c:pt>
                <c:pt idx="79">
                  <c:v>43100</c:v>
                </c:pt>
                <c:pt idx="80">
                  <c:v>43069</c:v>
                </c:pt>
                <c:pt idx="81">
                  <c:v>43039</c:v>
                </c:pt>
                <c:pt idx="82">
                  <c:v>43008</c:v>
                </c:pt>
                <c:pt idx="83">
                  <c:v>42978</c:v>
                </c:pt>
                <c:pt idx="84">
                  <c:v>42947</c:v>
                </c:pt>
                <c:pt idx="85">
                  <c:v>42916</c:v>
                </c:pt>
                <c:pt idx="86">
                  <c:v>42886</c:v>
                </c:pt>
                <c:pt idx="87">
                  <c:v>42855</c:v>
                </c:pt>
                <c:pt idx="88">
                  <c:v>42825</c:v>
                </c:pt>
                <c:pt idx="89">
                  <c:v>42794</c:v>
                </c:pt>
                <c:pt idx="90">
                  <c:v>42735</c:v>
                </c:pt>
                <c:pt idx="91">
                  <c:v>42704</c:v>
                </c:pt>
                <c:pt idx="92">
                  <c:v>42674</c:v>
                </c:pt>
                <c:pt idx="93">
                  <c:v>42643</c:v>
                </c:pt>
                <c:pt idx="94">
                  <c:v>42613</c:v>
                </c:pt>
                <c:pt idx="95">
                  <c:v>42582</c:v>
                </c:pt>
                <c:pt idx="96">
                  <c:v>42551</c:v>
                </c:pt>
                <c:pt idx="97">
                  <c:v>42521</c:v>
                </c:pt>
                <c:pt idx="98">
                  <c:v>42490</c:v>
                </c:pt>
                <c:pt idx="99">
                  <c:v>42460</c:v>
                </c:pt>
                <c:pt idx="100">
                  <c:v>42429</c:v>
                </c:pt>
                <c:pt idx="101">
                  <c:v>42369</c:v>
                </c:pt>
                <c:pt idx="102">
                  <c:v>42338</c:v>
                </c:pt>
                <c:pt idx="103">
                  <c:v>42308</c:v>
                </c:pt>
                <c:pt idx="104">
                  <c:v>42277</c:v>
                </c:pt>
                <c:pt idx="105">
                  <c:v>42247</c:v>
                </c:pt>
                <c:pt idx="106">
                  <c:v>42216</c:v>
                </c:pt>
              </c:numCache>
            </c:numRef>
          </c:cat>
          <c:val>
            <c:numRef>
              <c:f>主要指标对比!$B$4:$B$336</c:f>
              <c:numCache>
                <c:formatCode>General</c:formatCode>
                <c:ptCount val="333"/>
                <c:pt idx="1">
                  <c:v>-1.419533616352453</c:v>
                </c:pt>
                <c:pt idx="2">
                  <c:v>-1.7174815018003387</c:v>
                </c:pt>
                <c:pt idx="3">
                  <c:v>-2.0424001069991724</c:v>
                </c:pt>
                <c:pt idx="4">
                  <c:v>-2.3084845861271295</c:v>
                </c:pt>
                <c:pt idx="5">
                  <c:v>-2.5968375343484991</c:v>
                </c:pt>
                <c:pt idx="6">
                  <c:v>-2.648594768342575</c:v>
                </c:pt>
                <c:pt idx="7">
                  <c:v>-2.2078798521802372</c:v>
                </c:pt>
                <c:pt idx="8">
                  <c:v>-2.020826832186041</c:v>
                </c:pt>
                <c:pt idx="9">
                  <c:v>-1.8498160316271772</c:v>
                </c:pt>
                <c:pt idx="10">
                  <c:v>-1.6840842421453874</c:v>
                </c:pt>
                <c:pt idx="11">
                  <c:v>-1.2461303093230336</c:v>
                </c:pt>
                <c:pt idx="12">
                  <c:v>-0.86496174341762566</c:v>
                </c:pt>
                <c:pt idx="13">
                  <c:v>-0.77144220739808966</c:v>
                </c:pt>
                <c:pt idx="14">
                  <c:v>-0.79189289203995072</c:v>
                </c:pt>
                <c:pt idx="15">
                  <c:v>-0.64542370502896806</c:v>
                </c:pt>
                <c:pt idx="16">
                  <c:v>-0.39051039886566191</c:v>
                </c:pt>
                <c:pt idx="17">
                  <c:v>-0.40977377989374886</c:v>
                </c:pt>
                <c:pt idx="18">
                  <c:v>-0.44441917512737944</c:v>
                </c:pt>
                <c:pt idx="19">
                  <c:v>-0.58278607731007104</c:v>
                </c:pt>
                <c:pt idx="20">
                  <c:v>-0.66536141815154093</c:v>
                </c:pt>
                <c:pt idx="21">
                  <c:v>-0.80832806901292864</c:v>
                </c:pt>
                <c:pt idx="22">
                  <c:v>-0.70828594488358354</c:v>
                </c:pt>
                <c:pt idx="23">
                  <c:v>-0.30840265823559082</c:v>
                </c:pt>
                <c:pt idx="24">
                  <c:v>-0.10910293834763581</c:v>
                </c:pt>
                <c:pt idx="25">
                  <c:v>-0.18593988470212605</c:v>
                </c:pt>
                <c:pt idx="26">
                  <c:v>-0.22302937227548458</c:v>
                </c:pt>
                <c:pt idx="27">
                  <c:v>-0.32728793534983713</c:v>
                </c:pt>
                <c:pt idx="28">
                  <c:v>-0.80717247953899374</c:v>
                </c:pt>
                <c:pt idx="29">
                  <c:v>-1.4132283659657239</c:v>
                </c:pt>
                <c:pt idx="30">
                  <c:v>-1.7622182649556228</c:v>
                </c:pt>
                <c:pt idx="31">
                  <c:v>-1.7890809084849331</c:v>
                </c:pt>
                <c:pt idx="32">
                  <c:v>-1.6619965308742397</c:v>
                </c:pt>
                <c:pt idx="33">
                  <c:v>-1.8376982852602044</c:v>
                </c:pt>
                <c:pt idx="34">
                  <c:v>-1.7266396413371108</c:v>
                </c:pt>
                <c:pt idx="35">
                  <c:v>-1.9153258184024438</c:v>
                </c:pt>
                <c:pt idx="36">
                  <c:v>-2.1126322157088411</c:v>
                </c:pt>
                <c:pt idx="37">
                  <c:v>-2.2571608352374604</c:v>
                </c:pt>
                <c:pt idx="38">
                  <c:v>-2.444149139331028</c:v>
                </c:pt>
                <c:pt idx="39">
                  <c:v>-2.2880818878690397</c:v>
                </c:pt>
                <c:pt idx="40">
                  <c:v>-1.8609730060387955</c:v>
                </c:pt>
                <c:pt idx="41">
                  <c:v>-1.3289920118867486</c:v>
                </c:pt>
                <c:pt idx="42">
                  <c:v>-0.64556121266647581</c:v>
                </c:pt>
                <c:pt idx="43">
                  <c:v>7.5269458783390683E-2</c:v>
                </c:pt>
                <c:pt idx="44">
                  <c:v>0.5854893193321985</c:v>
                </c:pt>
                <c:pt idx="45">
                  <c:v>0.99577893225339043</c:v>
                </c:pt>
                <c:pt idx="46">
                  <c:v>0.84900129840145311</c:v>
                </c:pt>
                <c:pt idx="47">
                  <c:v>0.74506042015716945</c:v>
                </c:pt>
                <c:pt idx="48">
                  <c:v>0.54955650886378438</c:v>
                </c:pt>
                <c:pt idx="49">
                  <c:v>0.48898768205076254</c:v>
                </c:pt>
                <c:pt idx="50">
                  <c:v>0.49608079055516141</c:v>
                </c:pt>
                <c:pt idx="51">
                  <c:v>0.36920805315610816</c:v>
                </c:pt>
                <c:pt idx="52">
                  <c:v>0.35672170537564279</c:v>
                </c:pt>
                <c:pt idx="53">
                  <c:v>0.34854448120577158</c:v>
                </c:pt>
                <c:pt idx="54">
                  <c:v>0.30534693800822837</c:v>
                </c:pt>
                <c:pt idx="55">
                  <c:v>0.15306415939392801</c:v>
                </c:pt>
                <c:pt idx="56">
                  <c:v>-5.217574962796101E-2</c:v>
                </c:pt>
                <c:pt idx="57">
                  <c:v>-5.6527409776722611E-2</c:v>
                </c:pt>
                <c:pt idx="58">
                  <c:v>-6.5502385418364936E-2</c:v>
                </c:pt>
                <c:pt idx="59">
                  <c:v>-6.3956082874255374E-2</c:v>
                </c:pt>
                <c:pt idx="60">
                  <c:v>-5.590764982582231E-2</c:v>
                </c:pt>
                <c:pt idx="61">
                  <c:v>-0.10784669750184672</c:v>
                </c:pt>
                <c:pt idx="62">
                  <c:v>-0.11819857423303382</c:v>
                </c:pt>
                <c:pt idx="63">
                  <c:v>-1.2026139399720266E-3</c:v>
                </c:pt>
                <c:pt idx="64">
                  <c:v>0.15096944239875099</c:v>
                </c:pt>
                <c:pt idx="65">
                  <c:v>0.22421604521819896</c:v>
                </c:pt>
                <c:pt idx="66">
                  <c:v>0.31309164330432337</c:v>
                </c:pt>
                <c:pt idx="67">
                  <c:v>0.50916802707420561</c:v>
                </c:pt>
                <c:pt idx="68">
                  <c:v>0.7682716685307881</c:v>
                </c:pt>
                <c:pt idx="69">
                  <c:v>0.75929800330712283</c:v>
                </c:pt>
                <c:pt idx="70">
                  <c:v>0.80047488198400174</c:v>
                </c:pt>
                <c:pt idx="71">
                  <c:v>0.9704024182158858</c:v>
                </c:pt>
                <c:pt idx="72">
                  <c:v>1.2552056372868394</c:v>
                </c:pt>
                <c:pt idx="73">
                  <c:v>1.3657996728808748</c:v>
                </c:pt>
                <c:pt idx="74">
                  <c:v>1.6668150790433398</c:v>
                </c:pt>
                <c:pt idx="75">
                  <c:v>1.9461853797952198</c:v>
                </c:pt>
                <c:pt idx="76">
                  <c:v>2.0030280741379145</c:v>
                </c:pt>
                <c:pt idx="77">
                  <c:v>1.9676522571444499</c:v>
                </c:pt>
                <c:pt idx="78">
                  <c:v>1.781807203983927</c:v>
                </c:pt>
                <c:pt idx="79">
                  <c:v>1.7134089355856583</c:v>
                </c:pt>
                <c:pt idx="80">
                  <c:v>1.4275381780685592</c:v>
                </c:pt>
                <c:pt idx="81">
                  <c:v>1.3228549957537981</c:v>
                </c:pt>
                <c:pt idx="82">
                  <c:v>1.3108026962014985</c:v>
                </c:pt>
                <c:pt idx="83">
                  <c:v>1.3999198741731655</c:v>
                </c:pt>
                <c:pt idx="84">
                  <c:v>1.4900533631438639</c:v>
                </c:pt>
                <c:pt idx="85">
                  <c:v>1.4666615502783669</c:v>
                </c:pt>
                <c:pt idx="86">
                  <c:v>1.3078427653118057</c:v>
                </c:pt>
                <c:pt idx="87">
                  <c:v>1.1350097976258964</c:v>
                </c:pt>
                <c:pt idx="88">
                  <c:v>0.95503167389777277</c:v>
                </c:pt>
                <c:pt idx="89">
                  <c:v>0.91551202310902202</c:v>
                </c:pt>
                <c:pt idx="90">
                  <c:v>0.89302910062609941</c:v>
                </c:pt>
                <c:pt idx="91">
                  <c:v>0.91936289488185385</c:v>
                </c:pt>
                <c:pt idx="92">
                  <c:v>1.0354389212519979</c:v>
                </c:pt>
                <c:pt idx="93">
                  <c:v>1.0185304575298086</c:v>
                </c:pt>
                <c:pt idx="94">
                  <c:v>1.0015157592651105</c:v>
                </c:pt>
                <c:pt idx="95">
                  <c:v>0.83566345744506665</c:v>
                </c:pt>
                <c:pt idx="96">
                  <c:v>0.42181895519476725</c:v>
                </c:pt>
                <c:pt idx="97">
                  <c:v>8.8557293484829713E-2</c:v>
                </c:pt>
                <c:pt idx="98">
                  <c:v>-4.6413846486310271E-2</c:v>
                </c:pt>
                <c:pt idx="99">
                  <c:v>-9.5347628753425881E-2</c:v>
                </c:pt>
                <c:pt idx="100">
                  <c:v>-0.14708293048872764</c:v>
                </c:pt>
                <c:pt idx="101">
                  <c:v>-0.24823011663591377</c:v>
                </c:pt>
                <c:pt idx="102">
                  <c:v>-9.0795870795870828E-2</c:v>
                </c:pt>
                <c:pt idx="103">
                  <c:v>4.4285714285714262E-2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459-48E9-B956-737F8E3618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5680736"/>
        <c:axId val="545669696"/>
      </c:lineChart>
      <c:dateAx>
        <c:axId val="545673056"/>
        <c:scaling>
          <c:orientation val="minMax"/>
        </c:scaling>
        <c:delete val="0"/>
        <c:axPos val="b"/>
        <c:numFmt formatCode="yyyy/m/d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45691776"/>
        <c:crosses val="autoZero"/>
        <c:auto val="1"/>
        <c:lblOffset val="100"/>
        <c:baseTimeUnit val="months"/>
      </c:dateAx>
      <c:valAx>
        <c:axId val="545691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45673056"/>
        <c:crosses val="autoZero"/>
        <c:crossBetween val="between"/>
      </c:valAx>
      <c:dateAx>
        <c:axId val="545680736"/>
        <c:scaling>
          <c:orientation val="minMax"/>
        </c:scaling>
        <c:delete val="1"/>
        <c:axPos val="b"/>
        <c:numFmt formatCode="yyyy/m/d;@" sourceLinked="1"/>
        <c:majorTickMark val="out"/>
        <c:minorTickMark val="none"/>
        <c:tickLblPos val="nextTo"/>
        <c:crossAx val="545669696"/>
        <c:crosses val="autoZero"/>
        <c:auto val="1"/>
        <c:lblOffset val="100"/>
        <c:baseTimeUnit val="months"/>
      </c:dateAx>
      <c:valAx>
        <c:axId val="54566969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45680736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1"/>
          <c:tx>
            <c:strRef>
              <c:f>主要指标对比!$D$1:$D$3</c:f>
              <c:strCache>
                <c:ptCount val="3"/>
                <c:pt idx="2">
                  <c:v>综合通胀（逆序）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主要指标对比!$A$4:$A$336</c:f>
              <c:numCache>
                <c:formatCode>yyyy/m/d;@</c:formatCode>
                <c:ptCount val="333"/>
                <c:pt idx="1">
                  <c:v>45688</c:v>
                </c:pt>
                <c:pt idx="2">
                  <c:v>45657</c:v>
                </c:pt>
                <c:pt idx="3">
                  <c:v>45626</c:v>
                </c:pt>
                <c:pt idx="4">
                  <c:v>45596</c:v>
                </c:pt>
                <c:pt idx="5">
                  <c:v>45565</c:v>
                </c:pt>
                <c:pt idx="6">
                  <c:v>45535</c:v>
                </c:pt>
                <c:pt idx="7">
                  <c:v>45504</c:v>
                </c:pt>
                <c:pt idx="8">
                  <c:v>45473</c:v>
                </c:pt>
                <c:pt idx="9">
                  <c:v>45443</c:v>
                </c:pt>
                <c:pt idx="10">
                  <c:v>45412</c:v>
                </c:pt>
                <c:pt idx="11">
                  <c:v>45382</c:v>
                </c:pt>
                <c:pt idx="12">
                  <c:v>45351</c:v>
                </c:pt>
                <c:pt idx="13">
                  <c:v>45291</c:v>
                </c:pt>
                <c:pt idx="14">
                  <c:v>45260</c:v>
                </c:pt>
                <c:pt idx="15">
                  <c:v>45230</c:v>
                </c:pt>
                <c:pt idx="16">
                  <c:v>45199</c:v>
                </c:pt>
                <c:pt idx="17">
                  <c:v>45169</c:v>
                </c:pt>
                <c:pt idx="18">
                  <c:v>45138</c:v>
                </c:pt>
                <c:pt idx="19">
                  <c:v>45107</c:v>
                </c:pt>
                <c:pt idx="20">
                  <c:v>45077</c:v>
                </c:pt>
                <c:pt idx="21">
                  <c:v>45046</c:v>
                </c:pt>
                <c:pt idx="22">
                  <c:v>45016</c:v>
                </c:pt>
                <c:pt idx="23">
                  <c:v>44985</c:v>
                </c:pt>
                <c:pt idx="24">
                  <c:v>44926</c:v>
                </c:pt>
                <c:pt idx="25">
                  <c:v>44895</c:v>
                </c:pt>
                <c:pt idx="26">
                  <c:v>44865</c:v>
                </c:pt>
                <c:pt idx="27">
                  <c:v>44834</c:v>
                </c:pt>
                <c:pt idx="28">
                  <c:v>44804</c:v>
                </c:pt>
                <c:pt idx="29">
                  <c:v>44773</c:v>
                </c:pt>
                <c:pt idx="30">
                  <c:v>44742</c:v>
                </c:pt>
                <c:pt idx="31">
                  <c:v>44712</c:v>
                </c:pt>
                <c:pt idx="32">
                  <c:v>44681</c:v>
                </c:pt>
                <c:pt idx="33">
                  <c:v>44651</c:v>
                </c:pt>
                <c:pt idx="34">
                  <c:v>44620</c:v>
                </c:pt>
                <c:pt idx="35">
                  <c:v>44561</c:v>
                </c:pt>
                <c:pt idx="36">
                  <c:v>44530</c:v>
                </c:pt>
                <c:pt idx="37">
                  <c:v>44500</c:v>
                </c:pt>
                <c:pt idx="38">
                  <c:v>44469</c:v>
                </c:pt>
                <c:pt idx="39">
                  <c:v>44439</c:v>
                </c:pt>
                <c:pt idx="40">
                  <c:v>44408</c:v>
                </c:pt>
                <c:pt idx="41">
                  <c:v>44377</c:v>
                </c:pt>
                <c:pt idx="42">
                  <c:v>44347</c:v>
                </c:pt>
                <c:pt idx="43">
                  <c:v>44316</c:v>
                </c:pt>
                <c:pt idx="44">
                  <c:v>44286</c:v>
                </c:pt>
                <c:pt idx="45">
                  <c:v>44255</c:v>
                </c:pt>
                <c:pt idx="46">
                  <c:v>44196</c:v>
                </c:pt>
                <c:pt idx="47">
                  <c:v>44165</c:v>
                </c:pt>
                <c:pt idx="48">
                  <c:v>44135</c:v>
                </c:pt>
                <c:pt idx="49">
                  <c:v>44104</c:v>
                </c:pt>
                <c:pt idx="50">
                  <c:v>44074</c:v>
                </c:pt>
                <c:pt idx="51">
                  <c:v>44043</c:v>
                </c:pt>
                <c:pt idx="52">
                  <c:v>44012</c:v>
                </c:pt>
                <c:pt idx="53">
                  <c:v>43982</c:v>
                </c:pt>
                <c:pt idx="54">
                  <c:v>43951</c:v>
                </c:pt>
                <c:pt idx="55">
                  <c:v>43921</c:v>
                </c:pt>
                <c:pt idx="56">
                  <c:v>43890</c:v>
                </c:pt>
                <c:pt idx="57">
                  <c:v>43830</c:v>
                </c:pt>
                <c:pt idx="58">
                  <c:v>43799</c:v>
                </c:pt>
                <c:pt idx="59">
                  <c:v>43769</c:v>
                </c:pt>
                <c:pt idx="60">
                  <c:v>43738</c:v>
                </c:pt>
                <c:pt idx="61">
                  <c:v>43708</c:v>
                </c:pt>
                <c:pt idx="62">
                  <c:v>43677</c:v>
                </c:pt>
                <c:pt idx="63">
                  <c:v>43646</c:v>
                </c:pt>
                <c:pt idx="64">
                  <c:v>43616</c:v>
                </c:pt>
                <c:pt idx="65">
                  <c:v>43585</c:v>
                </c:pt>
                <c:pt idx="66">
                  <c:v>43555</c:v>
                </c:pt>
                <c:pt idx="67">
                  <c:v>43524</c:v>
                </c:pt>
                <c:pt idx="68">
                  <c:v>43465</c:v>
                </c:pt>
                <c:pt idx="69">
                  <c:v>43434</c:v>
                </c:pt>
                <c:pt idx="70">
                  <c:v>43404</c:v>
                </c:pt>
                <c:pt idx="71">
                  <c:v>43373</c:v>
                </c:pt>
                <c:pt idx="72">
                  <c:v>43343</c:v>
                </c:pt>
                <c:pt idx="73">
                  <c:v>43312</c:v>
                </c:pt>
                <c:pt idx="74">
                  <c:v>43281</c:v>
                </c:pt>
                <c:pt idx="75">
                  <c:v>43251</c:v>
                </c:pt>
                <c:pt idx="76">
                  <c:v>43220</c:v>
                </c:pt>
                <c:pt idx="77">
                  <c:v>43190</c:v>
                </c:pt>
                <c:pt idx="78">
                  <c:v>43159</c:v>
                </c:pt>
                <c:pt idx="79">
                  <c:v>43100</c:v>
                </c:pt>
                <c:pt idx="80">
                  <c:v>43069</c:v>
                </c:pt>
                <c:pt idx="81">
                  <c:v>43039</c:v>
                </c:pt>
                <c:pt idx="82">
                  <c:v>43008</c:v>
                </c:pt>
                <c:pt idx="83">
                  <c:v>42978</c:v>
                </c:pt>
                <c:pt idx="84">
                  <c:v>42947</c:v>
                </c:pt>
                <c:pt idx="85">
                  <c:v>42916</c:v>
                </c:pt>
                <c:pt idx="86">
                  <c:v>42886</c:v>
                </c:pt>
                <c:pt idx="87">
                  <c:v>42855</c:v>
                </c:pt>
                <c:pt idx="88">
                  <c:v>42825</c:v>
                </c:pt>
                <c:pt idx="89">
                  <c:v>42794</c:v>
                </c:pt>
                <c:pt idx="90">
                  <c:v>42735</c:v>
                </c:pt>
                <c:pt idx="91">
                  <c:v>42704</c:v>
                </c:pt>
                <c:pt idx="92">
                  <c:v>42674</c:v>
                </c:pt>
                <c:pt idx="93">
                  <c:v>42643</c:v>
                </c:pt>
                <c:pt idx="94">
                  <c:v>42613</c:v>
                </c:pt>
                <c:pt idx="95">
                  <c:v>42582</c:v>
                </c:pt>
                <c:pt idx="96">
                  <c:v>42551</c:v>
                </c:pt>
                <c:pt idx="97">
                  <c:v>42521</c:v>
                </c:pt>
                <c:pt idx="98">
                  <c:v>42490</c:v>
                </c:pt>
                <c:pt idx="99">
                  <c:v>42460</c:v>
                </c:pt>
                <c:pt idx="100">
                  <c:v>42429</c:v>
                </c:pt>
                <c:pt idx="101">
                  <c:v>42369</c:v>
                </c:pt>
                <c:pt idx="102">
                  <c:v>42338</c:v>
                </c:pt>
                <c:pt idx="103">
                  <c:v>42308</c:v>
                </c:pt>
                <c:pt idx="104">
                  <c:v>42277</c:v>
                </c:pt>
                <c:pt idx="105">
                  <c:v>42247</c:v>
                </c:pt>
                <c:pt idx="106">
                  <c:v>42216</c:v>
                </c:pt>
              </c:numCache>
            </c:numRef>
          </c:cat>
          <c:val>
            <c:numRef>
              <c:f>主要指标对比!$D$4:$D$336</c:f>
              <c:numCache>
                <c:formatCode>General</c:formatCode>
                <c:ptCount val="333"/>
                <c:pt idx="1">
                  <c:v>-0.62</c:v>
                </c:pt>
                <c:pt idx="2">
                  <c:v>-0.86</c:v>
                </c:pt>
                <c:pt idx="3">
                  <c:v>-0.88</c:v>
                </c:pt>
                <c:pt idx="4">
                  <c:v>-0.98</c:v>
                </c:pt>
                <c:pt idx="5">
                  <c:v>-0.88</c:v>
                </c:pt>
                <c:pt idx="6">
                  <c:v>-0.36</c:v>
                </c:pt>
                <c:pt idx="7">
                  <c:v>-0.02</c:v>
                </c:pt>
                <c:pt idx="8">
                  <c:v>-0.2</c:v>
                </c:pt>
                <c:pt idx="9">
                  <c:v>-0.38</c:v>
                </c:pt>
                <c:pt idx="10">
                  <c:v>-0.82</c:v>
                </c:pt>
                <c:pt idx="11">
                  <c:v>-1.06</c:v>
                </c:pt>
                <c:pt idx="12">
                  <c:v>-0.66</c:v>
                </c:pt>
                <c:pt idx="13">
                  <c:v>-1.26</c:v>
                </c:pt>
                <c:pt idx="14">
                  <c:v>-1.5</c:v>
                </c:pt>
                <c:pt idx="15">
                  <c:v>-1.1599999999999999</c:v>
                </c:pt>
                <c:pt idx="16">
                  <c:v>-1</c:v>
                </c:pt>
                <c:pt idx="17">
                  <c:v>-1.1399999999999999</c:v>
                </c:pt>
                <c:pt idx="18">
                  <c:v>-1.94</c:v>
                </c:pt>
                <c:pt idx="19">
                  <c:v>-2.16</c:v>
                </c:pt>
                <c:pt idx="20">
                  <c:v>-1.72</c:v>
                </c:pt>
                <c:pt idx="21">
                  <c:v>-1.38</c:v>
                </c:pt>
                <c:pt idx="22">
                  <c:v>-0.57999999999999996</c:v>
                </c:pt>
                <c:pt idx="23">
                  <c:v>0.04</c:v>
                </c:pt>
                <c:pt idx="24">
                  <c:v>0.8</c:v>
                </c:pt>
                <c:pt idx="25">
                  <c:v>0.44</c:v>
                </c:pt>
                <c:pt idx="26">
                  <c:v>0.74</c:v>
                </c:pt>
                <c:pt idx="27">
                  <c:v>2.04</c:v>
                </c:pt>
                <c:pt idx="28">
                  <c:v>2.42</c:v>
                </c:pt>
                <c:pt idx="29">
                  <c:v>3.3</c:v>
                </c:pt>
                <c:pt idx="30">
                  <c:v>3.94</c:v>
                </c:pt>
                <c:pt idx="31">
                  <c:v>3.82</c:v>
                </c:pt>
                <c:pt idx="32">
                  <c:v>4.46</c:v>
                </c:pt>
                <c:pt idx="33">
                  <c:v>4.22</c:v>
                </c:pt>
                <c:pt idx="34">
                  <c:v>4.0599999999999996</c:v>
                </c:pt>
                <c:pt idx="35">
                  <c:v>5.0199999999999996</c:v>
                </c:pt>
                <c:pt idx="36">
                  <c:v>6.54</c:v>
                </c:pt>
                <c:pt idx="37">
                  <c:v>6.3</c:v>
                </c:pt>
                <c:pt idx="38">
                  <c:v>4.7</c:v>
                </c:pt>
                <c:pt idx="39">
                  <c:v>4.28</c:v>
                </c:pt>
                <c:pt idx="40">
                  <c:v>4.2</c:v>
                </c:pt>
                <c:pt idx="41">
                  <c:v>4.18</c:v>
                </c:pt>
                <c:pt idx="42">
                  <c:v>4.38</c:v>
                </c:pt>
                <c:pt idx="43">
                  <c:v>3.26</c:v>
                </c:pt>
                <c:pt idx="44">
                  <c:v>2</c:v>
                </c:pt>
                <c:pt idx="45">
                  <c:v>0.56000000000000005</c:v>
                </c:pt>
                <c:pt idx="46">
                  <c:v>-0.04</c:v>
                </c:pt>
                <c:pt idx="47">
                  <c:v>-0.9</c:v>
                </c:pt>
                <c:pt idx="48">
                  <c:v>-0.54</c:v>
                </c:pt>
                <c:pt idx="49">
                  <c:v>0.18</c:v>
                </c:pt>
                <c:pt idx="50">
                  <c:v>0.64</c:v>
                </c:pt>
                <c:pt idx="51">
                  <c:v>0.66</c:v>
                </c:pt>
                <c:pt idx="52">
                  <c:v>0.3</c:v>
                </c:pt>
                <c:pt idx="53">
                  <c:v>-0.04</c:v>
                </c:pt>
                <c:pt idx="54">
                  <c:v>0.74</c:v>
                </c:pt>
                <c:pt idx="55">
                  <c:v>1.98</c:v>
                </c:pt>
                <c:pt idx="56">
                  <c:v>2.96</c:v>
                </c:pt>
                <c:pt idx="57">
                  <c:v>2.5</c:v>
                </c:pt>
                <c:pt idx="58">
                  <c:v>2.14</c:v>
                </c:pt>
                <c:pt idx="59">
                  <c:v>1.64</c:v>
                </c:pt>
                <c:pt idx="60">
                  <c:v>1.32</c:v>
                </c:pt>
                <c:pt idx="61">
                  <c:v>1.36</c:v>
                </c:pt>
                <c:pt idx="62">
                  <c:v>1.56</c:v>
                </c:pt>
                <c:pt idx="63">
                  <c:v>1.62</c:v>
                </c:pt>
                <c:pt idx="64">
                  <c:v>1.86</c:v>
                </c:pt>
                <c:pt idx="65">
                  <c:v>1.86</c:v>
                </c:pt>
                <c:pt idx="66">
                  <c:v>1.54</c:v>
                </c:pt>
                <c:pt idx="67">
                  <c:v>0.94</c:v>
                </c:pt>
                <c:pt idx="68">
                  <c:v>1.5</c:v>
                </c:pt>
                <c:pt idx="69">
                  <c:v>2.4</c:v>
                </c:pt>
                <c:pt idx="70">
                  <c:v>2.82</c:v>
                </c:pt>
                <c:pt idx="71">
                  <c:v>2.94</c:v>
                </c:pt>
                <c:pt idx="72">
                  <c:v>3.02</c:v>
                </c:pt>
                <c:pt idx="73">
                  <c:v>3.1</c:v>
                </c:pt>
                <c:pt idx="74">
                  <c:v>3.02</c:v>
                </c:pt>
                <c:pt idx="75">
                  <c:v>2.72</c:v>
                </c:pt>
                <c:pt idx="76">
                  <c:v>2.44</c:v>
                </c:pt>
                <c:pt idx="77">
                  <c:v>2.5</c:v>
                </c:pt>
                <c:pt idx="78">
                  <c:v>3.22</c:v>
                </c:pt>
                <c:pt idx="79">
                  <c:v>3.04</c:v>
                </c:pt>
                <c:pt idx="80">
                  <c:v>3.34</c:v>
                </c:pt>
                <c:pt idx="81">
                  <c:v>3.9</c:v>
                </c:pt>
                <c:pt idx="82">
                  <c:v>3.72</c:v>
                </c:pt>
                <c:pt idx="83">
                  <c:v>3.6</c:v>
                </c:pt>
                <c:pt idx="84">
                  <c:v>3.04</c:v>
                </c:pt>
                <c:pt idx="85">
                  <c:v>3.1</c:v>
                </c:pt>
                <c:pt idx="86">
                  <c:v>3.1</c:v>
                </c:pt>
                <c:pt idx="87">
                  <c:v>3.28</c:v>
                </c:pt>
                <c:pt idx="88">
                  <c:v>3.58</c:v>
                </c:pt>
                <c:pt idx="89">
                  <c:v>3.6</c:v>
                </c:pt>
                <c:pt idx="90">
                  <c:v>3.4459270000000002</c:v>
                </c:pt>
                <c:pt idx="91">
                  <c:v>2.6713548</c:v>
                </c:pt>
                <c:pt idx="92">
                  <c:v>1.7375681999999999</c:v>
                </c:pt>
                <c:pt idx="93">
                  <c:v>1.1921356000000001</c:v>
                </c:pt>
                <c:pt idx="94">
                  <c:v>0.48386380000000001</c:v>
                </c:pt>
                <c:pt idx="95">
                  <c:v>0.37906780000000001</c:v>
                </c:pt>
                <c:pt idx="96">
                  <c:v>8.7701799999999996E-2</c:v>
                </c:pt>
                <c:pt idx="97">
                  <c:v>0.1033994</c:v>
                </c:pt>
                <c:pt idx="98">
                  <c:v>3.6719000000000002E-2</c:v>
                </c:pt>
                <c:pt idx="99">
                  <c:v>-0.33916540000000001</c:v>
                </c:pt>
                <c:pt idx="100">
                  <c:v>-0.57999999999999996</c:v>
                </c:pt>
                <c:pt idx="101">
                  <c:v>-1.4</c:v>
                </c:pt>
                <c:pt idx="102">
                  <c:v>-1.4686399999999999</c:v>
                </c:pt>
                <c:pt idx="103">
                  <c:v>-1.5995600000000001</c:v>
                </c:pt>
                <c:pt idx="104">
                  <c:v>-1.4206399999999999</c:v>
                </c:pt>
                <c:pt idx="105">
                  <c:v>-1.19584</c:v>
                </c:pt>
                <c:pt idx="106">
                  <c:v>-1.1593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FB-4BBD-8968-1509BA5AA8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5673056"/>
        <c:axId val="545691776"/>
      </c:lineChart>
      <c:lineChart>
        <c:grouping val="standard"/>
        <c:varyColors val="0"/>
        <c:ser>
          <c:idx val="0"/>
          <c:order val="0"/>
          <c:tx>
            <c:strRef>
              <c:f>主要指标对比!$B$1:$B$3</c:f>
              <c:strCache>
                <c:ptCount val="3"/>
                <c:pt idx="2">
                  <c:v>综合景气指标(向前滚动5年、右轴)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主要指标对比!$A$4:$A$336</c:f>
              <c:numCache>
                <c:formatCode>yyyy/m/d;@</c:formatCode>
                <c:ptCount val="333"/>
                <c:pt idx="1">
                  <c:v>45688</c:v>
                </c:pt>
                <c:pt idx="2">
                  <c:v>45657</c:v>
                </c:pt>
                <c:pt idx="3">
                  <c:v>45626</c:v>
                </c:pt>
                <c:pt idx="4">
                  <c:v>45596</c:v>
                </c:pt>
                <c:pt idx="5">
                  <c:v>45565</c:v>
                </c:pt>
                <c:pt idx="6">
                  <c:v>45535</c:v>
                </c:pt>
                <c:pt idx="7">
                  <c:v>45504</c:v>
                </c:pt>
                <c:pt idx="8">
                  <c:v>45473</c:v>
                </c:pt>
                <c:pt idx="9">
                  <c:v>45443</c:v>
                </c:pt>
                <c:pt idx="10">
                  <c:v>45412</c:v>
                </c:pt>
                <c:pt idx="11">
                  <c:v>45382</c:v>
                </c:pt>
                <c:pt idx="12">
                  <c:v>45351</c:v>
                </c:pt>
                <c:pt idx="13">
                  <c:v>45291</c:v>
                </c:pt>
                <c:pt idx="14">
                  <c:v>45260</c:v>
                </c:pt>
                <c:pt idx="15">
                  <c:v>45230</c:v>
                </c:pt>
                <c:pt idx="16">
                  <c:v>45199</c:v>
                </c:pt>
                <c:pt idx="17">
                  <c:v>45169</c:v>
                </c:pt>
                <c:pt idx="18">
                  <c:v>45138</c:v>
                </c:pt>
                <c:pt idx="19">
                  <c:v>45107</c:v>
                </c:pt>
                <c:pt idx="20">
                  <c:v>45077</c:v>
                </c:pt>
                <c:pt idx="21">
                  <c:v>45046</c:v>
                </c:pt>
                <c:pt idx="22">
                  <c:v>45016</c:v>
                </c:pt>
                <c:pt idx="23">
                  <c:v>44985</c:v>
                </c:pt>
                <c:pt idx="24">
                  <c:v>44926</c:v>
                </c:pt>
                <c:pt idx="25">
                  <c:v>44895</c:v>
                </c:pt>
                <c:pt idx="26">
                  <c:v>44865</c:v>
                </c:pt>
                <c:pt idx="27">
                  <c:v>44834</c:v>
                </c:pt>
                <c:pt idx="28">
                  <c:v>44804</c:v>
                </c:pt>
                <c:pt idx="29">
                  <c:v>44773</c:v>
                </c:pt>
                <c:pt idx="30">
                  <c:v>44742</c:v>
                </c:pt>
                <c:pt idx="31">
                  <c:v>44712</c:v>
                </c:pt>
                <c:pt idx="32">
                  <c:v>44681</c:v>
                </c:pt>
                <c:pt idx="33">
                  <c:v>44651</c:v>
                </c:pt>
                <c:pt idx="34">
                  <c:v>44620</c:v>
                </c:pt>
                <c:pt idx="35">
                  <c:v>44561</c:v>
                </c:pt>
                <c:pt idx="36">
                  <c:v>44530</c:v>
                </c:pt>
                <c:pt idx="37">
                  <c:v>44500</c:v>
                </c:pt>
                <c:pt idx="38">
                  <c:v>44469</c:v>
                </c:pt>
                <c:pt idx="39">
                  <c:v>44439</c:v>
                </c:pt>
                <c:pt idx="40">
                  <c:v>44408</c:v>
                </c:pt>
                <c:pt idx="41">
                  <c:v>44377</c:v>
                </c:pt>
                <c:pt idx="42">
                  <c:v>44347</c:v>
                </c:pt>
                <c:pt idx="43">
                  <c:v>44316</c:v>
                </c:pt>
                <c:pt idx="44">
                  <c:v>44286</c:v>
                </c:pt>
                <c:pt idx="45">
                  <c:v>44255</c:v>
                </c:pt>
                <c:pt idx="46">
                  <c:v>44196</c:v>
                </c:pt>
                <c:pt idx="47">
                  <c:v>44165</c:v>
                </c:pt>
                <c:pt idx="48">
                  <c:v>44135</c:v>
                </c:pt>
                <c:pt idx="49">
                  <c:v>44104</c:v>
                </c:pt>
                <c:pt idx="50">
                  <c:v>44074</c:v>
                </c:pt>
                <c:pt idx="51">
                  <c:v>44043</c:v>
                </c:pt>
                <c:pt idx="52">
                  <c:v>44012</c:v>
                </c:pt>
                <c:pt idx="53">
                  <c:v>43982</c:v>
                </c:pt>
                <c:pt idx="54">
                  <c:v>43951</c:v>
                </c:pt>
                <c:pt idx="55">
                  <c:v>43921</c:v>
                </c:pt>
                <c:pt idx="56">
                  <c:v>43890</c:v>
                </c:pt>
                <c:pt idx="57">
                  <c:v>43830</c:v>
                </c:pt>
                <c:pt idx="58">
                  <c:v>43799</c:v>
                </c:pt>
                <c:pt idx="59">
                  <c:v>43769</c:v>
                </c:pt>
                <c:pt idx="60">
                  <c:v>43738</c:v>
                </c:pt>
                <c:pt idx="61">
                  <c:v>43708</c:v>
                </c:pt>
                <c:pt idx="62">
                  <c:v>43677</c:v>
                </c:pt>
                <c:pt idx="63">
                  <c:v>43646</c:v>
                </c:pt>
                <c:pt idx="64">
                  <c:v>43616</c:v>
                </c:pt>
                <c:pt idx="65">
                  <c:v>43585</c:v>
                </c:pt>
                <c:pt idx="66">
                  <c:v>43555</c:v>
                </c:pt>
                <c:pt idx="67">
                  <c:v>43524</c:v>
                </c:pt>
                <c:pt idx="68">
                  <c:v>43465</c:v>
                </c:pt>
                <c:pt idx="69">
                  <c:v>43434</c:v>
                </c:pt>
                <c:pt idx="70">
                  <c:v>43404</c:v>
                </c:pt>
                <c:pt idx="71">
                  <c:v>43373</c:v>
                </c:pt>
                <c:pt idx="72">
                  <c:v>43343</c:v>
                </c:pt>
                <c:pt idx="73">
                  <c:v>43312</c:v>
                </c:pt>
                <c:pt idx="74">
                  <c:v>43281</c:v>
                </c:pt>
                <c:pt idx="75">
                  <c:v>43251</c:v>
                </c:pt>
                <c:pt idx="76">
                  <c:v>43220</c:v>
                </c:pt>
                <c:pt idx="77">
                  <c:v>43190</c:v>
                </c:pt>
                <c:pt idx="78">
                  <c:v>43159</c:v>
                </c:pt>
                <c:pt idx="79">
                  <c:v>43100</c:v>
                </c:pt>
                <c:pt idx="80">
                  <c:v>43069</c:v>
                </c:pt>
                <c:pt idx="81">
                  <c:v>43039</c:v>
                </c:pt>
                <c:pt idx="82">
                  <c:v>43008</c:v>
                </c:pt>
                <c:pt idx="83">
                  <c:v>42978</c:v>
                </c:pt>
                <c:pt idx="84">
                  <c:v>42947</c:v>
                </c:pt>
                <c:pt idx="85">
                  <c:v>42916</c:v>
                </c:pt>
                <c:pt idx="86">
                  <c:v>42886</c:v>
                </c:pt>
                <c:pt idx="87">
                  <c:v>42855</c:v>
                </c:pt>
                <c:pt idx="88">
                  <c:v>42825</c:v>
                </c:pt>
                <c:pt idx="89">
                  <c:v>42794</c:v>
                </c:pt>
                <c:pt idx="90">
                  <c:v>42735</c:v>
                </c:pt>
                <c:pt idx="91">
                  <c:v>42704</c:v>
                </c:pt>
                <c:pt idx="92">
                  <c:v>42674</c:v>
                </c:pt>
                <c:pt idx="93">
                  <c:v>42643</c:v>
                </c:pt>
                <c:pt idx="94">
                  <c:v>42613</c:v>
                </c:pt>
                <c:pt idx="95">
                  <c:v>42582</c:v>
                </c:pt>
                <c:pt idx="96">
                  <c:v>42551</c:v>
                </c:pt>
                <c:pt idx="97">
                  <c:v>42521</c:v>
                </c:pt>
                <c:pt idx="98">
                  <c:v>42490</c:v>
                </c:pt>
                <c:pt idx="99">
                  <c:v>42460</c:v>
                </c:pt>
                <c:pt idx="100">
                  <c:v>42429</c:v>
                </c:pt>
                <c:pt idx="101">
                  <c:v>42369</c:v>
                </c:pt>
                <c:pt idx="102">
                  <c:v>42338</c:v>
                </c:pt>
                <c:pt idx="103">
                  <c:v>42308</c:v>
                </c:pt>
                <c:pt idx="104">
                  <c:v>42277</c:v>
                </c:pt>
                <c:pt idx="105">
                  <c:v>42247</c:v>
                </c:pt>
                <c:pt idx="106">
                  <c:v>42216</c:v>
                </c:pt>
              </c:numCache>
            </c:numRef>
          </c:cat>
          <c:val>
            <c:numRef>
              <c:f>主要指标对比!$B$4:$B$336</c:f>
              <c:numCache>
                <c:formatCode>General</c:formatCode>
                <c:ptCount val="333"/>
                <c:pt idx="1">
                  <c:v>-1.419533616352453</c:v>
                </c:pt>
                <c:pt idx="2">
                  <c:v>-1.7174815018003387</c:v>
                </c:pt>
                <c:pt idx="3">
                  <c:v>-2.0424001069991724</c:v>
                </c:pt>
                <c:pt idx="4">
                  <c:v>-2.3084845861271295</c:v>
                </c:pt>
                <c:pt idx="5">
                  <c:v>-2.5968375343484991</c:v>
                </c:pt>
                <c:pt idx="6">
                  <c:v>-2.648594768342575</c:v>
                </c:pt>
                <c:pt idx="7">
                  <c:v>-2.2078798521802372</c:v>
                </c:pt>
                <c:pt idx="8">
                  <c:v>-2.020826832186041</c:v>
                </c:pt>
                <c:pt idx="9">
                  <c:v>-1.8498160316271772</c:v>
                </c:pt>
                <c:pt idx="10">
                  <c:v>-1.6840842421453874</c:v>
                </c:pt>
                <c:pt idx="11">
                  <c:v>-1.2461303093230336</c:v>
                </c:pt>
                <c:pt idx="12">
                  <c:v>-0.86496174341762566</c:v>
                </c:pt>
                <c:pt idx="13">
                  <c:v>-0.77144220739808966</c:v>
                </c:pt>
                <c:pt idx="14">
                  <c:v>-0.79189289203995072</c:v>
                </c:pt>
                <c:pt idx="15">
                  <c:v>-0.64542370502896806</c:v>
                </c:pt>
                <c:pt idx="16">
                  <c:v>-0.39051039886566191</c:v>
                </c:pt>
                <c:pt idx="17">
                  <c:v>-0.40977377989374886</c:v>
                </c:pt>
                <c:pt idx="18">
                  <c:v>-0.44441917512737944</c:v>
                </c:pt>
                <c:pt idx="19">
                  <c:v>-0.58278607731007104</c:v>
                </c:pt>
                <c:pt idx="20">
                  <c:v>-0.66536141815154093</c:v>
                </c:pt>
                <c:pt idx="21">
                  <c:v>-0.80832806901292864</c:v>
                </c:pt>
                <c:pt idx="22">
                  <c:v>-0.70828594488358354</c:v>
                </c:pt>
                <c:pt idx="23">
                  <c:v>-0.30840265823559082</c:v>
                </c:pt>
                <c:pt idx="24">
                  <c:v>-0.10910293834763581</c:v>
                </c:pt>
                <c:pt idx="25">
                  <c:v>-0.18593988470212605</c:v>
                </c:pt>
                <c:pt idx="26">
                  <c:v>-0.22302937227548458</c:v>
                </c:pt>
                <c:pt idx="27">
                  <c:v>-0.32728793534983713</c:v>
                </c:pt>
                <c:pt idx="28">
                  <c:v>-0.80717247953899374</c:v>
                </c:pt>
                <c:pt idx="29">
                  <c:v>-1.4132283659657239</c:v>
                </c:pt>
                <c:pt idx="30">
                  <c:v>-1.7622182649556228</c:v>
                </c:pt>
                <c:pt idx="31">
                  <c:v>-1.7890809084849331</c:v>
                </c:pt>
                <c:pt idx="32">
                  <c:v>-1.6619965308742397</c:v>
                </c:pt>
                <c:pt idx="33">
                  <c:v>-1.8376982852602044</c:v>
                </c:pt>
                <c:pt idx="34">
                  <c:v>-1.7266396413371108</c:v>
                </c:pt>
                <c:pt idx="35">
                  <c:v>-1.9153258184024438</c:v>
                </c:pt>
                <c:pt idx="36">
                  <c:v>-2.1126322157088411</c:v>
                </c:pt>
                <c:pt idx="37">
                  <c:v>-2.2571608352374604</c:v>
                </c:pt>
                <c:pt idx="38">
                  <c:v>-2.444149139331028</c:v>
                </c:pt>
                <c:pt idx="39">
                  <c:v>-2.2880818878690397</c:v>
                </c:pt>
                <c:pt idx="40">
                  <c:v>-1.8609730060387955</c:v>
                </c:pt>
                <c:pt idx="41">
                  <c:v>-1.3289920118867486</c:v>
                </c:pt>
                <c:pt idx="42">
                  <c:v>-0.64556121266647581</c:v>
                </c:pt>
                <c:pt idx="43">
                  <c:v>7.5269458783390683E-2</c:v>
                </c:pt>
                <c:pt idx="44">
                  <c:v>0.5854893193321985</c:v>
                </c:pt>
                <c:pt idx="45">
                  <c:v>0.99577893225339043</c:v>
                </c:pt>
                <c:pt idx="46">
                  <c:v>0.84900129840145311</c:v>
                </c:pt>
                <c:pt idx="47">
                  <c:v>0.74506042015716945</c:v>
                </c:pt>
                <c:pt idx="48">
                  <c:v>0.54955650886378438</c:v>
                </c:pt>
                <c:pt idx="49">
                  <c:v>0.48898768205076254</c:v>
                </c:pt>
                <c:pt idx="50">
                  <c:v>0.49608079055516141</c:v>
                </c:pt>
                <c:pt idx="51">
                  <c:v>0.36920805315610816</c:v>
                </c:pt>
                <c:pt idx="52">
                  <c:v>0.35672170537564279</c:v>
                </c:pt>
                <c:pt idx="53">
                  <c:v>0.34854448120577158</c:v>
                </c:pt>
                <c:pt idx="54">
                  <c:v>0.30534693800822837</c:v>
                </c:pt>
                <c:pt idx="55">
                  <c:v>0.15306415939392801</c:v>
                </c:pt>
                <c:pt idx="56">
                  <c:v>-5.217574962796101E-2</c:v>
                </c:pt>
                <c:pt idx="57">
                  <c:v>-5.6527409776722611E-2</c:v>
                </c:pt>
                <c:pt idx="58">
                  <c:v>-6.5502385418364936E-2</c:v>
                </c:pt>
                <c:pt idx="59">
                  <c:v>-6.3956082874255374E-2</c:v>
                </c:pt>
                <c:pt idx="60">
                  <c:v>-5.590764982582231E-2</c:v>
                </c:pt>
                <c:pt idx="61">
                  <c:v>-0.10784669750184672</c:v>
                </c:pt>
                <c:pt idx="62">
                  <c:v>-0.11819857423303382</c:v>
                </c:pt>
                <c:pt idx="63">
                  <c:v>-1.2026139399720266E-3</c:v>
                </c:pt>
                <c:pt idx="64">
                  <c:v>0.15096944239875099</c:v>
                </c:pt>
                <c:pt idx="65">
                  <c:v>0.22421604521819896</c:v>
                </c:pt>
                <c:pt idx="66">
                  <c:v>0.31309164330432337</c:v>
                </c:pt>
                <c:pt idx="67">
                  <c:v>0.50916802707420561</c:v>
                </c:pt>
                <c:pt idx="68">
                  <c:v>0.7682716685307881</c:v>
                </c:pt>
                <c:pt idx="69">
                  <c:v>0.75929800330712283</c:v>
                </c:pt>
                <c:pt idx="70">
                  <c:v>0.80047488198400174</c:v>
                </c:pt>
                <c:pt idx="71">
                  <c:v>0.9704024182158858</c:v>
                </c:pt>
                <c:pt idx="72">
                  <c:v>1.2552056372868394</c:v>
                </c:pt>
                <c:pt idx="73">
                  <c:v>1.3657996728808748</c:v>
                </c:pt>
                <c:pt idx="74">
                  <c:v>1.6668150790433398</c:v>
                </c:pt>
                <c:pt idx="75">
                  <c:v>1.9461853797952198</c:v>
                </c:pt>
                <c:pt idx="76">
                  <c:v>2.0030280741379145</c:v>
                </c:pt>
                <c:pt idx="77">
                  <c:v>1.9676522571444499</c:v>
                </c:pt>
                <c:pt idx="78">
                  <c:v>1.781807203983927</c:v>
                </c:pt>
                <c:pt idx="79">
                  <c:v>1.7134089355856583</c:v>
                </c:pt>
                <c:pt idx="80">
                  <c:v>1.4275381780685592</c:v>
                </c:pt>
                <c:pt idx="81">
                  <c:v>1.3228549957537981</c:v>
                </c:pt>
                <c:pt idx="82">
                  <c:v>1.3108026962014985</c:v>
                </c:pt>
                <c:pt idx="83">
                  <c:v>1.3999198741731655</c:v>
                </c:pt>
                <c:pt idx="84">
                  <c:v>1.4900533631438639</c:v>
                </c:pt>
                <c:pt idx="85">
                  <c:v>1.4666615502783669</c:v>
                </c:pt>
                <c:pt idx="86">
                  <c:v>1.3078427653118057</c:v>
                </c:pt>
                <c:pt idx="87">
                  <c:v>1.1350097976258964</c:v>
                </c:pt>
                <c:pt idx="88">
                  <c:v>0.95503167389777277</c:v>
                </c:pt>
                <c:pt idx="89">
                  <c:v>0.91551202310902202</c:v>
                </c:pt>
                <c:pt idx="90">
                  <c:v>0.89302910062609941</c:v>
                </c:pt>
                <c:pt idx="91">
                  <c:v>0.91936289488185385</c:v>
                </c:pt>
                <c:pt idx="92">
                  <c:v>1.0354389212519979</c:v>
                </c:pt>
                <c:pt idx="93">
                  <c:v>1.0185304575298086</c:v>
                </c:pt>
                <c:pt idx="94">
                  <c:v>1.0015157592651105</c:v>
                </c:pt>
                <c:pt idx="95">
                  <c:v>0.83566345744506665</c:v>
                </c:pt>
                <c:pt idx="96">
                  <c:v>0.42181895519476725</c:v>
                </c:pt>
                <c:pt idx="97">
                  <c:v>8.8557293484829713E-2</c:v>
                </c:pt>
                <c:pt idx="98">
                  <c:v>-4.6413846486310271E-2</c:v>
                </c:pt>
                <c:pt idx="99">
                  <c:v>-9.5347628753425881E-2</c:v>
                </c:pt>
                <c:pt idx="100">
                  <c:v>-0.14708293048872764</c:v>
                </c:pt>
                <c:pt idx="101">
                  <c:v>-0.24823011663591377</c:v>
                </c:pt>
                <c:pt idx="102">
                  <c:v>-9.0795870795870828E-2</c:v>
                </c:pt>
                <c:pt idx="103">
                  <c:v>4.4285714285714262E-2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FB-4BBD-8968-1509BA5AA8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5680736"/>
        <c:axId val="545669696"/>
      </c:lineChart>
      <c:dateAx>
        <c:axId val="545673056"/>
        <c:scaling>
          <c:orientation val="minMax"/>
        </c:scaling>
        <c:delete val="0"/>
        <c:axPos val="b"/>
        <c:numFmt formatCode="yyyy/m/d;@" sourceLinked="1"/>
        <c:majorTickMark val="out"/>
        <c:minorTickMark val="none"/>
        <c:tickLblPos val="high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45691776"/>
        <c:crosses val="max"/>
        <c:auto val="1"/>
        <c:lblOffset val="100"/>
        <c:baseTimeUnit val="months"/>
      </c:dateAx>
      <c:valAx>
        <c:axId val="54569177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45673056"/>
        <c:crosses val="autoZero"/>
        <c:crossBetween val="midCat"/>
      </c:valAx>
      <c:dateAx>
        <c:axId val="545680736"/>
        <c:scaling>
          <c:orientation val="minMax"/>
        </c:scaling>
        <c:delete val="1"/>
        <c:axPos val="b"/>
        <c:numFmt formatCode="yyyy/m/d;@" sourceLinked="1"/>
        <c:majorTickMark val="out"/>
        <c:minorTickMark val="none"/>
        <c:tickLblPos val="nextTo"/>
        <c:crossAx val="545669696"/>
        <c:crosses val="autoZero"/>
        <c:auto val="1"/>
        <c:lblOffset val="100"/>
        <c:baseTimeUnit val="months"/>
      </c:dateAx>
      <c:valAx>
        <c:axId val="54566969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45680736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1"/>
          <c:tx>
            <c:strRef>
              <c:f>主要指标对比!$G$1:$G$3</c:f>
              <c:strCache>
                <c:ptCount val="3"/>
                <c:pt idx="2">
                  <c:v>综合PMI（近半年平均）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主要指标对比!$A$4:$A$336</c:f>
              <c:numCache>
                <c:formatCode>yyyy/m/d;@</c:formatCode>
                <c:ptCount val="333"/>
                <c:pt idx="1">
                  <c:v>45688</c:v>
                </c:pt>
                <c:pt idx="2">
                  <c:v>45657</c:v>
                </c:pt>
                <c:pt idx="3">
                  <c:v>45626</c:v>
                </c:pt>
                <c:pt idx="4">
                  <c:v>45596</c:v>
                </c:pt>
                <c:pt idx="5">
                  <c:v>45565</c:v>
                </c:pt>
                <c:pt idx="6">
                  <c:v>45535</c:v>
                </c:pt>
                <c:pt idx="7">
                  <c:v>45504</c:v>
                </c:pt>
                <c:pt idx="8">
                  <c:v>45473</c:v>
                </c:pt>
                <c:pt idx="9">
                  <c:v>45443</c:v>
                </c:pt>
                <c:pt idx="10">
                  <c:v>45412</c:v>
                </c:pt>
                <c:pt idx="11">
                  <c:v>45382</c:v>
                </c:pt>
                <c:pt idx="12">
                  <c:v>45351</c:v>
                </c:pt>
                <c:pt idx="13">
                  <c:v>45291</c:v>
                </c:pt>
                <c:pt idx="14">
                  <c:v>45260</c:v>
                </c:pt>
                <c:pt idx="15">
                  <c:v>45230</c:v>
                </c:pt>
                <c:pt idx="16">
                  <c:v>45199</c:v>
                </c:pt>
                <c:pt idx="17">
                  <c:v>45169</c:v>
                </c:pt>
                <c:pt idx="18">
                  <c:v>45138</c:v>
                </c:pt>
                <c:pt idx="19">
                  <c:v>45107</c:v>
                </c:pt>
                <c:pt idx="20">
                  <c:v>45077</c:v>
                </c:pt>
                <c:pt idx="21">
                  <c:v>45046</c:v>
                </c:pt>
                <c:pt idx="22">
                  <c:v>45016</c:v>
                </c:pt>
                <c:pt idx="23">
                  <c:v>44985</c:v>
                </c:pt>
                <c:pt idx="24">
                  <c:v>44926</c:v>
                </c:pt>
                <c:pt idx="25">
                  <c:v>44895</c:v>
                </c:pt>
                <c:pt idx="26">
                  <c:v>44865</c:v>
                </c:pt>
                <c:pt idx="27">
                  <c:v>44834</c:v>
                </c:pt>
                <c:pt idx="28">
                  <c:v>44804</c:v>
                </c:pt>
                <c:pt idx="29">
                  <c:v>44773</c:v>
                </c:pt>
                <c:pt idx="30">
                  <c:v>44742</c:v>
                </c:pt>
                <c:pt idx="31">
                  <c:v>44712</c:v>
                </c:pt>
                <c:pt idx="32">
                  <c:v>44681</c:v>
                </c:pt>
                <c:pt idx="33">
                  <c:v>44651</c:v>
                </c:pt>
                <c:pt idx="34">
                  <c:v>44620</c:v>
                </c:pt>
                <c:pt idx="35">
                  <c:v>44561</c:v>
                </c:pt>
                <c:pt idx="36">
                  <c:v>44530</c:v>
                </c:pt>
                <c:pt idx="37">
                  <c:v>44500</c:v>
                </c:pt>
                <c:pt idx="38">
                  <c:v>44469</c:v>
                </c:pt>
                <c:pt idx="39">
                  <c:v>44439</c:v>
                </c:pt>
                <c:pt idx="40">
                  <c:v>44408</c:v>
                </c:pt>
                <c:pt idx="41">
                  <c:v>44377</c:v>
                </c:pt>
                <c:pt idx="42">
                  <c:v>44347</c:v>
                </c:pt>
                <c:pt idx="43">
                  <c:v>44316</c:v>
                </c:pt>
                <c:pt idx="44">
                  <c:v>44286</c:v>
                </c:pt>
                <c:pt idx="45">
                  <c:v>44255</c:v>
                </c:pt>
                <c:pt idx="46">
                  <c:v>44196</c:v>
                </c:pt>
                <c:pt idx="47">
                  <c:v>44165</c:v>
                </c:pt>
                <c:pt idx="48">
                  <c:v>44135</c:v>
                </c:pt>
                <c:pt idx="49">
                  <c:v>44104</c:v>
                </c:pt>
                <c:pt idx="50">
                  <c:v>44074</c:v>
                </c:pt>
                <c:pt idx="51">
                  <c:v>44043</c:v>
                </c:pt>
                <c:pt idx="52">
                  <c:v>44012</c:v>
                </c:pt>
                <c:pt idx="53">
                  <c:v>43982</c:v>
                </c:pt>
                <c:pt idx="54">
                  <c:v>43951</c:v>
                </c:pt>
                <c:pt idx="55">
                  <c:v>43921</c:v>
                </c:pt>
                <c:pt idx="56">
                  <c:v>43890</c:v>
                </c:pt>
                <c:pt idx="57">
                  <c:v>43830</c:v>
                </c:pt>
                <c:pt idx="58">
                  <c:v>43799</c:v>
                </c:pt>
                <c:pt idx="59">
                  <c:v>43769</c:v>
                </c:pt>
                <c:pt idx="60">
                  <c:v>43738</c:v>
                </c:pt>
                <c:pt idx="61">
                  <c:v>43708</c:v>
                </c:pt>
                <c:pt idx="62">
                  <c:v>43677</c:v>
                </c:pt>
                <c:pt idx="63">
                  <c:v>43646</c:v>
                </c:pt>
                <c:pt idx="64">
                  <c:v>43616</c:v>
                </c:pt>
                <c:pt idx="65">
                  <c:v>43585</c:v>
                </c:pt>
                <c:pt idx="66">
                  <c:v>43555</c:v>
                </c:pt>
                <c:pt idx="67">
                  <c:v>43524</c:v>
                </c:pt>
                <c:pt idx="68">
                  <c:v>43465</c:v>
                </c:pt>
                <c:pt idx="69">
                  <c:v>43434</c:v>
                </c:pt>
                <c:pt idx="70">
                  <c:v>43404</c:v>
                </c:pt>
                <c:pt idx="71">
                  <c:v>43373</c:v>
                </c:pt>
                <c:pt idx="72">
                  <c:v>43343</c:v>
                </c:pt>
                <c:pt idx="73">
                  <c:v>43312</c:v>
                </c:pt>
                <c:pt idx="74">
                  <c:v>43281</c:v>
                </c:pt>
                <c:pt idx="75">
                  <c:v>43251</c:v>
                </c:pt>
                <c:pt idx="76">
                  <c:v>43220</c:v>
                </c:pt>
                <c:pt idx="77">
                  <c:v>43190</c:v>
                </c:pt>
                <c:pt idx="78">
                  <c:v>43159</c:v>
                </c:pt>
                <c:pt idx="79">
                  <c:v>43100</c:v>
                </c:pt>
                <c:pt idx="80">
                  <c:v>43069</c:v>
                </c:pt>
                <c:pt idx="81">
                  <c:v>43039</c:v>
                </c:pt>
                <c:pt idx="82">
                  <c:v>43008</c:v>
                </c:pt>
                <c:pt idx="83">
                  <c:v>42978</c:v>
                </c:pt>
                <c:pt idx="84">
                  <c:v>42947</c:v>
                </c:pt>
                <c:pt idx="85">
                  <c:v>42916</c:v>
                </c:pt>
                <c:pt idx="86">
                  <c:v>42886</c:v>
                </c:pt>
                <c:pt idx="87">
                  <c:v>42855</c:v>
                </c:pt>
                <c:pt idx="88">
                  <c:v>42825</c:v>
                </c:pt>
                <c:pt idx="89">
                  <c:v>42794</c:v>
                </c:pt>
                <c:pt idx="90">
                  <c:v>42735</c:v>
                </c:pt>
                <c:pt idx="91">
                  <c:v>42704</c:v>
                </c:pt>
                <c:pt idx="92">
                  <c:v>42674</c:v>
                </c:pt>
                <c:pt idx="93">
                  <c:v>42643</c:v>
                </c:pt>
                <c:pt idx="94">
                  <c:v>42613</c:v>
                </c:pt>
                <c:pt idx="95">
                  <c:v>42582</c:v>
                </c:pt>
                <c:pt idx="96">
                  <c:v>42551</c:v>
                </c:pt>
                <c:pt idx="97">
                  <c:v>42521</c:v>
                </c:pt>
                <c:pt idx="98">
                  <c:v>42490</c:v>
                </c:pt>
                <c:pt idx="99">
                  <c:v>42460</c:v>
                </c:pt>
                <c:pt idx="100">
                  <c:v>42429</c:v>
                </c:pt>
                <c:pt idx="101">
                  <c:v>42369</c:v>
                </c:pt>
                <c:pt idx="102">
                  <c:v>42338</c:v>
                </c:pt>
                <c:pt idx="103">
                  <c:v>42308</c:v>
                </c:pt>
                <c:pt idx="104">
                  <c:v>42277</c:v>
                </c:pt>
                <c:pt idx="105">
                  <c:v>42247</c:v>
                </c:pt>
                <c:pt idx="106">
                  <c:v>42216</c:v>
                </c:pt>
              </c:numCache>
            </c:numRef>
          </c:cat>
          <c:val>
            <c:numRef>
              <c:f>主要指标对比!$G$4:$G$336</c:f>
              <c:numCache>
                <c:formatCode>General</c:formatCode>
                <c:ptCount val="333"/>
                <c:pt idx="1">
                  <c:v>50.733333333333341</c:v>
                </c:pt>
                <c:pt idx="2">
                  <c:v>50.75</c:v>
                </c:pt>
                <c:pt idx="3">
                  <c:v>50.466666666666669</c:v>
                </c:pt>
                <c:pt idx="4">
                  <c:v>50.5</c:v>
                </c:pt>
                <c:pt idx="5">
                  <c:v>50.65</c:v>
                </c:pt>
                <c:pt idx="6">
                  <c:v>51.033333333333331</c:v>
                </c:pt>
                <c:pt idx="7">
                  <c:v>51.166666666666657</c:v>
                </c:pt>
                <c:pt idx="8">
                  <c:v>51.18333333333333</c:v>
                </c:pt>
                <c:pt idx="9">
                  <c:v>51.166666666666664</c:v>
                </c:pt>
                <c:pt idx="10">
                  <c:v>51.116666666666667</c:v>
                </c:pt>
                <c:pt idx="11">
                  <c:v>51.166666666666664</c:v>
                </c:pt>
                <c:pt idx="12">
                  <c:v>50.933333333333337</c:v>
                </c:pt>
                <c:pt idx="13">
                  <c:v>50.966666666666669</c:v>
                </c:pt>
                <c:pt idx="14">
                  <c:v>51.29999999999999</c:v>
                </c:pt>
                <c:pt idx="15">
                  <c:v>51.716666666666661</c:v>
                </c:pt>
                <c:pt idx="16">
                  <c:v>52.333333333333321</c:v>
                </c:pt>
                <c:pt idx="17">
                  <c:v>53.166666666666664</c:v>
                </c:pt>
                <c:pt idx="18">
                  <c:v>54.016666666666673</c:v>
                </c:pt>
                <c:pt idx="19">
                  <c:v>52.6</c:v>
                </c:pt>
                <c:pt idx="20">
                  <c:v>51.733333333333341</c:v>
                </c:pt>
                <c:pt idx="21">
                  <c:v>51.083333333333336</c:v>
                </c:pt>
                <c:pt idx="22">
                  <c:v>50.5</c:v>
                </c:pt>
                <c:pt idx="23">
                  <c:v>49.616666666666667</c:v>
                </c:pt>
                <c:pt idx="24">
                  <c:v>48.966666666666669</c:v>
                </c:pt>
                <c:pt idx="25">
                  <c:v>50.883333333333333</c:v>
                </c:pt>
                <c:pt idx="26">
                  <c:v>51.1</c:v>
                </c:pt>
                <c:pt idx="27">
                  <c:v>50.04999999999999</c:v>
                </c:pt>
                <c:pt idx="28">
                  <c:v>49.70000000000001</c:v>
                </c:pt>
                <c:pt idx="29">
                  <c:v>49.616666666666667</c:v>
                </c:pt>
                <c:pt idx="30">
                  <c:v>49.566666666666663</c:v>
                </c:pt>
                <c:pt idx="31">
                  <c:v>49.249999999999993</c:v>
                </c:pt>
                <c:pt idx="32">
                  <c:v>49.65</c:v>
                </c:pt>
                <c:pt idx="33">
                  <c:v>51.15</c:v>
                </c:pt>
                <c:pt idx="34">
                  <c:v>51.166666666666664</c:v>
                </c:pt>
                <c:pt idx="35">
                  <c:v>51.366666666666667</c:v>
                </c:pt>
                <c:pt idx="36">
                  <c:v>51.483333333333327</c:v>
                </c:pt>
                <c:pt idx="37">
                  <c:v>51.816666666666663</c:v>
                </c:pt>
                <c:pt idx="38">
                  <c:v>52.31666666666667</c:v>
                </c:pt>
                <c:pt idx="39">
                  <c:v>52.916666666666664</c:v>
                </c:pt>
                <c:pt idx="40">
                  <c:v>53.366666666666674</c:v>
                </c:pt>
                <c:pt idx="41">
                  <c:v>53.81666666666667</c:v>
                </c:pt>
                <c:pt idx="42">
                  <c:v>54.283333333333331</c:v>
                </c:pt>
                <c:pt idx="43">
                  <c:v>54.466666666666669</c:v>
                </c:pt>
                <c:pt idx="44">
                  <c:v>54.683333333333337</c:v>
                </c:pt>
                <c:pt idx="45">
                  <c:v>54.550000000000004</c:v>
                </c:pt>
                <c:pt idx="46">
                  <c:v>54.966666666666676</c:v>
                </c:pt>
                <c:pt idx="47">
                  <c:v>54.816666666666663</c:v>
                </c:pt>
                <c:pt idx="48">
                  <c:v>54.43333333333333</c:v>
                </c:pt>
                <c:pt idx="49">
                  <c:v>54.116666666666653</c:v>
                </c:pt>
                <c:pt idx="50">
                  <c:v>53.766666666666673</c:v>
                </c:pt>
                <c:pt idx="51">
                  <c:v>49.5</c:v>
                </c:pt>
                <c:pt idx="52">
                  <c:v>49.383333333333333</c:v>
                </c:pt>
                <c:pt idx="53">
                  <c:v>49.300000000000004</c:v>
                </c:pt>
                <c:pt idx="54">
                  <c:v>49.06666666666667</c:v>
                </c:pt>
                <c:pt idx="55">
                  <c:v>49.016666666666673</c:v>
                </c:pt>
                <c:pt idx="56">
                  <c:v>49.016666666666673</c:v>
                </c:pt>
                <c:pt idx="57">
                  <c:v>53.050000000000004</c:v>
                </c:pt>
                <c:pt idx="58">
                  <c:v>52.983333333333341</c:v>
                </c:pt>
                <c:pt idx="59">
                  <c:v>52.916666666666664</c:v>
                </c:pt>
                <c:pt idx="60">
                  <c:v>53.15</c:v>
                </c:pt>
                <c:pt idx="61">
                  <c:v>53.29999999999999</c:v>
                </c:pt>
                <c:pt idx="62">
                  <c:v>53.199999999999989</c:v>
                </c:pt>
                <c:pt idx="63">
                  <c:v>53.116666666666667</c:v>
                </c:pt>
                <c:pt idx="64">
                  <c:v>53.083333333333336</c:v>
                </c:pt>
                <c:pt idx="65">
                  <c:v>53.050000000000004</c:v>
                </c:pt>
                <c:pt idx="66">
                  <c:v>53.166666666666679</c:v>
                </c:pt>
                <c:pt idx="67">
                  <c:v>53.133333333333333</c:v>
                </c:pt>
                <c:pt idx="68">
                  <c:v>53.333333333333336</c:v>
                </c:pt>
                <c:pt idx="69">
                  <c:v>53.633333333333333</c:v>
                </c:pt>
                <c:pt idx="70">
                  <c:v>53.933333333333337</c:v>
                </c:pt>
                <c:pt idx="71">
                  <c:v>54.1</c:v>
                </c:pt>
                <c:pt idx="72">
                  <c:v>54.083333333333336</c:v>
                </c:pt>
                <c:pt idx="73">
                  <c:v>53.93333333333333</c:v>
                </c:pt>
                <c:pt idx="74">
                  <c:v>54.1</c:v>
                </c:pt>
                <c:pt idx="75">
                  <c:v>54.133333333333333</c:v>
                </c:pt>
                <c:pt idx="76">
                  <c:v>54.016666666666659</c:v>
                </c:pt>
                <c:pt idx="77">
                  <c:v>54.183333333333337</c:v>
                </c:pt>
                <c:pt idx="78">
                  <c:v>54.133333333333333</c:v>
                </c:pt>
                <c:pt idx="79">
                  <c:v>54.333333333333336</c:v>
                </c:pt>
                <c:pt idx="80">
                  <c:v>54.35</c:v>
                </c:pt>
                <c:pt idx="81">
                  <c:v>54.266666666666673</c:v>
                </c:pt>
                <c:pt idx="82">
                  <c:v>54.266666666666673</c:v>
                </c:pt>
                <c:pt idx="83">
                  <c:v>54.199999999999996</c:v>
                </c:pt>
                <c:pt idx="84">
                  <c:v>54.25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8E-4FCF-B69F-0163872F6D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5673056"/>
        <c:axId val="545691776"/>
      </c:lineChart>
      <c:lineChart>
        <c:grouping val="standard"/>
        <c:varyColors val="0"/>
        <c:ser>
          <c:idx val="0"/>
          <c:order val="0"/>
          <c:tx>
            <c:strRef>
              <c:f>主要指标对比!$B$1:$B$3</c:f>
              <c:strCache>
                <c:ptCount val="3"/>
                <c:pt idx="2">
                  <c:v>综合景气指标(向前滚动5年、右轴)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主要指标对比!$A$4:$A$336</c:f>
              <c:numCache>
                <c:formatCode>yyyy/m/d;@</c:formatCode>
                <c:ptCount val="333"/>
                <c:pt idx="1">
                  <c:v>45688</c:v>
                </c:pt>
                <c:pt idx="2">
                  <c:v>45657</c:v>
                </c:pt>
                <c:pt idx="3">
                  <c:v>45626</c:v>
                </c:pt>
                <c:pt idx="4">
                  <c:v>45596</c:v>
                </c:pt>
                <c:pt idx="5">
                  <c:v>45565</c:v>
                </c:pt>
                <c:pt idx="6">
                  <c:v>45535</c:v>
                </c:pt>
                <c:pt idx="7">
                  <c:v>45504</c:v>
                </c:pt>
                <c:pt idx="8">
                  <c:v>45473</c:v>
                </c:pt>
                <c:pt idx="9">
                  <c:v>45443</c:v>
                </c:pt>
                <c:pt idx="10">
                  <c:v>45412</c:v>
                </c:pt>
                <c:pt idx="11">
                  <c:v>45382</c:v>
                </c:pt>
                <c:pt idx="12">
                  <c:v>45351</c:v>
                </c:pt>
                <c:pt idx="13">
                  <c:v>45291</c:v>
                </c:pt>
                <c:pt idx="14">
                  <c:v>45260</c:v>
                </c:pt>
                <c:pt idx="15">
                  <c:v>45230</c:v>
                </c:pt>
                <c:pt idx="16">
                  <c:v>45199</c:v>
                </c:pt>
                <c:pt idx="17">
                  <c:v>45169</c:v>
                </c:pt>
                <c:pt idx="18">
                  <c:v>45138</c:v>
                </c:pt>
                <c:pt idx="19">
                  <c:v>45107</c:v>
                </c:pt>
                <c:pt idx="20">
                  <c:v>45077</c:v>
                </c:pt>
                <c:pt idx="21">
                  <c:v>45046</c:v>
                </c:pt>
                <c:pt idx="22">
                  <c:v>45016</c:v>
                </c:pt>
                <c:pt idx="23">
                  <c:v>44985</c:v>
                </c:pt>
                <c:pt idx="24">
                  <c:v>44926</c:v>
                </c:pt>
                <c:pt idx="25">
                  <c:v>44895</c:v>
                </c:pt>
                <c:pt idx="26">
                  <c:v>44865</c:v>
                </c:pt>
                <c:pt idx="27">
                  <c:v>44834</c:v>
                </c:pt>
                <c:pt idx="28">
                  <c:v>44804</c:v>
                </c:pt>
                <c:pt idx="29">
                  <c:v>44773</c:v>
                </c:pt>
                <c:pt idx="30">
                  <c:v>44742</c:v>
                </c:pt>
                <c:pt idx="31">
                  <c:v>44712</c:v>
                </c:pt>
                <c:pt idx="32">
                  <c:v>44681</c:v>
                </c:pt>
                <c:pt idx="33">
                  <c:v>44651</c:v>
                </c:pt>
                <c:pt idx="34">
                  <c:v>44620</c:v>
                </c:pt>
                <c:pt idx="35">
                  <c:v>44561</c:v>
                </c:pt>
                <c:pt idx="36">
                  <c:v>44530</c:v>
                </c:pt>
                <c:pt idx="37">
                  <c:v>44500</c:v>
                </c:pt>
                <c:pt idx="38">
                  <c:v>44469</c:v>
                </c:pt>
                <c:pt idx="39">
                  <c:v>44439</c:v>
                </c:pt>
                <c:pt idx="40">
                  <c:v>44408</c:v>
                </c:pt>
                <c:pt idx="41">
                  <c:v>44377</c:v>
                </c:pt>
                <c:pt idx="42">
                  <c:v>44347</c:v>
                </c:pt>
                <c:pt idx="43">
                  <c:v>44316</c:v>
                </c:pt>
                <c:pt idx="44">
                  <c:v>44286</c:v>
                </c:pt>
                <c:pt idx="45">
                  <c:v>44255</c:v>
                </c:pt>
                <c:pt idx="46">
                  <c:v>44196</c:v>
                </c:pt>
                <c:pt idx="47">
                  <c:v>44165</c:v>
                </c:pt>
                <c:pt idx="48">
                  <c:v>44135</c:v>
                </c:pt>
                <c:pt idx="49">
                  <c:v>44104</c:v>
                </c:pt>
                <c:pt idx="50">
                  <c:v>44074</c:v>
                </c:pt>
                <c:pt idx="51">
                  <c:v>44043</c:v>
                </c:pt>
                <c:pt idx="52">
                  <c:v>44012</c:v>
                </c:pt>
                <c:pt idx="53">
                  <c:v>43982</c:v>
                </c:pt>
                <c:pt idx="54">
                  <c:v>43951</c:v>
                </c:pt>
                <c:pt idx="55">
                  <c:v>43921</c:v>
                </c:pt>
                <c:pt idx="56">
                  <c:v>43890</c:v>
                </c:pt>
                <c:pt idx="57">
                  <c:v>43830</c:v>
                </c:pt>
                <c:pt idx="58">
                  <c:v>43799</c:v>
                </c:pt>
                <c:pt idx="59">
                  <c:v>43769</c:v>
                </c:pt>
                <c:pt idx="60">
                  <c:v>43738</c:v>
                </c:pt>
                <c:pt idx="61">
                  <c:v>43708</c:v>
                </c:pt>
                <c:pt idx="62">
                  <c:v>43677</c:v>
                </c:pt>
                <c:pt idx="63">
                  <c:v>43646</c:v>
                </c:pt>
                <c:pt idx="64">
                  <c:v>43616</c:v>
                </c:pt>
                <c:pt idx="65">
                  <c:v>43585</c:v>
                </c:pt>
                <c:pt idx="66">
                  <c:v>43555</c:v>
                </c:pt>
                <c:pt idx="67">
                  <c:v>43524</c:v>
                </c:pt>
                <c:pt idx="68">
                  <c:v>43465</c:v>
                </c:pt>
                <c:pt idx="69">
                  <c:v>43434</c:v>
                </c:pt>
                <c:pt idx="70">
                  <c:v>43404</c:v>
                </c:pt>
                <c:pt idx="71">
                  <c:v>43373</c:v>
                </c:pt>
                <c:pt idx="72">
                  <c:v>43343</c:v>
                </c:pt>
                <c:pt idx="73">
                  <c:v>43312</c:v>
                </c:pt>
                <c:pt idx="74">
                  <c:v>43281</c:v>
                </c:pt>
                <c:pt idx="75">
                  <c:v>43251</c:v>
                </c:pt>
                <c:pt idx="76">
                  <c:v>43220</c:v>
                </c:pt>
                <c:pt idx="77">
                  <c:v>43190</c:v>
                </c:pt>
                <c:pt idx="78">
                  <c:v>43159</c:v>
                </c:pt>
                <c:pt idx="79">
                  <c:v>43100</c:v>
                </c:pt>
                <c:pt idx="80">
                  <c:v>43069</c:v>
                </c:pt>
                <c:pt idx="81">
                  <c:v>43039</c:v>
                </c:pt>
                <c:pt idx="82">
                  <c:v>43008</c:v>
                </c:pt>
                <c:pt idx="83">
                  <c:v>42978</c:v>
                </c:pt>
                <c:pt idx="84">
                  <c:v>42947</c:v>
                </c:pt>
                <c:pt idx="85">
                  <c:v>42916</c:v>
                </c:pt>
                <c:pt idx="86">
                  <c:v>42886</c:v>
                </c:pt>
                <c:pt idx="87">
                  <c:v>42855</c:v>
                </c:pt>
                <c:pt idx="88">
                  <c:v>42825</c:v>
                </c:pt>
                <c:pt idx="89">
                  <c:v>42794</c:v>
                </c:pt>
                <c:pt idx="90">
                  <c:v>42735</c:v>
                </c:pt>
                <c:pt idx="91">
                  <c:v>42704</c:v>
                </c:pt>
                <c:pt idx="92">
                  <c:v>42674</c:v>
                </c:pt>
                <c:pt idx="93">
                  <c:v>42643</c:v>
                </c:pt>
                <c:pt idx="94">
                  <c:v>42613</c:v>
                </c:pt>
                <c:pt idx="95">
                  <c:v>42582</c:v>
                </c:pt>
                <c:pt idx="96">
                  <c:v>42551</c:v>
                </c:pt>
                <c:pt idx="97">
                  <c:v>42521</c:v>
                </c:pt>
                <c:pt idx="98">
                  <c:v>42490</c:v>
                </c:pt>
                <c:pt idx="99">
                  <c:v>42460</c:v>
                </c:pt>
                <c:pt idx="100">
                  <c:v>42429</c:v>
                </c:pt>
                <c:pt idx="101">
                  <c:v>42369</c:v>
                </c:pt>
                <c:pt idx="102">
                  <c:v>42338</c:v>
                </c:pt>
                <c:pt idx="103">
                  <c:v>42308</c:v>
                </c:pt>
                <c:pt idx="104">
                  <c:v>42277</c:v>
                </c:pt>
                <c:pt idx="105">
                  <c:v>42247</c:v>
                </c:pt>
                <c:pt idx="106">
                  <c:v>42216</c:v>
                </c:pt>
              </c:numCache>
            </c:numRef>
          </c:cat>
          <c:val>
            <c:numRef>
              <c:f>主要指标对比!$B$4:$B$336</c:f>
              <c:numCache>
                <c:formatCode>General</c:formatCode>
                <c:ptCount val="333"/>
                <c:pt idx="1">
                  <c:v>-1.419533616352453</c:v>
                </c:pt>
                <c:pt idx="2">
                  <c:v>-1.7174815018003387</c:v>
                </c:pt>
                <c:pt idx="3">
                  <c:v>-2.0424001069991724</c:v>
                </c:pt>
                <c:pt idx="4">
                  <c:v>-2.3084845861271295</c:v>
                </c:pt>
                <c:pt idx="5">
                  <c:v>-2.5968375343484991</c:v>
                </c:pt>
                <c:pt idx="6">
                  <c:v>-2.648594768342575</c:v>
                </c:pt>
                <c:pt idx="7">
                  <c:v>-2.2078798521802372</c:v>
                </c:pt>
                <c:pt idx="8">
                  <c:v>-2.020826832186041</c:v>
                </c:pt>
                <c:pt idx="9">
                  <c:v>-1.8498160316271772</c:v>
                </c:pt>
                <c:pt idx="10">
                  <c:v>-1.6840842421453874</c:v>
                </c:pt>
                <c:pt idx="11">
                  <c:v>-1.2461303093230336</c:v>
                </c:pt>
                <c:pt idx="12">
                  <c:v>-0.86496174341762566</c:v>
                </c:pt>
                <c:pt idx="13">
                  <c:v>-0.77144220739808966</c:v>
                </c:pt>
                <c:pt idx="14">
                  <c:v>-0.79189289203995072</c:v>
                </c:pt>
                <c:pt idx="15">
                  <c:v>-0.64542370502896806</c:v>
                </c:pt>
                <c:pt idx="16">
                  <c:v>-0.39051039886566191</c:v>
                </c:pt>
                <c:pt idx="17">
                  <c:v>-0.40977377989374886</c:v>
                </c:pt>
                <c:pt idx="18">
                  <c:v>-0.44441917512737944</c:v>
                </c:pt>
                <c:pt idx="19">
                  <c:v>-0.58278607731007104</c:v>
                </c:pt>
                <c:pt idx="20">
                  <c:v>-0.66536141815154093</c:v>
                </c:pt>
                <c:pt idx="21">
                  <c:v>-0.80832806901292864</c:v>
                </c:pt>
                <c:pt idx="22">
                  <c:v>-0.70828594488358354</c:v>
                </c:pt>
                <c:pt idx="23">
                  <c:v>-0.30840265823559082</c:v>
                </c:pt>
                <c:pt idx="24">
                  <c:v>-0.10910293834763581</c:v>
                </c:pt>
                <c:pt idx="25">
                  <c:v>-0.18593988470212605</c:v>
                </c:pt>
                <c:pt idx="26">
                  <c:v>-0.22302937227548458</c:v>
                </c:pt>
                <c:pt idx="27">
                  <c:v>-0.32728793534983713</c:v>
                </c:pt>
                <c:pt idx="28">
                  <c:v>-0.80717247953899374</c:v>
                </c:pt>
                <c:pt idx="29">
                  <c:v>-1.4132283659657239</c:v>
                </c:pt>
                <c:pt idx="30">
                  <c:v>-1.7622182649556228</c:v>
                </c:pt>
                <c:pt idx="31">
                  <c:v>-1.7890809084849331</c:v>
                </c:pt>
                <c:pt idx="32">
                  <c:v>-1.6619965308742397</c:v>
                </c:pt>
                <c:pt idx="33">
                  <c:v>-1.8376982852602044</c:v>
                </c:pt>
                <c:pt idx="34">
                  <c:v>-1.7266396413371108</c:v>
                </c:pt>
                <c:pt idx="35">
                  <c:v>-1.9153258184024438</c:v>
                </c:pt>
                <c:pt idx="36">
                  <c:v>-2.1126322157088411</c:v>
                </c:pt>
                <c:pt idx="37">
                  <c:v>-2.2571608352374604</c:v>
                </c:pt>
                <c:pt idx="38">
                  <c:v>-2.444149139331028</c:v>
                </c:pt>
                <c:pt idx="39">
                  <c:v>-2.2880818878690397</c:v>
                </c:pt>
                <c:pt idx="40">
                  <c:v>-1.8609730060387955</c:v>
                </c:pt>
                <c:pt idx="41">
                  <c:v>-1.3289920118867486</c:v>
                </c:pt>
                <c:pt idx="42">
                  <c:v>-0.64556121266647581</c:v>
                </c:pt>
                <c:pt idx="43">
                  <c:v>7.5269458783390683E-2</c:v>
                </c:pt>
                <c:pt idx="44">
                  <c:v>0.5854893193321985</c:v>
                </c:pt>
                <c:pt idx="45">
                  <c:v>0.99577893225339043</c:v>
                </c:pt>
                <c:pt idx="46">
                  <c:v>0.84900129840145311</c:v>
                </c:pt>
                <c:pt idx="47">
                  <c:v>0.74506042015716945</c:v>
                </c:pt>
                <c:pt idx="48">
                  <c:v>0.54955650886378438</c:v>
                </c:pt>
                <c:pt idx="49">
                  <c:v>0.48898768205076254</c:v>
                </c:pt>
                <c:pt idx="50">
                  <c:v>0.49608079055516141</c:v>
                </c:pt>
                <c:pt idx="51">
                  <c:v>0.36920805315610816</c:v>
                </c:pt>
                <c:pt idx="52">
                  <c:v>0.35672170537564279</c:v>
                </c:pt>
                <c:pt idx="53">
                  <c:v>0.34854448120577158</c:v>
                </c:pt>
                <c:pt idx="54">
                  <c:v>0.30534693800822837</c:v>
                </c:pt>
                <c:pt idx="55">
                  <c:v>0.15306415939392801</c:v>
                </c:pt>
                <c:pt idx="56">
                  <c:v>-5.217574962796101E-2</c:v>
                </c:pt>
                <c:pt idx="57">
                  <c:v>-5.6527409776722611E-2</c:v>
                </c:pt>
                <c:pt idx="58">
                  <c:v>-6.5502385418364936E-2</c:v>
                </c:pt>
                <c:pt idx="59">
                  <c:v>-6.3956082874255374E-2</c:v>
                </c:pt>
                <c:pt idx="60">
                  <c:v>-5.590764982582231E-2</c:v>
                </c:pt>
                <c:pt idx="61">
                  <c:v>-0.10784669750184672</c:v>
                </c:pt>
                <c:pt idx="62">
                  <c:v>-0.11819857423303382</c:v>
                </c:pt>
                <c:pt idx="63">
                  <c:v>-1.2026139399720266E-3</c:v>
                </c:pt>
                <c:pt idx="64">
                  <c:v>0.15096944239875099</c:v>
                </c:pt>
                <c:pt idx="65">
                  <c:v>0.22421604521819896</c:v>
                </c:pt>
                <c:pt idx="66">
                  <c:v>0.31309164330432337</c:v>
                </c:pt>
                <c:pt idx="67">
                  <c:v>0.50916802707420561</c:v>
                </c:pt>
                <c:pt idx="68">
                  <c:v>0.7682716685307881</c:v>
                </c:pt>
                <c:pt idx="69">
                  <c:v>0.75929800330712283</c:v>
                </c:pt>
                <c:pt idx="70">
                  <c:v>0.80047488198400174</c:v>
                </c:pt>
                <c:pt idx="71">
                  <c:v>0.9704024182158858</c:v>
                </c:pt>
                <c:pt idx="72">
                  <c:v>1.2552056372868394</c:v>
                </c:pt>
                <c:pt idx="73">
                  <c:v>1.3657996728808748</c:v>
                </c:pt>
                <c:pt idx="74">
                  <c:v>1.6668150790433398</c:v>
                </c:pt>
                <c:pt idx="75">
                  <c:v>1.9461853797952198</c:v>
                </c:pt>
                <c:pt idx="76">
                  <c:v>2.0030280741379145</c:v>
                </c:pt>
                <c:pt idx="77">
                  <c:v>1.9676522571444499</c:v>
                </c:pt>
                <c:pt idx="78">
                  <c:v>1.781807203983927</c:v>
                </c:pt>
                <c:pt idx="79">
                  <c:v>1.7134089355856583</c:v>
                </c:pt>
                <c:pt idx="80">
                  <c:v>1.4275381780685592</c:v>
                </c:pt>
                <c:pt idx="81">
                  <c:v>1.3228549957537981</c:v>
                </c:pt>
                <c:pt idx="82">
                  <c:v>1.3108026962014985</c:v>
                </c:pt>
                <c:pt idx="83">
                  <c:v>1.3999198741731655</c:v>
                </c:pt>
                <c:pt idx="84">
                  <c:v>1.4900533631438639</c:v>
                </c:pt>
                <c:pt idx="85">
                  <c:v>1.4666615502783669</c:v>
                </c:pt>
                <c:pt idx="86">
                  <c:v>1.3078427653118057</c:v>
                </c:pt>
                <c:pt idx="87">
                  <c:v>1.1350097976258964</c:v>
                </c:pt>
                <c:pt idx="88">
                  <c:v>0.95503167389777277</c:v>
                </c:pt>
                <c:pt idx="89">
                  <c:v>0.91551202310902202</c:v>
                </c:pt>
                <c:pt idx="90">
                  <c:v>0.89302910062609941</c:v>
                </c:pt>
                <c:pt idx="91">
                  <c:v>0.91936289488185385</c:v>
                </c:pt>
                <c:pt idx="92">
                  <c:v>1.0354389212519979</c:v>
                </c:pt>
                <c:pt idx="93">
                  <c:v>1.0185304575298086</c:v>
                </c:pt>
                <c:pt idx="94">
                  <c:v>1.0015157592651105</c:v>
                </c:pt>
                <c:pt idx="95">
                  <c:v>0.83566345744506665</c:v>
                </c:pt>
                <c:pt idx="96">
                  <c:v>0.42181895519476725</c:v>
                </c:pt>
                <c:pt idx="97">
                  <c:v>8.8557293484829713E-2</c:v>
                </c:pt>
                <c:pt idx="98">
                  <c:v>-4.6413846486310271E-2</c:v>
                </c:pt>
                <c:pt idx="99">
                  <c:v>-9.5347628753425881E-2</c:v>
                </c:pt>
                <c:pt idx="100">
                  <c:v>-0.14708293048872764</c:v>
                </c:pt>
                <c:pt idx="101">
                  <c:v>-0.24823011663591377</c:v>
                </c:pt>
                <c:pt idx="102">
                  <c:v>-9.0795870795870828E-2</c:v>
                </c:pt>
                <c:pt idx="103">
                  <c:v>4.4285714285714262E-2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88E-4FCF-B69F-0163872F6D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5680736"/>
        <c:axId val="545669696"/>
      </c:lineChart>
      <c:dateAx>
        <c:axId val="545673056"/>
        <c:scaling>
          <c:orientation val="minMax"/>
        </c:scaling>
        <c:delete val="0"/>
        <c:axPos val="b"/>
        <c:numFmt formatCode="yyyy/m/d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45691776"/>
        <c:crosses val="autoZero"/>
        <c:auto val="1"/>
        <c:lblOffset val="100"/>
        <c:baseTimeUnit val="months"/>
      </c:dateAx>
      <c:valAx>
        <c:axId val="545691776"/>
        <c:scaling>
          <c:orientation val="minMax"/>
          <c:min val="4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45673056"/>
        <c:crosses val="autoZero"/>
        <c:crossBetween val="between"/>
      </c:valAx>
      <c:dateAx>
        <c:axId val="545680736"/>
        <c:scaling>
          <c:orientation val="minMax"/>
        </c:scaling>
        <c:delete val="1"/>
        <c:axPos val="b"/>
        <c:numFmt formatCode="yyyy/m/d;@" sourceLinked="1"/>
        <c:majorTickMark val="out"/>
        <c:minorTickMark val="none"/>
        <c:tickLblPos val="nextTo"/>
        <c:crossAx val="545669696"/>
        <c:crosses val="autoZero"/>
        <c:auto val="1"/>
        <c:lblOffset val="100"/>
        <c:baseTimeUnit val="months"/>
      </c:dateAx>
      <c:valAx>
        <c:axId val="54566969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45680736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1"/>
          <c:tx>
            <c:strRef>
              <c:f>主要指标对比!$F$1:$F$3</c:f>
              <c:strCache>
                <c:ptCount val="3"/>
                <c:pt idx="2">
                  <c:v>GDP平减指数（逆序）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主要指标对比!$A$4:$A$336</c:f>
              <c:numCache>
                <c:formatCode>yyyy/m/d;@</c:formatCode>
                <c:ptCount val="333"/>
                <c:pt idx="1">
                  <c:v>45688</c:v>
                </c:pt>
                <c:pt idx="2">
                  <c:v>45657</c:v>
                </c:pt>
                <c:pt idx="3">
                  <c:v>45626</c:v>
                </c:pt>
                <c:pt idx="4">
                  <c:v>45596</c:v>
                </c:pt>
                <c:pt idx="5">
                  <c:v>45565</c:v>
                </c:pt>
                <c:pt idx="6">
                  <c:v>45535</c:v>
                </c:pt>
                <c:pt idx="7">
                  <c:v>45504</c:v>
                </c:pt>
                <c:pt idx="8">
                  <c:v>45473</c:v>
                </c:pt>
                <c:pt idx="9">
                  <c:v>45443</c:v>
                </c:pt>
                <c:pt idx="10">
                  <c:v>45412</c:v>
                </c:pt>
                <c:pt idx="11">
                  <c:v>45382</c:v>
                </c:pt>
                <c:pt idx="12">
                  <c:v>45351</c:v>
                </c:pt>
                <c:pt idx="13">
                  <c:v>45291</c:v>
                </c:pt>
                <c:pt idx="14">
                  <c:v>45260</c:v>
                </c:pt>
                <c:pt idx="15">
                  <c:v>45230</c:v>
                </c:pt>
                <c:pt idx="16">
                  <c:v>45199</c:v>
                </c:pt>
                <c:pt idx="17">
                  <c:v>45169</c:v>
                </c:pt>
                <c:pt idx="18">
                  <c:v>45138</c:v>
                </c:pt>
                <c:pt idx="19">
                  <c:v>45107</c:v>
                </c:pt>
                <c:pt idx="20">
                  <c:v>45077</c:v>
                </c:pt>
                <c:pt idx="21">
                  <c:v>45046</c:v>
                </c:pt>
                <c:pt idx="22">
                  <c:v>45016</c:v>
                </c:pt>
                <c:pt idx="23">
                  <c:v>44985</c:v>
                </c:pt>
                <c:pt idx="24">
                  <c:v>44926</c:v>
                </c:pt>
                <c:pt idx="25">
                  <c:v>44895</c:v>
                </c:pt>
                <c:pt idx="26">
                  <c:v>44865</c:v>
                </c:pt>
                <c:pt idx="27">
                  <c:v>44834</c:v>
                </c:pt>
                <c:pt idx="28">
                  <c:v>44804</c:v>
                </c:pt>
                <c:pt idx="29">
                  <c:v>44773</c:v>
                </c:pt>
                <c:pt idx="30">
                  <c:v>44742</c:v>
                </c:pt>
                <c:pt idx="31">
                  <c:v>44712</c:v>
                </c:pt>
                <c:pt idx="32">
                  <c:v>44681</c:v>
                </c:pt>
                <c:pt idx="33">
                  <c:v>44651</c:v>
                </c:pt>
                <c:pt idx="34">
                  <c:v>44620</c:v>
                </c:pt>
                <c:pt idx="35">
                  <c:v>44561</c:v>
                </c:pt>
                <c:pt idx="36">
                  <c:v>44530</c:v>
                </c:pt>
                <c:pt idx="37">
                  <c:v>44500</c:v>
                </c:pt>
                <c:pt idx="38">
                  <c:v>44469</c:v>
                </c:pt>
                <c:pt idx="39">
                  <c:v>44439</c:v>
                </c:pt>
                <c:pt idx="40">
                  <c:v>44408</c:v>
                </c:pt>
                <c:pt idx="41">
                  <c:v>44377</c:v>
                </c:pt>
                <c:pt idx="42">
                  <c:v>44347</c:v>
                </c:pt>
                <c:pt idx="43">
                  <c:v>44316</c:v>
                </c:pt>
                <c:pt idx="44">
                  <c:v>44286</c:v>
                </c:pt>
                <c:pt idx="45">
                  <c:v>44255</c:v>
                </c:pt>
                <c:pt idx="46">
                  <c:v>44196</c:v>
                </c:pt>
                <c:pt idx="47">
                  <c:v>44165</c:v>
                </c:pt>
                <c:pt idx="48">
                  <c:v>44135</c:v>
                </c:pt>
                <c:pt idx="49">
                  <c:v>44104</c:v>
                </c:pt>
                <c:pt idx="50">
                  <c:v>44074</c:v>
                </c:pt>
                <c:pt idx="51">
                  <c:v>44043</c:v>
                </c:pt>
                <c:pt idx="52">
                  <c:v>44012</c:v>
                </c:pt>
                <c:pt idx="53">
                  <c:v>43982</c:v>
                </c:pt>
                <c:pt idx="54">
                  <c:v>43951</c:v>
                </c:pt>
                <c:pt idx="55">
                  <c:v>43921</c:v>
                </c:pt>
                <c:pt idx="56">
                  <c:v>43890</c:v>
                </c:pt>
                <c:pt idx="57">
                  <c:v>43830</c:v>
                </c:pt>
                <c:pt idx="58">
                  <c:v>43799</c:v>
                </c:pt>
                <c:pt idx="59">
                  <c:v>43769</c:v>
                </c:pt>
                <c:pt idx="60">
                  <c:v>43738</c:v>
                </c:pt>
                <c:pt idx="61">
                  <c:v>43708</c:v>
                </c:pt>
                <c:pt idx="62">
                  <c:v>43677</c:v>
                </c:pt>
                <c:pt idx="63">
                  <c:v>43646</c:v>
                </c:pt>
                <c:pt idx="64">
                  <c:v>43616</c:v>
                </c:pt>
                <c:pt idx="65">
                  <c:v>43585</c:v>
                </c:pt>
                <c:pt idx="66">
                  <c:v>43555</c:v>
                </c:pt>
                <c:pt idx="67">
                  <c:v>43524</c:v>
                </c:pt>
                <c:pt idx="68">
                  <c:v>43465</c:v>
                </c:pt>
                <c:pt idx="69">
                  <c:v>43434</c:v>
                </c:pt>
                <c:pt idx="70">
                  <c:v>43404</c:v>
                </c:pt>
                <c:pt idx="71">
                  <c:v>43373</c:v>
                </c:pt>
                <c:pt idx="72">
                  <c:v>43343</c:v>
                </c:pt>
                <c:pt idx="73">
                  <c:v>43312</c:v>
                </c:pt>
                <c:pt idx="74">
                  <c:v>43281</c:v>
                </c:pt>
                <c:pt idx="75">
                  <c:v>43251</c:v>
                </c:pt>
                <c:pt idx="76">
                  <c:v>43220</c:v>
                </c:pt>
                <c:pt idx="77">
                  <c:v>43190</c:v>
                </c:pt>
                <c:pt idx="78">
                  <c:v>43159</c:v>
                </c:pt>
                <c:pt idx="79">
                  <c:v>43100</c:v>
                </c:pt>
                <c:pt idx="80">
                  <c:v>43069</c:v>
                </c:pt>
                <c:pt idx="81">
                  <c:v>43039</c:v>
                </c:pt>
                <c:pt idx="82">
                  <c:v>43008</c:v>
                </c:pt>
                <c:pt idx="83">
                  <c:v>42978</c:v>
                </c:pt>
                <c:pt idx="84">
                  <c:v>42947</c:v>
                </c:pt>
                <c:pt idx="85">
                  <c:v>42916</c:v>
                </c:pt>
                <c:pt idx="86">
                  <c:v>42886</c:v>
                </c:pt>
                <c:pt idx="87">
                  <c:v>42855</c:v>
                </c:pt>
                <c:pt idx="88">
                  <c:v>42825</c:v>
                </c:pt>
                <c:pt idx="89">
                  <c:v>42794</c:v>
                </c:pt>
                <c:pt idx="90">
                  <c:v>42735</c:v>
                </c:pt>
                <c:pt idx="91">
                  <c:v>42704</c:v>
                </c:pt>
                <c:pt idx="92">
                  <c:v>42674</c:v>
                </c:pt>
                <c:pt idx="93">
                  <c:v>42643</c:v>
                </c:pt>
                <c:pt idx="94">
                  <c:v>42613</c:v>
                </c:pt>
                <c:pt idx="95">
                  <c:v>42582</c:v>
                </c:pt>
                <c:pt idx="96">
                  <c:v>42551</c:v>
                </c:pt>
                <c:pt idx="97">
                  <c:v>42521</c:v>
                </c:pt>
                <c:pt idx="98">
                  <c:v>42490</c:v>
                </c:pt>
                <c:pt idx="99">
                  <c:v>42460</c:v>
                </c:pt>
                <c:pt idx="100">
                  <c:v>42429</c:v>
                </c:pt>
                <c:pt idx="101">
                  <c:v>42369</c:v>
                </c:pt>
                <c:pt idx="102">
                  <c:v>42338</c:v>
                </c:pt>
                <c:pt idx="103">
                  <c:v>42308</c:v>
                </c:pt>
                <c:pt idx="104">
                  <c:v>42277</c:v>
                </c:pt>
                <c:pt idx="105">
                  <c:v>42247</c:v>
                </c:pt>
                <c:pt idx="106">
                  <c:v>42216</c:v>
                </c:pt>
              </c:numCache>
            </c:numRef>
          </c:cat>
          <c:val>
            <c:numRef>
              <c:f>主要指标对比!$F$4:$F$336</c:f>
              <c:numCache>
                <c:formatCode>General</c:formatCode>
                <c:ptCount val="333"/>
                <c:pt idx="1">
                  <c:v>#N/A</c:v>
                </c:pt>
                <c:pt idx="2">
                  <c:v>1.9227000000000001</c:v>
                </c:pt>
                <c:pt idx="3">
                  <c:v>#N/A</c:v>
                </c:pt>
                <c:pt idx="4">
                  <c:v>#N/A</c:v>
                </c:pt>
                <c:pt idx="5">
                  <c:v>-0.53339999999999999</c:v>
                </c:pt>
                <c:pt idx="6">
                  <c:v>#N/A</c:v>
                </c:pt>
                <c:pt idx="7">
                  <c:v>#N/A</c:v>
                </c:pt>
                <c:pt idx="8">
                  <c:v>-0.61350000000000005</c:v>
                </c:pt>
                <c:pt idx="9">
                  <c:v>#N/A</c:v>
                </c:pt>
                <c:pt idx="10">
                  <c:v>#N/A</c:v>
                </c:pt>
                <c:pt idx="11">
                  <c:v>-1.2672000000000001</c:v>
                </c:pt>
                <c:pt idx="12">
                  <c:v>#N/A</c:v>
                </c:pt>
                <c:pt idx="13">
                  <c:v>-1.4349000000000001</c:v>
                </c:pt>
                <c:pt idx="14">
                  <c:v>#N/A</c:v>
                </c:pt>
                <c:pt idx="15">
                  <c:v>#N/A</c:v>
                </c:pt>
                <c:pt idx="16">
                  <c:v>-0.83940000000000003</c:v>
                </c:pt>
                <c:pt idx="17">
                  <c:v>#N/A</c:v>
                </c:pt>
                <c:pt idx="18">
                  <c:v>#N/A</c:v>
                </c:pt>
                <c:pt idx="19">
                  <c:v>-0.91710000000000003</c:v>
                </c:pt>
                <c:pt idx="20">
                  <c:v>#N/A</c:v>
                </c:pt>
                <c:pt idx="21">
                  <c:v>#N/A</c:v>
                </c:pt>
                <c:pt idx="22">
                  <c:v>0.9425</c:v>
                </c:pt>
                <c:pt idx="23">
                  <c:v>#N/A</c:v>
                </c:pt>
                <c:pt idx="24">
                  <c:v>0.55989999999999995</c:v>
                </c:pt>
                <c:pt idx="25">
                  <c:v>#N/A</c:v>
                </c:pt>
                <c:pt idx="26">
                  <c:v>#N/A</c:v>
                </c:pt>
                <c:pt idx="27">
                  <c:v>1.7583</c:v>
                </c:pt>
                <c:pt idx="28">
                  <c:v>#N/A</c:v>
                </c:pt>
                <c:pt idx="29">
                  <c:v>#N/A</c:v>
                </c:pt>
                <c:pt idx="30">
                  <c:v>2.9845000000000002</c:v>
                </c:pt>
                <c:pt idx="31">
                  <c:v>#N/A</c:v>
                </c:pt>
                <c:pt idx="32">
                  <c:v>#N/A</c:v>
                </c:pt>
                <c:pt idx="33">
                  <c:v>3.4068000000000001</c:v>
                </c:pt>
                <c:pt idx="34">
                  <c:v>#N/A</c:v>
                </c:pt>
                <c:pt idx="35">
                  <c:v>5.2205000000000004</c:v>
                </c:pt>
                <c:pt idx="36">
                  <c:v>#N/A</c:v>
                </c:pt>
                <c:pt idx="37">
                  <c:v>#N/A</c:v>
                </c:pt>
                <c:pt idx="38">
                  <c:v>4.2081</c:v>
                </c:pt>
                <c:pt idx="39">
                  <c:v>#N/A</c:v>
                </c:pt>
                <c:pt idx="40">
                  <c:v>#N/A</c:v>
                </c:pt>
                <c:pt idx="41">
                  <c:v>4.8128000000000002</c:v>
                </c:pt>
                <c:pt idx="42">
                  <c:v>#N/A</c:v>
                </c:pt>
                <c:pt idx="43">
                  <c:v>#N/A</c:v>
                </c:pt>
                <c:pt idx="44">
                  <c:v>2.0531999999999999</c:v>
                </c:pt>
                <c:pt idx="45">
                  <c:v>#N/A</c:v>
                </c:pt>
                <c:pt idx="46">
                  <c:v>6.9800000000000001E-2</c:v>
                </c:pt>
                <c:pt idx="47">
                  <c:v>#N/A</c:v>
                </c:pt>
                <c:pt idx="48">
                  <c:v>#N/A</c:v>
                </c:pt>
                <c:pt idx="49">
                  <c:v>2.7844000000000002</c:v>
                </c:pt>
                <c:pt idx="50">
                  <c:v>#N/A</c:v>
                </c:pt>
                <c:pt idx="51">
                  <c:v>#N/A</c:v>
                </c:pt>
                <c:pt idx="52">
                  <c:v>2.0440999999999998</c:v>
                </c:pt>
                <c:pt idx="53">
                  <c:v>#N/A</c:v>
                </c:pt>
                <c:pt idx="54">
                  <c:v>#N/A</c:v>
                </c:pt>
                <c:pt idx="55">
                  <c:v>3.8128000000000002</c:v>
                </c:pt>
                <c:pt idx="56">
                  <c:v>#N/A</c:v>
                </c:pt>
                <c:pt idx="57">
                  <c:v>3.4243000000000001</c:v>
                </c:pt>
                <c:pt idx="58">
                  <c:v>#N/A</c:v>
                </c:pt>
                <c:pt idx="59">
                  <c:v>#N/A</c:v>
                </c:pt>
                <c:pt idx="60">
                  <c:v>0.41110000000000002</c:v>
                </c:pt>
                <c:pt idx="61">
                  <c:v>#N/A</c:v>
                </c:pt>
                <c:pt idx="62">
                  <c:v>#N/A</c:v>
                </c:pt>
                <c:pt idx="63">
                  <c:v>1.5699000000000001</c:v>
                </c:pt>
                <c:pt idx="64">
                  <c:v>#N/A</c:v>
                </c:pt>
                <c:pt idx="65">
                  <c:v>#N/A</c:v>
                </c:pt>
                <c:pt idx="66">
                  <c:v>0.91149999999999998</c:v>
                </c:pt>
                <c:pt idx="67">
                  <c:v>#N/A</c:v>
                </c:pt>
                <c:pt idx="68">
                  <c:v>1.6041000000000001</c:v>
                </c:pt>
                <c:pt idx="69">
                  <c:v>#N/A</c:v>
                </c:pt>
                <c:pt idx="70">
                  <c:v>#N/A</c:v>
                </c:pt>
                <c:pt idx="71">
                  <c:v>2.8254000000000001</c:v>
                </c:pt>
                <c:pt idx="72">
                  <c:v>#N/A</c:v>
                </c:pt>
                <c:pt idx="73">
                  <c:v>#N/A</c:v>
                </c:pt>
                <c:pt idx="74">
                  <c:v>2.7614000000000001</c:v>
                </c:pt>
                <c:pt idx="75">
                  <c:v>#N/A</c:v>
                </c:pt>
                <c:pt idx="76">
                  <c:v>#N/A</c:v>
                </c:pt>
                <c:pt idx="77">
                  <c:v>3.0129000000000001</c:v>
                </c:pt>
                <c:pt idx="78">
                  <c:v>#N/A</c:v>
                </c:pt>
                <c:pt idx="79">
                  <c:v>3.9590999999999998</c:v>
                </c:pt>
                <c:pt idx="80">
                  <c:v>#N/A</c:v>
                </c:pt>
                <c:pt idx="81">
                  <c:v>#N/A</c:v>
                </c:pt>
                <c:pt idx="82">
                  <c:v>4.0850999999999997</c:v>
                </c:pt>
                <c:pt idx="83">
                  <c:v>#N/A</c:v>
                </c:pt>
                <c:pt idx="84">
                  <c:v>#N/A</c:v>
                </c:pt>
                <c:pt idx="85">
                  <c:v>3.9293</c:v>
                </c:pt>
                <c:pt idx="86">
                  <c:v>#N/A</c:v>
                </c:pt>
                <c:pt idx="87">
                  <c:v>#N/A</c:v>
                </c:pt>
                <c:pt idx="88">
                  <c:v>4.6096000000000004</c:v>
                </c:pt>
                <c:pt idx="89">
                  <c:v>#N/A</c:v>
                </c:pt>
                <c:pt idx="90">
                  <c:v>2.5808</c:v>
                </c:pt>
                <c:pt idx="91">
                  <c:v>#N/A</c:v>
                </c:pt>
                <c:pt idx="92">
                  <c:v>#N/A</c:v>
                </c:pt>
                <c:pt idx="93">
                  <c:v>1.0499000000000001</c:v>
                </c:pt>
                <c:pt idx="94">
                  <c:v>#N/A</c:v>
                </c:pt>
                <c:pt idx="95">
                  <c:v>#N/A</c:v>
                </c:pt>
                <c:pt idx="96">
                  <c:v>0.58320000000000005</c:v>
                </c:pt>
                <c:pt idx="97">
                  <c:v>#N/A</c:v>
                </c:pt>
                <c:pt idx="98">
                  <c:v>#N/A</c:v>
                </c:pt>
                <c:pt idx="99">
                  <c:v>0.29170000000000001</c:v>
                </c:pt>
                <c:pt idx="100">
                  <c:v>#N/A</c:v>
                </c:pt>
                <c:pt idx="101">
                  <c:v>-0.33639999999999998</c:v>
                </c:pt>
                <c:pt idx="102">
                  <c:v>#N/A</c:v>
                </c:pt>
                <c:pt idx="103">
                  <c:v>#N/A</c:v>
                </c:pt>
                <c:pt idx="104">
                  <c:v>-0.86370000000000002</c:v>
                </c:pt>
                <c:pt idx="105">
                  <c:v>#N/A</c:v>
                </c:pt>
                <c:pt idx="106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1D-4FAE-B4E2-7202F261DA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5673056"/>
        <c:axId val="545691776"/>
      </c:lineChart>
      <c:lineChart>
        <c:grouping val="standard"/>
        <c:varyColors val="0"/>
        <c:ser>
          <c:idx val="0"/>
          <c:order val="0"/>
          <c:tx>
            <c:strRef>
              <c:f>主要指标对比!$B$1:$B$3</c:f>
              <c:strCache>
                <c:ptCount val="3"/>
                <c:pt idx="2">
                  <c:v>综合景气指标(向前滚动5年、右轴)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主要指标对比!$A$4:$A$336</c:f>
              <c:numCache>
                <c:formatCode>yyyy/m/d;@</c:formatCode>
                <c:ptCount val="333"/>
                <c:pt idx="1">
                  <c:v>45688</c:v>
                </c:pt>
                <c:pt idx="2">
                  <c:v>45657</c:v>
                </c:pt>
                <c:pt idx="3">
                  <c:v>45626</c:v>
                </c:pt>
                <c:pt idx="4">
                  <c:v>45596</c:v>
                </c:pt>
                <c:pt idx="5">
                  <c:v>45565</c:v>
                </c:pt>
                <c:pt idx="6">
                  <c:v>45535</c:v>
                </c:pt>
                <c:pt idx="7">
                  <c:v>45504</c:v>
                </c:pt>
                <c:pt idx="8">
                  <c:v>45473</c:v>
                </c:pt>
                <c:pt idx="9">
                  <c:v>45443</c:v>
                </c:pt>
                <c:pt idx="10">
                  <c:v>45412</c:v>
                </c:pt>
                <c:pt idx="11">
                  <c:v>45382</c:v>
                </c:pt>
                <c:pt idx="12">
                  <c:v>45351</c:v>
                </c:pt>
                <c:pt idx="13">
                  <c:v>45291</c:v>
                </c:pt>
                <c:pt idx="14">
                  <c:v>45260</c:v>
                </c:pt>
                <c:pt idx="15">
                  <c:v>45230</c:v>
                </c:pt>
                <c:pt idx="16">
                  <c:v>45199</c:v>
                </c:pt>
                <c:pt idx="17">
                  <c:v>45169</c:v>
                </c:pt>
                <c:pt idx="18">
                  <c:v>45138</c:v>
                </c:pt>
                <c:pt idx="19">
                  <c:v>45107</c:v>
                </c:pt>
                <c:pt idx="20">
                  <c:v>45077</c:v>
                </c:pt>
                <c:pt idx="21">
                  <c:v>45046</c:v>
                </c:pt>
                <c:pt idx="22">
                  <c:v>45016</c:v>
                </c:pt>
                <c:pt idx="23">
                  <c:v>44985</c:v>
                </c:pt>
                <c:pt idx="24">
                  <c:v>44926</c:v>
                </c:pt>
                <c:pt idx="25">
                  <c:v>44895</c:v>
                </c:pt>
                <c:pt idx="26">
                  <c:v>44865</c:v>
                </c:pt>
                <c:pt idx="27">
                  <c:v>44834</c:v>
                </c:pt>
                <c:pt idx="28">
                  <c:v>44804</c:v>
                </c:pt>
                <c:pt idx="29">
                  <c:v>44773</c:v>
                </c:pt>
                <c:pt idx="30">
                  <c:v>44742</c:v>
                </c:pt>
                <c:pt idx="31">
                  <c:v>44712</c:v>
                </c:pt>
                <c:pt idx="32">
                  <c:v>44681</c:v>
                </c:pt>
                <c:pt idx="33">
                  <c:v>44651</c:v>
                </c:pt>
                <c:pt idx="34">
                  <c:v>44620</c:v>
                </c:pt>
                <c:pt idx="35">
                  <c:v>44561</c:v>
                </c:pt>
                <c:pt idx="36">
                  <c:v>44530</c:v>
                </c:pt>
                <c:pt idx="37">
                  <c:v>44500</c:v>
                </c:pt>
                <c:pt idx="38">
                  <c:v>44469</c:v>
                </c:pt>
                <c:pt idx="39">
                  <c:v>44439</c:v>
                </c:pt>
                <c:pt idx="40">
                  <c:v>44408</c:v>
                </c:pt>
                <c:pt idx="41">
                  <c:v>44377</c:v>
                </c:pt>
                <c:pt idx="42">
                  <c:v>44347</c:v>
                </c:pt>
                <c:pt idx="43">
                  <c:v>44316</c:v>
                </c:pt>
                <c:pt idx="44">
                  <c:v>44286</c:v>
                </c:pt>
                <c:pt idx="45">
                  <c:v>44255</c:v>
                </c:pt>
                <c:pt idx="46">
                  <c:v>44196</c:v>
                </c:pt>
                <c:pt idx="47">
                  <c:v>44165</c:v>
                </c:pt>
                <c:pt idx="48">
                  <c:v>44135</c:v>
                </c:pt>
                <c:pt idx="49">
                  <c:v>44104</c:v>
                </c:pt>
                <c:pt idx="50">
                  <c:v>44074</c:v>
                </c:pt>
                <c:pt idx="51">
                  <c:v>44043</c:v>
                </c:pt>
                <c:pt idx="52">
                  <c:v>44012</c:v>
                </c:pt>
                <c:pt idx="53">
                  <c:v>43982</c:v>
                </c:pt>
                <c:pt idx="54">
                  <c:v>43951</c:v>
                </c:pt>
                <c:pt idx="55">
                  <c:v>43921</c:v>
                </c:pt>
                <c:pt idx="56">
                  <c:v>43890</c:v>
                </c:pt>
                <c:pt idx="57">
                  <c:v>43830</c:v>
                </c:pt>
                <c:pt idx="58">
                  <c:v>43799</c:v>
                </c:pt>
                <c:pt idx="59">
                  <c:v>43769</c:v>
                </c:pt>
                <c:pt idx="60">
                  <c:v>43738</c:v>
                </c:pt>
                <c:pt idx="61">
                  <c:v>43708</c:v>
                </c:pt>
                <c:pt idx="62">
                  <c:v>43677</c:v>
                </c:pt>
                <c:pt idx="63">
                  <c:v>43646</c:v>
                </c:pt>
                <c:pt idx="64">
                  <c:v>43616</c:v>
                </c:pt>
                <c:pt idx="65">
                  <c:v>43585</c:v>
                </c:pt>
                <c:pt idx="66">
                  <c:v>43555</c:v>
                </c:pt>
                <c:pt idx="67">
                  <c:v>43524</c:v>
                </c:pt>
                <c:pt idx="68">
                  <c:v>43465</c:v>
                </c:pt>
                <c:pt idx="69">
                  <c:v>43434</c:v>
                </c:pt>
                <c:pt idx="70">
                  <c:v>43404</c:v>
                </c:pt>
                <c:pt idx="71">
                  <c:v>43373</c:v>
                </c:pt>
                <c:pt idx="72">
                  <c:v>43343</c:v>
                </c:pt>
                <c:pt idx="73">
                  <c:v>43312</c:v>
                </c:pt>
                <c:pt idx="74">
                  <c:v>43281</c:v>
                </c:pt>
                <c:pt idx="75">
                  <c:v>43251</c:v>
                </c:pt>
                <c:pt idx="76">
                  <c:v>43220</c:v>
                </c:pt>
                <c:pt idx="77">
                  <c:v>43190</c:v>
                </c:pt>
                <c:pt idx="78">
                  <c:v>43159</c:v>
                </c:pt>
                <c:pt idx="79">
                  <c:v>43100</c:v>
                </c:pt>
                <c:pt idx="80">
                  <c:v>43069</c:v>
                </c:pt>
                <c:pt idx="81">
                  <c:v>43039</c:v>
                </c:pt>
                <c:pt idx="82">
                  <c:v>43008</c:v>
                </c:pt>
                <c:pt idx="83">
                  <c:v>42978</c:v>
                </c:pt>
                <c:pt idx="84">
                  <c:v>42947</c:v>
                </c:pt>
                <c:pt idx="85">
                  <c:v>42916</c:v>
                </c:pt>
                <c:pt idx="86">
                  <c:v>42886</c:v>
                </c:pt>
                <c:pt idx="87">
                  <c:v>42855</c:v>
                </c:pt>
                <c:pt idx="88">
                  <c:v>42825</c:v>
                </c:pt>
                <c:pt idx="89">
                  <c:v>42794</c:v>
                </c:pt>
                <c:pt idx="90">
                  <c:v>42735</c:v>
                </c:pt>
                <c:pt idx="91">
                  <c:v>42704</c:v>
                </c:pt>
                <c:pt idx="92">
                  <c:v>42674</c:v>
                </c:pt>
                <c:pt idx="93">
                  <c:v>42643</c:v>
                </c:pt>
                <c:pt idx="94">
                  <c:v>42613</c:v>
                </c:pt>
                <c:pt idx="95">
                  <c:v>42582</c:v>
                </c:pt>
                <c:pt idx="96">
                  <c:v>42551</c:v>
                </c:pt>
                <c:pt idx="97">
                  <c:v>42521</c:v>
                </c:pt>
                <c:pt idx="98">
                  <c:v>42490</c:v>
                </c:pt>
                <c:pt idx="99">
                  <c:v>42460</c:v>
                </c:pt>
                <c:pt idx="100">
                  <c:v>42429</c:v>
                </c:pt>
                <c:pt idx="101">
                  <c:v>42369</c:v>
                </c:pt>
                <c:pt idx="102">
                  <c:v>42338</c:v>
                </c:pt>
                <c:pt idx="103">
                  <c:v>42308</c:v>
                </c:pt>
                <c:pt idx="104">
                  <c:v>42277</c:v>
                </c:pt>
                <c:pt idx="105">
                  <c:v>42247</c:v>
                </c:pt>
                <c:pt idx="106">
                  <c:v>42216</c:v>
                </c:pt>
              </c:numCache>
            </c:numRef>
          </c:cat>
          <c:val>
            <c:numRef>
              <c:f>主要指标对比!$B$4:$B$336</c:f>
              <c:numCache>
                <c:formatCode>General</c:formatCode>
                <c:ptCount val="333"/>
                <c:pt idx="1">
                  <c:v>-1.419533616352453</c:v>
                </c:pt>
                <c:pt idx="2">
                  <c:v>-1.7174815018003387</c:v>
                </c:pt>
                <c:pt idx="3">
                  <c:v>-2.0424001069991724</c:v>
                </c:pt>
                <c:pt idx="4">
                  <c:v>-2.3084845861271295</c:v>
                </c:pt>
                <c:pt idx="5">
                  <c:v>-2.5968375343484991</c:v>
                </c:pt>
                <c:pt idx="6">
                  <c:v>-2.648594768342575</c:v>
                </c:pt>
                <c:pt idx="7">
                  <c:v>-2.2078798521802372</c:v>
                </c:pt>
                <c:pt idx="8">
                  <c:v>-2.020826832186041</c:v>
                </c:pt>
                <c:pt idx="9">
                  <c:v>-1.8498160316271772</c:v>
                </c:pt>
                <c:pt idx="10">
                  <c:v>-1.6840842421453874</c:v>
                </c:pt>
                <c:pt idx="11">
                  <c:v>-1.2461303093230336</c:v>
                </c:pt>
                <c:pt idx="12">
                  <c:v>-0.86496174341762566</c:v>
                </c:pt>
                <c:pt idx="13">
                  <c:v>-0.77144220739808966</c:v>
                </c:pt>
                <c:pt idx="14">
                  <c:v>-0.79189289203995072</c:v>
                </c:pt>
                <c:pt idx="15">
                  <c:v>-0.64542370502896806</c:v>
                </c:pt>
                <c:pt idx="16">
                  <c:v>-0.39051039886566191</c:v>
                </c:pt>
                <c:pt idx="17">
                  <c:v>-0.40977377989374886</c:v>
                </c:pt>
                <c:pt idx="18">
                  <c:v>-0.44441917512737944</c:v>
                </c:pt>
                <c:pt idx="19">
                  <c:v>-0.58278607731007104</c:v>
                </c:pt>
                <c:pt idx="20">
                  <c:v>-0.66536141815154093</c:v>
                </c:pt>
                <c:pt idx="21">
                  <c:v>-0.80832806901292864</c:v>
                </c:pt>
                <c:pt idx="22">
                  <c:v>-0.70828594488358354</c:v>
                </c:pt>
                <c:pt idx="23">
                  <c:v>-0.30840265823559082</c:v>
                </c:pt>
                <c:pt idx="24">
                  <c:v>-0.10910293834763581</c:v>
                </c:pt>
                <c:pt idx="25">
                  <c:v>-0.18593988470212605</c:v>
                </c:pt>
                <c:pt idx="26">
                  <c:v>-0.22302937227548458</c:v>
                </c:pt>
                <c:pt idx="27">
                  <c:v>-0.32728793534983713</c:v>
                </c:pt>
                <c:pt idx="28">
                  <c:v>-0.80717247953899374</c:v>
                </c:pt>
                <c:pt idx="29">
                  <c:v>-1.4132283659657239</c:v>
                </c:pt>
                <c:pt idx="30">
                  <c:v>-1.7622182649556228</c:v>
                </c:pt>
                <c:pt idx="31">
                  <c:v>-1.7890809084849331</c:v>
                </c:pt>
                <c:pt idx="32">
                  <c:v>-1.6619965308742397</c:v>
                </c:pt>
                <c:pt idx="33">
                  <c:v>-1.8376982852602044</c:v>
                </c:pt>
                <c:pt idx="34">
                  <c:v>-1.7266396413371108</c:v>
                </c:pt>
                <c:pt idx="35">
                  <c:v>-1.9153258184024438</c:v>
                </c:pt>
                <c:pt idx="36">
                  <c:v>-2.1126322157088411</c:v>
                </c:pt>
                <c:pt idx="37">
                  <c:v>-2.2571608352374604</c:v>
                </c:pt>
                <c:pt idx="38">
                  <c:v>-2.444149139331028</c:v>
                </c:pt>
                <c:pt idx="39">
                  <c:v>-2.2880818878690397</c:v>
                </c:pt>
                <c:pt idx="40">
                  <c:v>-1.8609730060387955</c:v>
                </c:pt>
                <c:pt idx="41">
                  <c:v>-1.3289920118867486</c:v>
                </c:pt>
                <c:pt idx="42">
                  <c:v>-0.64556121266647581</c:v>
                </c:pt>
                <c:pt idx="43">
                  <c:v>7.5269458783390683E-2</c:v>
                </c:pt>
                <c:pt idx="44">
                  <c:v>0.5854893193321985</c:v>
                </c:pt>
                <c:pt idx="45">
                  <c:v>0.99577893225339043</c:v>
                </c:pt>
                <c:pt idx="46">
                  <c:v>0.84900129840145311</c:v>
                </c:pt>
                <c:pt idx="47">
                  <c:v>0.74506042015716945</c:v>
                </c:pt>
                <c:pt idx="48">
                  <c:v>0.54955650886378438</c:v>
                </c:pt>
                <c:pt idx="49">
                  <c:v>0.48898768205076254</c:v>
                </c:pt>
                <c:pt idx="50">
                  <c:v>0.49608079055516141</c:v>
                </c:pt>
                <c:pt idx="51">
                  <c:v>0.36920805315610816</c:v>
                </c:pt>
                <c:pt idx="52">
                  <c:v>0.35672170537564279</c:v>
                </c:pt>
                <c:pt idx="53">
                  <c:v>0.34854448120577158</c:v>
                </c:pt>
                <c:pt idx="54">
                  <c:v>0.30534693800822837</c:v>
                </c:pt>
                <c:pt idx="55">
                  <c:v>0.15306415939392801</c:v>
                </c:pt>
                <c:pt idx="56">
                  <c:v>-5.217574962796101E-2</c:v>
                </c:pt>
                <c:pt idx="57">
                  <c:v>-5.6527409776722611E-2</c:v>
                </c:pt>
                <c:pt idx="58">
                  <c:v>-6.5502385418364936E-2</c:v>
                </c:pt>
                <c:pt idx="59">
                  <c:v>-6.3956082874255374E-2</c:v>
                </c:pt>
                <c:pt idx="60">
                  <c:v>-5.590764982582231E-2</c:v>
                </c:pt>
                <c:pt idx="61">
                  <c:v>-0.10784669750184672</c:v>
                </c:pt>
                <c:pt idx="62">
                  <c:v>-0.11819857423303382</c:v>
                </c:pt>
                <c:pt idx="63">
                  <c:v>-1.2026139399720266E-3</c:v>
                </c:pt>
                <c:pt idx="64">
                  <c:v>0.15096944239875099</c:v>
                </c:pt>
                <c:pt idx="65">
                  <c:v>0.22421604521819896</c:v>
                </c:pt>
                <c:pt idx="66">
                  <c:v>0.31309164330432337</c:v>
                </c:pt>
                <c:pt idx="67">
                  <c:v>0.50916802707420561</c:v>
                </c:pt>
                <c:pt idx="68">
                  <c:v>0.7682716685307881</c:v>
                </c:pt>
                <c:pt idx="69">
                  <c:v>0.75929800330712283</c:v>
                </c:pt>
                <c:pt idx="70">
                  <c:v>0.80047488198400174</c:v>
                </c:pt>
                <c:pt idx="71">
                  <c:v>0.9704024182158858</c:v>
                </c:pt>
                <c:pt idx="72">
                  <c:v>1.2552056372868394</c:v>
                </c:pt>
                <c:pt idx="73">
                  <c:v>1.3657996728808748</c:v>
                </c:pt>
                <c:pt idx="74">
                  <c:v>1.6668150790433398</c:v>
                </c:pt>
                <c:pt idx="75">
                  <c:v>1.9461853797952198</c:v>
                </c:pt>
                <c:pt idx="76">
                  <c:v>2.0030280741379145</c:v>
                </c:pt>
                <c:pt idx="77">
                  <c:v>1.9676522571444499</c:v>
                </c:pt>
                <c:pt idx="78">
                  <c:v>1.781807203983927</c:v>
                </c:pt>
                <c:pt idx="79">
                  <c:v>1.7134089355856583</c:v>
                </c:pt>
                <c:pt idx="80">
                  <c:v>1.4275381780685592</c:v>
                </c:pt>
                <c:pt idx="81">
                  <c:v>1.3228549957537981</c:v>
                </c:pt>
                <c:pt idx="82">
                  <c:v>1.3108026962014985</c:v>
                </c:pt>
                <c:pt idx="83">
                  <c:v>1.3999198741731655</c:v>
                </c:pt>
                <c:pt idx="84">
                  <c:v>1.4900533631438639</c:v>
                </c:pt>
                <c:pt idx="85">
                  <c:v>1.4666615502783669</c:v>
                </c:pt>
                <c:pt idx="86">
                  <c:v>1.3078427653118057</c:v>
                </c:pt>
                <c:pt idx="87">
                  <c:v>1.1350097976258964</c:v>
                </c:pt>
                <c:pt idx="88">
                  <c:v>0.95503167389777277</c:v>
                </c:pt>
                <c:pt idx="89">
                  <c:v>0.91551202310902202</c:v>
                </c:pt>
                <c:pt idx="90">
                  <c:v>0.89302910062609941</c:v>
                </c:pt>
                <c:pt idx="91">
                  <c:v>0.91936289488185385</c:v>
                </c:pt>
                <c:pt idx="92">
                  <c:v>1.0354389212519979</c:v>
                </c:pt>
                <c:pt idx="93">
                  <c:v>1.0185304575298086</c:v>
                </c:pt>
                <c:pt idx="94">
                  <c:v>1.0015157592651105</c:v>
                </c:pt>
                <c:pt idx="95">
                  <c:v>0.83566345744506665</c:v>
                </c:pt>
                <c:pt idx="96">
                  <c:v>0.42181895519476725</c:v>
                </c:pt>
                <c:pt idx="97">
                  <c:v>8.8557293484829713E-2</c:v>
                </c:pt>
                <c:pt idx="98">
                  <c:v>-4.6413846486310271E-2</c:v>
                </c:pt>
                <c:pt idx="99">
                  <c:v>-9.5347628753425881E-2</c:v>
                </c:pt>
                <c:pt idx="100">
                  <c:v>-0.14708293048872764</c:v>
                </c:pt>
                <c:pt idx="101">
                  <c:v>-0.24823011663591377</c:v>
                </c:pt>
                <c:pt idx="102">
                  <c:v>-9.0795870795870828E-2</c:v>
                </c:pt>
                <c:pt idx="103">
                  <c:v>4.4285714285714262E-2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81D-4FAE-B4E2-7202F261DA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5680736"/>
        <c:axId val="545669696"/>
      </c:lineChart>
      <c:dateAx>
        <c:axId val="545673056"/>
        <c:scaling>
          <c:orientation val="minMax"/>
        </c:scaling>
        <c:delete val="0"/>
        <c:axPos val="b"/>
        <c:numFmt formatCode="yyyy/m/d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45691776"/>
        <c:crosses val="max"/>
        <c:auto val="1"/>
        <c:lblOffset val="100"/>
        <c:baseTimeUnit val="months"/>
      </c:dateAx>
      <c:valAx>
        <c:axId val="54569177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45673056"/>
        <c:crosses val="autoZero"/>
        <c:crossBetween val="between"/>
      </c:valAx>
      <c:dateAx>
        <c:axId val="545680736"/>
        <c:scaling>
          <c:orientation val="minMax"/>
        </c:scaling>
        <c:delete val="1"/>
        <c:axPos val="b"/>
        <c:numFmt formatCode="yyyy/m/d;@" sourceLinked="1"/>
        <c:majorTickMark val="out"/>
        <c:minorTickMark val="none"/>
        <c:tickLblPos val="nextTo"/>
        <c:crossAx val="545669696"/>
        <c:crosses val="autoZero"/>
        <c:auto val="1"/>
        <c:lblOffset val="100"/>
        <c:baseTimeUnit val="months"/>
      </c:dateAx>
      <c:valAx>
        <c:axId val="54566969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45680736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1"/>
          <c:tx>
            <c:strRef>
              <c:f>主要指标对比!$D$1:$D$3</c:f>
              <c:strCache>
                <c:ptCount val="3"/>
                <c:pt idx="2">
                  <c:v>综合通胀（逆序）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主要指标对比!$A$4:$A$336</c:f>
              <c:numCache>
                <c:formatCode>yyyy/m/d;@</c:formatCode>
                <c:ptCount val="333"/>
                <c:pt idx="1">
                  <c:v>45688</c:v>
                </c:pt>
                <c:pt idx="2">
                  <c:v>45657</c:v>
                </c:pt>
                <c:pt idx="3">
                  <c:v>45626</c:v>
                </c:pt>
                <c:pt idx="4">
                  <c:v>45596</c:v>
                </c:pt>
                <c:pt idx="5">
                  <c:v>45565</c:v>
                </c:pt>
                <c:pt idx="6">
                  <c:v>45535</c:v>
                </c:pt>
                <c:pt idx="7">
                  <c:v>45504</c:v>
                </c:pt>
                <c:pt idx="8">
                  <c:v>45473</c:v>
                </c:pt>
                <c:pt idx="9">
                  <c:v>45443</c:v>
                </c:pt>
                <c:pt idx="10">
                  <c:v>45412</c:v>
                </c:pt>
                <c:pt idx="11">
                  <c:v>45382</c:v>
                </c:pt>
                <c:pt idx="12">
                  <c:v>45351</c:v>
                </c:pt>
                <c:pt idx="13">
                  <c:v>45291</c:v>
                </c:pt>
                <c:pt idx="14">
                  <c:v>45260</c:v>
                </c:pt>
                <c:pt idx="15">
                  <c:v>45230</c:v>
                </c:pt>
                <c:pt idx="16">
                  <c:v>45199</c:v>
                </c:pt>
                <c:pt idx="17">
                  <c:v>45169</c:v>
                </c:pt>
                <c:pt idx="18">
                  <c:v>45138</c:v>
                </c:pt>
                <c:pt idx="19">
                  <c:v>45107</c:v>
                </c:pt>
                <c:pt idx="20">
                  <c:v>45077</c:v>
                </c:pt>
                <c:pt idx="21">
                  <c:v>45046</c:v>
                </c:pt>
                <c:pt idx="22">
                  <c:v>45016</c:v>
                </c:pt>
                <c:pt idx="23">
                  <c:v>44985</c:v>
                </c:pt>
                <c:pt idx="24">
                  <c:v>44926</c:v>
                </c:pt>
                <c:pt idx="25">
                  <c:v>44895</c:v>
                </c:pt>
                <c:pt idx="26">
                  <c:v>44865</c:v>
                </c:pt>
                <c:pt idx="27">
                  <c:v>44834</c:v>
                </c:pt>
                <c:pt idx="28">
                  <c:v>44804</c:v>
                </c:pt>
                <c:pt idx="29">
                  <c:v>44773</c:v>
                </c:pt>
                <c:pt idx="30">
                  <c:v>44742</c:v>
                </c:pt>
                <c:pt idx="31">
                  <c:v>44712</c:v>
                </c:pt>
                <c:pt idx="32">
                  <c:v>44681</c:v>
                </c:pt>
                <c:pt idx="33">
                  <c:v>44651</c:v>
                </c:pt>
                <c:pt idx="34">
                  <c:v>44620</c:v>
                </c:pt>
                <c:pt idx="35">
                  <c:v>44561</c:v>
                </c:pt>
                <c:pt idx="36">
                  <c:v>44530</c:v>
                </c:pt>
                <c:pt idx="37">
                  <c:v>44500</c:v>
                </c:pt>
                <c:pt idx="38">
                  <c:v>44469</c:v>
                </c:pt>
                <c:pt idx="39">
                  <c:v>44439</c:v>
                </c:pt>
                <c:pt idx="40">
                  <c:v>44408</c:v>
                </c:pt>
                <c:pt idx="41">
                  <c:v>44377</c:v>
                </c:pt>
                <c:pt idx="42">
                  <c:v>44347</c:v>
                </c:pt>
                <c:pt idx="43">
                  <c:v>44316</c:v>
                </c:pt>
                <c:pt idx="44">
                  <c:v>44286</c:v>
                </c:pt>
                <c:pt idx="45">
                  <c:v>44255</c:v>
                </c:pt>
                <c:pt idx="46">
                  <c:v>44196</c:v>
                </c:pt>
                <c:pt idx="47">
                  <c:v>44165</c:v>
                </c:pt>
                <c:pt idx="48">
                  <c:v>44135</c:v>
                </c:pt>
                <c:pt idx="49">
                  <c:v>44104</c:v>
                </c:pt>
                <c:pt idx="50">
                  <c:v>44074</c:v>
                </c:pt>
                <c:pt idx="51">
                  <c:v>44043</c:v>
                </c:pt>
                <c:pt idx="52">
                  <c:v>44012</c:v>
                </c:pt>
                <c:pt idx="53">
                  <c:v>43982</c:v>
                </c:pt>
                <c:pt idx="54">
                  <c:v>43951</c:v>
                </c:pt>
                <c:pt idx="55">
                  <c:v>43921</c:v>
                </c:pt>
                <c:pt idx="56">
                  <c:v>43890</c:v>
                </c:pt>
                <c:pt idx="57">
                  <c:v>43830</c:v>
                </c:pt>
                <c:pt idx="58">
                  <c:v>43799</c:v>
                </c:pt>
                <c:pt idx="59">
                  <c:v>43769</c:v>
                </c:pt>
                <c:pt idx="60">
                  <c:v>43738</c:v>
                </c:pt>
                <c:pt idx="61">
                  <c:v>43708</c:v>
                </c:pt>
                <c:pt idx="62">
                  <c:v>43677</c:v>
                </c:pt>
                <c:pt idx="63">
                  <c:v>43646</c:v>
                </c:pt>
                <c:pt idx="64">
                  <c:v>43616</c:v>
                </c:pt>
                <c:pt idx="65">
                  <c:v>43585</c:v>
                </c:pt>
                <c:pt idx="66">
                  <c:v>43555</c:v>
                </c:pt>
                <c:pt idx="67">
                  <c:v>43524</c:v>
                </c:pt>
                <c:pt idx="68">
                  <c:v>43465</c:v>
                </c:pt>
                <c:pt idx="69">
                  <c:v>43434</c:v>
                </c:pt>
                <c:pt idx="70">
                  <c:v>43404</c:v>
                </c:pt>
                <c:pt idx="71">
                  <c:v>43373</c:v>
                </c:pt>
                <c:pt idx="72">
                  <c:v>43343</c:v>
                </c:pt>
                <c:pt idx="73">
                  <c:v>43312</c:v>
                </c:pt>
                <c:pt idx="74">
                  <c:v>43281</c:v>
                </c:pt>
                <c:pt idx="75">
                  <c:v>43251</c:v>
                </c:pt>
                <c:pt idx="76">
                  <c:v>43220</c:v>
                </c:pt>
                <c:pt idx="77">
                  <c:v>43190</c:v>
                </c:pt>
                <c:pt idx="78">
                  <c:v>43159</c:v>
                </c:pt>
                <c:pt idx="79">
                  <c:v>43100</c:v>
                </c:pt>
                <c:pt idx="80">
                  <c:v>43069</c:v>
                </c:pt>
                <c:pt idx="81">
                  <c:v>43039</c:v>
                </c:pt>
                <c:pt idx="82">
                  <c:v>43008</c:v>
                </c:pt>
                <c:pt idx="83">
                  <c:v>42978</c:v>
                </c:pt>
                <c:pt idx="84">
                  <c:v>42947</c:v>
                </c:pt>
                <c:pt idx="85">
                  <c:v>42916</c:v>
                </c:pt>
                <c:pt idx="86">
                  <c:v>42886</c:v>
                </c:pt>
                <c:pt idx="87">
                  <c:v>42855</c:v>
                </c:pt>
                <c:pt idx="88">
                  <c:v>42825</c:v>
                </c:pt>
                <c:pt idx="89">
                  <c:v>42794</c:v>
                </c:pt>
                <c:pt idx="90">
                  <c:v>42735</c:v>
                </c:pt>
                <c:pt idx="91">
                  <c:v>42704</c:v>
                </c:pt>
                <c:pt idx="92">
                  <c:v>42674</c:v>
                </c:pt>
                <c:pt idx="93">
                  <c:v>42643</c:v>
                </c:pt>
                <c:pt idx="94">
                  <c:v>42613</c:v>
                </c:pt>
                <c:pt idx="95">
                  <c:v>42582</c:v>
                </c:pt>
                <c:pt idx="96">
                  <c:v>42551</c:v>
                </c:pt>
                <c:pt idx="97">
                  <c:v>42521</c:v>
                </c:pt>
                <c:pt idx="98">
                  <c:v>42490</c:v>
                </c:pt>
                <c:pt idx="99">
                  <c:v>42460</c:v>
                </c:pt>
                <c:pt idx="100">
                  <c:v>42429</c:v>
                </c:pt>
                <c:pt idx="101">
                  <c:v>42369</c:v>
                </c:pt>
                <c:pt idx="102">
                  <c:v>42338</c:v>
                </c:pt>
                <c:pt idx="103">
                  <c:v>42308</c:v>
                </c:pt>
                <c:pt idx="104">
                  <c:v>42277</c:v>
                </c:pt>
                <c:pt idx="105">
                  <c:v>42247</c:v>
                </c:pt>
                <c:pt idx="106">
                  <c:v>42216</c:v>
                </c:pt>
              </c:numCache>
            </c:numRef>
          </c:cat>
          <c:val>
            <c:numRef>
              <c:f>主要指标对比!$D$4:$D$336</c:f>
              <c:numCache>
                <c:formatCode>General</c:formatCode>
                <c:ptCount val="333"/>
                <c:pt idx="1">
                  <c:v>-0.62</c:v>
                </c:pt>
                <c:pt idx="2">
                  <c:v>-0.86</c:v>
                </c:pt>
                <c:pt idx="3">
                  <c:v>-0.88</c:v>
                </c:pt>
                <c:pt idx="4">
                  <c:v>-0.98</c:v>
                </c:pt>
                <c:pt idx="5">
                  <c:v>-0.88</c:v>
                </c:pt>
                <c:pt idx="6">
                  <c:v>-0.36</c:v>
                </c:pt>
                <c:pt idx="7">
                  <c:v>-0.02</c:v>
                </c:pt>
                <c:pt idx="8">
                  <c:v>-0.2</c:v>
                </c:pt>
                <c:pt idx="9">
                  <c:v>-0.38</c:v>
                </c:pt>
                <c:pt idx="10">
                  <c:v>-0.82</c:v>
                </c:pt>
                <c:pt idx="11">
                  <c:v>-1.06</c:v>
                </c:pt>
                <c:pt idx="12">
                  <c:v>-0.66</c:v>
                </c:pt>
                <c:pt idx="13">
                  <c:v>-1.26</c:v>
                </c:pt>
                <c:pt idx="14">
                  <c:v>-1.5</c:v>
                </c:pt>
                <c:pt idx="15">
                  <c:v>-1.1599999999999999</c:v>
                </c:pt>
                <c:pt idx="16">
                  <c:v>-1</c:v>
                </c:pt>
                <c:pt idx="17">
                  <c:v>-1.1399999999999999</c:v>
                </c:pt>
                <c:pt idx="18">
                  <c:v>-1.94</c:v>
                </c:pt>
                <c:pt idx="19">
                  <c:v>-2.16</c:v>
                </c:pt>
                <c:pt idx="20">
                  <c:v>-1.72</c:v>
                </c:pt>
                <c:pt idx="21">
                  <c:v>-1.38</c:v>
                </c:pt>
                <c:pt idx="22">
                  <c:v>-0.57999999999999996</c:v>
                </c:pt>
                <c:pt idx="23">
                  <c:v>0.04</c:v>
                </c:pt>
                <c:pt idx="24">
                  <c:v>0.8</c:v>
                </c:pt>
                <c:pt idx="25">
                  <c:v>0.44</c:v>
                </c:pt>
                <c:pt idx="26">
                  <c:v>0.74</c:v>
                </c:pt>
                <c:pt idx="27">
                  <c:v>2.04</c:v>
                </c:pt>
                <c:pt idx="28">
                  <c:v>2.42</c:v>
                </c:pt>
                <c:pt idx="29">
                  <c:v>3.3</c:v>
                </c:pt>
                <c:pt idx="30">
                  <c:v>3.94</c:v>
                </c:pt>
                <c:pt idx="31">
                  <c:v>3.82</c:v>
                </c:pt>
                <c:pt idx="32">
                  <c:v>4.46</c:v>
                </c:pt>
                <c:pt idx="33">
                  <c:v>4.22</c:v>
                </c:pt>
                <c:pt idx="34">
                  <c:v>4.0599999999999996</c:v>
                </c:pt>
                <c:pt idx="35">
                  <c:v>5.0199999999999996</c:v>
                </c:pt>
                <c:pt idx="36">
                  <c:v>6.54</c:v>
                </c:pt>
                <c:pt idx="37">
                  <c:v>6.3</c:v>
                </c:pt>
                <c:pt idx="38">
                  <c:v>4.7</c:v>
                </c:pt>
                <c:pt idx="39">
                  <c:v>4.28</c:v>
                </c:pt>
                <c:pt idx="40">
                  <c:v>4.2</c:v>
                </c:pt>
                <c:pt idx="41">
                  <c:v>4.18</c:v>
                </c:pt>
                <c:pt idx="42">
                  <c:v>4.38</c:v>
                </c:pt>
                <c:pt idx="43">
                  <c:v>3.26</c:v>
                </c:pt>
                <c:pt idx="44">
                  <c:v>2</c:v>
                </c:pt>
                <c:pt idx="45">
                  <c:v>0.56000000000000005</c:v>
                </c:pt>
                <c:pt idx="46">
                  <c:v>-0.04</c:v>
                </c:pt>
                <c:pt idx="47">
                  <c:v>-0.9</c:v>
                </c:pt>
                <c:pt idx="48">
                  <c:v>-0.54</c:v>
                </c:pt>
                <c:pt idx="49">
                  <c:v>0.18</c:v>
                </c:pt>
                <c:pt idx="50">
                  <c:v>0.64</c:v>
                </c:pt>
                <c:pt idx="51">
                  <c:v>0.66</c:v>
                </c:pt>
                <c:pt idx="52">
                  <c:v>0.3</c:v>
                </c:pt>
                <c:pt idx="53">
                  <c:v>-0.04</c:v>
                </c:pt>
                <c:pt idx="54">
                  <c:v>0.74</c:v>
                </c:pt>
                <c:pt idx="55">
                  <c:v>1.98</c:v>
                </c:pt>
                <c:pt idx="56">
                  <c:v>2.96</c:v>
                </c:pt>
                <c:pt idx="57">
                  <c:v>2.5</c:v>
                </c:pt>
                <c:pt idx="58">
                  <c:v>2.14</c:v>
                </c:pt>
                <c:pt idx="59">
                  <c:v>1.64</c:v>
                </c:pt>
                <c:pt idx="60">
                  <c:v>1.32</c:v>
                </c:pt>
                <c:pt idx="61">
                  <c:v>1.36</c:v>
                </c:pt>
                <c:pt idx="62">
                  <c:v>1.56</c:v>
                </c:pt>
                <c:pt idx="63">
                  <c:v>1.62</c:v>
                </c:pt>
                <c:pt idx="64">
                  <c:v>1.86</c:v>
                </c:pt>
                <c:pt idx="65">
                  <c:v>1.86</c:v>
                </c:pt>
                <c:pt idx="66">
                  <c:v>1.54</c:v>
                </c:pt>
                <c:pt idx="67">
                  <c:v>0.94</c:v>
                </c:pt>
                <c:pt idx="68">
                  <c:v>1.5</c:v>
                </c:pt>
                <c:pt idx="69">
                  <c:v>2.4</c:v>
                </c:pt>
                <c:pt idx="70">
                  <c:v>2.82</c:v>
                </c:pt>
                <c:pt idx="71">
                  <c:v>2.94</c:v>
                </c:pt>
                <c:pt idx="72">
                  <c:v>3.02</c:v>
                </c:pt>
                <c:pt idx="73">
                  <c:v>3.1</c:v>
                </c:pt>
                <c:pt idx="74">
                  <c:v>3.02</c:v>
                </c:pt>
                <c:pt idx="75">
                  <c:v>2.72</c:v>
                </c:pt>
                <c:pt idx="76">
                  <c:v>2.44</c:v>
                </c:pt>
                <c:pt idx="77">
                  <c:v>2.5</c:v>
                </c:pt>
                <c:pt idx="78">
                  <c:v>3.22</c:v>
                </c:pt>
                <c:pt idx="79">
                  <c:v>3.04</c:v>
                </c:pt>
                <c:pt idx="80">
                  <c:v>3.34</c:v>
                </c:pt>
                <c:pt idx="81">
                  <c:v>3.9</c:v>
                </c:pt>
                <c:pt idx="82">
                  <c:v>3.72</c:v>
                </c:pt>
                <c:pt idx="83">
                  <c:v>3.6</c:v>
                </c:pt>
                <c:pt idx="84">
                  <c:v>3.04</c:v>
                </c:pt>
                <c:pt idx="85">
                  <c:v>3.1</c:v>
                </c:pt>
                <c:pt idx="86">
                  <c:v>3.1</c:v>
                </c:pt>
                <c:pt idx="87">
                  <c:v>3.28</c:v>
                </c:pt>
                <c:pt idx="88">
                  <c:v>3.58</c:v>
                </c:pt>
                <c:pt idx="89">
                  <c:v>3.6</c:v>
                </c:pt>
                <c:pt idx="90">
                  <c:v>3.4459270000000002</c:v>
                </c:pt>
                <c:pt idx="91">
                  <c:v>2.6713548</c:v>
                </c:pt>
                <c:pt idx="92">
                  <c:v>1.7375681999999999</c:v>
                </c:pt>
                <c:pt idx="93">
                  <c:v>1.1921356000000001</c:v>
                </c:pt>
                <c:pt idx="94">
                  <c:v>0.48386380000000001</c:v>
                </c:pt>
                <c:pt idx="95">
                  <c:v>0.37906780000000001</c:v>
                </c:pt>
                <c:pt idx="96">
                  <c:v>8.7701799999999996E-2</c:v>
                </c:pt>
                <c:pt idx="97">
                  <c:v>0.1033994</c:v>
                </c:pt>
                <c:pt idx="98">
                  <c:v>3.6719000000000002E-2</c:v>
                </c:pt>
                <c:pt idx="99">
                  <c:v>-0.33916540000000001</c:v>
                </c:pt>
                <c:pt idx="100">
                  <c:v>-0.57999999999999996</c:v>
                </c:pt>
                <c:pt idx="101">
                  <c:v>-1.4</c:v>
                </c:pt>
                <c:pt idx="102">
                  <c:v>-1.4686399999999999</c:v>
                </c:pt>
                <c:pt idx="103">
                  <c:v>-1.5995600000000001</c:v>
                </c:pt>
                <c:pt idx="104">
                  <c:v>-1.4206399999999999</c:v>
                </c:pt>
                <c:pt idx="105">
                  <c:v>-1.19584</c:v>
                </c:pt>
                <c:pt idx="106">
                  <c:v>-1.1593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AB-4F02-BB2C-2FFCFFA93F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5673056"/>
        <c:axId val="545691776"/>
      </c:lineChart>
      <c:lineChart>
        <c:grouping val="standard"/>
        <c:varyColors val="0"/>
        <c:ser>
          <c:idx val="0"/>
          <c:order val="0"/>
          <c:tx>
            <c:strRef>
              <c:f>主要指标对比!$C$1:$C$3</c:f>
              <c:strCache>
                <c:ptCount val="3"/>
                <c:pt idx="2">
                  <c:v>月度GDP同比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主要指标对比!$A$4:$A$336</c:f>
              <c:numCache>
                <c:formatCode>yyyy/m/d;@</c:formatCode>
                <c:ptCount val="333"/>
                <c:pt idx="1">
                  <c:v>45688</c:v>
                </c:pt>
                <c:pt idx="2">
                  <c:v>45657</c:v>
                </c:pt>
                <c:pt idx="3">
                  <c:v>45626</c:v>
                </c:pt>
                <c:pt idx="4">
                  <c:v>45596</c:v>
                </c:pt>
                <c:pt idx="5">
                  <c:v>45565</c:v>
                </c:pt>
                <c:pt idx="6">
                  <c:v>45535</c:v>
                </c:pt>
                <c:pt idx="7">
                  <c:v>45504</c:v>
                </c:pt>
                <c:pt idx="8">
                  <c:v>45473</c:v>
                </c:pt>
                <c:pt idx="9">
                  <c:v>45443</c:v>
                </c:pt>
                <c:pt idx="10">
                  <c:v>45412</c:v>
                </c:pt>
                <c:pt idx="11">
                  <c:v>45382</c:v>
                </c:pt>
                <c:pt idx="12">
                  <c:v>45351</c:v>
                </c:pt>
                <c:pt idx="13">
                  <c:v>45291</c:v>
                </c:pt>
                <c:pt idx="14">
                  <c:v>45260</c:v>
                </c:pt>
                <c:pt idx="15">
                  <c:v>45230</c:v>
                </c:pt>
                <c:pt idx="16">
                  <c:v>45199</c:v>
                </c:pt>
                <c:pt idx="17">
                  <c:v>45169</c:v>
                </c:pt>
                <c:pt idx="18">
                  <c:v>45138</c:v>
                </c:pt>
                <c:pt idx="19">
                  <c:v>45107</c:v>
                </c:pt>
                <c:pt idx="20">
                  <c:v>45077</c:v>
                </c:pt>
                <c:pt idx="21">
                  <c:v>45046</c:v>
                </c:pt>
                <c:pt idx="22">
                  <c:v>45016</c:v>
                </c:pt>
                <c:pt idx="23">
                  <c:v>44985</c:v>
                </c:pt>
                <c:pt idx="24">
                  <c:v>44926</c:v>
                </c:pt>
                <c:pt idx="25">
                  <c:v>44895</c:v>
                </c:pt>
                <c:pt idx="26">
                  <c:v>44865</c:v>
                </c:pt>
                <c:pt idx="27">
                  <c:v>44834</c:v>
                </c:pt>
                <c:pt idx="28">
                  <c:v>44804</c:v>
                </c:pt>
                <c:pt idx="29">
                  <c:v>44773</c:v>
                </c:pt>
                <c:pt idx="30">
                  <c:v>44742</c:v>
                </c:pt>
                <c:pt idx="31">
                  <c:v>44712</c:v>
                </c:pt>
                <c:pt idx="32">
                  <c:v>44681</c:v>
                </c:pt>
                <c:pt idx="33">
                  <c:v>44651</c:v>
                </c:pt>
                <c:pt idx="34">
                  <c:v>44620</c:v>
                </c:pt>
                <c:pt idx="35">
                  <c:v>44561</c:v>
                </c:pt>
                <c:pt idx="36">
                  <c:v>44530</c:v>
                </c:pt>
                <c:pt idx="37">
                  <c:v>44500</c:v>
                </c:pt>
                <c:pt idx="38">
                  <c:v>44469</c:v>
                </c:pt>
                <c:pt idx="39">
                  <c:v>44439</c:v>
                </c:pt>
                <c:pt idx="40">
                  <c:v>44408</c:v>
                </c:pt>
                <c:pt idx="41">
                  <c:v>44377</c:v>
                </c:pt>
                <c:pt idx="42">
                  <c:v>44347</c:v>
                </c:pt>
                <c:pt idx="43">
                  <c:v>44316</c:v>
                </c:pt>
                <c:pt idx="44">
                  <c:v>44286</c:v>
                </c:pt>
                <c:pt idx="45">
                  <c:v>44255</c:v>
                </c:pt>
                <c:pt idx="46">
                  <c:v>44196</c:v>
                </c:pt>
                <c:pt idx="47">
                  <c:v>44165</c:v>
                </c:pt>
                <c:pt idx="48">
                  <c:v>44135</c:v>
                </c:pt>
                <c:pt idx="49">
                  <c:v>44104</c:v>
                </c:pt>
                <c:pt idx="50">
                  <c:v>44074</c:v>
                </c:pt>
                <c:pt idx="51">
                  <c:v>44043</c:v>
                </c:pt>
                <c:pt idx="52">
                  <c:v>44012</c:v>
                </c:pt>
                <c:pt idx="53">
                  <c:v>43982</c:v>
                </c:pt>
                <c:pt idx="54">
                  <c:v>43951</c:v>
                </c:pt>
                <c:pt idx="55">
                  <c:v>43921</c:v>
                </c:pt>
                <c:pt idx="56">
                  <c:v>43890</c:v>
                </c:pt>
                <c:pt idx="57">
                  <c:v>43830</c:v>
                </c:pt>
                <c:pt idx="58">
                  <c:v>43799</c:v>
                </c:pt>
                <c:pt idx="59">
                  <c:v>43769</c:v>
                </c:pt>
                <c:pt idx="60">
                  <c:v>43738</c:v>
                </c:pt>
                <c:pt idx="61">
                  <c:v>43708</c:v>
                </c:pt>
                <c:pt idx="62">
                  <c:v>43677</c:v>
                </c:pt>
                <c:pt idx="63">
                  <c:v>43646</c:v>
                </c:pt>
                <c:pt idx="64">
                  <c:v>43616</c:v>
                </c:pt>
                <c:pt idx="65">
                  <c:v>43585</c:v>
                </c:pt>
                <c:pt idx="66">
                  <c:v>43555</c:v>
                </c:pt>
                <c:pt idx="67">
                  <c:v>43524</c:v>
                </c:pt>
                <c:pt idx="68">
                  <c:v>43465</c:v>
                </c:pt>
                <c:pt idx="69">
                  <c:v>43434</c:v>
                </c:pt>
                <c:pt idx="70">
                  <c:v>43404</c:v>
                </c:pt>
                <c:pt idx="71">
                  <c:v>43373</c:v>
                </c:pt>
                <c:pt idx="72">
                  <c:v>43343</c:v>
                </c:pt>
                <c:pt idx="73">
                  <c:v>43312</c:v>
                </c:pt>
                <c:pt idx="74">
                  <c:v>43281</c:v>
                </c:pt>
                <c:pt idx="75">
                  <c:v>43251</c:v>
                </c:pt>
                <c:pt idx="76">
                  <c:v>43220</c:v>
                </c:pt>
                <c:pt idx="77">
                  <c:v>43190</c:v>
                </c:pt>
                <c:pt idx="78">
                  <c:v>43159</c:v>
                </c:pt>
                <c:pt idx="79">
                  <c:v>43100</c:v>
                </c:pt>
                <c:pt idx="80">
                  <c:v>43069</c:v>
                </c:pt>
                <c:pt idx="81">
                  <c:v>43039</c:v>
                </c:pt>
                <c:pt idx="82">
                  <c:v>43008</c:v>
                </c:pt>
                <c:pt idx="83">
                  <c:v>42978</c:v>
                </c:pt>
                <c:pt idx="84">
                  <c:v>42947</c:v>
                </c:pt>
                <c:pt idx="85">
                  <c:v>42916</c:v>
                </c:pt>
                <c:pt idx="86">
                  <c:v>42886</c:v>
                </c:pt>
                <c:pt idx="87">
                  <c:v>42855</c:v>
                </c:pt>
                <c:pt idx="88">
                  <c:v>42825</c:v>
                </c:pt>
                <c:pt idx="89">
                  <c:v>42794</c:v>
                </c:pt>
                <c:pt idx="90">
                  <c:v>42735</c:v>
                </c:pt>
                <c:pt idx="91">
                  <c:v>42704</c:v>
                </c:pt>
                <c:pt idx="92">
                  <c:v>42674</c:v>
                </c:pt>
                <c:pt idx="93">
                  <c:v>42643</c:v>
                </c:pt>
                <c:pt idx="94">
                  <c:v>42613</c:v>
                </c:pt>
                <c:pt idx="95">
                  <c:v>42582</c:v>
                </c:pt>
                <c:pt idx="96">
                  <c:v>42551</c:v>
                </c:pt>
                <c:pt idx="97">
                  <c:v>42521</c:v>
                </c:pt>
                <c:pt idx="98">
                  <c:v>42490</c:v>
                </c:pt>
                <c:pt idx="99">
                  <c:v>42460</c:v>
                </c:pt>
                <c:pt idx="100">
                  <c:v>42429</c:v>
                </c:pt>
                <c:pt idx="101">
                  <c:v>42369</c:v>
                </c:pt>
                <c:pt idx="102">
                  <c:v>42338</c:v>
                </c:pt>
                <c:pt idx="103">
                  <c:v>42308</c:v>
                </c:pt>
                <c:pt idx="104">
                  <c:v>42277</c:v>
                </c:pt>
                <c:pt idx="105">
                  <c:v>42247</c:v>
                </c:pt>
                <c:pt idx="106">
                  <c:v>42216</c:v>
                </c:pt>
              </c:numCache>
            </c:numRef>
          </c:cat>
          <c:val>
            <c:numRef>
              <c:f>主要指标对比!$C$4:$C$336</c:f>
              <c:numCache>
                <c:formatCode>General</c:formatCode>
                <c:ptCount val="333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4.8086568212091496</c:v>
                </c:pt>
                <c:pt idx="10">
                  <c:v>4.9271528114096501</c:v>
                </c:pt>
                <c:pt idx="11">
                  <c:v>4.7760786025311504</c:v>
                </c:pt>
                <c:pt idx="12">
                  <c:v>5.7826378922980304</c:v>
                </c:pt>
                <c:pt idx="13">
                  <c:v>5.7064247910709396</c:v>
                </c:pt>
                <c:pt idx="14">
                  <c:v>5.5399149892992297</c:v>
                </c:pt>
                <c:pt idx="15">
                  <c:v>4.3643493986414397</c:v>
                </c:pt>
                <c:pt idx="16">
                  <c:v>5.1888546035193501</c:v>
                </c:pt>
                <c:pt idx="17">
                  <c:v>5.1282424349192901</c:v>
                </c:pt>
                <c:pt idx="18">
                  <c:v>4.3932439690466003</c:v>
                </c:pt>
                <c:pt idx="19">
                  <c:v>5.2278400843714099</c:v>
                </c:pt>
                <c:pt idx="20">
                  <c:v>6.2216299505944104</c:v>
                </c:pt>
                <c:pt idx="21">
                  <c:v>7.54366264577396</c:v>
                </c:pt>
                <c:pt idx="22">
                  <c:v>5.3201714922496901</c:v>
                </c:pt>
                <c:pt idx="23">
                  <c:v>3.6995119806351799</c:v>
                </c:pt>
                <c:pt idx="24">
                  <c:v>2.5729369469860899</c:v>
                </c:pt>
                <c:pt idx="25">
                  <c:v>2.2579904767346402</c:v>
                </c:pt>
                <c:pt idx="26">
                  <c:v>3.9399728413520201</c:v>
                </c:pt>
                <c:pt idx="27">
                  <c:v>4.5266994697887197</c:v>
                </c:pt>
                <c:pt idx="28">
                  <c:v>3.8448335442927899</c:v>
                </c:pt>
                <c:pt idx="29">
                  <c:v>3.22130794295389</c:v>
                </c:pt>
                <c:pt idx="30">
                  <c:v>3.1429739579445299</c:v>
                </c:pt>
                <c:pt idx="31">
                  <c:v>-6.8426301887219806E-2</c:v>
                </c:pt>
                <c:pt idx="32">
                  <c:v>-1.7769660858488401</c:v>
                </c:pt>
                <c:pt idx="33">
                  <c:v>3.7003506568206701</c:v>
                </c:pt>
                <c:pt idx="34">
                  <c:v>5.9578911682642799</c:v>
                </c:pt>
                <c:pt idx="35">
                  <c:v>4.3979261043654798</c:v>
                </c:pt>
                <c:pt idx="36">
                  <c:v>3.9285936801380701</c:v>
                </c:pt>
                <c:pt idx="37">
                  <c:v>4.1648010614454396</c:v>
                </c:pt>
                <c:pt idx="38">
                  <c:v>3.9746122623603801</c:v>
                </c:pt>
                <c:pt idx="39">
                  <c:v>4.6953913083057497</c:v>
                </c:pt>
                <c:pt idx="40">
                  <c:v>5.8597592149681299</c:v>
                </c:pt>
                <c:pt idx="41">
                  <c:v>6.3028357230476901</c:v>
                </c:pt>
                <c:pt idx="42">
                  <c:v>6.9519650167875398</c:v>
                </c:pt>
                <c:pt idx="43">
                  <c:v>9.5153254974675097</c:v>
                </c:pt>
                <c:pt idx="44">
                  <c:v>14.315767556918701</c:v>
                </c:pt>
                <c:pt idx="45">
                  <c:v>24.3210762751843</c:v>
                </c:pt>
                <c:pt idx="46">
                  <c:v>6.48590387109879</c:v>
                </c:pt>
                <c:pt idx="47">
                  <c:v>6.67822699191853</c:v>
                </c:pt>
                <c:pt idx="48">
                  <c:v>6.5669251037802701</c:v>
                </c:pt>
                <c:pt idx="49">
                  <c:v>5.6485673259356197</c:v>
                </c:pt>
                <c:pt idx="50">
                  <c:v>4.87797709653917</c:v>
                </c:pt>
                <c:pt idx="51">
                  <c:v>4.4697384619012404</c:v>
                </c:pt>
                <c:pt idx="52">
                  <c:v>4.70576333242734</c:v>
                </c:pt>
                <c:pt idx="53">
                  <c:v>4.2828556874998203</c:v>
                </c:pt>
                <c:pt idx="54">
                  <c:v>2.0680994449753798</c:v>
                </c:pt>
                <c:pt idx="55">
                  <c:v>-4.1064703891970904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4AB-4F02-BB2C-2FFCFFA93F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5680736"/>
        <c:axId val="545669696"/>
      </c:lineChart>
      <c:dateAx>
        <c:axId val="545673056"/>
        <c:scaling>
          <c:orientation val="minMax"/>
        </c:scaling>
        <c:delete val="0"/>
        <c:axPos val="b"/>
        <c:numFmt formatCode="yyyy/m/d;@" sourceLinked="1"/>
        <c:majorTickMark val="out"/>
        <c:minorTickMark val="none"/>
        <c:tickLblPos val="high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45691776"/>
        <c:crosses val="max"/>
        <c:auto val="1"/>
        <c:lblOffset val="100"/>
        <c:baseTimeUnit val="months"/>
      </c:dateAx>
      <c:valAx>
        <c:axId val="54569177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45673056"/>
        <c:crosses val="autoZero"/>
        <c:crossBetween val="midCat"/>
      </c:valAx>
      <c:dateAx>
        <c:axId val="545680736"/>
        <c:scaling>
          <c:orientation val="minMax"/>
        </c:scaling>
        <c:delete val="1"/>
        <c:axPos val="b"/>
        <c:numFmt formatCode="yyyy/m/d;@" sourceLinked="1"/>
        <c:majorTickMark val="out"/>
        <c:minorTickMark val="none"/>
        <c:tickLblPos val="nextTo"/>
        <c:crossAx val="545669696"/>
        <c:crosses val="autoZero"/>
        <c:auto val="1"/>
        <c:lblOffset val="100"/>
        <c:baseTimeUnit val="months"/>
      </c:dateAx>
      <c:valAx>
        <c:axId val="54566969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45680736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周期整合计算!$C$3</c:f>
              <c:strCache>
                <c:ptCount val="1"/>
                <c:pt idx="0">
                  <c:v>滞涨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周期整合计算!$A$5:$A$185</c:f>
              <c:numCache>
                <c:formatCode>yyyy/m/d;@</c:formatCode>
                <c:ptCount val="181"/>
                <c:pt idx="0">
                  <c:v>45688</c:v>
                </c:pt>
                <c:pt idx="1">
                  <c:v>45657</c:v>
                </c:pt>
                <c:pt idx="2">
                  <c:v>45626</c:v>
                </c:pt>
                <c:pt idx="3">
                  <c:v>45596</c:v>
                </c:pt>
                <c:pt idx="4">
                  <c:v>45565</c:v>
                </c:pt>
                <c:pt idx="5">
                  <c:v>45535</c:v>
                </c:pt>
                <c:pt idx="6">
                  <c:v>45504</c:v>
                </c:pt>
                <c:pt idx="7">
                  <c:v>45473</c:v>
                </c:pt>
                <c:pt idx="8">
                  <c:v>45443</c:v>
                </c:pt>
                <c:pt idx="9">
                  <c:v>45412</c:v>
                </c:pt>
                <c:pt idx="10">
                  <c:v>45382</c:v>
                </c:pt>
                <c:pt idx="11">
                  <c:v>45351</c:v>
                </c:pt>
                <c:pt idx="12">
                  <c:v>45322</c:v>
                </c:pt>
                <c:pt idx="13">
                  <c:v>45291</c:v>
                </c:pt>
                <c:pt idx="14">
                  <c:v>45260</c:v>
                </c:pt>
                <c:pt idx="15">
                  <c:v>45230</c:v>
                </c:pt>
                <c:pt idx="16">
                  <c:v>45199</c:v>
                </c:pt>
                <c:pt idx="17">
                  <c:v>45169</c:v>
                </c:pt>
                <c:pt idx="18">
                  <c:v>45138</c:v>
                </c:pt>
                <c:pt idx="19">
                  <c:v>45107</c:v>
                </c:pt>
                <c:pt idx="20">
                  <c:v>45077</c:v>
                </c:pt>
                <c:pt idx="21">
                  <c:v>45046</c:v>
                </c:pt>
                <c:pt idx="22">
                  <c:v>45016</c:v>
                </c:pt>
                <c:pt idx="23">
                  <c:v>44985</c:v>
                </c:pt>
                <c:pt idx="24">
                  <c:v>44957</c:v>
                </c:pt>
                <c:pt idx="25">
                  <c:v>44926</c:v>
                </c:pt>
                <c:pt idx="26">
                  <c:v>44895</c:v>
                </c:pt>
                <c:pt idx="27">
                  <c:v>44865</c:v>
                </c:pt>
                <c:pt idx="28">
                  <c:v>44834</c:v>
                </c:pt>
                <c:pt idx="29">
                  <c:v>44804</c:v>
                </c:pt>
                <c:pt idx="30">
                  <c:v>44773</c:v>
                </c:pt>
                <c:pt idx="31">
                  <c:v>44742</c:v>
                </c:pt>
                <c:pt idx="32">
                  <c:v>44712</c:v>
                </c:pt>
                <c:pt idx="33">
                  <c:v>44681</c:v>
                </c:pt>
                <c:pt idx="34">
                  <c:v>44651</c:v>
                </c:pt>
                <c:pt idx="35">
                  <c:v>44620</c:v>
                </c:pt>
                <c:pt idx="36">
                  <c:v>44592</c:v>
                </c:pt>
                <c:pt idx="37">
                  <c:v>44561</c:v>
                </c:pt>
                <c:pt idx="38">
                  <c:v>44530</c:v>
                </c:pt>
                <c:pt idx="39">
                  <c:v>44500</c:v>
                </c:pt>
                <c:pt idx="40">
                  <c:v>44469</c:v>
                </c:pt>
                <c:pt idx="41">
                  <c:v>44439</c:v>
                </c:pt>
                <c:pt idx="42">
                  <c:v>44408</c:v>
                </c:pt>
                <c:pt idx="43">
                  <c:v>44377</c:v>
                </c:pt>
                <c:pt idx="44">
                  <c:v>44347</c:v>
                </c:pt>
                <c:pt idx="45">
                  <c:v>44316</c:v>
                </c:pt>
                <c:pt idx="46">
                  <c:v>44286</c:v>
                </c:pt>
                <c:pt idx="47">
                  <c:v>44255</c:v>
                </c:pt>
                <c:pt idx="48">
                  <c:v>44227</c:v>
                </c:pt>
                <c:pt idx="49">
                  <c:v>44196</c:v>
                </c:pt>
                <c:pt idx="50">
                  <c:v>44165</c:v>
                </c:pt>
                <c:pt idx="51">
                  <c:v>44135</c:v>
                </c:pt>
                <c:pt idx="52">
                  <c:v>44104</c:v>
                </c:pt>
                <c:pt idx="53">
                  <c:v>44074</c:v>
                </c:pt>
                <c:pt idx="54">
                  <c:v>44043</c:v>
                </c:pt>
                <c:pt idx="55">
                  <c:v>44012</c:v>
                </c:pt>
                <c:pt idx="56">
                  <c:v>43982</c:v>
                </c:pt>
                <c:pt idx="57">
                  <c:v>43951</c:v>
                </c:pt>
                <c:pt idx="58">
                  <c:v>43921</c:v>
                </c:pt>
                <c:pt idx="59">
                  <c:v>43890</c:v>
                </c:pt>
                <c:pt idx="60">
                  <c:v>43861</c:v>
                </c:pt>
                <c:pt idx="61">
                  <c:v>43830</c:v>
                </c:pt>
                <c:pt idx="62">
                  <c:v>43799</c:v>
                </c:pt>
                <c:pt idx="63">
                  <c:v>43769</c:v>
                </c:pt>
                <c:pt idx="64">
                  <c:v>43738</c:v>
                </c:pt>
                <c:pt idx="65">
                  <c:v>43708</c:v>
                </c:pt>
                <c:pt idx="66">
                  <c:v>43677</c:v>
                </c:pt>
                <c:pt idx="67">
                  <c:v>43646</c:v>
                </c:pt>
                <c:pt idx="68">
                  <c:v>43616</c:v>
                </c:pt>
                <c:pt idx="69">
                  <c:v>43585</c:v>
                </c:pt>
                <c:pt idx="70">
                  <c:v>43555</c:v>
                </c:pt>
                <c:pt idx="71">
                  <c:v>43524</c:v>
                </c:pt>
                <c:pt idx="72">
                  <c:v>43496</c:v>
                </c:pt>
                <c:pt idx="73">
                  <c:v>43465</c:v>
                </c:pt>
                <c:pt idx="74">
                  <c:v>43434</c:v>
                </c:pt>
                <c:pt idx="75">
                  <c:v>43404</c:v>
                </c:pt>
                <c:pt idx="76">
                  <c:v>43373</c:v>
                </c:pt>
                <c:pt idx="77">
                  <c:v>43343</c:v>
                </c:pt>
                <c:pt idx="78">
                  <c:v>43312</c:v>
                </c:pt>
                <c:pt idx="79">
                  <c:v>43281</c:v>
                </c:pt>
                <c:pt idx="80">
                  <c:v>43251</c:v>
                </c:pt>
                <c:pt idx="81">
                  <c:v>43220</c:v>
                </c:pt>
                <c:pt idx="82">
                  <c:v>43190</c:v>
                </c:pt>
                <c:pt idx="83">
                  <c:v>43159</c:v>
                </c:pt>
                <c:pt idx="84">
                  <c:v>43131</c:v>
                </c:pt>
                <c:pt idx="85">
                  <c:v>43100</c:v>
                </c:pt>
                <c:pt idx="86">
                  <c:v>43069</c:v>
                </c:pt>
                <c:pt idx="87">
                  <c:v>43039</c:v>
                </c:pt>
                <c:pt idx="88">
                  <c:v>43008</c:v>
                </c:pt>
                <c:pt idx="89">
                  <c:v>42978</c:v>
                </c:pt>
                <c:pt idx="90">
                  <c:v>42947</c:v>
                </c:pt>
                <c:pt idx="91">
                  <c:v>42916</c:v>
                </c:pt>
                <c:pt idx="92">
                  <c:v>42886</c:v>
                </c:pt>
                <c:pt idx="93">
                  <c:v>42855</c:v>
                </c:pt>
                <c:pt idx="94">
                  <c:v>42825</c:v>
                </c:pt>
                <c:pt idx="95">
                  <c:v>42794</c:v>
                </c:pt>
                <c:pt idx="96">
                  <c:v>42766</c:v>
                </c:pt>
                <c:pt idx="97">
                  <c:v>42735</c:v>
                </c:pt>
                <c:pt idx="98">
                  <c:v>42704</c:v>
                </c:pt>
                <c:pt idx="99">
                  <c:v>42674</c:v>
                </c:pt>
                <c:pt idx="100">
                  <c:v>42643</c:v>
                </c:pt>
                <c:pt idx="101">
                  <c:v>42613</c:v>
                </c:pt>
                <c:pt idx="102">
                  <c:v>42582</c:v>
                </c:pt>
                <c:pt idx="103">
                  <c:v>42551</c:v>
                </c:pt>
                <c:pt idx="104">
                  <c:v>42521</c:v>
                </c:pt>
                <c:pt idx="105">
                  <c:v>42490</c:v>
                </c:pt>
                <c:pt idx="106">
                  <c:v>42460</c:v>
                </c:pt>
                <c:pt idx="107">
                  <c:v>42429</c:v>
                </c:pt>
                <c:pt idx="108">
                  <c:v>42400</c:v>
                </c:pt>
                <c:pt idx="109">
                  <c:v>42369</c:v>
                </c:pt>
                <c:pt idx="110">
                  <c:v>42338</c:v>
                </c:pt>
                <c:pt idx="111">
                  <c:v>42308</c:v>
                </c:pt>
                <c:pt idx="112">
                  <c:v>42277</c:v>
                </c:pt>
                <c:pt idx="113">
                  <c:v>42247</c:v>
                </c:pt>
                <c:pt idx="114">
                  <c:v>42216</c:v>
                </c:pt>
                <c:pt idx="115">
                  <c:v>42185</c:v>
                </c:pt>
                <c:pt idx="116">
                  <c:v>42155</c:v>
                </c:pt>
                <c:pt idx="117">
                  <c:v>42124</c:v>
                </c:pt>
                <c:pt idx="118">
                  <c:v>42094</c:v>
                </c:pt>
                <c:pt idx="119">
                  <c:v>42063</c:v>
                </c:pt>
                <c:pt idx="120">
                  <c:v>42035</c:v>
                </c:pt>
                <c:pt idx="121">
                  <c:v>42004</c:v>
                </c:pt>
                <c:pt idx="122">
                  <c:v>41973</c:v>
                </c:pt>
                <c:pt idx="123">
                  <c:v>41943</c:v>
                </c:pt>
                <c:pt idx="124">
                  <c:v>41912</c:v>
                </c:pt>
                <c:pt idx="125">
                  <c:v>41882</c:v>
                </c:pt>
                <c:pt idx="126">
                  <c:v>41851</c:v>
                </c:pt>
                <c:pt idx="127">
                  <c:v>41820</c:v>
                </c:pt>
                <c:pt idx="128">
                  <c:v>41790</c:v>
                </c:pt>
                <c:pt idx="129">
                  <c:v>41759</c:v>
                </c:pt>
                <c:pt idx="130">
                  <c:v>41729</c:v>
                </c:pt>
                <c:pt idx="131">
                  <c:v>41698</c:v>
                </c:pt>
                <c:pt idx="132">
                  <c:v>41670</c:v>
                </c:pt>
                <c:pt idx="133">
                  <c:v>41639</c:v>
                </c:pt>
                <c:pt idx="134">
                  <c:v>41608</c:v>
                </c:pt>
                <c:pt idx="135">
                  <c:v>41578</c:v>
                </c:pt>
                <c:pt idx="136">
                  <c:v>41547</c:v>
                </c:pt>
                <c:pt idx="137">
                  <c:v>41517</c:v>
                </c:pt>
                <c:pt idx="138">
                  <c:v>41486</c:v>
                </c:pt>
                <c:pt idx="139">
                  <c:v>41455</c:v>
                </c:pt>
                <c:pt idx="140">
                  <c:v>41425</c:v>
                </c:pt>
                <c:pt idx="141">
                  <c:v>41394</c:v>
                </c:pt>
                <c:pt idx="142">
                  <c:v>41364</c:v>
                </c:pt>
                <c:pt idx="143">
                  <c:v>41333</c:v>
                </c:pt>
                <c:pt idx="144">
                  <c:v>41305</c:v>
                </c:pt>
                <c:pt idx="145">
                  <c:v>41274</c:v>
                </c:pt>
                <c:pt idx="146">
                  <c:v>41243</c:v>
                </c:pt>
                <c:pt idx="147">
                  <c:v>41213</c:v>
                </c:pt>
                <c:pt idx="148">
                  <c:v>41182</c:v>
                </c:pt>
                <c:pt idx="149">
                  <c:v>41152</c:v>
                </c:pt>
                <c:pt idx="150">
                  <c:v>41121</c:v>
                </c:pt>
                <c:pt idx="151">
                  <c:v>41090</c:v>
                </c:pt>
                <c:pt idx="152">
                  <c:v>41060</c:v>
                </c:pt>
                <c:pt idx="153">
                  <c:v>41029</c:v>
                </c:pt>
                <c:pt idx="154">
                  <c:v>40999</c:v>
                </c:pt>
                <c:pt idx="155">
                  <c:v>40968</c:v>
                </c:pt>
                <c:pt idx="156">
                  <c:v>40939</c:v>
                </c:pt>
                <c:pt idx="157">
                  <c:v>40908</c:v>
                </c:pt>
                <c:pt idx="158">
                  <c:v>40877</c:v>
                </c:pt>
                <c:pt idx="159">
                  <c:v>40847</c:v>
                </c:pt>
                <c:pt idx="160">
                  <c:v>40816</c:v>
                </c:pt>
                <c:pt idx="161">
                  <c:v>40786</c:v>
                </c:pt>
                <c:pt idx="162">
                  <c:v>40755</c:v>
                </c:pt>
                <c:pt idx="163">
                  <c:v>40724</c:v>
                </c:pt>
                <c:pt idx="164">
                  <c:v>40694</c:v>
                </c:pt>
                <c:pt idx="165">
                  <c:v>40663</c:v>
                </c:pt>
                <c:pt idx="166">
                  <c:v>40633</c:v>
                </c:pt>
                <c:pt idx="167">
                  <c:v>40602</c:v>
                </c:pt>
                <c:pt idx="168">
                  <c:v>40574</c:v>
                </c:pt>
                <c:pt idx="169">
                  <c:v>40543</c:v>
                </c:pt>
                <c:pt idx="170">
                  <c:v>40512</c:v>
                </c:pt>
                <c:pt idx="171">
                  <c:v>40482</c:v>
                </c:pt>
                <c:pt idx="172">
                  <c:v>40451</c:v>
                </c:pt>
                <c:pt idx="173">
                  <c:v>40421</c:v>
                </c:pt>
                <c:pt idx="174">
                  <c:v>40390</c:v>
                </c:pt>
                <c:pt idx="175">
                  <c:v>40359</c:v>
                </c:pt>
                <c:pt idx="176">
                  <c:v>40329</c:v>
                </c:pt>
                <c:pt idx="177">
                  <c:v>40298</c:v>
                </c:pt>
                <c:pt idx="178">
                  <c:v>40268</c:v>
                </c:pt>
                <c:pt idx="179">
                  <c:v>40237</c:v>
                </c:pt>
                <c:pt idx="180">
                  <c:v>40209</c:v>
                </c:pt>
              </c:numCache>
            </c:numRef>
          </c:cat>
          <c:val>
            <c:numRef>
              <c:f>周期整合计算!$C$5:$C$185</c:f>
              <c:numCache>
                <c:formatCode>General</c:formatCode>
                <c:ptCount val="18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6B-4F9D-8625-DE0573A8C232}"/>
            </c:ext>
          </c:extLst>
        </c:ser>
        <c:ser>
          <c:idx val="2"/>
          <c:order val="2"/>
          <c:tx>
            <c:strRef>
              <c:f>周期整合计算!$D$3</c:f>
              <c:strCache>
                <c:ptCount val="1"/>
                <c:pt idx="0">
                  <c:v>衰退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周期整合计算!$A$5:$A$185</c:f>
              <c:numCache>
                <c:formatCode>yyyy/m/d;@</c:formatCode>
                <c:ptCount val="181"/>
                <c:pt idx="0">
                  <c:v>45688</c:v>
                </c:pt>
                <c:pt idx="1">
                  <c:v>45657</c:v>
                </c:pt>
                <c:pt idx="2">
                  <c:v>45626</c:v>
                </c:pt>
                <c:pt idx="3">
                  <c:v>45596</c:v>
                </c:pt>
                <c:pt idx="4">
                  <c:v>45565</c:v>
                </c:pt>
                <c:pt idx="5">
                  <c:v>45535</c:v>
                </c:pt>
                <c:pt idx="6">
                  <c:v>45504</c:v>
                </c:pt>
                <c:pt idx="7">
                  <c:v>45473</c:v>
                </c:pt>
                <c:pt idx="8">
                  <c:v>45443</c:v>
                </c:pt>
                <c:pt idx="9">
                  <c:v>45412</c:v>
                </c:pt>
                <c:pt idx="10">
                  <c:v>45382</c:v>
                </c:pt>
                <c:pt idx="11">
                  <c:v>45351</c:v>
                </c:pt>
                <c:pt idx="12">
                  <c:v>45322</c:v>
                </c:pt>
                <c:pt idx="13">
                  <c:v>45291</c:v>
                </c:pt>
                <c:pt idx="14">
                  <c:v>45260</c:v>
                </c:pt>
                <c:pt idx="15">
                  <c:v>45230</c:v>
                </c:pt>
                <c:pt idx="16">
                  <c:v>45199</c:v>
                </c:pt>
                <c:pt idx="17">
                  <c:v>45169</c:v>
                </c:pt>
                <c:pt idx="18">
                  <c:v>45138</c:v>
                </c:pt>
                <c:pt idx="19">
                  <c:v>45107</c:v>
                </c:pt>
                <c:pt idx="20">
                  <c:v>45077</c:v>
                </c:pt>
                <c:pt idx="21">
                  <c:v>45046</c:v>
                </c:pt>
                <c:pt idx="22">
                  <c:v>45016</c:v>
                </c:pt>
                <c:pt idx="23">
                  <c:v>44985</c:v>
                </c:pt>
                <c:pt idx="24">
                  <c:v>44957</c:v>
                </c:pt>
                <c:pt idx="25">
                  <c:v>44926</c:v>
                </c:pt>
                <c:pt idx="26">
                  <c:v>44895</c:v>
                </c:pt>
                <c:pt idx="27">
                  <c:v>44865</c:v>
                </c:pt>
                <c:pt idx="28">
                  <c:v>44834</c:v>
                </c:pt>
                <c:pt idx="29">
                  <c:v>44804</c:v>
                </c:pt>
                <c:pt idx="30">
                  <c:v>44773</c:v>
                </c:pt>
                <c:pt idx="31">
                  <c:v>44742</c:v>
                </c:pt>
                <c:pt idx="32">
                  <c:v>44712</c:v>
                </c:pt>
                <c:pt idx="33">
                  <c:v>44681</c:v>
                </c:pt>
                <c:pt idx="34">
                  <c:v>44651</c:v>
                </c:pt>
                <c:pt idx="35">
                  <c:v>44620</c:v>
                </c:pt>
                <c:pt idx="36">
                  <c:v>44592</c:v>
                </c:pt>
                <c:pt idx="37">
                  <c:v>44561</c:v>
                </c:pt>
                <c:pt idx="38">
                  <c:v>44530</c:v>
                </c:pt>
                <c:pt idx="39">
                  <c:v>44500</c:v>
                </c:pt>
                <c:pt idx="40">
                  <c:v>44469</c:v>
                </c:pt>
                <c:pt idx="41">
                  <c:v>44439</c:v>
                </c:pt>
                <c:pt idx="42">
                  <c:v>44408</c:v>
                </c:pt>
                <c:pt idx="43">
                  <c:v>44377</c:v>
                </c:pt>
                <c:pt idx="44">
                  <c:v>44347</c:v>
                </c:pt>
                <c:pt idx="45">
                  <c:v>44316</c:v>
                </c:pt>
                <c:pt idx="46">
                  <c:v>44286</c:v>
                </c:pt>
                <c:pt idx="47">
                  <c:v>44255</c:v>
                </c:pt>
                <c:pt idx="48">
                  <c:v>44227</c:v>
                </c:pt>
                <c:pt idx="49">
                  <c:v>44196</c:v>
                </c:pt>
                <c:pt idx="50">
                  <c:v>44165</c:v>
                </c:pt>
                <c:pt idx="51">
                  <c:v>44135</c:v>
                </c:pt>
                <c:pt idx="52">
                  <c:v>44104</c:v>
                </c:pt>
                <c:pt idx="53">
                  <c:v>44074</c:v>
                </c:pt>
                <c:pt idx="54">
                  <c:v>44043</c:v>
                </c:pt>
                <c:pt idx="55">
                  <c:v>44012</c:v>
                </c:pt>
                <c:pt idx="56">
                  <c:v>43982</c:v>
                </c:pt>
                <c:pt idx="57">
                  <c:v>43951</c:v>
                </c:pt>
                <c:pt idx="58">
                  <c:v>43921</c:v>
                </c:pt>
                <c:pt idx="59">
                  <c:v>43890</c:v>
                </c:pt>
                <c:pt idx="60">
                  <c:v>43861</c:v>
                </c:pt>
                <c:pt idx="61">
                  <c:v>43830</c:v>
                </c:pt>
                <c:pt idx="62">
                  <c:v>43799</c:v>
                </c:pt>
                <c:pt idx="63">
                  <c:v>43769</c:v>
                </c:pt>
                <c:pt idx="64">
                  <c:v>43738</c:v>
                </c:pt>
                <c:pt idx="65">
                  <c:v>43708</c:v>
                </c:pt>
                <c:pt idx="66">
                  <c:v>43677</c:v>
                </c:pt>
                <c:pt idx="67">
                  <c:v>43646</c:v>
                </c:pt>
                <c:pt idx="68">
                  <c:v>43616</c:v>
                </c:pt>
                <c:pt idx="69">
                  <c:v>43585</c:v>
                </c:pt>
                <c:pt idx="70">
                  <c:v>43555</c:v>
                </c:pt>
                <c:pt idx="71">
                  <c:v>43524</c:v>
                </c:pt>
                <c:pt idx="72">
                  <c:v>43496</c:v>
                </c:pt>
                <c:pt idx="73">
                  <c:v>43465</c:v>
                </c:pt>
                <c:pt idx="74">
                  <c:v>43434</c:v>
                </c:pt>
                <c:pt idx="75">
                  <c:v>43404</c:v>
                </c:pt>
                <c:pt idx="76">
                  <c:v>43373</c:v>
                </c:pt>
                <c:pt idx="77">
                  <c:v>43343</c:v>
                </c:pt>
                <c:pt idx="78">
                  <c:v>43312</c:v>
                </c:pt>
                <c:pt idx="79">
                  <c:v>43281</c:v>
                </c:pt>
                <c:pt idx="80">
                  <c:v>43251</c:v>
                </c:pt>
                <c:pt idx="81">
                  <c:v>43220</c:v>
                </c:pt>
                <c:pt idx="82">
                  <c:v>43190</c:v>
                </c:pt>
                <c:pt idx="83">
                  <c:v>43159</c:v>
                </c:pt>
                <c:pt idx="84">
                  <c:v>43131</c:v>
                </c:pt>
                <c:pt idx="85">
                  <c:v>43100</c:v>
                </c:pt>
                <c:pt idx="86">
                  <c:v>43069</c:v>
                </c:pt>
                <c:pt idx="87">
                  <c:v>43039</c:v>
                </c:pt>
                <c:pt idx="88">
                  <c:v>43008</c:v>
                </c:pt>
                <c:pt idx="89">
                  <c:v>42978</c:v>
                </c:pt>
                <c:pt idx="90">
                  <c:v>42947</c:v>
                </c:pt>
                <c:pt idx="91">
                  <c:v>42916</c:v>
                </c:pt>
                <c:pt idx="92">
                  <c:v>42886</c:v>
                </c:pt>
                <c:pt idx="93">
                  <c:v>42855</c:v>
                </c:pt>
                <c:pt idx="94">
                  <c:v>42825</c:v>
                </c:pt>
                <c:pt idx="95">
                  <c:v>42794</c:v>
                </c:pt>
                <c:pt idx="96">
                  <c:v>42766</c:v>
                </c:pt>
                <c:pt idx="97">
                  <c:v>42735</c:v>
                </c:pt>
                <c:pt idx="98">
                  <c:v>42704</c:v>
                </c:pt>
                <c:pt idx="99">
                  <c:v>42674</c:v>
                </c:pt>
                <c:pt idx="100">
                  <c:v>42643</c:v>
                </c:pt>
                <c:pt idx="101">
                  <c:v>42613</c:v>
                </c:pt>
                <c:pt idx="102">
                  <c:v>42582</c:v>
                </c:pt>
                <c:pt idx="103">
                  <c:v>42551</c:v>
                </c:pt>
                <c:pt idx="104">
                  <c:v>42521</c:v>
                </c:pt>
                <c:pt idx="105">
                  <c:v>42490</c:v>
                </c:pt>
                <c:pt idx="106">
                  <c:v>42460</c:v>
                </c:pt>
                <c:pt idx="107">
                  <c:v>42429</c:v>
                </c:pt>
                <c:pt idx="108">
                  <c:v>42400</c:v>
                </c:pt>
                <c:pt idx="109">
                  <c:v>42369</c:v>
                </c:pt>
                <c:pt idx="110">
                  <c:v>42338</c:v>
                </c:pt>
                <c:pt idx="111">
                  <c:v>42308</c:v>
                </c:pt>
                <c:pt idx="112">
                  <c:v>42277</c:v>
                </c:pt>
                <c:pt idx="113">
                  <c:v>42247</c:v>
                </c:pt>
                <c:pt idx="114">
                  <c:v>42216</c:v>
                </c:pt>
                <c:pt idx="115">
                  <c:v>42185</c:v>
                </c:pt>
                <c:pt idx="116">
                  <c:v>42155</c:v>
                </c:pt>
                <c:pt idx="117">
                  <c:v>42124</c:v>
                </c:pt>
                <c:pt idx="118">
                  <c:v>42094</c:v>
                </c:pt>
                <c:pt idx="119">
                  <c:v>42063</c:v>
                </c:pt>
                <c:pt idx="120">
                  <c:v>42035</c:v>
                </c:pt>
                <c:pt idx="121">
                  <c:v>42004</c:v>
                </c:pt>
                <c:pt idx="122">
                  <c:v>41973</c:v>
                </c:pt>
                <c:pt idx="123">
                  <c:v>41943</c:v>
                </c:pt>
                <c:pt idx="124">
                  <c:v>41912</c:v>
                </c:pt>
                <c:pt idx="125">
                  <c:v>41882</c:v>
                </c:pt>
                <c:pt idx="126">
                  <c:v>41851</c:v>
                </c:pt>
                <c:pt idx="127">
                  <c:v>41820</c:v>
                </c:pt>
                <c:pt idx="128">
                  <c:v>41790</c:v>
                </c:pt>
                <c:pt idx="129">
                  <c:v>41759</c:v>
                </c:pt>
                <c:pt idx="130">
                  <c:v>41729</c:v>
                </c:pt>
                <c:pt idx="131">
                  <c:v>41698</c:v>
                </c:pt>
                <c:pt idx="132">
                  <c:v>41670</c:v>
                </c:pt>
                <c:pt idx="133">
                  <c:v>41639</c:v>
                </c:pt>
                <c:pt idx="134">
                  <c:v>41608</c:v>
                </c:pt>
                <c:pt idx="135">
                  <c:v>41578</c:v>
                </c:pt>
                <c:pt idx="136">
                  <c:v>41547</c:v>
                </c:pt>
                <c:pt idx="137">
                  <c:v>41517</c:v>
                </c:pt>
                <c:pt idx="138">
                  <c:v>41486</c:v>
                </c:pt>
                <c:pt idx="139">
                  <c:v>41455</c:v>
                </c:pt>
                <c:pt idx="140">
                  <c:v>41425</c:v>
                </c:pt>
                <c:pt idx="141">
                  <c:v>41394</c:v>
                </c:pt>
                <c:pt idx="142">
                  <c:v>41364</c:v>
                </c:pt>
                <c:pt idx="143">
                  <c:v>41333</c:v>
                </c:pt>
                <c:pt idx="144">
                  <c:v>41305</c:v>
                </c:pt>
                <c:pt idx="145">
                  <c:v>41274</c:v>
                </c:pt>
                <c:pt idx="146">
                  <c:v>41243</c:v>
                </c:pt>
                <c:pt idx="147">
                  <c:v>41213</c:v>
                </c:pt>
                <c:pt idx="148">
                  <c:v>41182</c:v>
                </c:pt>
                <c:pt idx="149">
                  <c:v>41152</c:v>
                </c:pt>
                <c:pt idx="150">
                  <c:v>41121</c:v>
                </c:pt>
                <c:pt idx="151">
                  <c:v>41090</c:v>
                </c:pt>
                <c:pt idx="152">
                  <c:v>41060</c:v>
                </c:pt>
                <c:pt idx="153">
                  <c:v>41029</c:v>
                </c:pt>
                <c:pt idx="154">
                  <c:v>40999</c:v>
                </c:pt>
                <c:pt idx="155">
                  <c:v>40968</c:v>
                </c:pt>
                <c:pt idx="156">
                  <c:v>40939</c:v>
                </c:pt>
                <c:pt idx="157">
                  <c:v>40908</c:v>
                </c:pt>
                <c:pt idx="158">
                  <c:v>40877</c:v>
                </c:pt>
                <c:pt idx="159">
                  <c:v>40847</c:v>
                </c:pt>
                <c:pt idx="160">
                  <c:v>40816</c:v>
                </c:pt>
                <c:pt idx="161">
                  <c:v>40786</c:v>
                </c:pt>
                <c:pt idx="162">
                  <c:v>40755</c:v>
                </c:pt>
                <c:pt idx="163">
                  <c:v>40724</c:v>
                </c:pt>
                <c:pt idx="164">
                  <c:v>40694</c:v>
                </c:pt>
                <c:pt idx="165">
                  <c:v>40663</c:v>
                </c:pt>
                <c:pt idx="166">
                  <c:v>40633</c:v>
                </c:pt>
                <c:pt idx="167">
                  <c:v>40602</c:v>
                </c:pt>
                <c:pt idx="168">
                  <c:v>40574</c:v>
                </c:pt>
                <c:pt idx="169">
                  <c:v>40543</c:v>
                </c:pt>
                <c:pt idx="170">
                  <c:v>40512</c:v>
                </c:pt>
                <c:pt idx="171">
                  <c:v>40482</c:v>
                </c:pt>
                <c:pt idx="172">
                  <c:v>40451</c:v>
                </c:pt>
                <c:pt idx="173">
                  <c:v>40421</c:v>
                </c:pt>
                <c:pt idx="174">
                  <c:v>40390</c:v>
                </c:pt>
                <c:pt idx="175">
                  <c:v>40359</c:v>
                </c:pt>
                <c:pt idx="176">
                  <c:v>40329</c:v>
                </c:pt>
                <c:pt idx="177">
                  <c:v>40298</c:v>
                </c:pt>
                <c:pt idx="178">
                  <c:v>40268</c:v>
                </c:pt>
                <c:pt idx="179">
                  <c:v>40237</c:v>
                </c:pt>
                <c:pt idx="180">
                  <c:v>40209</c:v>
                </c:pt>
              </c:numCache>
            </c:numRef>
          </c:cat>
          <c:val>
            <c:numRef>
              <c:f>周期整合计算!$D$5:$D$185</c:f>
              <c:numCache>
                <c:formatCode>General</c:formatCode>
                <c:ptCount val="18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6B-4F9D-8625-DE0573A8C232}"/>
            </c:ext>
          </c:extLst>
        </c:ser>
        <c:ser>
          <c:idx val="3"/>
          <c:order val="3"/>
          <c:tx>
            <c:strRef>
              <c:f>周期整合计算!$E$3</c:f>
              <c:strCache>
                <c:ptCount val="1"/>
                <c:pt idx="0">
                  <c:v>复苏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周期整合计算!$A$5:$A$185</c:f>
              <c:numCache>
                <c:formatCode>yyyy/m/d;@</c:formatCode>
                <c:ptCount val="181"/>
                <c:pt idx="0">
                  <c:v>45688</c:v>
                </c:pt>
                <c:pt idx="1">
                  <c:v>45657</c:v>
                </c:pt>
                <c:pt idx="2">
                  <c:v>45626</c:v>
                </c:pt>
                <c:pt idx="3">
                  <c:v>45596</c:v>
                </c:pt>
                <c:pt idx="4">
                  <c:v>45565</c:v>
                </c:pt>
                <c:pt idx="5">
                  <c:v>45535</c:v>
                </c:pt>
                <c:pt idx="6">
                  <c:v>45504</c:v>
                </c:pt>
                <c:pt idx="7">
                  <c:v>45473</c:v>
                </c:pt>
                <c:pt idx="8">
                  <c:v>45443</c:v>
                </c:pt>
                <c:pt idx="9">
                  <c:v>45412</c:v>
                </c:pt>
                <c:pt idx="10">
                  <c:v>45382</c:v>
                </c:pt>
                <c:pt idx="11">
                  <c:v>45351</c:v>
                </c:pt>
                <c:pt idx="12">
                  <c:v>45322</c:v>
                </c:pt>
                <c:pt idx="13">
                  <c:v>45291</c:v>
                </c:pt>
                <c:pt idx="14">
                  <c:v>45260</c:v>
                </c:pt>
                <c:pt idx="15">
                  <c:v>45230</c:v>
                </c:pt>
                <c:pt idx="16">
                  <c:v>45199</c:v>
                </c:pt>
                <c:pt idx="17">
                  <c:v>45169</c:v>
                </c:pt>
                <c:pt idx="18">
                  <c:v>45138</c:v>
                </c:pt>
                <c:pt idx="19">
                  <c:v>45107</c:v>
                </c:pt>
                <c:pt idx="20">
                  <c:v>45077</c:v>
                </c:pt>
                <c:pt idx="21">
                  <c:v>45046</c:v>
                </c:pt>
                <c:pt idx="22">
                  <c:v>45016</c:v>
                </c:pt>
                <c:pt idx="23">
                  <c:v>44985</c:v>
                </c:pt>
                <c:pt idx="24">
                  <c:v>44957</c:v>
                </c:pt>
                <c:pt idx="25">
                  <c:v>44926</c:v>
                </c:pt>
                <c:pt idx="26">
                  <c:v>44895</c:v>
                </c:pt>
                <c:pt idx="27">
                  <c:v>44865</c:v>
                </c:pt>
                <c:pt idx="28">
                  <c:v>44834</c:v>
                </c:pt>
                <c:pt idx="29">
                  <c:v>44804</c:v>
                </c:pt>
                <c:pt idx="30">
                  <c:v>44773</c:v>
                </c:pt>
                <c:pt idx="31">
                  <c:v>44742</c:v>
                </c:pt>
                <c:pt idx="32">
                  <c:v>44712</c:v>
                </c:pt>
                <c:pt idx="33">
                  <c:v>44681</c:v>
                </c:pt>
                <c:pt idx="34">
                  <c:v>44651</c:v>
                </c:pt>
                <c:pt idx="35">
                  <c:v>44620</c:v>
                </c:pt>
                <c:pt idx="36">
                  <c:v>44592</c:v>
                </c:pt>
                <c:pt idx="37">
                  <c:v>44561</c:v>
                </c:pt>
                <c:pt idx="38">
                  <c:v>44530</c:v>
                </c:pt>
                <c:pt idx="39">
                  <c:v>44500</c:v>
                </c:pt>
                <c:pt idx="40">
                  <c:v>44469</c:v>
                </c:pt>
                <c:pt idx="41">
                  <c:v>44439</c:v>
                </c:pt>
                <c:pt idx="42">
                  <c:v>44408</c:v>
                </c:pt>
                <c:pt idx="43">
                  <c:v>44377</c:v>
                </c:pt>
                <c:pt idx="44">
                  <c:v>44347</c:v>
                </c:pt>
                <c:pt idx="45">
                  <c:v>44316</c:v>
                </c:pt>
                <c:pt idx="46">
                  <c:v>44286</c:v>
                </c:pt>
                <c:pt idx="47">
                  <c:v>44255</c:v>
                </c:pt>
                <c:pt idx="48">
                  <c:v>44227</c:v>
                </c:pt>
                <c:pt idx="49">
                  <c:v>44196</c:v>
                </c:pt>
                <c:pt idx="50">
                  <c:v>44165</c:v>
                </c:pt>
                <c:pt idx="51">
                  <c:v>44135</c:v>
                </c:pt>
                <c:pt idx="52">
                  <c:v>44104</c:v>
                </c:pt>
                <c:pt idx="53">
                  <c:v>44074</c:v>
                </c:pt>
                <c:pt idx="54">
                  <c:v>44043</c:v>
                </c:pt>
                <c:pt idx="55">
                  <c:v>44012</c:v>
                </c:pt>
                <c:pt idx="56">
                  <c:v>43982</c:v>
                </c:pt>
                <c:pt idx="57">
                  <c:v>43951</c:v>
                </c:pt>
                <c:pt idx="58">
                  <c:v>43921</c:v>
                </c:pt>
                <c:pt idx="59">
                  <c:v>43890</c:v>
                </c:pt>
                <c:pt idx="60">
                  <c:v>43861</c:v>
                </c:pt>
                <c:pt idx="61">
                  <c:v>43830</c:v>
                </c:pt>
                <c:pt idx="62">
                  <c:v>43799</c:v>
                </c:pt>
                <c:pt idx="63">
                  <c:v>43769</c:v>
                </c:pt>
                <c:pt idx="64">
                  <c:v>43738</c:v>
                </c:pt>
                <c:pt idx="65">
                  <c:v>43708</c:v>
                </c:pt>
                <c:pt idx="66">
                  <c:v>43677</c:v>
                </c:pt>
                <c:pt idx="67">
                  <c:v>43646</c:v>
                </c:pt>
                <c:pt idx="68">
                  <c:v>43616</c:v>
                </c:pt>
                <c:pt idx="69">
                  <c:v>43585</c:v>
                </c:pt>
                <c:pt idx="70">
                  <c:v>43555</c:v>
                </c:pt>
                <c:pt idx="71">
                  <c:v>43524</c:v>
                </c:pt>
                <c:pt idx="72">
                  <c:v>43496</c:v>
                </c:pt>
                <c:pt idx="73">
                  <c:v>43465</c:v>
                </c:pt>
                <c:pt idx="74">
                  <c:v>43434</c:v>
                </c:pt>
                <c:pt idx="75">
                  <c:v>43404</c:v>
                </c:pt>
                <c:pt idx="76">
                  <c:v>43373</c:v>
                </c:pt>
                <c:pt idx="77">
                  <c:v>43343</c:v>
                </c:pt>
                <c:pt idx="78">
                  <c:v>43312</c:v>
                </c:pt>
                <c:pt idx="79">
                  <c:v>43281</c:v>
                </c:pt>
                <c:pt idx="80">
                  <c:v>43251</c:v>
                </c:pt>
                <c:pt idx="81">
                  <c:v>43220</c:v>
                </c:pt>
                <c:pt idx="82">
                  <c:v>43190</c:v>
                </c:pt>
                <c:pt idx="83">
                  <c:v>43159</c:v>
                </c:pt>
                <c:pt idx="84">
                  <c:v>43131</c:v>
                </c:pt>
                <c:pt idx="85">
                  <c:v>43100</c:v>
                </c:pt>
                <c:pt idx="86">
                  <c:v>43069</c:v>
                </c:pt>
                <c:pt idx="87">
                  <c:v>43039</c:v>
                </c:pt>
                <c:pt idx="88">
                  <c:v>43008</c:v>
                </c:pt>
                <c:pt idx="89">
                  <c:v>42978</c:v>
                </c:pt>
                <c:pt idx="90">
                  <c:v>42947</c:v>
                </c:pt>
                <c:pt idx="91">
                  <c:v>42916</c:v>
                </c:pt>
                <c:pt idx="92">
                  <c:v>42886</c:v>
                </c:pt>
                <c:pt idx="93">
                  <c:v>42855</c:v>
                </c:pt>
                <c:pt idx="94">
                  <c:v>42825</c:v>
                </c:pt>
                <c:pt idx="95">
                  <c:v>42794</c:v>
                </c:pt>
                <c:pt idx="96">
                  <c:v>42766</c:v>
                </c:pt>
                <c:pt idx="97">
                  <c:v>42735</c:v>
                </c:pt>
                <c:pt idx="98">
                  <c:v>42704</c:v>
                </c:pt>
                <c:pt idx="99">
                  <c:v>42674</c:v>
                </c:pt>
                <c:pt idx="100">
                  <c:v>42643</c:v>
                </c:pt>
                <c:pt idx="101">
                  <c:v>42613</c:v>
                </c:pt>
                <c:pt idx="102">
                  <c:v>42582</c:v>
                </c:pt>
                <c:pt idx="103">
                  <c:v>42551</c:v>
                </c:pt>
                <c:pt idx="104">
                  <c:v>42521</c:v>
                </c:pt>
                <c:pt idx="105">
                  <c:v>42490</c:v>
                </c:pt>
                <c:pt idx="106">
                  <c:v>42460</c:v>
                </c:pt>
                <c:pt idx="107">
                  <c:v>42429</c:v>
                </c:pt>
                <c:pt idx="108">
                  <c:v>42400</c:v>
                </c:pt>
                <c:pt idx="109">
                  <c:v>42369</c:v>
                </c:pt>
                <c:pt idx="110">
                  <c:v>42338</c:v>
                </c:pt>
                <c:pt idx="111">
                  <c:v>42308</c:v>
                </c:pt>
                <c:pt idx="112">
                  <c:v>42277</c:v>
                </c:pt>
                <c:pt idx="113">
                  <c:v>42247</c:v>
                </c:pt>
                <c:pt idx="114">
                  <c:v>42216</c:v>
                </c:pt>
                <c:pt idx="115">
                  <c:v>42185</c:v>
                </c:pt>
                <c:pt idx="116">
                  <c:v>42155</c:v>
                </c:pt>
                <c:pt idx="117">
                  <c:v>42124</c:v>
                </c:pt>
                <c:pt idx="118">
                  <c:v>42094</c:v>
                </c:pt>
                <c:pt idx="119">
                  <c:v>42063</c:v>
                </c:pt>
                <c:pt idx="120">
                  <c:v>42035</c:v>
                </c:pt>
                <c:pt idx="121">
                  <c:v>42004</c:v>
                </c:pt>
                <c:pt idx="122">
                  <c:v>41973</c:v>
                </c:pt>
                <c:pt idx="123">
                  <c:v>41943</c:v>
                </c:pt>
                <c:pt idx="124">
                  <c:v>41912</c:v>
                </c:pt>
                <c:pt idx="125">
                  <c:v>41882</c:v>
                </c:pt>
                <c:pt idx="126">
                  <c:v>41851</c:v>
                </c:pt>
                <c:pt idx="127">
                  <c:v>41820</c:v>
                </c:pt>
                <c:pt idx="128">
                  <c:v>41790</c:v>
                </c:pt>
                <c:pt idx="129">
                  <c:v>41759</c:v>
                </c:pt>
                <c:pt idx="130">
                  <c:v>41729</c:v>
                </c:pt>
                <c:pt idx="131">
                  <c:v>41698</c:v>
                </c:pt>
                <c:pt idx="132">
                  <c:v>41670</c:v>
                </c:pt>
                <c:pt idx="133">
                  <c:v>41639</c:v>
                </c:pt>
                <c:pt idx="134">
                  <c:v>41608</c:v>
                </c:pt>
                <c:pt idx="135">
                  <c:v>41578</c:v>
                </c:pt>
                <c:pt idx="136">
                  <c:v>41547</c:v>
                </c:pt>
                <c:pt idx="137">
                  <c:v>41517</c:v>
                </c:pt>
                <c:pt idx="138">
                  <c:v>41486</c:v>
                </c:pt>
                <c:pt idx="139">
                  <c:v>41455</c:v>
                </c:pt>
                <c:pt idx="140">
                  <c:v>41425</c:v>
                </c:pt>
                <c:pt idx="141">
                  <c:v>41394</c:v>
                </c:pt>
                <c:pt idx="142">
                  <c:v>41364</c:v>
                </c:pt>
                <c:pt idx="143">
                  <c:v>41333</c:v>
                </c:pt>
                <c:pt idx="144">
                  <c:v>41305</c:v>
                </c:pt>
                <c:pt idx="145">
                  <c:v>41274</c:v>
                </c:pt>
                <c:pt idx="146">
                  <c:v>41243</c:v>
                </c:pt>
                <c:pt idx="147">
                  <c:v>41213</c:v>
                </c:pt>
                <c:pt idx="148">
                  <c:v>41182</c:v>
                </c:pt>
                <c:pt idx="149">
                  <c:v>41152</c:v>
                </c:pt>
                <c:pt idx="150">
                  <c:v>41121</c:v>
                </c:pt>
                <c:pt idx="151">
                  <c:v>41090</c:v>
                </c:pt>
                <c:pt idx="152">
                  <c:v>41060</c:v>
                </c:pt>
                <c:pt idx="153">
                  <c:v>41029</c:v>
                </c:pt>
                <c:pt idx="154">
                  <c:v>40999</c:v>
                </c:pt>
                <c:pt idx="155">
                  <c:v>40968</c:v>
                </c:pt>
                <c:pt idx="156">
                  <c:v>40939</c:v>
                </c:pt>
                <c:pt idx="157">
                  <c:v>40908</c:v>
                </c:pt>
                <c:pt idx="158">
                  <c:v>40877</c:v>
                </c:pt>
                <c:pt idx="159">
                  <c:v>40847</c:v>
                </c:pt>
                <c:pt idx="160">
                  <c:v>40816</c:v>
                </c:pt>
                <c:pt idx="161">
                  <c:v>40786</c:v>
                </c:pt>
                <c:pt idx="162">
                  <c:v>40755</c:v>
                </c:pt>
                <c:pt idx="163">
                  <c:v>40724</c:v>
                </c:pt>
                <c:pt idx="164">
                  <c:v>40694</c:v>
                </c:pt>
                <c:pt idx="165">
                  <c:v>40663</c:v>
                </c:pt>
                <c:pt idx="166">
                  <c:v>40633</c:v>
                </c:pt>
                <c:pt idx="167">
                  <c:v>40602</c:v>
                </c:pt>
                <c:pt idx="168">
                  <c:v>40574</c:v>
                </c:pt>
                <c:pt idx="169">
                  <c:v>40543</c:v>
                </c:pt>
                <c:pt idx="170">
                  <c:v>40512</c:v>
                </c:pt>
                <c:pt idx="171">
                  <c:v>40482</c:v>
                </c:pt>
                <c:pt idx="172">
                  <c:v>40451</c:v>
                </c:pt>
                <c:pt idx="173">
                  <c:v>40421</c:v>
                </c:pt>
                <c:pt idx="174">
                  <c:v>40390</c:v>
                </c:pt>
                <c:pt idx="175">
                  <c:v>40359</c:v>
                </c:pt>
                <c:pt idx="176">
                  <c:v>40329</c:v>
                </c:pt>
                <c:pt idx="177">
                  <c:v>40298</c:v>
                </c:pt>
                <c:pt idx="178">
                  <c:v>40268</c:v>
                </c:pt>
                <c:pt idx="179">
                  <c:v>40237</c:v>
                </c:pt>
                <c:pt idx="180">
                  <c:v>40209</c:v>
                </c:pt>
              </c:numCache>
            </c:numRef>
          </c:cat>
          <c:val>
            <c:numRef>
              <c:f>周期整合计算!$E$5:$E$185</c:f>
              <c:numCache>
                <c:formatCode>General</c:formatCode>
                <c:ptCount val="18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F6B-4F9D-8625-DE0573A8C232}"/>
            </c:ext>
          </c:extLst>
        </c:ser>
        <c:ser>
          <c:idx val="4"/>
          <c:order val="4"/>
          <c:tx>
            <c:strRef>
              <c:f>周期整合计算!$F$3</c:f>
              <c:strCache>
                <c:ptCount val="1"/>
                <c:pt idx="0">
                  <c:v>过热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周期整合计算!$A$5:$A$185</c:f>
              <c:numCache>
                <c:formatCode>yyyy/m/d;@</c:formatCode>
                <c:ptCount val="181"/>
                <c:pt idx="0">
                  <c:v>45688</c:v>
                </c:pt>
                <c:pt idx="1">
                  <c:v>45657</c:v>
                </c:pt>
                <c:pt idx="2">
                  <c:v>45626</c:v>
                </c:pt>
                <c:pt idx="3">
                  <c:v>45596</c:v>
                </c:pt>
                <c:pt idx="4">
                  <c:v>45565</c:v>
                </c:pt>
                <c:pt idx="5">
                  <c:v>45535</c:v>
                </c:pt>
                <c:pt idx="6">
                  <c:v>45504</c:v>
                </c:pt>
                <c:pt idx="7">
                  <c:v>45473</c:v>
                </c:pt>
                <c:pt idx="8">
                  <c:v>45443</c:v>
                </c:pt>
                <c:pt idx="9">
                  <c:v>45412</c:v>
                </c:pt>
                <c:pt idx="10">
                  <c:v>45382</c:v>
                </c:pt>
                <c:pt idx="11">
                  <c:v>45351</c:v>
                </c:pt>
                <c:pt idx="12">
                  <c:v>45322</c:v>
                </c:pt>
                <c:pt idx="13">
                  <c:v>45291</c:v>
                </c:pt>
                <c:pt idx="14">
                  <c:v>45260</c:v>
                </c:pt>
                <c:pt idx="15">
                  <c:v>45230</c:v>
                </c:pt>
                <c:pt idx="16">
                  <c:v>45199</c:v>
                </c:pt>
                <c:pt idx="17">
                  <c:v>45169</c:v>
                </c:pt>
                <c:pt idx="18">
                  <c:v>45138</c:v>
                </c:pt>
                <c:pt idx="19">
                  <c:v>45107</c:v>
                </c:pt>
                <c:pt idx="20">
                  <c:v>45077</c:v>
                </c:pt>
                <c:pt idx="21">
                  <c:v>45046</c:v>
                </c:pt>
                <c:pt idx="22">
                  <c:v>45016</c:v>
                </c:pt>
                <c:pt idx="23">
                  <c:v>44985</c:v>
                </c:pt>
                <c:pt idx="24">
                  <c:v>44957</c:v>
                </c:pt>
                <c:pt idx="25">
                  <c:v>44926</c:v>
                </c:pt>
                <c:pt idx="26">
                  <c:v>44895</c:v>
                </c:pt>
                <c:pt idx="27">
                  <c:v>44865</c:v>
                </c:pt>
                <c:pt idx="28">
                  <c:v>44834</c:v>
                </c:pt>
                <c:pt idx="29">
                  <c:v>44804</c:v>
                </c:pt>
                <c:pt idx="30">
                  <c:v>44773</c:v>
                </c:pt>
                <c:pt idx="31">
                  <c:v>44742</c:v>
                </c:pt>
                <c:pt idx="32">
                  <c:v>44712</c:v>
                </c:pt>
                <c:pt idx="33">
                  <c:v>44681</c:v>
                </c:pt>
                <c:pt idx="34">
                  <c:v>44651</c:v>
                </c:pt>
                <c:pt idx="35">
                  <c:v>44620</c:v>
                </c:pt>
                <c:pt idx="36">
                  <c:v>44592</c:v>
                </c:pt>
                <c:pt idx="37">
                  <c:v>44561</c:v>
                </c:pt>
                <c:pt idx="38">
                  <c:v>44530</c:v>
                </c:pt>
                <c:pt idx="39">
                  <c:v>44500</c:v>
                </c:pt>
                <c:pt idx="40">
                  <c:v>44469</c:v>
                </c:pt>
                <c:pt idx="41">
                  <c:v>44439</c:v>
                </c:pt>
                <c:pt idx="42">
                  <c:v>44408</c:v>
                </c:pt>
                <c:pt idx="43">
                  <c:v>44377</c:v>
                </c:pt>
                <c:pt idx="44">
                  <c:v>44347</c:v>
                </c:pt>
                <c:pt idx="45">
                  <c:v>44316</c:v>
                </c:pt>
                <c:pt idx="46">
                  <c:v>44286</c:v>
                </c:pt>
                <c:pt idx="47">
                  <c:v>44255</c:v>
                </c:pt>
                <c:pt idx="48">
                  <c:v>44227</c:v>
                </c:pt>
                <c:pt idx="49">
                  <c:v>44196</c:v>
                </c:pt>
                <c:pt idx="50">
                  <c:v>44165</c:v>
                </c:pt>
                <c:pt idx="51">
                  <c:v>44135</c:v>
                </c:pt>
                <c:pt idx="52">
                  <c:v>44104</c:v>
                </c:pt>
                <c:pt idx="53">
                  <c:v>44074</c:v>
                </c:pt>
                <c:pt idx="54">
                  <c:v>44043</c:v>
                </c:pt>
                <c:pt idx="55">
                  <c:v>44012</c:v>
                </c:pt>
                <c:pt idx="56">
                  <c:v>43982</c:v>
                </c:pt>
                <c:pt idx="57">
                  <c:v>43951</c:v>
                </c:pt>
                <c:pt idx="58">
                  <c:v>43921</c:v>
                </c:pt>
                <c:pt idx="59">
                  <c:v>43890</c:v>
                </c:pt>
                <c:pt idx="60">
                  <c:v>43861</c:v>
                </c:pt>
                <c:pt idx="61">
                  <c:v>43830</c:v>
                </c:pt>
                <c:pt idx="62">
                  <c:v>43799</c:v>
                </c:pt>
                <c:pt idx="63">
                  <c:v>43769</c:v>
                </c:pt>
                <c:pt idx="64">
                  <c:v>43738</c:v>
                </c:pt>
                <c:pt idx="65">
                  <c:v>43708</c:v>
                </c:pt>
                <c:pt idx="66">
                  <c:v>43677</c:v>
                </c:pt>
                <c:pt idx="67">
                  <c:v>43646</c:v>
                </c:pt>
                <c:pt idx="68">
                  <c:v>43616</c:v>
                </c:pt>
                <c:pt idx="69">
                  <c:v>43585</c:v>
                </c:pt>
                <c:pt idx="70">
                  <c:v>43555</c:v>
                </c:pt>
                <c:pt idx="71">
                  <c:v>43524</c:v>
                </c:pt>
                <c:pt idx="72">
                  <c:v>43496</c:v>
                </c:pt>
                <c:pt idx="73">
                  <c:v>43465</c:v>
                </c:pt>
                <c:pt idx="74">
                  <c:v>43434</c:v>
                </c:pt>
                <c:pt idx="75">
                  <c:v>43404</c:v>
                </c:pt>
                <c:pt idx="76">
                  <c:v>43373</c:v>
                </c:pt>
                <c:pt idx="77">
                  <c:v>43343</c:v>
                </c:pt>
                <c:pt idx="78">
                  <c:v>43312</c:v>
                </c:pt>
                <c:pt idx="79">
                  <c:v>43281</c:v>
                </c:pt>
                <c:pt idx="80">
                  <c:v>43251</c:v>
                </c:pt>
                <c:pt idx="81">
                  <c:v>43220</c:v>
                </c:pt>
                <c:pt idx="82">
                  <c:v>43190</c:v>
                </c:pt>
                <c:pt idx="83">
                  <c:v>43159</c:v>
                </c:pt>
                <c:pt idx="84">
                  <c:v>43131</c:v>
                </c:pt>
                <c:pt idx="85">
                  <c:v>43100</c:v>
                </c:pt>
                <c:pt idx="86">
                  <c:v>43069</c:v>
                </c:pt>
                <c:pt idx="87">
                  <c:v>43039</c:v>
                </c:pt>
                <c:pt idx="88">
                  <c:v>43008</c:v>
                </c:pt>
                <c:pt idx="89">
                  <c:v>42978</c:v>
                </c:pt>
                <c:pt idx="90">
                  <c:v>42947</c:v>
                </c:pt>
                <c:pt idx="91">
                  <c:v>42916</c:v>
                </c:pt>
                <c:pt idx="92">
                  <c:v>42886</c:v>
                </c:pt>
                <c:pt idx="93">
                  <c:v>42855</c:v>
                </c:pt>
                <c:pt idx="94">
                  <c:v>42825</c:v>
                </c:pt>
                <c:pt idx="95">
                  <c:v>42794</c:v>
                </c:pt>
                <c:pt idx="96">
                  <c:v>42766</c:v>
                </c:pt>
                <c:pt idx="97">
                  <c:v>42735</c:v>
                </c:pt>
                <c:pt idx="98">
                  <c:v>42704</c:v>
                </c:pt>
                <c:pt idx="99">
                  <c:v>42674</c:v>
                </c:pt>
                <c:pt idx="100">
                  <c:v>42643</c:v>
                </c:pt>
                <c:pt idx="101">
                  <c:v>42613</c:v>
                </c:pt>
                <c:pt idx="102">
                  <c:v>42582</c:v>
                </c:pt>
                <c:pt idx="103">
                  <c:v>42551</c:v>
                </c:pt>
                <c:pt idx="104">
                  <c:v>42521</c:v>
                </c:pt>
                <c:pt idx="105">
                  <c:v>42490</c:v>
                </c:pt>
                <c:pt idx="106">
                  <c:v>42460</c:v>
                </c:pt>
                <c:pt idx="107">
                  <c:v>42429</c:v>
                </c:pt>
                <c:pt idx="108">
                  <c:v>42400</c:v>
                </c:pt>
                <c:pt idx="109">
                  <c:v>42369</c:v>
                </c:pt>
                <c:pt idx="110">
                  <c:v>42338</c:v>
                </c:pt>
                <c:pt idx="111">
                  <c:v>42308</c:v>
                </c:pt>
                <c:pt idx="112">
                  <c:v>42277</c:v>
                </c:pt>
                <c:pt idx="113">
                  <c:v>42247</c:v>
                </c:pt>
                <c:pt idx="114">
                  <c:v>42216</c:v>
                </c:pt>
                <c:pt idx="115">
                  <c:v>42185</c:v>
                </c:pt>
                <c:pt idx="116">
                  <c:v>42155</c:v>
                </c:pt>
                <c:pt idx="117">
                  <c:v>42124</c:v>
                </c:pt>
                <c:pt idx="118">
                  <c:v>42094</c:v>
                </c:pt>
                <c:pt idx="119">
                  <c:v>42063</c:v>
                </c:pt>
                <c:pt idx="120">
                  <c:v>42035</c:v>
                </c:pt>
                <c:pt idx="121">
                  <c:v>42004</c:v>
                </c:pt>
                <c:pt idx="122">
                  <c:v>41973</c:v>
                </c:pt>
                <c:pt idx="123">
                  <c:v>41943</c:v>
                </c:pt>
                <c:pt idx="124">
                  <c:v>41912</c:v>
                </c:pt>
                <c:pt idx="125">
                  <c:v>41882</c:v>
                </c:pt>
                <c:pt idx="126">
                  <c:v>41851</c:v>
                </c:pt>
                <c:pt idx="127">
                  <c:v>41820</c:v>
                </c:pt>
                <c:pt idx="128">
                  <c:v>41790</c:v>
                </c:pt>
                <c:pt idx="129">
                  <c:v>41759</c:v>
                </c:pt>
                <c:pt idx="130">
                  <c:v>41729</c:v>
                </c:pt>
                <c:pt idx="131">
                  <c:v>41698</c:v>
                </c:pt>
                <c:pt idx="132">
                  <c:v>41670</c:v>
                </c:pt>
                <c:pt idx="133">
                  <c:v>41639</c:v>
                </c:pt>
                <c:pt idx="134">
                  <c:v>41608</c:v>
                </c:pt>
                <c:pt idx="135">
                  <c:v>41578</c:v>
                </c:pt>
                <c:pt idx="136">
                  <c:v>41547</c:v>
                </c:pt>
                <c:pt idx="137">
                  <c:v>41517</c:v>
                </c:pt>
                <c:pt idx="138">
                  <c:v>41486</c:v>
                </c:pt>
                <c:pt idx="139">
                  <c:v>41455</c:v>
                </c:pt>
                <c:pt idx="140">
                  <c:v>41425</c:v>
                </c:pt>
                <c:pt idx="141">
                  <c:v>41394</c:v>
                </c:pt>
                <c:pt idx="142">
                  <c:v>41364</c:v>
                </c:pt>
                <c:pt idx="143">
                  <c:v>41333</c:v>
                </c:pt>
                <c:pt idx="144">
                  <c:v>41305</c:v>
                </c:pt>
                <c:pt idx="145">
                  <c:v>41274</c:v>
                </c:pt>
                <c:pt idx="146">
                  <c:v>41243</c:v>
                </c:pt>
                <c:pt idx="147">
                  <c:v>41213</c:v>
                </c:pt>
                <c:pt idx="148">
                  <c:v>41182</c:v>
                </c:pt>
                <c:pt idx="149">
                  <c:v>41152</c:v>
                </c:pt>
                <c:pt idx="150">
                  <c:v>41121</c:v>
                </c:pt>
                <c:pt idx="151">
                  <c:v>41090</c:v>
                </c:pt>
                <c:pt idx="152">
                  <c:v>41060</c:v>
                </c:pt>
                <c:pt idx="153">
                  <c:v>41029</c:v>
                </c:pt>
                <c:pt idx="154">
                  <c:v>40999</c:v>
                </c:pt>
                <c:pt idx="155">
                  <c:v>40968</c:v>
                </c:pt>
                <c:pt idx="156">
                  <c:v>40939</c:v>
                </c:pt>
                <c:pt idx="157">
                  <c:v>40908</c:v>
                </c:pt>
                <c:pt idx="158">
                  <c:v>40877</c:v>
                </c:pt>
                <c:pt idx="159">
                  <c:v>40847</c:v>
                </c:pt>
                <c:pt idx="160">
                  <c:v>40816</c:v>
                </c:pt>
                <c:pt idx="161">
                  <c:v>40786</c:v>
                </c:pt>
                <c:pt idx="162">
                  <c:v>40755</c:v>
                </c:pt>
                <c:pt idx="163">
                  <c:v>40724</c:v>
                </c:pt>
                <c:pt idx="164">
                  <c:v>40694</c:v>
                </c:pt>
                <c:pt idx="165">
                  <c:v>40663</c:v>
                </c:pt>
                <c:pt idx="166">
                  <c:v>40633</c:v>
                </c:pt>
                <c:pt idx="167">
                  <c:v>40602</c:v>
                </c:pt>
                <c:pt idx="168">
                  <c:v>40574</c:v>
                </c:pt>
                <c:pt idx="169">
                  <c:v>40543</c:v>
                </c:pt>
                <c:pt idx="170">
                  <c:v>40512</c:v>
                </c:pt>
                <c:pt idx="171">
                  <c:v>40482</c:v>
                </c:pt>
                <c:pt idx="172">
                  <c:v>40451</c:v>
                </c:pt>
                <c:pt idx="173">
                  <c:v>40421</c:v>
                </c:pt>
                <c:pt idx="174">
                  <c:v>40390</c:v>
                </c:pt>
                <c:pt idx="175">
                  <c:v>40359</c:v>
                </c:pt>
                <c:pt idx="176">
                  <c:v>40329</c:v>
                </c:pt>
                <c:pt idx="177">
                  <c:v>40298</c:v>
                </c:pt>
                <c:pt idx="178">
                  <c:v>40268</c:v>
                </c:pt>
                <c:pt idx="179">
                  <c:v>40237</c:v>
                </c:pt>
                <c:pt idx="180">
                  <c:v>40209</c:v>
                </c:pt>
              </c:numCache>
            </c:numRef>
          </c:cat>
          <c:val>
            <c:numRef>
              <c:f>周期整合计算!$F$5:$F$185</c:f>
              <c:numCache>
                <c:formatCode>General</c:formatCode>
                <c:ptCount val="18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F6B-4F9D-8625-DE0573A8C2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711290233"/>
        <c:axId val="154230829"/>
      </c:barChart>
      <c:lineChart>
        <c:grouping val="standard"/>
        <c:varyColors val="0"/>
        <c:ser>
          <c:idx val="0"/>
          <c:order val="0"/>
          <c:tx>
            <c:strRef>
              <c:f>周期整合计算!$B$4</c:f>
              <c:strCache>
                <c:ptCount val="1"/>
                <c:pt idx="0">
                  <c:v>综合景气指标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numRef>
              <c:f>周期整合计算!$A$5:$A$185</c:f>
              <c:numCache>
                <c:formatCode>yyyy/m/d;@</c:formatCode>
                <c:ptCount val="181"/>
                <c:pt idx="0">
                  <c:v>45688</c:v>
                </c:pt>
                <c:pt idx="1">
                  <c:v>45657</c:v>
                </c:pt>
                <c:pt idx="2">
                  <c:v>45626</c:v>
                </c:pt>
                <c:pt idx="3">
                  <c:v>45596</c:v>
                </c:pt>
                <c:pt idx="4">
                  <c:v>45565</c:v>
                </c:pt>
                <c:pt idx="5">
                  <c:v>45535</c:v>
                </c:pt>
                <c:pt idx="6">
                  <c:v>45504</c:v>
                </c:pt>
                <c:pt idx="7">
                  <c:v>45473</c:v>
                </c:pt>
                <c:pt idx="8">
                  <c:v>45443</c:v>
                </c:pt>
                <c:pt idx="9">
                  <c:v>45412</c:v>
                </c:pt>
                <c:pt idx="10">
                  <c:v>45382</c:v>
                </c:pt>
                <c:pt idx="11">
                  <c:v>45351</c:v>
                </c:pt>
                <c:pt idx="12">
                  <c:v>45322</c:v>
                </c:pt>
                <c:pt idx="13">
                  <c:v>45291</c:v>
                </c:pt>
                <c:pt idx="14">
                  <c:v>45260</c:v>
                </c:pt>
                <c:pt idx="15">
                  <c:v>45230</c:v>
                </c:pt>
                <c:pt idx="16">
                  <c:v>45199</c:v>
                </c:pt>
                <c:pt idx="17">
                  <c:v>45169</c:v>
                </c:pt>
                <c:pt idx="18">
                  <c:v>45138</c:v>
                </c:pt>
                <c:pt idx="19">
                  <c:v>45107</c:v>
                </c:pt>
                <c:pt idx="20">
                  <c:v>45077</c:v>
                </c:pt>
                <c:pt idx="21">
                  <c:v>45046</c:v>
                </c:pt>
                <c:pt idx="22">
                  <c:v>45016</c:v>
                </c:pt>
                <c:pt idx="23">
                  <c:v>44985</c:v>
                </c:pt>
                <c:pt idx="24">
                  <c:v>44957</c:v>
                </c:pt>
                <c:pt idx="25">
                  <c:v>44926</c:v>
                </c:pt>
                <c:pt idx="26">
                  <c:v>44895</c:v>
                </c:pt>
                <c:pt idx="27">
                  <c:v>44865</c:v>
                </c:pt>
                <c:pt idx="28">
                  <c:v>44834</c:v>
                </c:pt>
                <c:pt idx="29">
                  <c:v>44804</c:v>
                </c:pt>
                <c:pt idx="30">
                  <c:v>44773</c:v>
                </c:pt>
                <c:pt idx="31">
                  <c:v>44742</c:v>
                </c:pt>
                <c:pt idx="32">
                  <c:v>44712</c:v>
                </c:pt>
                <c:pt idx="33">
                  <c:v>44681</c:v>
                </c:pt>
                <c:pt idx="34">
                  <c:v>44651</c:v>
                </c:pt>
                <c:pt idx="35">
                  <c:v>44620</c:v>
                </c:pt>
                <c:pt idx="36">
                  <c:v>44592</c:v>
                </c:pt>
                <c:pt idx="37">
                  <c:v>44561</c:v>
                </c:pt>
                <c:pt idx="38">
                  <c:v>44530</c:v>
                </c:pt>
                <c:pt idx="39">
                  <c:v>44500</c:v>
                </c:pt>
                <c:pt idx="40">
                  <c:v>44469</c:v>
                </c:pt>
                <c:pt idx="41">
                  <c:v>44439</c:v>
                </c:pt>
                <c:pt idx="42">
                  <c:v>44408</c:v>
                </c:pt>
                <c:pt idx="43">
                  <c:v>44377</c:v>
                </c:pt>
                <c:pt idx="44">
                  <c:v>44347</c:v>
                </c:pt>
                <c:pt idx="45">
                  <c:v>44316</c:v>
                </c:pt>
                <c:pt idx="46">
                  <c:v>44286</c:v>
                </c:pt>
                <c:pt idx="47">
                  <c:v>44255</c:v>
                </c:pt>
                <c:pt idx="48">
                  <c:v>44227</c:v>
                </c:pt>
                <c:pt idx="49">
                  <c:v>44196</c:v>
                </c:pt>
                <c:pt idx="50">
                  <c:v>44165</c:v>
                </c:pt>
                <c:pt idx="51">
                  <c:v>44135</c:v>
                </c:pt>
                <c:pt idx="52">
                  <c:v>44104</c:v>
                </c:pt>
                <c:pt idx="53">
                  <c:v>44074</c:v>
                </c:pt>
                <c:pt idx="54">
                  <c:v>44043</c:v>
                </c:pt>
                <c:pt idx="55">
                  <c:v>44012</c:v>
                </c:pt>
                <c:pt idx="56">
                  <c:v>43982</c:v>
                </c:pt>
                <c:pt idx="57">
                  <c:v>43951</c:v>
                </c:pt>
                <c:pt idx="58">
                  <c:v>43921</c:v>
                </c:pt>
                <c:pt idx="59">
                  <c:v>43890</c:v>
                </c:pt>
                <c:pt idx="60">
                  <c:v>43861</c:v>
                </c:pt>
                <c:pt idx="61">
                  <c:v>43830</c:v>
                </c:pt>
                <c:pt idx="62">
                  <c:v>43799</c:v>
                </c:pt>
                <c:pt idx="63">
                  <c:v>43769</c:v>
                </c:pt>
                <c:pt idx="64">
                  <c:v>43738</c:v>
                </c:pt>
                <c:pt idx="65">
                  <c:v>43708</c:v>
                </c:pt>
                <c:pt idx="66">
                  <c:v>43677</c:v>
                </c:pt>
                <c:pt idx="67">
                  <c:v>43646</c:v>
                </c:pt>
                <c:pt idx="68">
                  <c:v>43616</c:v>
                </c:pt>
                <c:pt idx="69">
                  <c:v>43585</c:v>
                </c:pt>
                <c:pt idx="70">
                  <c:v>43555</c:v>
                </c:pt>
                <c:pt idx="71">
                  <c:v>43524</c:v>
                </c:pt>
                <c:pt idx="72">
                  <c:v>43496</c:v>
                </c:pt>
                <c:pt idx="73">
                  <c:v>43465</c:v>
                </c:pt>
                <c:pt idx="74">
                  <c:v>43434</c:v>
                </c:pt>
                <c:pt idx="75">
                  <c:v>43404</c:v>
                </c:pt>
                <c:pt idx="76">
                  <c:v>43373</c:v>
                </c:pt>
                <c:pt idx="77">
                  <c:v>43343</c:v>
                </c:pt>
                <c:pt idx="78">
                  <c:v>43312</c:v>
                </c:pt>
                <c:pt idx="79">
                  <c:v>43281</c:v>
                </c:pt>
                <c:pt idx="80">
                  <c:v>43251</c:v>
                </c:pt>
                <c:pt idx="81">
                  <c:v>43220</c:v>
                </c:pt>
                <c:pt idx="82">
                  <c:v>43190</c:v>
                </c:pt>
                <c:pt idx="83">
                  <c:v>43159</c:v>
                </c:pt>
                <c:pt idx="84">
                  <c:v>43131</c:v>
                </c:pt>
                <c:pt idx="85">
                  <c:v>43100</c:v>
                </c:pt>
                <c:pt idx="86">
                  <c:v>43069</c:v>
                </c:pt>
                <c:pt idx="87">
                  <c:v>43039</c:v>
                </c:pt>
                <c:pt idx="88">
                  <c:v>43008</c:v>
                </c:pt>
                <c:pt idx="89">
                  <c:v>42978</c:v>
                </c:pt>
                <c:pt idx="90">
                  <c:v>42947</c:v>
                </c:pt>
                <c:pt idx="91">
                  <c:v>42916</c:v>
                </c:pt>
                <c:pt idx="92">
                  <c:v>42886</c:v>
                </c:pt>
                <c:pt idx="93">
                  <c:v>42855</c:v>
                </c:pt>
                <c:pt idx="94">
                  <c:v>42825</c:v>
                </c:pt>
                <c:pt idx="95">
                  <c:v>42794</c:v>
                </c:pt>
                <c:pt idx="96">
                  <c:v>42766</c:v>
                </c:pt>
                <c:pt idx="97">
                  <c:v>42735</c:v>
                </c:pt>
                <c:pt idx="98">
                  <c:v>42704</c:v>
                </c:pt>
                <c:pt idx="99">
                  <c:v>42674</c:v>
                </c:pt>
                <c:pt idx="100">
                  <c:v>42643</c:v>
                </c:pt>
                <c:pt idx="101">
                  <c:v>42613</c:v>
                </c:pt>
                <c:pt idx="102">
                  <c:v>42582</c:v>
                </c:pt>
                <c:pt idx="103">
                  <c:v>42551</c:v>
                </c:pt>
                <c:pt idx="104">
                  <c:v>42521</c:v>
                </c:pt>
                <c:pt idx="105">
                  <c:v>42490</c:v>
                </c:pt>
                <c:pt idx="106">
                  <c:v>42460</c:v>
                </c:pt>
                <c:pt idx="107">
                  <c:v>42429</c:v>
                </c:pt>
                <c:pt idx="108">
                  <c:v>42400</c:v>
                </c:pt>
                <c:pt idx="109">
                  <c:v>42369</c:v>
                </c:pt>
                <c:pt idx="110">
                  <c:v>42338</c:v>
                </c:pt>
                <c:pt idx="111">
                  <c:v>42308</c:v>
                </c:pt>
                <c:pt idx="112">
                  <c:v>42277</c:v>
                </c:pt>
                <c:pt idx="113">
                  <c:v>42247</c:v>
                </c:pt>
                <c:pt idx="114">
                  <c:v>42216</c:v>
                </c:pt>
                <c:pt idx="115">
                  <c:v>42185</c:v>
                </c:pt>
                <c:pt idx="116">
                  <c:v>42155</c:v>
                </c:pt>
                <c:pt idx="117">
                  <c:v>42124</c:v>
                </c:pt>
                <c:pt idx="118">
                  <c:v>42094</c:v>
                </c:pt>
                <c:pt idx="119">
                  <c:v>42063</c:v>
                </c:pt>
                <c:pt idx="120">
                  <c:v>42035</c:v>
                </c:pt>
                <c:pt idx="121">
                  <c:v>42004</c:v>
                </c:pt>
                <c:pt idx="122">
                  <c:v>41973</c:v>
                </c:pt>
                <c:pt idx="123">
                  <c:v>41943</c:v>
                </c:pt>
                <c:pt idx="124">
                  <c:v>41912</c:v>
                </c:pt>
                <c:pt idx="125">
                  <c:v>41882</c:v>
                </c:pt>
                <c:pt idx="126">
                  <c:v>41851</c:v>
                </c:pt>
                <c:pt idx="127">
                  <c:v>41820</c:v>
                </c:pt>
                <c:pt idx="128">
                  <c:v>41790</c:v>
                </c:pt>
                <c:pt idx="129">
                  <c:v>41759</c:v>
                </c:pt>
                <c:pt idx="130">
                  <c:v>41729</c:v>
                </c:pt>
                <c:pt idx="131">
                  <c:v>41698</c:v>
                </c:pt>
                <c:pt idx="132">
                  <c:v>41670</c:v>
                </c:pt>
                <c:pt idx="133">
                  <c:v>41639</c:v>
                </c:pt>
                <c:pt idx="134">
                  <c:v>41608</c:v>
                </c:pt>
                <c:pt idx="135">
                  <c:v>41578</c:v>
                </c:pt>
                <c:pt idx="136">
                  <c:v>41547</c:v>
                </c:pt>
                <c:pt idx="137">
                  <c:v>41517</c:v>
                </c:pt>
                <c:pt idx="138">
                  <c:v>41486</c:v>
                </c:pt>
                <c:pt idx="139">
                  <c:v>41455</c:v>
                </c:pt>
                <c:pt idx="140">
                  <c:v>41425</c:v>
                </c:pt>
                <c:pt idx="141">
                  <c:v>41394</c:v>
                </c:pt>
                <c:pt idx="142">
                  <c:v>41364</c:v>
                </c:pt>
                <c:pt idx="143">
                  <c:v>41333</c:v>
                </c:pt>
                <c:pt idx="144">
                  <c:v>41305</c:v>
                </c:pt>
                <c:pt idx="145">
                  <c:v>41274</c:v>
                </c:pt>
                <c:pt idx="146">
                  <c:v>41243</c:v>
                </c:pt>
                <c:pt idx="147">
                  <c:v>41213</c:v>
                </c:pt>
                <c:pt idx="148">
                  <c:v>41182</c:v>
                </c:pt>
                <c:pt idx="149">
                  <c:v>41152</c:v>
                </c:pt>
                <c:pt idx="150">
                  <c:v>41121</c:v>
                </c:pt>
                <c:pt idx="151">
                  <c:v>41090</c:v>
                </c:pt>
                <c:pt idx="152">
                  <c:v>41060</c:v>
                </c:pt>
                <c:pt idx="153">
                  <c:v>41029</c:v>
                </c:pt>
                <c:pt idx="154">
                  <c:v>40999</c:v>
                </c:pt>
                <c:pt idx="155">
                  <c:v>40968</c:v>
                </c:pt>
                <c:pt idx="156">
                  <c:v>40939</c:v>
                </c:pt>
                <c:pt idx="157">
                  <c:v>40908</c:v>
                </c:pt>
                <c:pt idx="158">
                  <c:v>40877</c:v>
                </c:pt>
                <c:pt idx="159">
                  <c:v>40847</c:v>
                </c:pt>
                <c:pt idx="160">
                  <c:v>40816</c:v>
                </c:pt>
                <c:pt idx="161">
                  <c:v>40786</c:v>
                </c:pt>
                <c:pt idx="162">
                  <c:v>40755</c:v>
                </c:pt>
                <c:pt idx="163">
                  <c:v>40724</c:v>
                </c:pt>
                <c:pt idx="164">
                  <c:v>40694</c:v>
                </c:pt>
                <c:pt idx="165">
                  <c:v>40663</c:v>
                </c:pt>
                <c:pt idx="166">
                  <c:v>40633</c:v>
                </c:pt>
                <c:pt idx="167">
                  <c:v>40602</c:v>
                </c:pt>
                <c:pt idx="168">
                  <c:v>40574</c:v>
                </c:pt>
                <c:pt idx="169">
                  <c:v>40543</c:v>
                </c:pt>
                <c:pt idx="170">
                  <c:v>40512</c:v>
                </c:pt>
                <c:pt idx="171">
                  <c:v>40482</c:v>
                </c:pt>
                <c:pt idx="172">
                  <c:v>40451</c:v>
                </c:pt>
                <c:pt idx="173">
                  <c:v>40421</c:v>
                </c:pt>
                <c:pt idx="174">
                  <c:v>40390</c:v>
                </c:pt>
                <c:pt idx="175">
                  <c:v>40359</c:v>
                </c:pt>
                <c:pt idx="176">
                  <c:v>40329</c:v>
                </c:pt>
                <c:pt idx="177">
                  <c:v>40298</c:v>
                </c:pt>
                <c:pt idx="178">
                  <c:v>40268</c:v>
                </c:pt>
                <c:pt idx="179">
                  <c:v>40237</c:v>
                </c:pt>
                <c:pt idx="180">
                  <c:v>40209</c:v>
                </c:pt>
              </c:numCache>
            </c:numRef>
          </c:cat>
          <c:val>
            <c:numRef>
              <c:f>周期整合计算!$B$5:$B$185</c:f>
              <c:numCache>
                <c:formatCode>General</c:formatCode>
                <c:ptCount val="181"/>
                <c:pt idx="0">
                  <c:v>-1.419533616352453</c:v>
                </c:pt>
                <c:pt idx="1">
                  <c:v>-1.7174815018003387</c:v>
                </c:pt>
                <c:pt idx="2">
                  <c:v>-2.0424001069991724</c:v>
                </c:pt>
                <c:pt idx="3">
                  <c:v>-2.3084845861271295</c:v>
                </c:pt>
                <c:pt idx="4">
                  <c:v>-2.5968375343484991</c:v>
                </c:pt>
                <c:pt idx="5">
                  <c:v>-2.648594768342575</c:v>
                </c:pt>
                <c:pt idx="6">
                  <c:v>-2.2078798521802372</c:v>
                </c:pt>
                <c:pt idx="7">
                  <c:v>-2.020826832186041</c:v>
                </c:pt>
                <c:pt idx="8">
                  <c:v>-1.8498160316271772</c:v>
                </c:pt>
                <c:pt idx="9">
                  <c:v>-1.6840842421453874</c:v>
                </c:pt>
                <c:pt idx="10">
                  <c:v>-1.2461303093230336</c:v>
                </c:pt>
                <c:pt idx="11">
                  <c:v>-0.86496174341762566</c:v>
                </c:pt>
                <c:pt idx="12">
                  <c:v>#N/A</c:v>
                </c:pt>
                <c:pt idx="13">
                  <c:v>-0.77144220739808966</c:v>
                </c:pt>
                <c:pt idx="14">
                  <c:v>-0.79189289203995072</c:v>
                </c:pt>
                <c:pt idx="15">
                  <c:v>-0.64542370502896806</c:v>
                </c:pt>
                <c:pt idx="16">
                  <c:v>-0.39051039886566191</c:v>
                </c:pt>
                <c:pt idx="17">
                  <c:v>-0.40977377989374886</c:v>
                </c:pt>
                <c:pt idx="18">
                  <c:v>-0.44441917512737944</c:v>
                </c:pt>
                <c:pt idx="19">
                  <c:v>-0.58278607731007104</c:v>
                </c:pt>
                <c:pt idx="20">
                  <c:v>-0.66536141815154093</c:v>
                </c:pt>
                <c:pt idx="21">
                  <c:v>-0.80832806901292864</c:v>
                </c:pt>
                <c:pt idx="22">
                  <c:v>-0.70828594488358354</c:v>
                </c:pt>
                <c:pt idx="23">
                  <c:v>-0.30840265823559082</c:v>
                </c:pt>
                <c:pt idx="24">
                  <c:v>#N/A</c:v>
                </c:pt>
                <c:pt idx="25">
                  <c:v>-0.10910293834763581</c:v>
                </c:pt>
                <c:pt idx="26">
                  <c:v>-0.18593988470212605</c:v>
                </c:pt>
                <c:pt idx="27">
                  <c:v>-0.22302937227548458</c:v>
                </c:pt>
                <c:pt idx="28">
                  <c:v>-0.32728793534983713</c:v>
                </c:pt>
                <c:pt idx="29">
                  <c:v>-0.80717247953899374</c:v>
                </c:pt>
                <c:pt idx="30">
                  <c:v>-1.4132283659657239</c:v>
                </c:pt>
                <c:pt idx="31">
                  <c:v>-1.7622182649556228</c:v>
                </c:pt>
                <c:pt idx="32">
                  <c:v>-1.7890809084849331</c:v>
                </c:pt>
                <c:pt idx="33">
                  <c:v>-1.6619965308742397</c:v>
                </c:pt>
                <c:pt idx="34">
                  <c:v>-1.8376982852602044</c:v>
                </c:pt>
                <c:pt idx="35">
                  <c:v>-1.7266396413371108</c:v>
                </c:pt>
                <c:pt idx="36">
                  <c:v>#N/A</c:v>
                </c:pt>
                <c:pt idx="37">
                  <c:v>-1.9153258184024438</c:v>
                </c:pt>
                <c:pt idx="38">
                  <c:v>-2.1126322157088411</c:v>
                </c:pt>
                <c:pt idx="39">
                  <c:v>-2.2571608352374604</c:v>
                </c:pt>
                <c:pt idx="40">
                  <c:v>-2.444149139331028</c:v>
                </c:pt>
                <c:pt idx="41">
                  <c:v>-2.2880818878690397</c:v>
                </c:pt>
                <c:pt idx="42">
                  <c:v>-1.8609730060387955</c:v>
                </c:pt>
                <c:pt idx="43">
                  <c:v>-1.3289920118867486</c:v>
                </c:pt>
                <c:pt idx="44">
                  <c:v>-0.64556121266647581</c:v>
                </c:pt>
                <c:pt idx="45">
                  <c:v>7.5269458783390683E-2</c:v>
                </c:pt>
                <c:pt idx="46">
                  <c:v>0.5854893193321985</c:v>
                </c:pt>
                <c:pt idx="47">
                  <c:v>0.99577893225339043</c:v>
                </c:pt>
                <c:pt idx="48">
                  <c:v>#N/A</c:v>
                </c:pt>
                <c:pt idx="49">
                  <c:v>0.84900129840145311</c:v>
                </c:pt>
                <c:pt idx="50">
                  <c:v>0.74506042015716945</c:v>
                </c:pt>
                <c:pt idx="51">
                  <c:v>0.54955650886378438</c:v>
                </c:pt>
                <c:pt idx="52">
                  <c:v>0.48898768205076254</c:v>
                </c:pt>
                <c:pt idx="53">
                  <c:v>0.49608079055516141</c:v>
                </c:pt>
                <c:pt idx="54">
                  <c:v>0.36920805315610816</c:v>
                </c:pt>
                <c:pt idx="55">
                  <c:v>0.35672170537564279</c:v>
                </c:pt>
                <c:pt idx="56">
                  <c:v>0.34854448120577158</c:v>
                </c:pt>
                <c:pt idx="57">
                  <c:v>0.30534693800822837</c:v>
                </c:pt>
                <c:pt idx="58">
                  <c:v>0.15306415939392801</c:v>
                </c:pt>
                <c:pt idx="59">
                  <c:v>-5.217574962796101E-2</c:v>
                </c:pt>
                <c:pt idx="60">
                  <c:v>#N/A</c:v>
                </c:pt>
                <c:pt idx="61">
                  <c:v>-5.6527409776722611E-2</c:v>
                </c:pt>
                <c:pt idx="62">
                  <c:v>-6.5502385418364936E-2</c:v>
                </c:pt>
                <c:pt idx="63">
                  <c:v>-6.3956082874255374E-2</c:v>
                </c:pt>
                <c:pt idx="64">
                  <c:v>-5.590764982582231E-2</c:v>
                </c:pt>
                <c:pt idx="65">
                  <c:v>-0.10784669750184672</c:v>
                </c:pt>
                <c:pt idx="66">
                  <c:v>-0.11819857423303382</c:v>
                </c:pt>
                <c:pt idx="67">
                  <c:v>-1.2026139399720266E-3</c:v>
                </c:pt>
                <c:pt idx="68">
                  <c:v>0.15096944239875099</c:v>
                </c:pt>
                <c:pt idx="69">
                  <c:v>0.22421604521819896</c:v>
                </c:pt>
                <c:pt idx="70">
                  <c:v>0.31309164330432337</c:v>
                </c:pt>
                <c:pt idx="71">
                  <c:v>0.50916802707420561</c:v>
                </c:pt>
                <c:pt idx="72">
                  <c:v>#N/A</c:v>
                </c:pt>
                <c:pt idx="73">
                  <c:v>0.7682716685307881</c:v>
                </c:pt>
                <c:pt idx="74">
                  <c:v>0.75929800330712283</c:v>
                </c:pt>
                <c:pt idx="75">
                  <c:v>0.80047488198400174</c:v>
                </c:pt>
                <c:pt idx="76">
                  <c:v>0.9704024182158858</c:v>
                </c:pt>
                <c:pt idx="77">
                  <c:v>1.2552056372868394</c:v>
                </c:pt>
                <c:pt idx="78">
                  <c:v>1.3657996728808748</c:v>
                </c:pt>
                <c:pt idx="79">
                  <c:v>1.6668150790433398</c:v>
                </c:pt>
                <c:pt idx="80">
                  <c:v>1.9461853797952198</c:v>
                </c:pt>
                <c:pt idx="81">
                  <c:v>2.0030280741379145</c:v>
                </c:pt>
                <c:pt idx="82">
                  <c:v>1.9676522571444499</c:v>
                </c:pt>
                <c:pt idx="83">
                  <c:v>1.781807203983927</c:v>
                </c:pt>
                <c:pt idx="84">
                  <c:v>#N/A</c:v>
                </c:pt>
                <c:pt idx="85">
                  <c:v>1.7134089355856583</c:v>
                </c:pt>
                <c:pt idx="86">
                  <c:v>1.4275381780685592</c:v>
                </c:pt>
                <c:pt idx="87">
                  <c:v>1.3228549957537981</c:v>
                </c:pt>
                <c:pt idx="88">
                  <c:v>1.3108026962014985</c:v>
                </c:pt>
                <c:pt idx="89">
                  <c:v>1.3999198741731655</c:v>
                </c:pt>
                <c:pt idx="90">
                  <c:v>1.4900533631438639</c:v>
                </c:pt>
                <c:pt idx="91">
                  <c:v>1.4666615502783669</c:v>
                </c:pt>
                <c:pt idx="92">
                  <c:v>1.3078427653118057</c:v>
                </c:pt>
                <c:pt idx="93">
                  <c:v>1.1350097976258964</c:v>
                </c:pt>
                <c:pt idx="94">
                  <c:v>0.95503167389777277</c:v>
                </c:pt>
                <c:pt idx="95">
                  <c:v>0.91551202310902202</c:v>
                </c:pt>
                <c:pt idx="96">
                  <c:v>#N/A</c:v>
                </c:pt>
                <c:pt idx="97">
                  <c:v>0.89302910062609941</c:v>
                </c:pt>
                <c:pt idx="98">
                  <c:v>0.91936289488185385</c:v>
                </c:pt>
                <c:pt idx="99">
                  <c:v>1.0354389212519979</c:v>
                </c:pt>
                <c:pt idx="100">
                  <c:v>1.0185304575298086</c:v>
                </c:pt>
                <c:pt idx="101">
                  <c:v>1.0015157592651105</c:v>
                </c:pt>
                <c:pt idx="102">
                  <c:v>0.83566345744506665</c:v>
                </c:pt>
                <c:pt idx="103">
                  <c:v>0.42181895519476725</c:v>
                </c:pt>
                <c:pt idx="104">
                  <c:v>8.8557293484829713E-2</c:v>
                </c:pt>
                <c:pt idx="105">
                  <c:v>-4.6413846486310271E-2</c:v>
                </c:pt>
                <c:pt idx="106">
                  <c:v>-9.5347628753425881E-2</c:v>
                </c:pt>
                <c:pt idx="107">
                  <c:v>-0.14708293048872764</c:v>
                </c:pt>
                <c:pt idx="108">
                  <c:v>#N/A</c:v>
                </c:pt>
                <c:pt idx="109">
                  <c:v>-0.24823011663591377</c:v>
                </c:pt>
                <c:pt idx="110">
                  <c:v>-9.0795870795870828E-2</c:v>
                </c:pt>
                <c:pt idx="111">
                  <c:v>4.4285714285714262E-2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#N/A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#N/A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#N/A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#N/A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#N/A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F6B-4F9D-8625-DE0573A8C2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9114768"/>
        <c:axId val="158753255"/>
      </c:lineChart>
      <c:dateAx>
        <c:axId val="459114768"/>
        <c:scaling>
          <c:orientation val="minMax"/>
        </c:scaling>
        <c:delete val="0"/>
        <c:axPos val="b"/>
        <c:numFmt formatCode="yyyy/mm;@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8753255"/>
        <c:crosses val="autoZero"/>
        <c:auto val="1"/>
        <c:lblOffset val="100"/>
        <c:baseTimeUnit val="months"/>
      </c:dateAx>
      <c:valAx>
        <c:axId val="158753255"/>
        <c:scaling>
          <c:orientation val="minMax"/>
          <c:min val="-3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#,##0.0_ 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9114768"/>
        <c:crosses val="autoZero"/>
        <c:crossBetween val="between"/>
      </c:valAx>
      <c:dateAx>
        <c:axId val="711290233"/>
        <c:scaling>
          <c:orientation val="minMax"/>
        </c:scaling>
        <c:delete val="1"/>
        <c:axPos val="b"/>
        <c:numFmt formatCode="yyyy/m/d;@" sourceLinked="1"/>
        <c:majorTickMark val="out"/>
        <c:minorTickMark val="none"/>
        <c:tickLblPos val="nextTo"/>
        <c:crossAx val="154230829"/>
        <c:crosses val="autoZero"/>
        <c:auto val="1"/>
        <c:lblOffset val="100"/>
        <c:baseTimeUnit val="months"/>
      </c:dateAx>
      <c:valAx>
        <c:axId val="154230829"/>
        <c:scaling>
          <c:orientation val="minMax"/>
          <c:max val="1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11290233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'[2]货币信用框架1-货币政策目标+信用脉冲'!$D$3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2"/>
            </a:solidFill>
            <a:ln w="15875" cap="rnd">
              <a:noFill/>
              <a:round/>
            </a:ln>
            <a:effectLst/>
          </c:spPr>
          <c:invertIfNegative val="0"/>
          <c:cat>
            <c:numRef>
              <c:f>'[2]货币信用框架1-货币政策目标+信用脉冲'!$A$4:$A$200</c:f>
              <c:numCache>
                <c:formatCode>General</c:formatCode>
                <c:ptCount val="197"/>
                <c:pt idx="0">
                  <c:v>45473</c:v>
                </c:pt>
                <c:pt idx="1">
                  <c:v>45443</c:v>
                </c:pt>
                <c:pt idx="2">
                  <c:v>45412</c:v>
                </c:pt>
                <c:pt idx="3">
                  <c:v>45382</c:v>
                </c:pt>
                <c:pt idx="4">
                  <c:v>45351</c:v>
                </c:pt>
                <c:pt idx="5">
                  <c:v>45322</c:v>
                </c:pt>
                <c:pt idx="6">
                  <c:v>45291</c:v>
                </c:pt>
                <c:pt idx="7">
                  <c:v>45260</c:v>
                </c:pt>
                <c:pt idx="8">
                  <c:v>45230</c:v>
                </c:pt>
                <c:pt idx="9">
                  <c:v>45199</c:v>
                </c:pt>
                <c:pt idx="10">
                  <c:v>45169</c:v>
                </c:pt>
                <c:pt idx="11">
                  <c:v>45138</c:v>
                </c:pt>
                <c:pt idx="12">
                  <c:v>45107</c:v>
                </c:pt>
                <c:pt idx="13">
                  <c:v>45077</c:v>
                </c:pt>
                <c:pt idx="14">
                  <c:v>45046</c:v>
                </c:pt>
                <c:pt idx="15">
                  <c:v>45016</c:v>
                </c:pt>
                <c:pt idx="16">
                  <c:v>44985</c:v>
                </c:pt>
                <c:pt idx="17">
                  <c:v>44957</c:v>
                </c:pt>
                <c:pt idx="18">
                  <c:v>44926</c:v>
                </c:pt>
                <c:pt idx="19">
                  <c:v>44895</c:v>
                </c:pt>
                <c:pt idx="20">
                  <c:v>44865</c:v>
                </c:pt>
                <c:pt idx="21">
                  <c:v>44834</c:v>
                </c:pt>
                <c:pt idx="22">
                  <c:v>44804</c:v>
                </c:pt>
                <c:pt idx="23">
                  <c:v>44773</c:v>
                </c:pt>
                <c:pt idx="24">
                  <c:v>44742</c:v>
                </c:pt>
                <c:pt idx="25">
                  <c:v>44712</c:v>
                </c:pt>
                <c:pt idx="26">
                  <c:v>44681</c:v>
                </c:pt>
                <c:pt idx="27">
                  <c:v>44651</c:v>
                </c:pt>
                <c:pt idx="28">
                  <c:v>44620</c:v>
                </c:pt>
                <c:pt idx="29">
                  <c:v>44592</c:v>
                </c:pt>
                <c:pt idx="30">
                  <c:v>44561</c:v>
                </c:pt>
                <c:pt idx="31">
                  <c:v>44530</c:v>
                </c:pt>
                <c:pt idx="32">
                  <c:v>44500</c:v>
                </c:pt>
                <c:pt idx="33">
                  <c:v>44469</c:v>
                </c:pt>
                <c:pt idx="34">
                  <c:v>44439</c:v>
                </c:pt>
                <c:pt idx="35">
                  <c:v>44408</c:v>
                </c:pt>
                <c:pt idx="36">
                  <c:v>44377</c:v>
                </c:pt>
                <c:pt idx="37">
                  <c:v>44347</c:v>
                </c:pt>
                <c:pt idx="38">
                  <c:v>44316</c:v>
                </c:pt>
                <c:pt idx="39">
                  <c:v>44286</c:v>
                </c:pt>
                <c:pt idx="40">
                  <c:v>44255</c:v>
                </c:pt>
                <c:pt idx="41">
                  <c:v>44227</c:v>
                </c:pt>
                <c:pt idx="42">
                  <c:v>44196</c:v>
                </c:pt>
                <c:pt idx="43">
                  <c:v>44165</c:v>
                </c:pt>
                <c:pt idx="44">
                  <c:v>44135</c:v>
                </c:pt>
                <c:pt idx="45">
                  <c:v>44104</c:v>
                </c:pt>
                <c:pt idx="46">
                  <c:v>44074</c:v>
                </c:pt>
                <c:pt idx="47">
                  <c:v>44043</c:v>
                </c:pt>
                <c:pt idx="48">
                  <c:v>44012</c:v>
                </c:pt>
                <c:pt idx="49">
                  <c:v>43982</c:v>
                </c:pt>
                <c:pt idx="50">
                  <c:v>43951</c:v>
                </c:pt>
                <c:pt idx="51">
                  <c:v>43921</c:v>
                </c:pt>
                <c:pt idx="52">
                  <c:v>43890</c:v>
                </c:pt>
                <c:pt idx="53">
                  <c:v>43861</c:v>
                </c:pt>
                <c:pt idx="54">
                  <c:v>43830</c:v>
                </c:pt>
                <c:pt idx="55">
                  <c:v>43799</c:v>
                </c:pt>
                <c:pt idx="56">
                  <c:v>43769</c:v>
                </c:pt>
                <c:pt idx="57">
                  <c:v>43738</c:v>
                </c:pt>
                <c:pt idx="58">
                  <c:v>43708</c:v>
                </c:pt>
                <c:pt idx="59">
                  <c:v>43677</c:v>
                </c:pt>
                <c:pt idx="60">
                  <c:v>43646</c:v>
                </c:pt>
                <c:pt idx="61">
                  <c:v>43616</c:v>
                </c:pt>
                <c:pt idx="62">
                  <c:v>43585</c:v>
                </c:pt>
                <c:pt idx="63">
                  <c:v>43555</c:v>
                </c:pt>
                <c:pt idx="64">
                  <c:v>43524</c:v>
                </c:pt>
                <c:pt idx="65">
                  <c:v>43496</c:v>
                </c:pt>
                <c:pt idx="66">
                  <c:v>43465</c:v>
                </c:pt>
                <c:pt idx="67">
                  <c:v>43434</c:v>
                </c:pt>
                <c:pt idx="68">
                  <c:v>43404</c:v>
                </c:pt>
                <c:pt idx="69">
                  <c:v>43373</c:v>
                </c:pt>
                <c:pt idx="70">
                  <c:v>43343</c:v>
                </c:pt>
                <c:pt idx="71">
                  <c:v>43312</c:v>
                </c:pt>
                <c:pt idx="72">
                  <c:v>43281</c:v>
                </c:pt>
                <c:pt idx="73">
                  <c:v>43251</c:v>
                </c:pt>
                <c:pt idx="74">
                  <c:v>43220</c:v>
                </c:pt>
                <c:pt idx="75">
                  <c:v>43190</c:v>
                </c:pt>
                <c:pt idx="76">
                  <c:v>43159</c:v>
                </c:pt>
                <c:pt idx="77">
                  <c:v>43131</c:v>
                </c:pt>
                <c:pt idx="78">
                  <c:v>43100</c:v>
                </c:pt>
                <c:pt idx="79">
                  <c:v>43069</c:v>
                </c:pt>
                <c:pt idx="80">
                  <c:v>43039</c:v>
                </c:pt>
                <c:pt idx="81">
                  <c:v>43008</c:v>
                </c:pt>
                <c:pt idx="82">
                  <c:v>42978</c:v>
                </c:pt>
                <c:pt idx="83">
                  <c:v>42947</c:v>
                </c:pt>
                <c:pt idx="84">
                  <c:v>42916</c:v>
                </c:pt>
                <c:pt idx="85">
                  <c:v>42886</c:v>
                </c:pt>
                <c:pt idx="86">
                  <c:v>42855</c:v>
                </c:pt>
                <c:pt idx="87">
                  <c:v>42825</c:v>
                </c:pt>
                <c:pt idx="88">
                  <c:v>42794</c:v>
                </c:pt>
                <c:pt idx="89">
                  <c:v>42766</c:v>
                </c:pt>
                <c:pt idx="90">
                  <c:v>42735</c:v>
                </c:pt>
                <c:pt idx="91">
                  <c:v>42704</c:v>
                </c:pt>
                <c:pt idx="92">
                  <c:v>42674</c:v>
                </c:pt>
                <c:pt idx="93">
                  <c:v>42643</c:v>
                </c:pt>
                <c:pt idx="94">
                  <c:v>42613</c:v>
                </c:pt>
                <c:pt idx="95">
                  <c:v>42582</c:v>
                </c:pt>
                <c:pt idx="96">
                  <c:v>42551</c:v>
                </c:pt>
                <c:pt idx="97">
                  <c:v>42521</c:v>
                </c:pt>
                <c:pt idx="98">
                  <c:v>42490</c:v>
                </c:pt>
                <c:pt idx="99">
                  <c:v>42460</c:v>
                </c:pt>
                <c:pt idx="100">
                  <c:v>42429</c:v>
                </c:pt>
                <c:pt idx="101">
                  <c:v>42400</c:v>
                </c:pt>
                <c:pt idx="102">
                  <c:v>42369</c:v>
                </c:pt>
                <c:pt idx="103">
                  <c:v>42338</c:v>
                </c:pt>
                <c:pt idx="104">
                  <c:v>42308</c:v>
                </c:pt>
                <c:pt idx="105">
                  <c:v>42277</c:v>
                </c:pt>
                <c:pt idx="106">
                  <c:v>42247</c:v>
                </c:pt>
                <c:pt idx="107">
                  <c:v>42216</c:v>
                </c:pt>
                <c:pt idx="108">
                  <c:v>42185</c:v>
                </c:pt>
                <c:pt idx="109">
                  <c:v>42155</c:v>
                </c:pt>
                <c:pt idx="110">
                  <c:v>42124</c:v>
                </c:pt>
                <c:pt idx="111">
                  <c:v>42094</c:v>
                </c:pt>
                <c:pt idx="112">
                  <c:v>42063</c:v>
                </c:pt>
                <c:pt idx="113">
                  <c:v>42035</c:v>
                </c:pt>
                <c:pt idx="114">
                  <c:v>42004</c:v>
                </c:pt>
                <c:pt idx="115">
                  <c:v>41973</c:v>
                </c:pt>
                <c:pt idx="116">
                  <c:v>41943</c:v>
                </c:pt>
                <c:pt idx="117">
                  <c:v>41912</c:v>
                </c:pt>
                <c:pt idx="118">
                  <c:v>41882</c:v>
                </c:pt>
                <c:pt idx="119">
                  <c:v>41851</c:v>
                </c:pt>
                <c:pt idx="120">
                  <c:v>41820</c:v>
                </c:pt>
                <c:pt idx="121">
                  <c:v>41790</c:v>
                </c:pt>
                <c:pt idx="122">
                  <c:v>41759</c:v>
                </c:pt>
                <c:pt idx="123">
                  <c:v>41729</c:v>
                </c:pt>
                <c:pt idx="124">
                  <c:v>41698</c:v>
                </c:pt>
                <c:pt idx="125">
                  <c:v>41670</c:v>
                </c:pt>
                <c:pt idx="126">
                  <c:v>41639</c:v>
                </c:pt>
                <c:pt idx="127">
                  <c:v>41608</c:v>
                </c:pt>
                <c:pt idx="128">
                  <c:v>41578</c:v>
                </c:pt>
                <c:pt idx="129">
                  <c:v>41547</c:v>
                </c:pt>
                <c:pt idx="130">
                  <c:v>41517</c:v>
                </c:pt>
                <c:pt idx="131">
                  <c:v>41486</c:v>
                </c:pt>
                <c:pt idx="132">
                  <c:v>41455</c:v>
                </c:pt>
                <c:pt idx="133">
                  <c:v>41425</c:v>
                </c:pt>
                <c:pt idx="134">
                  <c:v>41394</c:v>
                </c:pt>
                <c:pt idx="135">
                  <c:v>41364</c:v>
                </c:pt>
                <c:pt idx="136">
                  <c:v>41333</c:v>
                </c:pt>
                <c:pt idx="137">
                  <c:v>41305</c:v>
                </c:pt>
                <c:pt idx="138">
                  <c:v>41274</c:v>
                </c:pt>
                <c:pt idx="139">
                  <c:v>41243</c:v>
                </c:pt>
                <c:pt idx="140">
                  <c:v>41213</c:v>
                </c:pt>
                <c:pt idx="141">
                  <c:v>41182</c:v>
                </c:pt>
                <c:pt idx="142">
                  <c:v>41152</c:v>
                </c:pt>
                <c:pt idx="143">
                  <c:v>41121</c:v>
                </c:pt>
                <c:pt idx="144">
                  <c:v>41090</c:v>
                </c:pt>
                <c:pt idx="145">
                  <c:v>41060</c:v>
                </c:pt>
                <c:pt idx="146">
                  <c:v>41029</c:v>
                </c:pt>
                <c:pt idx="147">
                  <c:v>40999</c:v>
                </c:pt>
                <c:pt idx="148">
                  <c:v>40968</c:v>
                </c:pt>
                <c:pt idx="149">
                  <c:v>40939</c:v>
                </c:pt>
                <c:pt idx="150">
                  <c:v>40908</c:v>
                </c:pt>
                <c:pt idx="151">
                  <c:v>40877</c:v>
                </c:pt>
                <c:pt idx="152">
                  <c:v>40847</c:v>
                </c:pt>
                <c:pt idx="153">
                  <c:v>40816</c:v>
                </c:pt>
                <c:pt idx="154">
                  <c:v>40786</c:v>
                </c:pt>
                <c:pt idx="155">
                  <c:v>40755</c:v>
                </c:pt>
                <c:pt idx="156">
                  <c:v>40724</c:v>
                </c:pt>
                <c:pt idx="157">
                  <c:v>40694</c:v>
                </c:pt>
                <c:pt idx="158">
                  <c:v>40663</c:v>
                </c:pt>
                <c:pt idx="159">
                  <c:v>40633</c:v>
                </c:pt>
                <c:pt idx="160">
                  <c:v>40602</c:v>
                </c:pt>
                <c:pt idx="161">
                  <c:v>40574</c:v>
                </c:pt>
                <c:pt idx="162">
                  <c:v>40543</c:v>
                </c:pt>
                <c:pt idx="163">
                  <c:v>40512</c:v>
                </c:pt>
                <c:pt idx="164">
                  <c:v>40482</c:v>
                </c:pt>
                <c:pt idx="165">
                  <c:v>40451</c:v>
                </c:pt>
                <c:pt idx="166">
                  <c:v>40421</c:v>
                </c:pt>
                <c:pt idx="167">
                  <c:v>40390</c:v>
                </c:pt>
                <c:pt idx="168">
                  <c:v>40359</c:v>
                </c:pt>
                <c:pt idx="169">
                  <c:v>40329</c:v>
                </c:pt>
                <c:pt idx="170">
                  <c:v>40298</c:v>
                </c:pt>
                <c:pt idx="171">
                  <c:v>40268</c:v>
                </c:pt>
                <c:pt idx="172">
                  <c:v>40237</c:v>
                </c:pt>
                <c:pt idx="173">
                  <c:v>40209</c:v>
                </c:pt>
              </c:numCache>
            </c:numRef>
          </c:cat>
          <c:val>
            <c:numRef>
              <c:f>'[2]货币信用框架1-货币政策目标+信用脉冲'!$D$4:$D$200</c:f>
              <c:numCache>
                <c:formatCode>General</c:formatCode>
                <c:ptCount val="197"/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D8-4FD2-B01A-477105CA07CB}"/>
            </c:ext>
          </c:extLst>
        </c:ser>
        <c:ser>
          <c:idx val="2"/>
          <c:order val="2"/>
          <c:tx>
            <c:strRef>
              <c:f>'[2]货币信用框架1-货币政策目标+信用脉冲'!$E$3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'[2]货币信用框架1-货币政策目标+信用脉冲'!$A$4:$A$200</c:f>
              <c:numCache>
                <c:formatCode>General</c:formatCode>
                <c:ptCount val="197"/>
                <c:pt idx="0">
                  <c:v>45473</c:v>
                </c:pt>
                <c:pt idx="1">
                  <c:v>45443</c:v>
                </c:pt>
                <c:pt idx="2">
                  <c:v>45412</c:v>
                </c:pt>
                <c:pt idx="3">
                  <c:v>45382</c:v>
                </c:pt>
                <c:pt idx="4">
                  <c:v>45351</c:v>
                </c:pt>
                <c:pt idx="5">
                  <c:v>45322</c:v>
                </c:pt>
                <c:pt idx="6">
                  <c:v>45291</c:v>
                </c:pt>
                <c:pt idx="7">
                  <c:v>45260</c:v>
                </c:pt>
                <c:pt idx="8">
                  <c:v>45230</c:v>
                </c:pt>
                <c:pt idx="9">
                  <c:v>45199</c:v>
                </c:pt>
                <c:pt idx="10">
                  <c:v>45169</c:v>
                </c:pt>
                <c:pt idx="11">
                  <c:v>45138</c:v>
                </c:pt>
                <c:pt idx="12">
                  <c:v>45107</c:v>
                </c:pt>
                <c:pt idx="13">
                  <c:v>45077</c:v>
                </c:pt>
                <c:pt idx="14">
                  <c:v>45046</c:v>
                </c:pt>
                <c:pt idx="15">
                  <c:v>45016</c:v>
                </c:pt>
                <c:pt idx="16">
                  <c:v>44985</c:v>
                </c:pt>
                <c:pt idx="17">
                  <c:v>44957</c:v>
                </c:pt>
                <c:pt idx="18">
                  <c:v>44926</c:v>
                </c:pt>
                <c:pt idx="19">
                  <c:v>44895</c:v>
                </c:pt>
                <c:pt idx="20">
                  <c:v>44865</c:v>
                </c:pt>
                <c:pt idx="21">
                  <c:v>44834</c:v>
                </c:pt>
                <c:pt idx="22">
                  <c:v>44804</c:v>
                </c:pt>
                <c:pt idx="23">
                  <c:v>44773</c:v>
                </c:pt>
                <c:pt idx="24">
                  <c:v>44742</c:v>
                </c:pt>
                <c:pt idx="25">
                  <c:v>44712</c:v>
                </c:pt>
                <c:pt idx="26">
                  <c:v>44681</c:v>
                </c:pt>
                <c:pt idx="27">
                  <c:v>44651</c:v>
                </c:pt>
                <c:pt idx="28">
                  <c:v>44620</c:v>
                </c:pt>
                <c:pt idx="29">
                  <c:v>44592</c:v>
                </c:pt>
                <c:pt idx="30">
                  <c:v>44561</c:v>
                </c:pt>
                <c:pt idx="31">
                  <c:v>44530</c:v>
                </c:pt>
                <c:pt idx="32">
                  <c:v>44500</c:v>
                </c:pt>
                <c:pt idx="33">
                  <c:v>44469</c:v>
                </c:pt>
                <c:pt idx="34">
                  <c:v>44439</c:v>
                </c:pt>
                <c:pt idx="35">
                  <c:v>44408</c:v>
                </c:pt>
                <c:pt idx="36">
                  <c:v>44377</c:v>
                </c:pt>
                <c:pt idx="37">
                  <c:v>44347</c:v>
                </c:pt>
                <c:pt idx="38">
                  <c:v>44316</c:v>
                </c:pt>
                <c:pt idx="39">
                  <c:v>44286</c:v>
                </c:pt>
                <c:pt idx="40">
                  <c:v>44255</c:v>
                </c:pt>
                <c:pt idx="41">
                  <c:v>44227</c:v>
                </c:pt>
                <c:pt idx="42">
                  <c:v>44196</c:v>
                </c:pt>
                <c:pt idx="43">
                  <c:v>44165</c:v>
                </c:pt>
                <c:pt idx="44">
                  <c:v>44135</c:v>
                </c:pt>
                <c:pt idx="45">
                  <c:v>44104</c:v>
                </c:pt>
                <c:pt idx="46">
                  <c:v>44074</c:v>
                </c:pt>
                <c:pt idx="47">
                  <c:v>44043</c:v>
                </c:pt>
                <c:pt idx="48">
                  <c:v>44012</c:v>
                </c:pt>
                <c:pt idx="49">
                  <c:v>43982</c:v>
                </c:pt>
                <c:pt idx="50">
                  <c:v>43951</c:v>
                </c:pt>
                <c:pt idx="51">
                  <c:v>43921</c:v>
                </c:pt>
                <c:pt idx="52">
                  <c:v>43890</c:v>
                </c:pt>
                <c:pt idx="53">
                  <c:v>43861</c:v>
                </c:pt>
                <c:pt idx="54">
                  <c:v>43830</c:v>
                </c:pt>
                <c:pt idx="55">
                  <c:v>43799</c:v>
                </c:pt>
                <c:pt idx="56">
                  <c:v>43769</c:v>
                </c:pt>
                <c:pt idx="57">
                  <c:v>43738</c:v>
                </c:pt>
                <c:pt idx="58">
                  <c:v>43708</c:v>
                </c:pt>
                <c:pt idx="59">
                  <c:v>43677</c:v>
                </c:pt>
                <c:pt idx="60">
                  <c:v>43646</c:v>
                </c:pt>
                <c:pt idx="61">
                  <c:v>43616</c:v>
                </c:pt>
                <c:pt idx="62">
                  <c:v>43585</c:v>
                </c:pt>
                <c:pt idx="63">
                  <c:v>43555</c:v>
                </c:pt>
                <c:pt idx="64">
                  <c:v>43524</c:v>
                </c:pt>
                <c:pt idx="65">
                  <c:v>43496</c:v>
                </c:pt>
                <c:pt idx="66">
                  <c:v>43465</c:v>
                </c:pt>
                <c:pt idx="67">
                  <c:v>43434</c:v>
                </c:pt>
                <c:pt idx="68">
                  <c:v>43404</c:v>
                </c:pt>
                <c:pt idx="69">
                  <c:v>43373</c:v>
                </c:pt>
                <c:pt idx="70">
                  <c:v>43343</c:v>
                </c:pt>
                <c:pt idx="71">
                  <c:v>43312</c:v>
                </c:pt>
                <c:pt idx="72">
                  <c:v>43281</c:v>
                </c:pt>
                <c:pt idx="73">
                  <c:v>43251</c:v>
                </c:pt>
                <c:pt idx="74">
                  <c:v>43220</c:v>
                </c:pt>
                <c:pt idx="75">
                  <c:v>43190</c:v>
                </c:pt>
                <c:pt idx="76">
                  <c:v>43159</c:v>
                </c:pt>
                <c:pt idx="77">
                  <c:v>43131</c:v>
                </c:pt>
                <c:pt idx="78">
                  <c:v>43100</c:v>
                </c:pt>
                <c:pt idx="79">
                  <c:v>43069</c:v>
                </c:pt>
                <c:pt idx="80">
                  <c:v>43039</c:v>
                </c:pt>
                <c:pt idx="81">
                  <c:v>43008</c:v>
                </c:pt>
                <c:pt idx="82">
                  <c:v>42978</c:v>
                </c:pt>
                <c:pt idx="83">
                  <c:v>42947</c:v>
                </c:pt>
                <c:pt idx="84">
                  <c:v>42916</c:v>
                </c:pt>
                <c:pt idx="85">
                  <c:v>42886</c:v>
                </c:pt>
                <c:pt idx="86">
                  <c:v>42855</c:v>
                </c:pt>
                <c:pt idx="87">
                  <c:v>42825</c:v>
                </c:pt>
                <c:pt idx="88">
                  <c:v>42794</c:v>
                </c:pt>
                <c:pt idx="89">
                  <c:v>42766</c:v>
                </c:pt>
                <c:pt idx="90">
                  <c:v>42735</c:v>
                </c:pt>
                <c:pt idx="91">
                  <c:v>42704</c:v>
                </c:pt>
                <c:pt idx="92">
                  <c:v>42674</c:v>
                </c:pt>
                <c:pt idx="93">
                  <c:v>42643</c:v>
                </c:pt>
                <c:pt idx="94">
                  <c:v>42613</c:v>
                </c:pt>
                <c:pt idx="95">
                  <c:v>42582</c:v>
                </c:pt>
                <c:pt idx="96">
                  <c:v>42551</c:v>
                </c:pt>
                <c:pt idx="97">
                  <c:v>42521</c:v>
                </c:pt>
                <c:pt idx="98">
                  <c:v>42490</c:v>
                </c:pt>
                <c:pt idx="99">
                  <c:v>42460</c:v>
                </c:pt>
                <c:pt idx="100">
                  <c:v>42429</c:v>
                </c:pt>
                <c:pt idx="101">
                  <c:v>42400</c:v>
                </c:pt>
                <c:pt idx="102">
                  <c:v>42369</c:v>
                </c:pt>
                <c:pt idx="103">
                  <c:v>42338</c:v>
                </c:pt>
                <c:pt idx="104">
                  <c:v>42308</c:v>
                </c:pt>
                <c:pt idx="105">
                  <c:v>42277</c:v>
                </c:pt>
                <c:pt idx="106">
                  <c:v>42247</c:v>
                </c:pt>
                <c:pt idx="107">
                  <c:v>42216</c:v>
                </c:pt>
                <c:pt idx="108">
                  <c:v>42185</c:v>
                </c:pt>
                <c:pt idx="109">
                  <c:v>42155</c:v>
                </c:pt>
                <c:pt idx="110">
                  <c:v>42124</c:v>
                </c:pt>
                <c:pt idx="111">
                  <c:v>42094</c:v>
                </c:pt>
                <c:pt idx="112">
                  <c:v>42063</c:v>
                </c:pt>
                <c:pt idx="113">
                  <c:v>42035</c:v>
                </c:pt>
                <c:pt idx="114">
                  <c:v>42004</c:v>
                </c:pt>
                <c:pt idx="115">
                  <c:v>41973</c:v>
                </c:pt>
                <c:pt idx="116">
                  <c:v>41943</c:v>
                </c:pt>
                <c:pt idx="117">
                  <c:v>41912</c:v>
                </c:pt>
                <c:pt idx="118">
                  <c:v>41882</c:v>
                </c:pt>
                <c:pt idx="119">
                  <c:v>41851</c:v>
                </c:pt>
                <c:pt idx="120">
                  <c:v>41820</c:v>
                </c:pt>
                <c:pt idx="121">
                  <c:v>41790</c:v>
                </c:pt>
                <c:pt idx="122">
                  <c:v>41759</c:v>
                </c:pt>
                <c:pt idx="123">
                  <c:v>41729</c:v>
                </c:pt>
                <c:pt idx="124">
                  <c:v>41698</c:v>
                </c:pt>
                <c:pt idx="125">
                  <c:v>41670</c:v>
                </c:pt>
                <c:pt idx="126">
                  <c:v>41639</c:v>
                </c:pt>
                <c:pt idx="127">
                  <c:v>41608</c:v>
                </c:pt>
                <c:pt idx="128">
                  <c:v>41578</c:v>
                </c:pt>
                <c:pt idx="129">
                  <c:v>41547</c:v>
                </c:pt>
                <c:pt idx="130">
                  <c:v>41517</c:v>
                </c:pt>
                <c:pt idx="131">
                  <c:v>41486</c:v>
                </c:pt>
                <c:pt idx="132">
                  <c:v>41455</c:v>
                </c:pt>
                <c:pt idx="133">
                  <c:v>41425</c:v>
                </c:pt>
                <c:pt idx="134">
                  <c:v>41394</c:v>
                </c:pt>
                <c:pt idx="135">
                  <c:v>41364</c:v>
                </c:pt>
                <c:pt idx="136">
                  <c:v>41333</c:v>
                </c:pt>
                <c:pt idx="137">
                  <c:v>41305</c:v>
                </c:pt>
                <c:pt idx="138">
                  <c:v>41274</c:v>
                </c:pt>
                <c:pt idx="139">
                  <c:v>41243</c:v>
                </c:pt>
                <c:pt idx="140">
                  <c:v>41213</c:v>
                </c:pt>
                <c:pt idx="141">
                  <c:v>41182</c:v>
                </c:pt>
                <c:pt idx="142">
                  <c:v>41152</c:v>
                </c:pt>
                <c:pt idx="143">
                  <c:v>41121</c:v>
                </c:pt>
                <c:pt idx="144">
                  <c:v>41090</c:v>
                </c:pt>
                <c:pt idx="145">
                  <c:v>41060</c:v>
                </c:pt>
                <c:pt idx="146">
                  <c:v>41029</c:v>
                </c:pt>
                <c:pt idx="147">
                  <c:v>40999</c:v>
                </c:pt>
                <c:pt idx="148">
                  <c:v>40968</c:v>
                </c:pt>
                <c:pt idx="149">
                  <c:v>40939</c:v>
                </c:pt>
                <c:pt idx="150">
                  <c:v>40908</c:v>
                </c:pt>
                <c:pt idx="151">
                  <c:v>40877</c:v>
                </c:pt>
                <c:pt idx="152">
                  <c:v>40847</c:v>
                </c:pt>
                <c:pt idx="153">
                  <c:v>40816</c:v>
                </c:pt>
                <c:pt idx="154">
                  <c:v>40786</c:v>
                </c:pt>
                <c:pt idx="155">
                  <c:v>40755</c:v>
                </c:pt>
                <c:pt idx="156">
                  <c:v>40724</c:v>
                </c:pt>
                <c:pt idx="157">
                  <c:v>40694</c:v>
                </c:pt>
                <c:pt idx="158">
                  <c:v>40663</c:v>
                </c:pt>
                <c:pt idx="159">
                  <c:v>40633</c:v>
                </c:pt>
                <c:pt idx="160">
                  <c:v>40602</c:v>
                </c:pt>
                <c:pt idx="161">
                  <c:v>40574</c:v>
                </c:pt>
                <c:pt idx="162">
                  <c:v>40543</c:v>
                </c:pt>
                <c:pt idx="163">
                  <c:v>40512</c:v>
                </c:pt>
                <c:pt idx="164">
                  <c:v>40482</c:v>
                </c:pt>
                <c:pt idx="165">
                  <c:v>40451</c:v>
                </c:pt>
                <c:pt idx="166">
                  <c:v>40421</c:v>
                </c:pt>
                <c:pt idx="167">
                  <c:v>40390</c:v>
                </c:pt>
                <c:pt idx="168">
                  <c:v>40359</c:v>
                </c:pt>
                <c:pt idx="169">
                  <c:v>40329</c:v>
                </c:pt>
                <c:pt idx="170">
                  <c:v>40298</c:v>
                </c:pt>
                <c:pt idx="171">
                  <c:v>40268</c:v>
                </c:pt>
                <c:pt idx="172">
                  <c:v>40237</c:v>
                </c:pt>
                <c:pt idx="173">
                  <c:v>40209</c:v>
                </c:pt>
              </c:numCache>
            </c:numRef>
          </c:cat>
          <c:val>
            <c:numRef>
              <c:f>'[2]货币信用框架1-货币政策目标+信用脉冲'!$E$4:$E$200</c:f>
              <c:numCache>
                <c:formatCode>General</c:formatCode>
                <c:ptCount val="197"/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D8-4FD2-B01A-477105CA07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307769567"/>
        <c:axId val="930563236"/>
      </c:barChart>
      <c:lineChart>
        <c:grouping val="standard"/>
        <c:varyColors val="0"/>
        <c:ser>
          <c:idx val="0"/>
          <c:order val="0"/>
          <c:tx>
            <c:strRef>
              <c:f>'[2]货币信用框架1-货币政策目标+信用脉冲'!$C$3</c:f>
              <c:strCache>
                <c:ptCount val="1"/>
                <c:pt idx="0">
                  <c:v>#REF!</c:v>
                </c:pt>
              </c:strCache>
            </c:strRef>
          </c:tx>
          <c:spPr>
            <a:ln w="15875" cap="rnd">
              <a:solidFill>
                <a:srgbClr val="004477"/>
              </a:solidFill>
              <a:round/>
            </a:ln>
            <a:effectLst/>
          </c:spPr>
          <c:marker>
            <c:symbol val="none"/>
          </c:marker>
          <c:cat>
            <c:numRef>
              <c:f>'[2]货币信用框架1-货币政策目标+信用脉冲'!$A$4:$A$200</c:f>
              <c:numCache>
                <c:formatCode>General</c:formatCode>
                <c:ptCount val="197"/>
                <c:pt idx="0">
                  <c:v>45473</c:v>
                </c:pt>
                <c:pt idx="1">
                  <c:v>45443</c:v>
                </c:pt>
                <c:pt idx="2">
                  <c:v>45412</c:v>
                </c:pt>
                <c:pt idx="3">
                  <c:v>45382</c:v>
                </c:pt>
                <c:pt idx="4">
                  <c:v>45351</c:v>
                </c:pt>
                <c:pt idx="5">
                  <c:v>45322</c:v>
                </c:pt>
                <c:pt idx="6">
                  <c:v>45291</c:v>
                </c:pt>
                <c:pt idx="7">
                  <c:v>45260</c:v>
                </c:pt>
                <c:pt idx="8">
                  <c:v>45230</c:v>
                </c:pt>
                <c:pt idx="9">
                  <c:v>45199</c:v>
                </c:pt>
                <c:pt idx="10">
                  <c:v>45169</c:v>
                </c:pt>
                <c:pt idx="11">
                  <c:v>45138</c:v>
                </c:pt>
                <c:pt idx="12">
                  <c:v>45107</c:v>
                </c:pt>
                <c:pt idx="13">
                  <c:v>45077</c:v>
                </c:pt>
                <c:pt idx="14">
                  <c:v>45046</c:v>
                </c:pt>
                <c:pt idx="15">
                  <c:v>45016</c:v>
                </c:pt>
                <c:pt idx="16">
                  <c:v>44985</c:v>
                </c:pt>
                <c:pt idx="17">
                  <c:v>44957</c:v>
                </c:pt>
                <c:pt idx="18">
                  <c:v>44926</c:v>
                </c:pt>
                <c:pt idx="19">
                  <c:v>44895</c:v>
                </c:pt>
                <c:pt idx="20">
                  <c:v>44865</c:v>
                </c:pt>
                <c:pt idx="21">
                  <c:v>44834</c:v>
                </c:pt>
                <c:pt idx="22">
                  <c:v>44804</c:v>
                </c:pt>
                <c:pt idx="23">
                  <c:v>44773</c:v>
                </c:pt>
                <c:pt idx="24">
                  <c:v>44742</c:v>
                </c:pt>
                <c:pt idx="25">
                  <c:v>44712</c:v>
                </c:pt>
                <c:pt idx="26">
                  <c:v>44681</c:v>
                </c:pt>
                <c:pt idx="27">
                  <c:v>44651</c:v>
                </c:pt>
                <c:pt idx="28">
                  <c:v>44620</c:v>
                </c:pt>
                <c:pt idx="29">
                  <c:v>44592</c:v>
                </c:pt>
                <c:pt idx="30">
                  <c:v>44561</c:v>
                </c:pt>
                <c:pt idx="31">
                  <c:v>44530</c:v>
                </c:pt>
                <c:pt idx="32">
                  <c:v>44500</c:v>
                </c:pt>
                <c:pt idx="33">
                  <c:v>44469</c:v>
                </c:pt>
                <c:pt idx="34">
                  <c:v>44439</c:v>
                </c:pt>
                <c:pt idx="35">
                  <c:v>44408</c:v>
                </c:pt>
                <c:pt idx="36">
                  <c:v>44377</c:v>
                </c:pt>
                <c:pt idx="37">
                  <c:v>44347</c:v>
                </c:pt>
                <c:pt idx="38">
                  <c:v>44316</c:v>
                </c:pt>
                <c:pt idx="39">
                  <c:v>44286</c:v>
                </c:pt>
                <c:pt idx="40">
                  <c:v>44255</c:v>
                </c:pt>
                <c:pt idx="41">
                  <c:v>44227</c:v>
                </c:pt>
                <c:pt idx="42">
                  <c:v>44196</c:v>
                </c:pt>
                <c:pt idx="43">
                  <c:v>44165</c:v>
                </c:pt>
                <c:pt idx="44">
                  <c:v>44135</c:v>
                </c:pt>
                <c:pt idx="45">
                  <c:v>44104</c:v>
                </c:pt>
                <c:pt idx="46">
                  <c:v>44074</c:v>
                </c:pt>
                <c:pt idx="47">
                  <c:v>44043</c:v>
                </c:pt>
                <c:pt idx="48">
                  <c:v>44012</c:v>
                </c:pt>
                <c:pt idx="49">
                  <c:v>43982</c:v>
                </c:pt>
                <c:pt idx="50">
                  <c:v>43951</c:v>
                </c:pt>
                <c:pt idx="51">
                  <c:v>43921</c:v>
                </c:pt>
                <c:pt idx="52">
                  <c:v>43890</c:v>
                </c:pt>
                <c:pt idx="53">
                  <c:v>43861</c:v>
                </c:pt>
                <c:pt idx="54">
                  <c:v>43830</c:v>
                </c:pt>
                <c:pt idx="55">
                  <c:v>43799</c:v>
                </c:pt>
                <c:pt idx="56">
                  <c:v>43769</c:v>
                </c:pt>
                <c:pt idx="57">
                  <c:v>43738</c:v>
                </c:pt>
                <c:pt idx="58">
                  <c:v>43708</c:v>
                </c:pt>
                <c:pt idx="59">
                  <c:v>43677</c:v>
                </c:pt>
                <c:pt idx="60">
                  <c:v>43646</c:v>
                </c:pt>
                <c:pt idx="61">
                  <c:v>43616</c:v>
                </c:pt>
                <c:pt idx="62">
                  <c:v>43585</c:v>
                </c:pt>
                <c:pt idx="63">
                  <c:v>43555</c:v>
                </c:pt>
                <c:pt idx="64">
                  <c:v>43524</c:v>
                </c:pt>
                <c:pt idx="65">
                  <c:v>43496</c:v>
                </c:pt>
                <c:pt idx="66">
                  <c:v>43465</c:v>
                </c:pt>
                <c:pt idx="67">
                  <c:v>43434</c:v>
                </c:pt>
                <c:pt idx="68">
                  <c:v>43404</c:v>
                </c:pt>
                <c:pt idx="69">
                  <c:v>43373</c:v>
                </c:pt>
                <c:pt idx="70">
                  <c:v>43343</c:v>
                </c:pt>
                <c:pt idx="71">
                  <c:v>43312</c:v>
                </c:pt>
                <c:pt idx="72">
                  <c:v>43281</c:v>
                </c:pt>
                <c:pt idx="73">
                  <c:v>43251</c:v>
                </c:pt>
                <c:pt idx="74">
                  <c:v>43220</c:v>
                </c:pt>
                <c:pt idx="75">
                  <c:v>43190</c:v>
                </c:pt>
                <c:pt idx="76">
                  <c:v>43159</c:v>
                </c:pt>
                <c:pt idx="77">
                  <c:v>43131</c:v>
                </c:pt>
                <c:pt idx="78">
                  <c:v>43100</c:v>
                </c:pt>
                <c:pt idx="79">
                  <c:v>43069</c:v>
                </c:pt>
                <c:pt idx="80">
                  <c:v>43039</c:v>
                </c:pt>
                <c:pt idx="81">
                  <c:v>43008</c:v>
                </c:pt>
                <c:pt idx="82">
                  <c:v>42978</c:v>
                </c:pt>
                <c:pt idx="83">
                  <c:v>42947</c:v>
                </c:pt>
                <c:pt idx="84">
                  <c:v>42916</c:v>
                </c:pt>
                <c:pt idx="85">
                  <c:v>42886</c:v>
                </c:pt>
                <c:pt idx="86">
                  <c:v>42855</c:v>
                </c:pt>
                <c:pt idx="87">
                  <c:v>42825</c:v>
                </c:pt>
                <c:pt idx="88">
                  <c:v>42794</c:v>
                </c:pt>
                <c:pt idx="89">
                  <c:v>42766</c:v>
                </c:pt>
                <c:pt idx="90">
                  <c:v>42735</c:v>
                </c:pt>
                <c:pt idx="91">
                  <c:v>42704</c:v>
                </c:pt>
                <c:pt idx="92">
                  <c:v>42674</c:v>
                </c:pt>
                <c:pt idx="93">
                  <c:v>42643</c:v>
                </c:pt>
                <c:pt idx="94">
                  <c:v>42613</c:v>
                </c:pt>
                <c:pt idx="95">
                  <c:v>42582</c:v>
                </c:pt>
                <c:pt idx="96">
                  <c:v>42551</c:v>
                </c:pt>
                <c:pt idx="97">
                  <c:v>42521</c:v>
                </c:pt>
                <c:pt idx="98">
                  <c:v>42490</c:v>
                </c:pt>
                <c:pt idx="99">
                  <c:v>42460</c:v>
                </c:pt>
                <c:pt idx="100">
                  <c:v>42429</c:v>
                </c:pt>
                <c:pt idx="101">
                  <c:v>42400</c:v>
                </c:pt>
                <c:pt idx="102">
                  <c:v>42369</c:v>
                </c:pt>
                <c:pt idx="103">
                  <c:v>42338</c:v>
                </c:pt>
                <c:pt idx="104">
                  <c:v>42308</c:v>
                </c:pt>
                <c:pt idx="105">
                  <c:v>42277</c:v>
                </c:pt>
                <c:pt idx="106">
                  <c:v>42247</c:v>
                </c:pt>
                <c:pt idx="107">
                  <c:v>42216</c:v>
                </c:pt>
                <c:pt idx="108">
                  <c:v>42185</c:v>
                </c:pt>
                <c:pt idx="109">
                  <c:v>42155</c:v>
                </c:pt>
                <c:pt idx="110">
                  <c:v>42124</c:v>
                </c:pt>
                <c:pt idx="111">
                  <c:v>42094</c:v>
                </c:pt>
                <c:pt idx="112">
                  <c:v>42063</c:v>
                </c:pt>
                <c:pt idx="113">
                  <c:v>42035</c:v>
                </c:pt>
                <c:pt idx="114">
                  <c:v>42004</c:v>
                </c:pt>
                <c:pt idx="115">
                  <c:v>41973</c:v>
                </c:pt>
                <c:pt idx="116">
                  <c:v>41943</c:v>
                </c:pt>
                <c:pt idx="117">
                  <c:v>41912</c:v>
                </c:pt>
                <c:pt idx="118">
                  <c:v>41882</c:v>
                </c:pt>
                <c:pt idx="119">
                  <c:v>41851</c:v>
                </c:pt>
                <c:pt idx="120">
                  <c:v>41820</c:v>
                </c:pt>
                <c:pt idx="121">
                  <c:v>41790</c:v>
                </c:pt>
                <c:pt idx="122">
                  <c:v>41759</c:v>
                </c:pt>
                <c:pt idx="123">
                  <c:v>41729</c:v>
                </c:pt>
                <c:pt idx="124">
                  <c:v>41698</c:v>
                </c:pt>
                <c:pt idx="125">
                  <c:v>41670</c:v>
                </c:pt>
                <c:pt idx="126">
                  <c:v>41639</c:v>
                </c:pt>
                <c:pt idx="127">
                  <c:v>41608</c:v>
                </c:pt>
                <c:pt idx="128">
                  <c:v>41578</c:v>
                </c:pt>
                <c:pt idx="129">
                  <c:v>41547</c:v>
                </c:pt>
                <c:pt idx="130">
                  <c:v>41517</c:v>
                </c:pt>
                <c:pt idx="131">
                  <c:v>41486</c:v>
                </c:pt>
                <c:pt idx="132">
                  <c:v>41455</c:v>
                </c:pt>
                <c:pt idx="133">
                  <c:v>41425</c:v>
                </c:pt>
                <c:pt idx="134">
                  <c:v>41394</c:v>
                </c:pt>
                <c:pt idx="135">
                  <c:v>41364</c:v>
                </c:pt>
                <c:pt idx="136">
                  <c:v>41333</c:v>
                </c:pt>
                <c:pt idx="137">
                  <c:v>41305</c:v>
                </c:pt>
                <c:pt idx="138">
                  <c:v>41274</c:v>
                </c:pt>
                <c:pt idx="139">
                  <c:v>41243</c:v>
                </c:pt>
                <c:pt idx="140">
                  <c:v>41213</c:v>
                </c:pt>
                <c:pt idx="141">
                  <c:v>41182</c:v>
                </c:pt>
                <c:pt idx="142">
                  <c:v>41152</c:v>
                </c:pt>
                <c:pt idx="143">
                  <c:v>41121</c:v>
                </c:pt>
                <c:pt idx="144">
                  <c:v>41090</c:v>
                </c:pt>
                <c:pt idx="145">
                  <c:v>41060</c:v>
                </c:pt>
                <c:pt idx="146">
                  <c:v>41029</c:v>
                </c:pt>
                <c:pt idx="147">
                  <c:v>40999</c:v>
                </c:pt>
                <c:pt idx="148">
                  <c:v>40968</c:v>
                </c:pt>
                <c:pt idx="149">
                  <c:v>40939</c:v>
                </c:pt>
                <c:pt idx="150">
                  <c:v>40908</c:v>
                </c:pt>
                <c:pt idx="151">
                  <c:v>40877</c:v>
                </c:pt>
                <c:pt idx="152">
                  <c:v>40847</c:v>
                </c:pt>
                <c:pt idx="153">
                  <c:v>40816</c:v>
                </c:pt>
                <c:pt idx="154">
                  <c:v>40786</c:v>
                </c:pt>
                <c:pt idx="155">
                  <c:v>40755</c:v>
                </c:pt>
                <c:pt idx="156">
                  <c:v>40724</c:v>
                </c:pt>
                <c:pt idx="157">
                  <c:v>40694</c:v>
                </c:pt>
                <c:pt idx="158">
                  <c:v>40663</c:v>
                </c:pt>
                <c:pt idx="159">
                  <c:v>40633</c:v>
                </c:pt>
                <c:pt idx="160">
                  <c:v>40602</c:v>
                </c:pt>
                <c:pt idx="161">
                  <c:v>40574</c:v>
                </c:pt>
                <c:pt idx="162">
                  <c:v>40543</c:v>
                </c:pt>
                <c:pt idx="163">
                  <c:v>40512</c:v>
                </c:pt>
                <c:pt idx="164">
                  <c:v>40482</c:v>
                </c:pt>
                <c:pt idx="165">
                  <c:v>40451</c:v>
                </c:pt>
                <c:pt idx="166">
                  <c:v>40421</c:v>
                </c:pt>
                <c:pt idx="167">
                  <c:v>40390</c:v>
                </c:pt>
                <c:pt idx="168">
                  <c:v>40359</c:v>
                </c:pt>
                <c:pt idx="169">
                  <c:v>40329</c:v>
                </c:pt>
                <c:pt idx="170">
                  <c:v>40298</c:v>
                </c:pt>
                <c:pt idx="171">
                  <c:v>40268</c:v>
                </c:pt>
                <c:pt idx="172">
                  <c:v>40237</c:v>
                </c:pt>
                <c:pt idx="173">
                  <c:v>40209</c:v>
                </c:pt>
              </c:numCache>
            </c:numRef>
          </c:cat>
          <c:val>
            <c:numRef>
              <c:f>'[2]货币信用框架1-货币政策目标+信用脉冲'!$C$4:$C$200</c:f>
              <c:numCache>
                <c:formatCode>General</c:formatCode>
                <c:ptCount val="197"/>
                <c:pt idx="0">
                  <c:v>#N/A</c:v>
                </c:pt>
                <c:pt idx="1">
                  <c:v>#N/A</c:v>
                </c:pt>
                <c:pt idx="2">
                  <c:v>25.574507930907</c:v>
                </c:pt>
                <c:pt idx="3">
                  <c:v>26.593716022958699</c:v>
                </c:pt>
                <c:pt idx="4">
                  <c:v>27.283112086321999</c:v>
                </c:pt>
                <c:pt idx="5">
                  <c:v>28.604009893842701</c:v>
                </c:pt>
                <c:pt idx="6">
                  <c:v>28.224978620986199</c:v>
                </c:pt>
                <c:pt idx="7">
                  <c:v>28.0372887212832</c:v>
                </c:pt>
                <c:pt idx="8">
                  <c:v>27.6589245731031</c:v>
                </c:pt>
                <c:pt idx="9">
                  <c:v>26.912383312320198</c:v>
                </c:pt>
                <c:pt idx="10">
                  <c:v>26.695616339032199</c:v>
                </c:pt>
                <c:pt idx="11">
                  <c:v>26.163724020539</c:v>
                </c:pt>
                <c:pt idx="12">
                  <c:v>26.359650245365401</c:v>
                </c:pt>
                <c:pt idx="13">
                  <c:v>27.495020727312301</c:v>
                </c:pt>
                <c:pt idx="14">
                  <c:v>28.549744523825598</c:v>
                </c:pt>
                <c:pt idx="15">
                  <c:v>28.310001005084899</c:v>
                </c:pt>
                <c:pt idx="16">
                  <c:v>28.034719985656501</c:v>
                </c:pt>
                <c:pt idx="17">
                  <c:v>26.4210723784037</c:v>
                </c:pt>
                <c:pt idx="18">
                  <c:v>26.5707332135825</c:v>
                </c:pt>
                <c:pt idx="19">
                  <c:v>27.6292800622948</c:v>
                </c:pt>
                <c:pt idx="20">
                  <c:v>28.142887955510499</c:v>
                </c:pt>
                <c:pt idx="21">
                  <c:v>28.731372625869199</c:v>
                </c:pt>
                <c:pt idx="22">
                  <c:v>28.5957704151778</c:v>
                </c:pt>
                <c:pt idx="23">
                  <c:v>29.034846137476901</c:v>
                </c:pt>
                <c:pt idx="24">
                  <c:v>29.286291354242199</c:v>
                </c:pt>
                <c:pt idx="25">
                  <c:v>28.2525898399598</c:v>
                </c:pt>
                <c:pt idx="26">
                  <c:v>27.4927519341562</c:v>
                </c:pt>
                <c:pt idx="27">
                  <c:v>28.282494626537101</c:v>
                </c:pt>
                <c:pt idx="28">
                  <c:v>27.6888081125832</c:v>
                </c:pt>
                <c:pt idx="29">
                  <c:v>28.130231460545701</c:v>
                </c:pt>
                <c:pt idx="30">
                  <c:v>27.270965629453801</c:v>
                </c:pt>
                <c:pt idx="31">
                  <c:v>27.438068850410001</c:v>
                </c:pt>
                <c:pt idx="32">
                  <c:v>27.024469141466898</c:v>
                </c:pt>
                <c:pt idx="33">
                  <c:v>26.823657009661598</c:v>
                </c:pt>
                <c:pt idx="34">
                  <c:v>28.004148993442399</c:v>
                </c:pt>
                <c:pt idx="35">
                  <c:v>28.549924594141199</c:v>
                </c:pt>
                <c:pt idx="36">
                  <c:v>29.115479981711001</c:v>
                </c:pt>
                <c:pt idx="37">
                  <c:v>29.844474216338099</c:v>
                </c:pt>
                <c:pt idx="38">
                  <c:v>31.011730815347299</c:v>
                </c:pt>
                <c:pt idx="39">
                  <c:v>32.1896727672151</c:v>
                </c:pt>
                <c:pt idx="40">
                  <c:v>35.369048124100303</c:v>
                </c:pt>
                <c:pt idx="41">
                  <c:v>34.529833745573796</c:v>
                </c:pt>
                <c:pt idx="42">
                  <c:v>34.396739436070803</c:v>
                </c:pt>
                <c:pt idx="43">
                  <c:v>35.5321789618297</c:v>
                </c:pt>
                <c:pt idx="44">
                  <c:v>35.389621617252701</c:v>
                </c:pt>
                <c:pt idx="45">
                  <c:v>34.861949545924404</c:v>
                </c:pt>
                <c:pt idx="46">
                  <c:v>34.3615736448847</c:v>
                </c:pt>
                <c:pt idx="47">
                  <c:v>32.945564484946999</c:v>
                </c:pt>
                <c:pt idx="48">
                  <c:v>32.532304076635398</c:v>
                </c:pt>
                <c:pt idx="49">
                  <c:v>31.895029077510099</c:v>
                </c:pt>
                <c:pt idx="50">
                  <c:v>30.3823678551746</c:v>
                </c:pt>
                <c:pt idx="51">
                  <c:v>28.913295028985001</c:v>
                </c:pt>
                <c:pt idx="52">
                  <c:v>26.309874402644802</c:v>
                </c:pt>
                <c:pt idx="53">
                  <c:v>26.4039557391513</c:v>
                </c:pt>
                <c:pt idx="54">
                  <c:v>26.024452135861701</c:v>
                </c:pt>
                <c:pt idx="55">
                  <c:v>26.228859513440099</c:v>
                </c:pt>
                <c:pt idx="56">
                  <c:v>25.835503983114101</c:v>
                </c:pt>
                <c:pt idx="57">
                  <c:v>25.924071639163898</c:v>
                </c:pt>
                <c:pt idx="58">
                  <c:v>26.1567694986555</c:v>
                </c:pt>
                <c:pt idx="59">
                  <c:v>26.379730235417899</c:v>
                </c:pt>
                <c:pt idx="60">
                  <c:v>26.958521973800998</c:v>
                </c:pt>
                <c:pt idx="61">
                  <c:v>26.836337891557001</c:v>
                </c:pt>
                <c:pt idx="62">
                  <c:v>26.205984887635999</c:v>
                </c:pt>
                <c:pt idx="63">
                  <c:v>26.7981639599248</c:v>
                </c:pt>
                <c:pt idx="64">
                  <c:v>25.878358159979602</c:v>
                </c:pt>
                <c:pt idx="65">
                  <c:v>26.139351368694498</c:v>
                </c:pt>
                <c:pt idx="66">
                  <c:v>24.466966424089399</c:v>
                </c:pt>
                <c:pt idx="67">
                  <c:v>24.9706085290237</c:v>
                </c:pt>
                <c:pt idx="68">
                  <c:v>25.732837476332499</c:v>
                </c:pt>
                <c:pt idx="69">
                  <c:v>26.4386463948189</c:v>
                </c:pt>
                <c:pt idx="70">
                  <c:v>27.366400887812699</c:v>
                </c:pt>
                <c:pt idx="71">
                  <c:v>26.955433622403799</c:v>
                </c:pt>
                <c:pt idx="72">
                  <c:v>27.276425795046698</c:v>
                </c:pt>
                <c:pt idx="73">
                  <c:v>28.627863468254102</c:v>
                </c:pt>
                <c:pt idx="74">
                  <c:v>29.399757109448</c:v>
                </c:pt>
                <c:pt idx="75">
                  <c:v>29.084807076474601</c:v>
                </c:pt>
                <c:pt idx="76">
                  <c:v>30.796991014451301</c:v>
                </c:pt>
                <c:pt idx="77">
                  <c:v>30.675714312962398</c:v>
                </c:pt>
                <c:pt idx="78">
                  <c:v>31.433236394338699</c:v>
                </c:pt>
                <c:pt idx="79">
                  <c:v>32.370718245030297</c:v>
                </c:pt>
                <c:pt idx="80">
                  <c:v>32.4369466286633</c:v>
                </c:pt>
                <c:pt idx="81">
                  <c:v>32.193700847899599</c:v>
                </c:pt>
                <c:pt idx="82">
                  <c:v>32.605192987542601</c:v>
                </c:pt>
                <c:pt idx="83">
                  <c:v>32.994155095379597</c:v>
                </c:pt>
                <c:pt idx="84">
                  <c:v>31.567457618743202</c:v>
                </c:pt>
                <c:pt idx="85">
                  <c:v>32.683179618352199</c:v>
                </c:pt>
                <c:pt idx="86">
                  <c:v>32.204199151612301</c:v>
                </c:pt>
                <c:pt idx="87">
                  <c:v>32.263915782499701</c:v>
                </c:pt>
                <c:pt idx="88">
                  <c:v>34.015334104328097</c:v>
                </c:pt>
                <c:pt idx="89">
                  <c:v>33.687784735830199</c:v>
                </c:pt>
                <c:pt idx="90">
                  <c:v>33.404814327534297</c:v>
                </c:pt>
                <c:pt idx="91">
                  <c:v>34.536069327305697</c:v>
                </c:pt>
                <c:pt idx="92">
                  <c:v>34.008714978257501</c:v>
                </c:pt>
                <c:pt idx="93">
                  <c:v>33.680918507614201</c:v>
                </c:pt>
                <c:pt idx="94">
                  <c:v>34.149177083847597</c:v>
                </c:pt>
                <c:pt idx="95">
                  <c:v>33.156287798630203</c:v>
                </c:pt>
                <c:pt idx="96">
                  <c:v>33.7433772171456</c:v>
                </c:pt>
                <c:pt idx="97">
                  <c:v>34.171579318878202</c:v>
                </c:pt>
                <c:pt idx="98">
                  <c:v>34.289850432126698</c:v>
                </c:pt>
                <c:pt idx="99">
                  <c:v>33.060255712401002</c:v>
                </c:pt>
                <c:pt idx="100">
                  <c:v>30.787402269436601</c:v>
                </c:pt>
                <c:pt idx="101">
                  <c:v>31.441933201927501</c:v>
                </c:pt>
                <c:pt idx="102">
                  <c:v>29.236544632843199</c:v>
                </c:pt>
                <c:pt idx="103">
                  <c:v>29.376276143669699</c:v>
                </c:pt>
                <c:pt idx="104">
                  <c:v>28.334437558686599</c:v>
                </c:pt>
                <c:pt idx="105">
                  <c:v>27.844785089428001</c:v>
                </c:pt>
                <c:pt idx="106">
                  <c:v>27.267982324956801</c:v>
                </c:pt>
                <c:pt idx="107">
                  <c:v>26.435912337695498</c:v>
                </c:pt>
                <c:pt idx="108">
                  <c:v>25.0350384353662</c:v>
                </c:pt>
                <c:pt idx="109">
                  <c:v>24.6571742623304</c:v>
                </c:pt>
                <c:pt idx="110">
                  <c:v>24.701641569860001</c:v>
                </c:pt>
                <c:pt idx="111">
                  <c:v>25.444795655143899</c:v>
                </c:pt>
                <c:pt idx="112">
                  <c:v>27.1021914870805</c:v>
                </c:pt>
                <c:pt idx="113">
                  <c:v>26.513391322994</c:v>
                </c:pt>
                <c:pt idx="114">
                  <c:v>27.3490515458471</c:v>
                </c:pt>
                <c:pt idx="115">
                  <c:v>27.211456790922298</c:v>
                </c:pt>
                <c:pt idx="116">
                  <c:v>27.217864338887001</c:v>
                </c:pt>
                <c:pt idx="117">
                  <c:v>27.6021046891832</c:v>
                </c:pt>
                <c:pt idx="118">
                  <c:v>28.505291680248501</c:v>
                </c:pt>
                <c:pt idx="119">
                  <c:v>29.575175829865799</c:v>
                </c:pt>
                <c:pt idx="120">
                  <c:v>30.380905845399301</c:v>
                </c:pt>
                <c:pt idx="121">
                  <c:v>29.400998057998599</c:v>
                </c:pt>
                <c:pt idx="122">
                  <c:v>29.138360361657401</c:v>
                </c:pt>
                <c:pt idx="123">
                  <c:v>29.597227083431601</c:v>
                </c:pt>
                <c:pt idx="124">
                  <c:v>30.939941814274199</c:v>
                </c:pt>
                <c:pt idx="125">
                  <c:v>31.124607543164998</c:v>
                </c:pt>
                <c:pt idx="126">
                  <c:v>31.1063939370278</c:v>
                </c:pt>
                <c:pt idx="127">
                  <c:v>32.600298438656303</c:v>
                </c:pt>
                <c:pt idx="128">
                  <c:v>32.416479637020899</c:v>
                </c:pt>
                <c:pt idx="129">
                  <c:v>32.935218707701701</c:v>
                </c:pt>
                <c:pt idx="130">
                  <c:v>34.178256822757803</c:v>
                </c:pt>
                <c:pt idx="131">
                  <c:v>33.540969236407904</c:v>
                </c:pt>
                <c:pt idx="132">
                  <c:v>33.881436900427602</c:v>
                </c:pt>
                <c:pt idx="133">
                  <c:v>35.960514048476803</c:v>
                </c:pt>
                <c:pt idx="134">
                  <c:v>35.470020436855499</c:v>
                </c:pt>
                <c:pt idx="135">
                  <c:v>33.790451953413999</c:v>
                </c:pt>
                <c:pt idx="136">
                  <c:v>33.250781035605101</c:v>
                </c:pt>
                <c:pt idx="137">
                  <c:v>33.407860822110301</c:v>
                </c:pt>
                <c:pt idx="138">
                  <c:v>30.317009661335199</c:v>
                </c:pt>
                <c:pt idx="139">
                  <c:v>30.441941469175902</c:v>
                </c:pt>
                <c:pt idx="140">
                  <c:v>30.0986623153821</c:v>
                </c:pt>
                <c:pt idx="141">
                  <c:v>29.075860184431601</c:v>
                </c:pt>
                <c:pt idx="142">
                  <c:v>27.239497128606299</c:v>
                </c:pt>
                <c:pt idx="143">
                  <c:v>26.892786688813</c:v>
                </c:pt>
                <c:pt idx="144">
                  <c:v>25.8859800975154</c:v>
                </c:pt>
                <c:pt idx="145">
                  <c:v>25.227641117366101</c:v>
                </c:pt>
                <c:pt idx="146">
                  <c:v>25.291631175426001</c:v>
                </c:pt>
                <c:pt idx="147">
                  <c:v>26.175529792874901</c:v>
                </c:pt>
                <c:pt idx="148">
                  <c:v>26.8231141486424</c:v>
                </c:pt>
                <c:pt idx="149">
                  <c:v>25.8573808547402</c:v>
                </c:pt>
                <c:pt idx="150">
                  <c:v>27.558942173434801</c:v>
                </c:pt>
                <c:pt idx="151">
                  <c:v>28.349118607571299</c:v>
                </c:pt>
                <c:pt idx="152">
                  <c:v>28.628829319564499</c:v>
                </c:pt>
                <c:pt idx="153">
                  <c:v>28.864112380411701</c:v>
                </c:pt>
                <c:pt idx="154">
                  <c:v>31.8386430166262</c:v>
                </c:pt>
                <c:pt idx="155">
                  <c:v>31.8780736199902</c:v>
                </c:pt>
                <c:pt idx="156">
                  <c:v>32.268472256926202</c:v>
                </c:pt>
                <c:pt idx="157">
                  <c:v>33.736377496633601</c:v>
                </c:pt>
                <c:pt idx="158">
                  <c:v>33.8382657348916</c:v>
                </c:pt>
                <c:pt idx="159">
                  <c:v>34.078892478415803</c:v>
                </c:pt>
                <c:pt idx="160">
                  <c:v>34.5692387056949</c:v>
                </c:pt>
                <c:pt idx="161">
                  <c:v>35.495718229094898</c:v>
                </c:pt>
                <c:pt idx="162">
                  <c:v>36.207405527332902</c:v>
                </c:pt>
                <c:pt idx="163">
                  <c:v>36.9673903599803</c:v>
                </c:pt>
                <c:pt idx="164">
                  <c:v>36.885208295333101</c:v>
                </c:pt>
                <c:pt idx="165">
                  <c:v>36.0013077999036</c:v>
                </c:pt>
                <c:pt idx="166">
                  <c:v>37.575167924255403</c:v>
                </c:pt>
                <c:pt idx="167">
                  <c:v>36.602375388520997</c:v>
                </c:pt>
                <c:pt idx="168">
                  <c:v>36.765174106686402</c:v>
                </c:pt>
                <c:pt idx="169">
                  <c:v>41.321683417127097</c:v>
                </c:pt>
                <c:pt idx="170">
                  <c:v>42.831904116619199</c:v>
                </c:pt>
                <c:pt idx="171">
                  <c:v>40.285391274661002</c:v>
                </c:pt>
                <c:pt idx="172">
                  <c:v>44.009285611605897</c:v>
                </c:pt>
                <c:pt idx="173">
                  <c:v>44.222560288903601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BD8-4FD2-B01A-477105CA07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96736319"/>
        <c:axId val="1370053887"/>
      </c:lineChart>
      <c:dateAx>
        <c:axId val="1796736319"/>
        <c:scaling>
          <c:orientation val="minMax"/>
        </c:scaling>
        <c:delete val="0"/>
        <c:axPos val="b"/>
        <c:numFmt formatCode="yyyy&quot;年&quot;m&quot;月&quot;d&quot;日&quot;;@" sourceLinked="0"/>
        <c:majorTickMark val="out"/>
        <c:minorTickMark val="none"/>
        <c:tickLblPos val="nextTo"/>
        <c:spPr>
          <a:noFill/>
          <a:ln w="6350" cap="flat" cmpd="sng" algn="ctr">
            <a:solidFill>
              <a:sysClr val="windowText" lastClr="000000">
                <a:lumMod val="100000"/>
              </a:sysClr>
            </a:solidFill>
            <a:round/>
          </a:ln>
          <a:effectLst/>
        </c:spPr>
        <c:txPr>
          <a:bodyPr rot="0" spcFirstLastPara="0" vertOverflow="ellipsis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黑体" panose="02010609060101010101" pitchFamily="49" charset="-122"/>
                <a:ea typeface="黑体" panose="02010609060101010101" pitchFamily="49" charset="-122"/>
                <a:cs typeface="+mn-cs"/>
              </a:defRPr>
            </a:pPr>
            <a:endParaRPr lang="zh-CN"/>
          </a:p>
        </c:txPr>
        <c:crossAx val="1370053887"/>
        <c:crosses val="autoZero"/>
        <c:auto val="0"/>
        <c:lblOffset val="100"/>
        <c:baseTimeUnit val="months"/>
      </c:dateAx>
      <c:valAx>
        <c:axId val="1370053887"/>
        <c:scaling>
          <c:orientation val="minMax"/>
          <c:max val="50"/>
          <c:min val="20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6350">
            <a:solidFill>
              <a:sysClr val="windowText" lastClr="000000">
                <a:lumMod val="100000"/>
              </a:sys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黑体" panose="02010609060101010101" pitchFamily="49" charset="-122"/>
                <a:ea typeface="黑体" panose="02010609060101010101" pitchFamily="49" charset="-122"/>
                <a:cs typeface="+mn-cs"/>
              </a:defRPr>
            </a:pPr>
            <a:endParaRPr lang="zh-CN"/>
          </a:p>
        </c:txPr>
        <c:crossAx val="1796736319"/>
        <c:crosses val="autoZero"/>
        <c:crossBetween val="between"/>
      </c:valAx>
      <c:catAx>
        <c:axId val="30776956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30563236"/>
        <c:crosses val="autoZero"/>
        <c:auto val="1"/>
        <c:lblAlgn val="ctr"/>
        <c:lblOffset val="100"/>
        <c:noMultiLvlLbl val="1"/>
      </c:catAx>
      <c:valAx>
        <c:axId val="930563236"/>
        <c:scaling>
          <c:orientation val="minMax"/>
          <c:max val="1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黑体" panose="02010609060101010101" pitchFamily="49" charset="-122"/>
                <a:ea typeface="黑体" panose="02010609060101010101" pitchFamily="49" charset="-122"/>
                <a:cs typeface="+mn-cs"/>
              </a:defRPr>
            </a:pPr>
            <a:endParaRPr lang="zh-CN"/>
          </a:p>
        </c:txPr>
        <c:crossAx val="307769567"/>
        <c:crosses val="max"/>
        <c:crossBetween val="between"/>
      </c:valAx>
      <c:spPr>
        <a:noFill/>
        <a:ln w="25400">
          <a:noFill/>
        </a:ln>
        <a:effectLst/>
      </c:spPr>
    </c:plotArea>
    <c:legend>
      <c:legendPos val="t"/>
      <c:layout>
        <c:manualLayout>
          <c:xMode val="edge"/>
          <c:yMode val="edge"/>
          <c:x val="0.11752043700229201"/>
          <c:y val="1.8420609628693001E-2"/>
          <c:w val="0.74158985146151701"/>
          <c:h val="7.9098176276938201E-2"/>
        </c:manualLayout>
      </c:layout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黑体" panose="02010609060101010101" pitchFamily="49" charset="-122"/>
              <a:ea typeface="黑体" panose="02010609060101010101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ysClr val="window" lastClr="FFFFFF">
        <a:lumMod val="100000"/>
      </a:sysClr>
    </a:solidFill>
    <a:ln w="25400" cap="flat" cmpd="sng" algn="ctr">
      <a:noFill/>
      <a:round/>
    </a:ln>
    <a:effectLst/>
  </c:spPr>
  <c:txPr>
    <a:bodyPr/>
    <a:lstStyle/>
    <a:p>
      <a:pPr>
        <a:defRPr lang="zh-CN" sz="900">
          <a:latin typeface="黑体" panose="02010609060101010101" pitchFamily="49" charset="-122"/>
          <a:ea typeface="黑体" panose="02010609060101010101" pitchFamily="49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'信贷库存框架1-票据+贷款余额'!$F$3</c:f>
              <c:strCache>
                <c:ptCount val="1"/>
                <c:pt idx="0">
                  <c:v>票据上行手动</c:v>
                </c:pt>
              </c:strCache>
            </c:strRef>
          </c:tx>
          <c:spPr>
            <a:solidFill>
              <a:srgbClr val="EE822F">
                <a:alpha val="100000"/>
              </a:srgbClr>
            </a:solidFill>
            <a:ln w="3175">
              <a:noFill/>
            </a:ln>
          </c:spPr>
          <c:invertIfNegative val="0"/>
          <c:cat>
            <c:numRef>
              <c:f>'信贷库存框架1-票据+贷款余额'!$A$37:$A$215</c:f>
              <c:numCache>
                <c:formatCode>yyyy\-mm</c:formatCode>
                <c:ptCount val="179"/>
                <c:pt idx="0">
                  <c:v>45443</c:v>
                </c:pt>
                <c:pt idx="1">
                  <c:v>45412</c:v>
                </c:pt>
                <c:pt idx="2">
                  <c:v>45382</c:v>
                </c:pt>
                <c:pt idx="3">
                  <c:v>45351</c:v>
                </c:pt>
                <c:pt idx="4">
                  <c:v>45322</c:v>
                </c:pt>
                <c:pt idx="5">
                  <c:v>45291</c:v>
                </c:pt>
                <c:pt idx="6">
                  <c:v>45260</c:v>
                </c:pt>
                <c:pt idx="7">
                  <c:v>45230</c:v>
                </c:pt>
                <c:pt idx="8">
                  <c:v>45199</c:v>
                </c:pt>
                <c:pt idx="9">
                  <c:v>45169</c:v>
                </c:pt>
                <c:pt idx="10">
                  <c:v>45138</c:v>
                </c:pt>
                <c:pt idx="11">
                  <c:v>45107</c:v>
                </c:pt>
                <c:pt idx="12">
                  <c:v>45077</c:v>
                </c:pt>
                <c:pt idx="13">
                  <c:v>45046</c:v>
                </c:pt>
                <c:pt idx="14">
                  <c:v>45016</c:v>
                </c:pt>
                <c:pt idx="15">
                  <c:v>44985</c:v>
                </c:pt>
                <c:pt idx="16">
                  <c:v>44957</c:v>
                </c:pt>
                <c:pt idx="17">
                  <c:v>44926</c:v>
                </c:pt>
                <c:pt idx="18">
                  <c:v>44895</c:v>
                </c:pt>
                <c:pt idx="19">
                  <c:v>44865</c:v>
                </c:pt>
                <c:pt idx="20">
                  <c:v>44834</c:v>
                </c:pt>
                <c:pt idx="21">
                  <c:v>44804</c:v>
                </c:pt>
                <c:pt idx="22">
                  <c:v>44773</c:v>
                </c:pt>
                <c:pt idx="23">
                  <c:v>44742</c:v>
                </c:pt>
                <c:pt idx="24">
                  <c:v>44712</c:v>
                </c:pt>
                <c:pt idx="25">
                  <c:v>44681</c:v>
                </c:pt>
                <c:pt idx="26">
                  <c:v>44651</c:v>
                </c:pt>
                <c:pt idx="27">
                  <c:v>44620</c:v>
                </c:pt>
                <c:pt idx="28">
                  <c:v>44592</c:v>
                </c:pt>
                <c:pt idx="29">
                  <c:v>44561</c:v>
                </c:pt>
                <c:pt idx="30">
                  <c:v>44530</c:v>
                </c:pt>
                <c:pt idx="31">
                  <c:v>44500</c:v>
                </c:pt>
                <c:pt idx="32">
                  <c:v>44469</c:v>
                </c:pt>
                <c:pt idx="33">
                  <c:v>44439</c:v>
                </c:pt>
                <c:pt idx="34">
                  <c:v>44408</c:v>
                </c:pt>
                <c:pt idx="35">
                  <c:v>44377</c:v>
                </c:pt>
                <c:pt idx="36">
                  <c:v>44347</c:v>
                </c:pt>
                <c:pt idx="37">
                  <c:v>44316</c:v>
                </c:pt>
                <c:pt idx="38">
                  <c:v>44286</c:v>
                </c:pt>
                <c:pt idx="39">
                  <c:v>44255</c:v>
                </c:pt>
                <c:pt idx="40">
                  <c:v>44227</c:v>
                </c:pt>
                <c:pt idx="41">
                  <c:v>44196</c:v>
                </c:pt>
                <c:pt idx="42">
                  <c:v>44165</c:v>
                </c:pt>
                <c:pt idx="43">
                  <c:v>44135</c:v>
                </c:pt>
                <c:pt idx="44">
                  <c:v>44104</c:v>
                </c:pt>
                <c:pt idx="45">
                  <c:v>44074</c:v>
                </c:pt>
                <c:pt idx="46">
                  <c:v>44043</c:v>
                </c:pt>
                <c:pt idx="47">
                  <c:v>44012</c:v>
                </c:pt>
                <c:pt idx="48">
                  <c:v>43982</c:v>
                </c:pt>
                <c:pt idx="49">
                  <c:v>43951</c:v>
                </c:pt>
                <c:pt idx="50">
                  <c:v>43921</c:v>
                </c:pt>
                <c:pt idx="51">
                  <c:v>43890</c:v>
                </c:pt>
                <c:pt idx="52">
                  <c:v>43861</c:v>
                </c:pt>
                <c:pt idx="53">
                  <c:v>43830</c:v>
                </c:pt>
                <c:pt idx="54">
                  <c:v>43799</c:v>
                </c:pt>
                <c:pt idx="55">
                  <c:v>43769</c:v>
                </c:pt>
                <c:pt idx="56">
                  <c:v>43738</c:v>
                </c:pt>
                <c:pt idx="57">
                  <c:v>43708</c:v>
                </c:pt>
                <c:pt idx="58">
                  <c:v>43677</c:v>
                </c:pt>
                <c:pt idx="59">
                  <c:v>43646</c:v>
                </c:pt>
                <c:pt idx="60">
                  <c:v>43616</c:v>
                </c:pt>
                <c:pt idx="61">
                  <c:v>43585</c:v>
                </c:pt>
                <c:pt idx="62">
                  <c:v>43555</c:v>
                </c:pt>
                <c:pt idx="63">
                  <c:v>43524</c:v>
                </c:pt>
                <c:pt idx="64">
                  <c:v>43496</c:v>
                </c:pt>
                <c:pt idx="65">
                  <c:v>43465</c:v>
                </c:pt>
                <c:pt idx="66">
                  <c:v>43434</c:v>
                </c:pt>
                <c:pt idx="67">
                  <c:v>43404</c:v>
                </c:pt>
                <c:pt idx="68">
                  <c:v>43373</c:v>
                </c:pt>
                <c:pt idx="69">
                  <c:v>43343</c:v>
                </c:pt>
                <c:pt idx="70">
                  <c:v>43312</c:v>
                </c:pt>
                <c:pt idx="71">
                  <c:v>43281</c:v>
                </c:pt>
                <c:pt idx="72">
                  <c:v>43251</c:v>
                </c:pt>
                <c:pt idx="73">
                  <c:v>43220</c:v>
                </c:pt>
                <c:pt idx="74">
                  <c:v>43190</c:v>
                </c:pt>
                <c:pt idx="75">
                  <c:v>43159</c:v>
                </c:pt>
                <c:pt idx="76">
                  <c:v>43131</c:v>
                </c:pt>
                <c:pt idx="77">
                  <c:v>43100</c:v>
                </c:pt>
                <c:pt idx="78">
                  <c:v>43069</c:v>
                </c:pt>
                <c:pt idx="79">
                  <c:v>43039</c:v>
                </c:pt>
                <c:pt idx="80">
                  <c:v>43008</c:v>
                </c:pt>
                <c:pt idx="81">
                  <c:v>42978</c:v>
                </c:pt>
                <c:pt idx="82">
                  <c:v>42947</c:v>
                </c:pt>
                <c:pt idx="83">
                  <c:v>42916</c:v>
                </c:pt>
                <c:pt idx="84">
                  <c:v>42886</c:v>
                </c:pt>
                <c:pt idx="85">
                  <c:v>42855</c:v>
                </c:pt>
                <c:pt idx="86">
                  <c:v>42825</c:v>
                </c:pt>
                <c:pt idx="87">
                  <c:v>42794</c:v>
                </c:pt>
                <c:pt idx="88">
                  <c:v>42766</c:v>
                </c:pt>
                <c:pt idx="89">
                  <c:v>42735</c:v>
                </c:pt>
                <c:pt idx="90">
                  <c:v>42704</c:v>
                </c:pt>
                <c:pt idx="91">
                  <c:v>42674</c:v>
                </c:pt>
                <c:pt idx="92">
                  <c:v>42643</c:v>
                </c:pt>
                <c:pt idx="93">
                  <c:v>42613</c:v>
                </c:pt>
                <c:pt idx="94">
                  <c:v>42582</c:v>
                </c:pt>
                <c:pt idx="95">
                  <c:v>42551</c:v>
                </c:pt>
                <c:pt idx="96">
                  <c:v>42521</c:v>
                </c:pt>
                <c:pt idx="97">
                  <c:v>42490</c:v>
                </c:pt>
                <c:pt idx="98">
                  <c:v>42460</c:v>
                </c:pt>
                <c:pt idx="99">
                  <c:v>42429</c:v>
                </c:pt>
                <c:pt idx="100">
                  <c:v>42400</c:v>
                </c:pt>
                <c:pt idx="101">
                  <c:v>42369</c:v>
                </c:pt>
                <c:pt idx="102">
                  <c:v>42338</c:v>
                </c:pt>
                <c:pt idx="103">
                  <c:v>42308</c:v>
                </c:pt>
                <c:pt idx="104">
                  <c:v>42277</c:v>
                </c:pt>
                <c:pt idx="105">
                  <c:v>42247</c:v>
                </c:pt>
                <c:pt idx="106">
                  <c:v>42216</c:v>
                </c:pt>
                <c:pt idx="107">
                  <c:v>42185</c:v>
                </c:pt>
                <c:pt idx="108">
                  <c:v>42155</c:v>
                </c:pt>
                <c:pt idx="109">
                  <c:v>42124</c:v>
                </c:pt>
                <c:pt idx="110">
                  <c:v>42094</c:v>
                </c:pt>
                <c:pt idx="111">
                  <c:v>42063</c:v>
                </c:pt>
                <c:pt idx="112">
                  <c:v>42035</c:v>
                </c:pt>
                <c:pt idx="113">
                  <c:v>42004</c:v>
                </c:pt>
                <c:pt idx="114">
                  <c:v>41973</c:v>
                </c:pt>
                <c:pt idx="115">
                  <c:v>41943</c:v>
                </c:pt>
                <c:pt idx="116">
                  <c:v>41912</c:v>
                </c:pt>
                <c:pt idx="117">
                  <c:v>41882</c:v>
                </c:pt>
                <c:pt idx="118">
                  <c:v>41851</c:v>
                </c:pt>
                <c:pt idx="119">
                  <c:v>41820</c:v>
                </c:pt>
                <c:pt idx="120">
                  <c:v>41790</c:v>
                </c:pt>
                <c:pt idx="121">
                  <c:v>41759</c:v>
                </c:pt>
                <c:pt idx="122">
                  <c:v>41729</c:v>
                </c:pt>
                <c:pt idx="123">
                  <c:v>41698</c:v>
                </c:pt>
                <c:pt idx="124">
                  <c:v>41670</c:v>
                </c:pt>
                <c:pt idx="125">
                  <c:v>41639</c:v>
                </c:pt>
                <c:pt idx="126">
                  <c:v>41608</c:v>
                </c:pt>
                <c:pt idx="127">
                  <c:v>41578</c:v>
                </c:pt>
                <c:pt idx="128">
                  <c:v>41547</c:v>
                </c:pt>
                <c:pt idx="129">
                  <c:v>41517</c:v>
                </c:pt>
                <c:pt idx="130">
                  <c:v>41486</c:v>
                </c:pt>
                <c:pt idx="131">
                  <c:v>41455</c:v>
                </c:pt>
                <c:pt idx="132">
                  <c:v>41425</c:v>
                </c:pt>
                <c:pt idx="133">
                  <c:v>41394</c:v>
                </c:pt>
                <c:pt idx="134">
                  <c:v>41364</c:v>
                </c:pt>
                <c:pt idx="135">
                  <c:v>41333</c:v>
                </c:pt>
                <c:pt idx="136">
                  <c:v>41305</c:v>
                </c:pt>
                <c:pt idx="137">
                  <c:v>41274</c:v>
                </c:pt>
                <c:pt idx="138">
                  <c:v>41243</c:v>
                </c:pt>
                <c:pt idx="139">
                  <c:v>41213</c:v>
                </c:pt>
                <c:pt idx="140">
                  <c:v>41182</c:v>
                </c:pt>
                <c:pt idx="141">
                  <c:v>41152</c:v>
                </c:pt>
                <c:pt idx="142">
                  <c:v>41121</c:v>
                </c:pt>
                <c:pt idx="143">
                  <c:v>41090</c:v>
                </c:pt>
                <c:pt idx="144">
                  <c:v>41060</c:v>
                </c:pt>
                <c:pt idx="145">
                  <c:v>41029</c:v>
                </c:pt>
                <c:pt idx="146">
                  <c:v>40999</c:v>
                </c:pt>
                <c:pt idx="147">
                  <c:v>40968</c:v>
                </c:pt>
                <c:pt idx="148">
                  <c:v>40939</c:v>
                </c:pt>
                <c:pt idx="149">
                  <c:v>40908</c:v>
                </c:pt>
                <c:pt idx="150">
                  <c:v>40877</c:v>
                </c:pt>
                <c:pt idx="151">
                  <c:v>40847</c:v>
                </c:pt>
                <c:pt idx="152">
                  <c:v>40816</c:v>
                </c:pt>
                <c:pt idx="153">
                  <c:v>40786</c:v>
                </c:pt>
                <c:pt idx="154">
                  <c:v>40755</c:v>
                </c:pt>
                <c:pt idx="155">
                  <c:v>40724</c:v>
                </c:pt>
                <c:pt idx="156">
                  <c:v>40694</c:v>
                </c:pt>
                <c:pt idx="157">
                  <c:v>40663</c:v>
                </c:pt>
                <c:pt idx="158">
                  <c:v>40633</c:v>
                </c:pt>
                <c:pt idx="159">
                  <c:v>40602</c:v>
                </c:pt>
                <c:pt idx="160">
                  <c:v>40574</c:v>
                </c:pt>
                <c:pt idx="161">
                  <c:v>40543</c:v>
                </c:pt>
                <c:pt idx="162">
                  <c:v>40512</c:v>
                </c:pt>
                <c:pt idx="163">
                  <c:v>40482</c:v>
                </c:pt>
                <c:pt idx="164">
                  <c:v>40451</c:v>
                </c:pt>
                <c:pt idx="165">
                  <c:v>40421</c:v>
                </c:pt>
                <c:pt idx="166">
                  <c:v>40390</c:v>
                </c:pt>
                <c:pt idx="167">
                  <c:v>40359</c:v>
                </c:pt>
                <c:pt idx="168">
                  <c:v>40329</c:v>
                </c:pt>
                <c:pt idx="169">
                  <c:v>40298</c:v>
                </c:pt>
                <c:pt idx="170">
                  <c:v>40268</c:v>
                </c:pt>
                <c:pt idx="171">
                  <c:v>40237</c:v>
                </c:pt>
                <c:pt idx="172">
                  <c:v>40209</c:v>
                </c:pt>
              </c:numCache>
            </c:numRef>
          </c:cat>
          <c:val>
            <c:numRef>
              <c:f>'信贷库存框架1-票据+贷款余额'!$F$18:$F$215</c:f>
              <c:numCache>
                <c:formatCode>General</c:formatCode>
                <c:ptCount val="198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43-41D3-8F3D-161CC5F5ECE1}"/>
            </c:ext>
          </c:extLst>
        </c:ser>
        <c:ser>
          <c:idx val="2"/>
          <c:order val="2"/>
          <c:tx>
            <c:strRef>
              <c:f>'信贷库存框架1-票据+贷款余额'!$G$3</c:f>
              <c:strCache>
                <c:ptCount val="1"/>
                <c:pt idx="0">
                  <c:v>票据下行手动</c:v>
                </c:pt>
              </c:strCache>
            </c:strRef>
          </c:tx>
          <c:spPr>
            <a:solidFill>
              <a:srgbClr val="F2BA02">
                <a:alpha val="100000"/>
              </a:srgbClr>
            </a:solidFill>
            <a:ln w="3175">
              <a:noFill/>
            </a:ln>
          </c:spPr>
          <c:invertIfNegative val="0"/>
          <c:cat>
            <c:numRef>
              <c:f>'信贷库存框架1-票据+贷款余额'!$A$37:$A$215</c:f>
              <c:numCache>
                <c:formatCode>yyyy\-mm</c:formatCode>
                <c:ptCount val="179"/>
                <c:pt idx="0">
                  <c:v>45443</c:v>
                </c:pt>
                <c:pt idx="1">
                  <c:v>45412</c:v>
                </c:pt>
                <c:pt idx="2">
                  <c:v>45382</c:v>
                </c:pt>
                <c:pt idx="3">
                  <c:v>45351</c:v>
                </c:pt>
                <c:pt idx="4">
                  <c:v>45322</c:v>
                </c:pt>
                <c:pt idx="5">
                  <c:v>45291</c:v>
                </c:pt>
                <c:pt idx="6">
                  <c:v>45260</c:v>
                </c:pt>
                <c:pt idx="7">
                  <c:v>45230</c:v>
                </c:pt>
                <c:pt idx="8">
                  <c:v>45199</c:v>
                </c:pt>
                <c:pt idx="9">
                  <c:v>45169</c:v>
                </c:pt>
                <c:pt idx="10">
                  <c:v>45138</c:v>
                </c:pt>
                <c:pt idx="11">
                  <c:v>45107</c:v>
                </c:pt>
                <c:pt idx="12">
                  <c:v>45077</c:v>
                </c:pt>
                <c:pt idx="13">
                  <c:v>45046</c:v>
                </c:pt>
                <c:pt idx="14">
                  <c:v>45016</c:v>
                </c:pt>
                <c:pt idx="15">
                  <c:v>44985</c:v>
                </c:pt>
                <c:pt idx="16">
                  <c:v>44957</c:v>
                </c:pt>
                <c:pt idx="17">
                  <c:v>44926</c:v>
                </c:pt>
                <c:pt idx="18">
                  <c:v>44895</c:v>
                </c:pt>
                <c:pt idx="19">
                  <c:v>44865</c:v>
                </c:pt>
                <c:pt idx="20">
                  <c:v>44834</c:v>
                </c:pt>
                <c:pt idx="21">
                  <c:v>44804</c:v>
                </c:pt>
                <c:pt idx="22">
                  <c:v>44773</c:v>
                </c:pt>
                <c:pt idx="23">
                  <c:v>44742</c:v>
                </c:pt>
                <c:pt idx="24">
                  <c:v>44712</c:v>
                </c:pt>
                <c:pt idx="25">
                  <c:v>44681</c:v>
                </c:pt>
                <c:pt idx="26">
                  <c:v>44651</c:v>
                </c:pt>
                <c:pt idx="27">
                  <c:v>44620</c:v>
                </c:pt>
                <c:pt idx="28">
                  <c:v>44592</c:v>
                </c:pt>
                <c:pt idx="29">
                  <c:v>44561</c:v>
                </c:pt>
                <c:pt idx="30">
                  <c:v>44530</c:v>
                </c:pt>
                <c:pt idx="31">
                  <c:v>44500</c:v>
                </c:pt>
                <c:pt idx="32">
                  <c:v>44469</c:v>
                </c:pt>
                <c:pt idx="33">
                  <c:v>44439</c:v>
                </c:pt>
                <c:pt idx="34">
                  <c:v>44408</c:v>
                </c:pt>
                <c:pt idx="35">
                  <c:v>44377</c:v>
                </c:pt>
                <c:pt idx="36">
                  <c:v>44347</c:v>
                </c:pt>
                <c:pt idx="37">
                  <c:v>44316</c:v>
                </c:pt>
                <c:pt idx="38">
                  <c:v>44286</c:v>
                </c:pt>
                <c:pt idx="39">
                  <c:v>44255</c:v>
                </c:pt>
                <c:pt idx="40">
                  <c:v>44227</c:v>
                </c:pt>
                <c:pt idx="41">
                  <c:v>44196</c:v>
                </c:pt>
                <c:pt idx="42">
                  <c:v>44165</c:v>
                </c:pt>
                <c:pt idx="43">
                  <c:v>44135</c:v>
                </c:pt>
                <c:pt idx="44">
                  <c:v>44104</c:v>
                </c:pt>
                <c:pt idx="45">
                  <c:v>44074</c:v>
                </c:pt>
                <c:pt idx="46">
                  <c:v>44043</c:v>
                </c:pt>
                <c:pt idx="47">
                  <c:v>44012</c:v>
                </c:pt>
                <c:pt idx="48">
                  <c:v>43982</c:v>
                </c:pt>
                <c:pt idx="49">
                  <c:v>43951</c:v>
                </c:pt>
                <c:pt idx="50">
                  <c:v>43921</c:v>
                </c:pt>
                <c:pt idx="51">
                  <c:v>43890</c:v>
                </c:pt>
                <c:pt idx="52">
                  <c:v>43861</c:v>
                </c:pt>
                <c:pt idx="53">
                  <c:v>43830</c:v>
                </c:pt>
                <c:pt idx="54">
                  <c:v>43799</c:v>
                </c:pt>
                <c:pt idx="55">
                  <c:v>43769</c:v>
                </c:pt>
                <c:pt idx="56">
                  <c:v>43738</c:v>
                </c:pt>
                <c:pt idx="57">
                  <c:v>43708</c:v>
                </c:pt>
                <c:pt idx="58">
                  <c:v>43677</c:v>
                </c:pt>
                <c:pt idx="59">
                  <c:v>43646</c:v>
                </c:pt>
                <c:pt idx="60">
                  <c:v>43616</c:v>
                </c:pt>
                <c:pt idx="61">
                  <c:v>43585</c:v>
                </c:pt>
                <c:pt idx="62">
                  <c:v>43555</c:v>
                </c:pt>
                <c:pt idx="63">
                  <c:v>43524</c:v>
                </c:pt>
                <c:pt idx="64">
                  <c:v>43496</c:v>
                </c:pt>
                <c:pt idx="65">
                  <c:v>43465</c:v>
                </c:pt>
                <c:pt idx="66">
                  <c:v>43434</c:v>
                </c:pt>
                <c:pt idx="67">
                  <c:v>43404</c:v>
                </c:pt>
                <c:pt idx="68">
                  <c:v>43373</c:v>
                </c:pt>
                <c:pt idx="69">
                  <c:v>43343</c:v>
                </c:pt>
                <c:pt idx="70">
                  <c:v>43312</c:v>
                </c:pt>
                <c:pt idx="71">
                  <c:v>43281</c:v>
                </c:pt>
                <c:pt idx="72">
                  <c:v>43251</c:v>
                </c:pt>
                <c:pt idx="73">
                  <c:v>43220</c:v>
                </c:pt>
                <c:pt idx="74">
                  <c:v>43190</c:v>
                </c:pt>
                <c:pt idx="75">
                  <c:v>43159</c:v>
                </c:pt>
                <c:pt idx="76">
                  <c:v>43131</c:v>
                </c:pt>
                <c:pt idx="77">
                  <c:v>43100</c:v>
                </c:pt>
                <c:pt idx="78">
                  <c:v>43069</c:v>
                </c:pt>
                <c:pt idx="79">
                  <c:v>43039</c:v>
                </c:pt>
                <c:pt idx="80">
                  <c:v>43008</c:v>
                </c:pt>
                <c:pt idx="81">
                  <c:v>42978</c:v>
                </c:pt>
                <c:pt idx="82">
                  <c:v>42947</c:v>
                </c:pt>
                <c:pt idx="83">
                  <c:v>42916</c:v>
                </c:pt>
                <c:pt idx="84">
                  <c:v>42886</c:v>
                </c:pt>
                <c:pt idx="85">
                  <c:v>42855</c:v>
                </c:pt>
                <c:pt idx="86">
                  <c:v>42825</c:v>
                </c:pt>
                <c:pt idx="87">
                  <c:v>42794</c:v>
                </c:pt>
                <c:pt idx="88">
                  <c:v>42766</c:v>
                </c:pt>
                <c:pt idx="89">
                  <c:v>42735</c:v>
                </c:pt>
                <c:pt idx="90">
                  <c:v>42704</c:v>
                </c:pt>
                <c:pt idx="91">
                  <c:v>42674</c:v>
                </c:pt>
                <c:pt idx="92">
                  <c:v>42643</c:v>
                </c:pt>
                <c:pt idx="93">
                  <c:v>42613</c:v>
                </c:pt>
                <c:pt idx="94">
                  <c:v>42582</c:v>
                </c:pt>
                <c:pt idx="95">
                  <c:v>42551</c:v>
                </c:pt>
                <c:pt idx="96">
                  <c:v>42521</c:v>
                </c:pt>
                <c:pt idx="97">
                  <c:v>42490</c:v>
                </c:pt>
                <c:pt idx="98">
                  <c:v>42460</c:v>
                </c:pt>
                <c:pt idx="99">
                  <c:v>42429</c:v>
                </c:pt>
                <c:pt idx="100">
                  <c:v>42400</c:v>
                </c:pt>
                <c:pt idx="101">
                  <c:v>42369</c:v>
                </c:pt>
                <c:pt idx="102">
                  <c:v>42338</c:v>
                </c:pt>
                <c:pt idx="103">
                  <c:v>42308</c:v>
                </c:pt>
                <c:pt idx="104">
                  <c:v>42277</c:v>
                </c:pt>
                <c:pt idx="105">
                  <c:v>42247</c:v>
                </c:pt>
                <c:pt idx="106">
                  <c:v>42216</c:v>
                </c:pt>
                <c:pt idx="107">
                  <c:v>42185</c:v>
                </c:pt>
                <c:pt idx="108">
                  <c:v>42155</c:v>
                </c:pt>
                <c:pt idx="109">
                  <c:v>42124</c:v>
                </c:pt>
                <c:pt idx="110">
                  <c:v>42094</c:v>
                </c:pt>
                <c:pt idx="111">
                  <c:v>42063</c:v>
                </c:pt>
                <c:pt idx="112">
                  <c:v>42035</c:v>
                </c:pt>
                <c:pt idx="113">
                  <c:v>42004</c:v>
                </c:pt>
                <c:pt idx="114">
                  <c:v>41973</c:v>
                </c:pt>
                <c:pt idx="115">
                  <c:v>41943</c:v>
                </c:pt>
                <c:pt idx="116">
                  <c:v>41912</c:v>
                </c:pt>
                <c:pt idx="117">
                  <c:v>41882</c:v>
                </c:pt>
                <c:pt idx="118">
                  <c:v>41851</c:v>
                </c:pt>
                <c:pt idx="119">
                  <c:v>41820</c:v>
                </c:pt>
                <c:pt idx="120">
                  <c:v>41790</c:v>
                </c:pt>
                <c:pt idx="121">
                  <c:v>41759</c:v>
                </c:pt>
                <c:pt idx="122">
                  <c:v>41729</c:v>
                </c:pt>
                <c:pt idx="123">
                  <c:v>41698</c:v>
                </c:pt>
                <c:pt idx="124">
                  <c:v>41670</c:v>
                </c:pt>
                <c:pt idx="125">
                  <c:v>41639</c:v>
                </c:pt>
                <c:pt idx="126">
                  <c:v>41608</c:v>
                </c:pt>
                <c:pt idx="127">
                  <c:v>41578</c:v>
                </c:pt>
                <c:pt idx="128">
                  <c:v>41547</c:v>
                </c:pt>
                <c:pt idx="129">
                  <c:v>41517</c:v>
                </c:pt>
                <c:pt idx="130">
                  <c:v>41486</c:v>
                </c:pt>
                <c:pt idx="131">
                  <c:v>41455</c:v>
                </c:pt>
                <c:pt idx="132">
                  <c:v>41425</c:v>
                </c:pt>
                <c:pt idx="133">
                  <c:v>41394</c:v>
                </c:pt>
                <c:pt idx="134">
                  <c:v>41364</c:v>
                </c:pt>
                <c:pt idx="135">
                  <c:v>41333</c:v>
                </c:pt>
                <c:pt idx="136">
                  <c:v>41305</c:v>
                </c:pt>
                <c:pt idx="137">
                  <c:v>41274</c:v>
                </c:pt>
                <c:pt idx="138">
                  <c:v>41243</c:v>
                </c:pt>
                <c:pt idx="139">
                  <c:v>41213</c:v>
                </c:pt>
                <c:pt idx="140">
                  <c:v>41182</c:v>
                </c:pt>
                <c:pt idx="141">
                  <c:v>41152</c:v>
                </c:pt>
                <c:pt idx="142">
                  <c:v>41121</c:v>
                </c:pt>
                <c:pt idx="143">
                  <c:v>41090</c:v>
                </c:pt>
                <c:pt idx="144">
                  <c:v>41060</c:v>
                </c:pt>
                <c:pt idx="145">
                  <c:v>41029</c:v>
                </c:pt>
                <c:pt idx="146">
                  <c:v>40999</c:v>
                </c:pt>
                <c:pt idx="147">
                  <c:v>40968</c:v>
                </c:pt>
                <c:pt idx="148">
                  <c:v>40939</c:v>
                </c:pt>
                <c:pt idx="149">
                  <c:v>40908</c:v>
                </c:pt>
                <c:pt idx="150">
                  <c:v>40877</c:v>
                </c:pt>
                <c:pt idx="151">
                  <c:v>40847</c:v>
                </c:pt>
                <c:pt idx="152">
                  <c:v>40816</c:v>
                </c:pt>
                <c:pt idx="153">
                  <c:v>40786</c:v>
                </c:pt>
                <c:pt idx="154">
                  <c:v>40755</c:v>
                </c:pt>
                <c:pt idx="155">
                  <c:v>40724</c:v>
                </c:pt>
                <c:pt idx="156">
                  <c:v>40694</c:v>
                </c:pt>
                <c:pt idx="157">
                  <c:v>40663</c:v>
                </c:pt>
                <c:pt idx="158">
                  <c:v>40633</c:v>
                </c:pt>
                <c:pt idx="159">
                  <c:v>40602</c:v>
                </c:pt>
                <c:pt idx="160">
                  <c:v>40574</c:v>
                </c:pt>
                <c:pt idx="161">
                  <c:v>40543</c:v>
                </c:pt>
                <c:pt idx="162">
                  <c:v>40512</c:v>
                </c:pt>
                <c:pt idx="163">
                  <c:v>40482</c:v>
                </c:pt>
                <c:pt idx="164">
                  <c:v>40451</c:v>
                </c:pt>
                <c:pt idx="165">
                  <c:v>40421</c:v>
                </c:pt>
                <c:pt idx="166">
                  <c:v>40390</c:v>
                </c:pt>
                <c:pt idx="167">
                  <c:v>40359</c:v>
                </c:pt>
                <c:pt idx="168">
                  <c:v>40329</c:v>
                </c:pt>
                <c:pt idx="169">
                  <c:v>40298</c:v>
                </c:pt>
                <c:pt idx="170">
                  <c:v>40268</c:v>
                </c:pt>
                <c:pt idx="171">
                  <c:v>40237</c:v>
                </c:pt>
                <c:pt idx="172">
                  <c:v>40209</c:v>
                </c:pt>
              </c:numCache>
            </c:numRef>
          </c:cat>
          <c:val>
            <c:numRef>
              <c:f>'信贷库存框架1-票据+贷款余额'!$G$18:$G$215</c:f>
              <c:numCache>
                <c:formatCode>General</c:formatCode>
                <c:ptCount val="198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43-41D3-8F3D-161CC5F5EC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642526223"/>
        <c:axId val="160964725"/>
      </c:barChart>
      <c:lineChart>
        <c:grouping val="standard"/>
        <c:varyColors val="0"/>
        <c:ser>
          <c:idx val="0"/>
          <c:order val="0"/>
          <c:tx>
            <c:strRef>
              <c:f>'信贷库存框架1-票据+贷款余额'!$B$3</c:f>
              <c:strCache>
                <c:ptCount val="1"/>
                <c:pt idx="0">
                  <c:v>票据贴现余额增速</c:v>
                </c:pt>
              </c:strCache>
            </c:strRef>
          </c:tx>
          <c:spPr>
            <a:ln w="15875" cap="rnd" cmpd="sng" algn="ctr">
              <a:solidFill>
                <a:srgbClr val="004477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'信贷库存框架1-票据+贷款余额'!$A$18:$A$215</c:f>
              <c:numCache>
                <c:formatCode>yyyy\-mm</c:formatCode>
                <c:ptCount val="198"/>
                <c:pt idx="0">
                  <c:v>46022</c:v>
                </c:pt>
                <c:pt idx="1">
                  <c:v>45991</c:v>
                </c:pt>
                <c:pt idx="2">
                  <c:v>45961</c:v>
                </c:pt>
                <c:pt idx="3">
                  <c:v>45930</c:v>
                </c:pt>
                <c:pt idx="4">
                  <c:v>45900</c:v>
                </c:pt>
                <c:pt idx="5">
                  <c:v>45869</c:v>
                </c:pt>
                <c:pt idx="6">
                  <c:v>45838</c:v>
                </c:pt>
                <c:pt idx="7">
                  <c:v>45808</c:v>
                </c:pt>
                <c:pt idx="8">
                  <c:v>45777</c:v>
                </c:pt>
                <c:pt idx="9">
                  <c:v>45747</c:v>
                </c:pt>
                <c:pt idx="10">
                  <c:v>45716</c:v>
                </c:pt>
                <c:pt idx="11">
                  <c:v>45688</c:v>
                </c:pt>
                <c:pt idx="12">
                  <c:v>45657</c:v>
                </c:pt>
                <c:pt idx="13">
                  <c:v>45626</c:v>
                </c:pt>
                <c:pt idx="14">
                  <c:v>45596</c:v>
                </c:pt>
                <c:pt idx="15">
                  <c:v>45565</c:v>
                </c:pt>
                <c:pt idx="16">
                  <c:v>45535</c:v>
                </c:pt>
                <c:pt idx="17">
                  <c:v>45504</c:v>
                </c:pt>
                <c:pt idx="18">
                  <c:v>45473</c:v>
                </c:pt>
                <c:pt idx="19">
                  <c:v>45443</c:v>
                </c:pt>
                <c:pt idx="20">
                  <c:v>45412</c:v>
                </c:pt>
                <c:pt idx="21">
                  <c:v>45382</c:v>
                </c:pt>
                <c:pt idx="22">
                  <c:v>45351</c:v>
                </c:pt>
                <c:pt idx="23">
                  <c:v>45322</c:v>
                </c:pt>
                <c:pt idx="24">
                  <c:v>45291</c:v>
                </c:pt>
                <c:pt idx="25">
                  <c:v>45260</c:v>
                </c:pt>
                <c:pt idx="26">
                  <c:v>45230</c:v>
                </c:pt>
                <c:pt idx="27">
                  <c:v>45199</c:v>
                </c:pt>
                <c:pt idx="28">
                  <c:v>45169</c:v>
                </c:pt>
                <c:pt idx="29">
                  <c:v>45138</c:v>
                </c:pt>
                <c:pt idx="30">
                  <c:v>45107</c:v>
                </c:pt>
                <c:pt idx="31">
                  <c:v>45077</c:v>
                </c:pt>
                <c:pt idx="32">
                  <c:v>45046</c:v>
                </c:pt>
                <c:pt idx="33">
                  <c:v>45016</c:v>
                </c:pt>
                <c:pt idx="34">
                  <c:v>44985</c:v>
                </c:pt>
                <c:pt idx="35">
                  <c:v>44957</c:v>
                </c:pt>
                <c:pt idx="36">
                  <c:v>44926</c:v>
                </c:pt>
                <c:pt idx="37">
                  <c:v>44895</c:v>
                </c:pt>
                <c:pt idx="38">
                  <c:v>44865</c:v>
                </c:pt>
                <c:pt idx="39">
                  <c:v>44834</c:v>
                </c:pt>
                <c:pt idx="40">
                  <c:v>44804</c:v>
                </c:pt>
                <c:pt idx="41">
                  <c:v>44773</c:v>
                </c:pt>
                <c:pt idx="42">
                  <c:v>44742</c:v>
                </c:pt>
                <c:pt idx="43">
                  <c:v>44712</c:v>
                </c:pt>
                <c:pt idx="44">
                  <c:v>44681</c:v>
                </c:pt>
                <c:pt idx="45">
                  <c:v>44651</c:v>
                </c:pt>
                <c:pt idx="46">
                  <c:v>44620</c:v>
                </c:pt>
                <c:pt idx="47">
                  <c:v>44592</c:v>
                </c:pt>
                <c:pt idx="48">
                  <c:v>44561</c:v>
                </c:pt>
                <c:pt idx="49">
                  <c:v>44530</c:v>
                </c:pt>
                <c:pt idx="50">
                  <c:v>44500</c:v>
                </c:pt>
                <c:pt idx="51">
                  <c:v>44469</c:v>
                </c:pt>
                <c:pt idx="52">
                  <c:v>44439</c:v>
                </c:pt>
                <c:pt idx="53">
                  <c:v>44408</c:v>
                </c:pt>
                <c:pt idx="54">
                  <c:v>44377</c:v>
                </c:pt>
                <c:pt idx="55">
                  <c:v>44347</c:v>
                </c:pt>
                <c:pt idx="56">
                  <c:v>44316</c:v>
                </c:pt>
                <c:pt idx="57">
                  <c:v>44286</c:v>
                </c:pt>
                <c:pt idx="58">
                  <c:v>44255</c:v>
                </c:pt>
                <c:pt idx="59">
                  <c:v>44227</c:v>
                </c:pt>
                <c:pt idx="60">
                  <c:v>44196</c:v>
                </c:pt>
                <c:pt idx="61">
                  <c:v>44165</c:v>
                </c:pt>
                <c:pt idx="62">
                  <c:v>44135</c:v>
                </c:pt>
                <c:pt idx="63">
                  <c:v>44104</c:v>
                </c:pt>
                <c:pt idx="64">
                  <c:v>44074</c:v>
                </c:pt>
                <c:pt idx="65">
                  <c:v>44043</c:v>
                </c:pt>
                <c:pt idx="66">
                  <c:v>44012</c:v>
                </c:pt>
                <c:pt idx="67">
                  <c:v>43982</c:v>
                </c:pt>
                <c:pt idx="68">
                  <c:v>43951</c:v>
                </c:pt>
                <c:pt idx="69">
                  <c:v>43921</c:v>
                </c:pt>
                <c:pt idx="70">
                  <c:v>43890</c:v>
                </c:pt>
                <c:pt idx="71">
                  <c:v>43861</c:v>
                </c:pt>
                <c:pt idx="72">
                  <c:v>43830</c:v>
                </c:pt>
                <c:pt idx="73">
                  <c:v>43799</c:v>
                </c:pt>
                <c:pt idx="74">
                  <c:v>43769</c:v>
                </c:pt>
                <c:pt idx="75">
                  <c:v>43738</c:v>
                </c:pt>
                <c:pt idx="76">
                  <c:v>43708</c:v>
                </c:pt>
                <c:pt idx="77">
                  <c:v>43677</c:v>
                </c:pt>
                <c:pt idx="78">
                  <c:v>43646</c:v>
                </c:pt>
                <c:pt idx="79">
                  <c:v>43616</c:v>
                </c:pt>
                <c:pt idx="80">
                  <c:v>43585</c:v>
                </c:pt>
                <c:pt idx="81">
                  <c:v>43555</c:v>
                </c:pt>
                <c:pt idx="82">
                  <c:v>43524</c:v>
                </c:pt>
                <c:pt idx="83">
                  <c:v>43496</c:v>
                </c:pt>
                <c:pt idx="84">
                  <c:v>43465</c:v>
                </c:pt>
                <c:pt idx="85">
                  <c:v>43434</c:v>
                </c:pt>
                <c:pt idx="86">
                  <c:v>43404</c:v>
                </c:pt>
                <c:pt idx="87">
                  <c:v>43373</c:v>
                </c:pt>
                <c:pt idx="88">
                  <c:v>43343</c:v>
                </c:pt>
                <c:pt idx="89">
                  <c:v>43312</c:v>
                </c:pt>
                <c:pt idx="90">
                  <c:v>43281</c:v>
                </c:pt>
                <c:pt idx="91">
                  <c:v>43251</c:v>
                </c:pt>
                <c:pt idx="92">
                  <c:v>43220</c:v>
                </c:pt>
                <c:pt idx="93">
                  <c:v>43190</c:v>
                </c:pt>
                <c:pt idx="94">
                  <c:v>43159</c:v>
                </c:pt>
                <c:pt idx="95">
                  <c:v>43131</c:v>
                </c:pt>
                <c:pt idx="96">
                  <c:v>43100</c:v>
                </c:pt>
                <c:pt idx="97">
                  <c:v>43069</c:v>
                </c:pt>
                <c:pt idx="98">
                  <c:v>43039</c:v>
                </c:pt>
                <c:pt idx="99">
                  <c:v>43008</c:v>
                </c:pt>
                <c:pt idx="100">
                  <c:v>42978</c:v>
                </c:pt>
                <c:pt idx="101">
                  <c:v>42947</c:v>
                </c:pt>
                <c:pt idx="102">
                  <c:v>42916</c:v>
                </c:pt>
                <c:pt idx="103">
                  <c:v>42886</c:v>
                </c:pt>
                <c:pt idx="104">
                  <c:v>42855</c:v>
                </c:pt>
                <c:pt idx="105">
                  <c:v>42825</c:v>
                </c:pt>
                <c:pt idx="106">
                  <c:v>42794</c:v>
                </c:pt>
                <c:pt idx="107">
                  <c:v>42766</c:v>
                </c:pt>
                <c:pt idx="108">
                  <c:v>42735</c:v>
                </c:pt>
                <c:pt idx="109">
                  <c:v>42704</c:v>
                </c:pt>
                <c:pt idx="110">
                  <c:v>42674</c:v>
                </c:pt>
                <c:pt idx="111">
                  <c:v>42643</c:v>
                </c:pt>
                <c:pt idx="112">
                  <c:v>42613</c:v>
                </c:pt>
                <c:pt idx="113">
                  <c:v>42582</c:v>
                </c:pt>
                <c:pt idx="114">
                  <c:v>42551</c:v>
                </c:pt>
                <c:pt idx="115">
                  <c:v>42521</c:v>
                </c:pt>
                <c:pt idx="116">
                  <c:v>42490</c:v>
                </c:pt>
                <c:pt idx="117">
                  <c:v>42460</c:v>
                </c:pt>
                <c:pt idx="118">
                  <c:v>42429</c:v>
                </c:pt>
                <c:pt idx="119">
                  <c:v>42400</c:v>
                </c:pt>
                <c:pt idx="120">
                  <c:v>42369</c:v>
                </c:pt>
                <c:pt idx="121">
                  <c:v>42338</c:v>
                </c:pt>
                <c:pt idx="122">
                  <c:v>42308</c:v>
                </c:pt>
                <c:pt idx="123">
                  <c:v>42277</c:v>
                </c:pt>
                <c:pt idx="124">
                  <c:v>42247</c:v>
                </c:pt>
                <c:pt idx="125">
                  <c:v>42216</c:v>
                </c:pt>
                <c:pt idx="126">
                  <c:v>42185</c:v>
                </c:pt>
                <c:pt idx="127">
                  <c:v>42155</c:v>
                </c:pt>
                <c:pt idx="128">
                  <c:v>42124</c:v>
                </c:pt>
                <c:pt idx="129">
                  <c:v>42094</c:v>
                </c:pt>
                <c:pt idx="130">
                  <c:v>42063</c:v>
                </c:pt>
                <c:pt idx="131">
                  <c:v>42035</c:v>
                </c:pt>
                <c:pt idx="132">
                  <c:v>42004</c:v>
                </c:pt>
                <c:pt idx="133">
                  <c:v>41973</c:v>
                </c:pt>
                <c:pt idx="134">
                  <c:v>41943</c:v>
                </c:pt>
                <c:pt idx="135">
                  <c:v>41912</c:v>
                </c:pt>
                <c:pt idx="136">
                  <c:v>41882</c:v>
                </c:pt>
                <c:pt idx="137">
                  <c:v>41851</c:v>
                </c:pt>
                <c:pt idx="138">
                  <c:v>41820</c:v>
                </c:pt>
                <c:pt idx="139">
                  <c:v>41790</c:v>
                </c:pt>
                <c:pt idx="140">
                  <c:v>41759</c:v>
                </c:pt>
                <c:pt idx="141">
                  <c:v>41729</c:v>
                </c:pt>
                <c:pt idx="142">
                  <c:v>41698</c:v>
                </c:pt>
                <c:pt idx="143">
                  <c:v>41670</c:v>
                </c:pt>
                <c:pt idx="144">
                  <c:v>41639</c:v>
                </c:pt>
                <c:pt idx="145">
                  <c:v>41608</c:v>
                </c:pt>
                <c:pt idx="146">
                  <c:v>41578</c:v>
                </c:pt>
                <c:pt idx="147">
                  <c:v>41547</c:v>
                </c:pt>
                <c:pt idx="148">
                  <c:v>41517</c:v>
                </c:pt>
                <c:pt idx="149">
                  <c:v>41486</c:v>
                </c:pt>
                <c:pt idx="150">
                  <c:v>41455</c:v>
                </c:pt>
                <c:pt idx="151">
                  <c:v>41425</c:v>
                </c:pt>
                <c:pt idx="152">
                  <c:v>41394</c:v>
                </c:pt>
                <c:pt idx="153">
                  <c:v>41364</c:v>
                </c:pt>
                <c:pt idx="154">
                  <c:v>41333</c:v>
                </c:pt>
                <c:pt idx="155">
                  <c:v>41305</c:v>
                </c:pt>
                <c:pt idx="156">
                  <c:v>41274</c:v>
                </c:pt>
                <c:pt idx="157">
                  <c:v>41243</c:v>
                </c:pt>
                <c:pt idx="158">
                  <c:v>41213</c:v>
                </c:pt>
                <c:pt idx="159">
                  <c:v>41182</c:v>
                </c:pt>
                <c:pt idx="160">
                  <c:v>41152</c:v>
                </c:pt>
                <c:pt idx="161">
                  <c:v>41121</c:v>
                </c:pt>
                <c:pt idx="162">
                  <c:v>41090</c:v>
                </c:pt>
                <c:pt idx="163">
                  <c:v>41060</c:v>
                </c:pt>
                <c:pt idx="164">
                  <c:v>41029</c:v>
                </c:pt>
                <c:pt idx="165">
                  <c:v>40999</c:v>
                </c:pt>
                <c:pt idx="166">
                  <c:v>40968</c:v>
                </c:pt>
                <c:pt idx="167">
                  <c:v>40939</c:v>
                </c:pt>
                <c:pt idx="168">
                  <c:v>40908</c:v>
                </c:pt>
                <c:pt idx="169">
                  <c:v>40877</c:v>
                </c:pt>
                <c:pt idx="170">
                  <c:v>40847</c:v>
                </c:pt>
                <c:pt idx="171">
                  <c:v>40816</c:v>
                </c:pt>
                <c:pt idx="172">
                  <c:v>40786</c:v>
                </c:pt>
                <c:pt idx="173">
                  <c:v>40755</c:v>
                </c:pt>
                <c:pt idx="174">
                  <c:v>40724</c:v>
                </c:pt>
                <c:pt idx="175">
                  <c:v>40694</c:v>
                </c:pt>
                <c:pt idx="176">
                  <c:v>40663</c:v>
                </c:pt>
                <c:pt idx="177">
                  <c:v>40633</c:v>
                </c:pt>
                <c:pt idx="178">
                  <c:v>40602</c:v>
                </c:pt>
                <c:pt idx="179">
                  <c:v>40574</c:v>
                </c:pt>
                <c:pt idx="180">
                  <c:v>40543</c:v>
                </c:pt>
                <c:pt idx="181">
                  <c:v>40512</c:v>
                </c:pt>
                <c:pt idx="182">
                  <c:v>40482</c:v>
                </c:pt>
                <c:pt idx="183">
                  <c:v>40451</c:v>
                </c:pt>
                <c:pt idx="184">
                  <c:v>40421</c:v>
                </c:pt>
                <c:pt idx="185">
                  <c:v>40390</c:v>
                </c:pt>
                <c:pt idx="186">
                  <c:v>40359</c:v>
                </c:pt>
                <c:pt idx="187">
                  <c:v>40329</c:v>
                </c:pt>
                <c:pt idx="188">
                  <c:v>40298</c:v>
                </c:pt>
                <c:pt idx="189">
                  <c:v>40268</c:v>
                </c:pt>
                <c:pt idx="190">
                  <c:v>40237</c:v>
                </c:pt>
                <c:pt idx="191">
                  <c:v>40209</c:v>
                </c:pt>
              </c:numCache>
            </c:numRef>
          </c:cat>
          <c:val>
            <c:numRef>
              <c:f>'信贷库存框架1-票据+贷款余额'!$B$18:$B$215</c:f>
              <c:numCache>
                <c:formatCode>0.00</c:formatCode>
                <c:ptCount val="198"/>
                <c:pt idx="0">
                  <c:v>11.934930259389841</c:v>
                </c:pt>
                <c:pt idx="1">
                  <c:v>9.7502667803965615</c:v>
                </c:pt>
                <c:pt idx="2">
                  <c:v>4.2</c:v>
                </c:pt>
                <c:pt idx="3">
                  <c:v>3.4</c:v>
                </c:pt>
                <c:pt idx="4">
                  <c:v>4.9000000000000004</c:v>
                </c:pt>
                <c:pt idx="5">
                  <c:v>5.6</c:v>
                </c:pt>
                <c:pt idx="6">
                  <c:v>7.3</c:v>
                </c:pt>
                <c:pt idx="7">
                  <c:v>8.4</c:v>
                </c:pt>
                <c:pt idx="8">
                  <c:v>10.5</c:v>
                </c:pt>
                <c:pt idx="9">
                  <c:v>12.3</c:v>
                </c:pt>
                <c:pt idx="10">
                  <c:v>13</c:v>
                </c:pt>
                <c:pt idx="11">
                  <c:v>12.6</c:v>
                </c:pt>
                <c:pt idx="12">
                  <c:v>11.934930259389841</c:v>
                </c:pt>
                <c:pt idx="13">
                  <c:v>9.7502667803965615</c:v>
                </c:pt>
                <c:pt idx="14">
                  <c:v>10.6055154862912</c:v>
                </c:pt>
                <c:pt idx="15">
                  <c:v>12.06368981479255</c:v>
                </c:pt>
                <c:pt idx="16">
                  <c:v>10.188194021350929</c:v>
                </c:pt>
                <c:pt idx="17">
                  <c:v>8.8647927598224356</c:v>
                </c:pt>
                <c:pt idx="18">
                  <c:v>7.4628313533523682</c:v>
                </c:pt>
                <c:pt idx="19">
                  <c:v>7.0554730840430464</c:v>
                </c:pt>
                <c:pt idx="20">
                  <c:v>4.4437448867845744</c:v>
                </c:pt>
                <c:pt idx="21">
                  <c:v>-1.5276922165194531</c:v>
                </c:pt>
                <c:pt idx="22">
                  <c:v>-3.222993391898723</c:v>
                </c:pt>
                <c:pt idx="23">
                  <c:v>-1.77191644767751</c:v>
                </c:pt>
                <c:pt idx="24">
                  <c:v>2.6619152336692</c:v>
                </c:pt>
                <c:pt idx="25">
                  <c:v>2.3895179615713911</c:v>
                </c:pt>
                <c:pt idx="26">
                  <c:v>1.986137707131687</c:v>
                </c:pt>
                <c:pt idx="27">
                  <c:v>0.98735996275792903</c:v>
                </c:pt>
                <c:pt idx="28">
                  <c:v>1.5354235265861971</c:v>
                </c:pt>
                <c:pt idx="29">
                  <c:v>2.2642084375373E-2</c:v>
                </c:pt>
                <c:pt idx="30">
                  <c:v>-0.36190692945082398</c:v>
                </c:pt>
                <c:pt idx="31">
                  <c:v>0.98544236504147698</c:v>
                </c:pt>
                <c:pt idx="32">
                  <c:v>7.0554404576982019</c:v>
                </c:pt>
                <c:pt idx="33">
                  <c:v>11.02673256509404</c:v>
                </c:pt>
                <c:pt idx="34">
                  <c:v>18.984670957894132</c:v>
                </c:pt>
                <c:pt idx="35">
                  <c:v>23.591447945958681</c:v>
                </c:pt>
                <c:pt idx="36">
                  <c:v>30.019910461290319</c:v>
                </c:pt>
                <c:pt idx="37">
                  <c:v>34.402114698379521</c:v>
                </c:pt>
                <c:pt idx="38">
                  <c:v>35.056671317128952</c:v>
                </c:pt>
                <c:pt idx="39">
                  <c:v>34.68844065044977</c:v>
                </c:pt>
                <c:pt idx="40">
                  <c:v>37.602776863762948</c:v>
                </c:pt>
                <c:pt idx="41">
                  <c:v>40.207567339838498</c:v>
                </c:pt>
                <c:pt idx="42">
                  <c:v>39.446294727674122</c:v>
                </c:pt>
                <c:pt idx="43">
                  <c:v>43.116721430031482</c:v>
                </c:pt>
                <c:pt idx="44">
                  <c:v>37.069277515424481</c:v>
                </c:pt>
                <c:pt idx="45">
                  <c:v>35.251779199049388</c:v>
                </c:pt>
                <c:pt idx="46">
                  <c:v>28.71490940320642</c:v>
                </c:pt>
                <c:pt idx="47">
                  <c:v>22.092675769921382</c:v>
                </c:pt>
                <c:pt idx="48">
                  <c:v>17.906280137500609</c:v>
                </c:pt>
                <c:pt idx="49">
                  <c:v>17.773395863092428</c:v>
                </c:pt>
                <c:pt idx="50">
                  <c:v>16.945511878054219</c:v>
                </c:pt>
                <c:pt idx="51">
                  <c:v>13.87308373062497</c:v>
                </c:pt>
                <c:pt idx="52">
                  <c:v>8.6419309227981262</c:v>
                </c:pt>
                <c:pt idx="53">
                  <c:v>3.1797932722426112</c:v>
                </c:pt>
                <c:pt idx="54">
                  <c:v>-0.109618052364842</c:v>
                </c:pt>
                <c:pt idx="55">
                  <c:v>-5.6222198223187236</c:v>
                </c:pt>
                <c:pt idx="56">
                  <c:v>-5.6696887765172637</c:v>
                </c:pt>
                <c:pt idx="57">
                  <c:v>-4.4850950530415377</c:v>
                </c:pt>
                <c:pt idx="58">
                  <c:v>-0.12358854567029599</c:v>
                </c:pt>
                <c:pt idx="59">
                  <c:v>2.9966241824681661</c:v>
                </c:pt>
                <c:pt idx="60">
                  <c:v>9.6868796808843154</c:v>
                </c:pt>
                <c:pt idx="61">
                  <c:v>5.6604232481235979</c:v>
                </c:pt>
                <c:pt idx="62">
                  <c:v>5.4671193536221709</c:v>
                </c:pt>
                <c:pt idx="63">
                  <c:v>7.264763540667329</c:v>
                </c:pt>
                <c:pt idx="64">
                  <c:v>13.422573940980079</c:v>
                </c:pt>
                <c:pt idx="65">
                  <c:v>19.666890767086691</c:v>
                </c:pt>
                <c:pt idx="66">
                  <c:v>23.339677074795731</c:v>
                </c:pt>
                <c:pt idx="67">
                  <c:v>28.14243607938845</c:v>
                </c:pt>
                <c:pt idx="68">
                  <c:v>27.942041121771631</c:v>
                </c:pt>
                <c:pt idx="69">
                  <c:v>25.639304221043261</c:v>
                </c:pt>
                <c:pt idx="70">
                  <c:v>24.331336195577862</c:v>
                </c:pt>
                <c:pt idx="71">
                  <c:v>26.670633788154738</c:v>
                </c:pt>
                <c:pt idx="72">
                  <c:v>31.77585436197214</c:v>
                </c:pt>
                <c:pt idx="73">
                  <c:v>39.570233011857788</c:v>
                </c:pt>
                <c:pt idx="74">
                  <c:v>44.649964669714663</c:v>
                </c:pt>
                <c:pt idx="75">
                  <c:v>47.249017012817319</c:v>
                </c:pt>
                <c:pt idx="76">
                  <c:v>48.979200750307399</c:v>
                </c:pt>
                <c:pt idx="77">
                  <c:v>57.139011401484197</c:v>
                </c:pt>
                <c:pt idx="78">
                  <c:v>62.916721448823253</c:v>
                </c:pt>
                <c:pt idx="79">
                  <c:v>72.555269391072102</c:v>
                </c:pt>
                <c:pt idx="80">
                  <c:v>76.114393908368314</c:v>
                </c:pt>
                <c:pt idx="81">
                  <c:v>71.325717871192467</c:v>
                </c:pt>
                <c:pt idx="82">
                  <c:v>68.251427387893784</c:v>
                </c:pt>
                <c:pt idx="83">
                  <c:v>60.602467410239463</c:v>
                </c:pt>
                <c:pt idx="84">
                  <c:v>48.705451875716591</c:v>
                </c:pt>
                <c:pt idx="85">
                  <c:v>45.162692722482028</c:v>
                </c:pt>
                <c:pt idx="86">
                  <c:v>40.35722673750908</c:v>
                </c:pt>
                <c:pt idx="87">
                  <c:v>36.09981189575813</c:v>
                </c:pt>
                <c:pt idx="88">
                  <c:v>31.298349365532541</c:v>
                </c:pt>
                <c:pt idx="89">
                  <c:v>21.39378779109893</c:v>
                </c:pt>
                <c:pt idx="90">
                  <c:v>10.048070546391999</c:v>
                </c:pt>
                <c:pt idx="91">
                  <c:v>-1.58983534431303</c:v>
                </c:pt>
                <c:pt idx="92">
                  <c:v>-8.4944619341065284</c:v>
                </c:pt>
                <c:pt idx="93">
                  <c:v>-12.680663305771571</c:v>
                </c:pt>
                <c:pt idx="94">
                  <c:v>-19.547375498850322</c:v>
                </c:pt>
                <c:pt idx="95">
                  <c:v>-21.879750873413499</c:v>
                </c:pt>
                <c:pt idx="96">
                  <c:v>-28.945803216697929</c:v>
                </c:pt>
                <c:pt idx="97">
                  <c:v>-34.538401964913803</c:v>
                </c:pt>
                <c:pt idx="98">
                  <c:v>-36.333130810965599</c:v>
                </c:pt>
                <c:pt idx="99">
                  <c:v>-34.4494214520303</c:v>
                </c:pt>
                <c:pt idx="100">
                  <c:v>-32.737525841382499</c:v>
                </c:pt>
                <c:pt idx="101">
                  <c:v>-30.523198320884148</c:v>
                </c:pt>
                <c:pt idx="102">
                  <c:v>-27.039504441327718</c:v>
                </c:pt>
                <c:pt idx="103">
                  <c:v>-24.25177549086218</c:v>
                </c:pt>
                <c:pt idx="104">
                  <c:v>-19.129313676323381</c:v>
                </c:pt>
                <c:pt idx="105">
                  <c:v>-11.21009663094878</c:v>
                </c:pt>
                <c:pt idx="106">
                  <c:v>-2.3089481172272208</c:v>
                </c:pt>
                <c:pt idx="107">
                  <c:v>1.4269823960370269</c:v>
                </c:pt>
                <c:pt idx="108">
                  <c:v>19.567916964805939</c:v>
                </c:pt>
                <c:pt idx="109">
                  <c:v>23.38886821875203</c:v>
                </c:pt>
                <c:pt idx="110">
                  <c:v>29.544868219371359</c:v>
                </c:pt>
                <c:pt idx="111">
                  <c:v>32.515141404405398</c:v>
                </c:pt>
                <c:pt idx="112">
                  <c:v>30.083924043068901</c:v>
                </c:pt>
                <c:pt idx="113">
                  <c:v>32.465218322580327</c:v>
                </c:pt>
                <c:pt idx="114">
                  <c:v>40.724093534499509</c:v>
                </c:pt>
                <c:pt idx="115">
                  <c:v>55.309829028737717</c:v>
                </c:pt>
                <c:pt idx="116">
                  <c:v>61.234603097930183</c:v>
                </c:pt>
                <c:pt idx="117">
                  <c:v>60.607160697576987</c:v>
                </c:pt>
                <c:pt idx="118">
                  <c:v>60.38475503378492</c:v>
                </c:pt>
                <c:pt idx="119">
                  <c:v>64.456029600864923</c:v>
                </c:pt>
                <c:pt idx="120">
                  <c:v>56.863028768836941</c:v>
                </c:pt>
                <c:pt idx="121">
                  <c:v>51.738067528749731</c:v>
                </c:pt>
                <c:pt idx="122">
                  <c:v>59.738104669318069</c:v>
                </c:pt>
                <c:pt idx="123">
                  <c:v>59.866371609249093</c:v>
                </c:pt>
                <c:pt idx="124">
                  <c:v>64.014843644418676</c:v>
                </c:pt>
                <c:pt idx="125">
                  <c:v>70.013050708316669</c:v>
                </c:pt>
                <c:pt idx="126">
                  <c:v>71.681830934379775</c:v>
                </c:pt>
                <c:pt idx="127">
                  <c:v>61.78848965236368</c:v>
                </c:pt>
                <c:pt idx="128">
                  <c:v>63.147974375535703</c:v>
                </c:pt>
                <c:pt idx="129">
                  <c:v>63.350369795822587</c:v>
                </c:pt>
                <c:pt idx="130">
                  <c:v>65.307148193893354</c:v>
                </c:pt>
                <c:pt idx="131">
                  <c:v>60.321182553688502</c:v>
                </c:pt>
                <c:pt idx="132">
                  <c:v>48.86909257936103</c:v>
                </c:pt>
                <c:pt idx="133">
                  <c:v>52.267391302182368</c:v>
                </c:pt>
                <c:pt idx="134">
                  <c:v>41.54019205134508</c:v>
                </c:pt>
                <c:pt idx="135">
                  <c:v>31.001084319037449</c:v>
                </c:pt>
                <c:pt idx="136">
                  <c:v>18.094920750175309</c:v>
                </c:pt>
                <c:pt idx="137">
                  <c:v>6.7926289325367852</c:v>
                </c:pt>
                <c:pt idx="138">
                  <c:v>-5.3922686578061736</c:v>
                </c:pt>
                <c:pt idx="139">
                  <c:v>-11.74238882690387</c:v>
                </c:pt>
                <c:pt idx="140">
                  <c:v>-15.11670457469519</c:v>
                </c:pt>
                <c:pt idx="141">
                  <c:v>-12.470288754964651</c:v>
                </c:pt>
                <c:pt idx="142">
                  <c:v>-9.3066734329391583</c:v>
                </c:pt>
                <c:pt idx="143">
                  <c:v>-6.8850188115132509</c:v>
                </c:pt>
                <c:pt idx="144">
                  <c:v>-4.1072292010469118</c:v>
                </c:pt>
                <c:pt idx="145">
                  <c:v>-10.097504885095031</c:v>
                </c:pt>
                <c:pt idx="146">
                  <c:v>-12.41022411215075</c:v>
                </c:pt>
                <c:pt idx="147">
                  <c:v>-12.133201577317489</c:v>
                </c:pt>
                <c:pt idx="148">
                  <c:v>-13.6270198121025</c:v>
                </c:pt>
                <c:pt idx="149">
                  <c:v>-8.4409559539657568</c:v>
                </c:pt>
                <c:pt idx="150">
                  <c:v>2.264042713179375</c:v>
                </c:pt>
                <c:pt idx="151">
                  <c:v>7.3057222851685042</c:v>
                </c:pt>
                <c:pt idx="152">
                  <c:v>15.391031277727601</c:v>
                </c:pt>
                <c:pt idx="153">
                  <c:v>21.58051740405314</c:v>
                </c:pt>
                <c:pt idx="154">
                  <c:v>24.68216597998823</c:v>
                </c:pt>
                <c:pt idx="155">
                  <c:v>32.55864121409428</c:v>
                </c:pt>
                <c:pt idx="156">
                  <c:v>35.10071440614368</c:v>
                </c:pt>
                <c:pt idx="157">
                  <c:v>52.92110196776045</c:v>
                </c:pt>
                <c:pt idx="158">
                  <c:v>59.39948807161943</c:v>
                </c:pt>
                <c:pt idx="159">
                  <c:v>56.820690974931161</c:v>
                </c:pt>
                <c:pt idx="160">
                  <c:v>68.993689690080757</c:v>
                </c:pt>
                <c:pt idx="161">
                  <c:v>70.641235197307196</c:v>
                </c:pt>
                <c:pt idx="162">
                  <c:v>67.52717351314601</c:v>
                </c:pt>
                <c:pt idx="163">
                  <c:v>68.117185989016335</c:v>
                </c:pt>
                <c:pt idx="164">
                  <c:v>57.429183050597963</c:v>
                </c:pt>
                <c:pt idx="165">
                  <c:v>42.859564219368927</c:v>
                </c:pt>
                <c:pt idx="166">
                  <c:v>21.517810378752252</c:v>
                </c:pt>
                <c:pt idx="167">
                  <c:v>7.5773023371650492</c:v>
                </c:pt>
                <c:pt idx="168">
                  <c:v>2.0920691321757299</c:v>
                </c:pt>
                <c:pt idx="169">
                  <c:v>-6.549295684524</c:v>
                </c:pt>
                <c:pt idx="170">
                  <c:v>-9.6591330709735104</c:v>
                </c:pt>
                <c:pt idx="171">
                  <c:v>-5.2213893433786014</c:v>
                </c:pt>
                <c:pt idx="172">
                  <c:v>-9.2385926662433953</c:v>
                </c:pt>
                <c:pt idx="173">
                  <c:v>-15.76066953925389</c:v>
                </c:pt>
                <c:pt idx="174">
                  <c:v>-21.604997735905648</c:v>
                </c:pt>
                <c:pt idx="175">
                  <c:v>-27.774219379835309</c:v>
                </c:pt>
                <c:pt idx="176">
                  <c:v>-29.410028552889159</c:v>
                </c:pt>
                <c:pt idx="177">
                  <c:v>-29.695698630028161</c:v>
                </c:pt>
                <c:pt idx="178">
                  <c:v>-33.90073066462066</c:v>
                </c:pt>
                <c:pt idx="179">
                  <c:v>-35.909986065406891</c:v>
                </c:pt>
                <c:pt idx="180">
                  <c:v>-37.885445562155979</c:v>
                </c:pt>
                <c:pt idx="181">
                  <c:v>-37.401729189740223</c:v>
                </c:pt>
                <c:pt idx="182">
                  <c:v>-39.474395383099981</c:v>
                </c:pt>
                <c:pt idx="183">
                  <c:v>-43.863648823666367</c:v>
                </c:pt>
                <c:pt idx="184">
                  <c:v>-47.17793947961313</c:v>
                </c:pt>
                <c:pt idx="185">
                  <c:v>-50.829999322093272</c:v>
                </c:pt>
                <c:pt idx="186">
                  <c:v>-52.31133572879066</c:v>
                </c:pt>
                <c:pt idx="187">
                  <c:v>-49.01285195885054</c:v>
                </c:pt>
                <c:pt idx="188">
                  <c:v>-48.834499724415537</c:v>
                </c:pt>
                <c:pt idx="189">
                  <c:v>-48.325844979792727</c:v>
                </c:pt>
                <c:pt idx="190">
                  <c:v>-33.225265669537222</c:v>
                </c:pt>
                <c:pt idx="191">
                  <c:v>-13.60693776127372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943-41D3-8F3D-161CC5F5EC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844644"/>
        <c:axId val="168472576"/>
      </c:lineChart>
      <c:dateAx>
        <c:axId val="120844644"/>
        <c:scaling>
          <c:orientation val="minMax"/>
        </c:scaling>
        <c:delete val="0"/>
        <c:axPos val="b"/>
        <c:numFmt formatCode="yyyy\-mm" sourceLinked="0"/>
        <c:majorTickMark val="out"/>
        <c:minorTickMark val="none"/>
        <c:tickLblPos val="nextTo"/>
        <c:spPr>
          <a:noFill/>
          <a:ln w="6350" cap="flat" cmpd="sng" algn="ctr">
            <a:solidFill>
              <a:sysClr val="windowText" lastClr="000000">
                <a:lumMod val="100000"/>
              </a:sysClr>
            </a:solidFill>
            <a:prstDash val="solid"/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333333">
                    <a:alpha val="100000"/>
                  </a:srgbClr>
                </a:solidFill>
                <a:latin typeface="黑体" panose="02010609060101010101" pitchFamily="49" charset="-122"/>
                <a:ea typeface="黑体" panose="02010609060101010101" pitchFamily="49" charset="-122"/>
                <a:cs typeface="黑体" panose="02010609060101010101" pitchFamily="49" charset="-122"/>
              </a:defRPr>
            </a:pPr>
            <a:endParaRPr lang="zh-CN"/>
          </a:p>
        </c:txPr>
        <c:crossAx val="168472576"/>
        <c:crosses val="autoZero"/>
        <c:auto val="1"/>
        <c:lblOffset val="100"/>
        <c:baseTimeUnit val="months"/>
      </c:dateAx>
      <c:valAx>
        <c:axId val="168472576"/>
        <c:scaling>
          <c:orientation val="minMax"/>
          <c:min val="-60"/>
        </c:scaling>
        <c:delete val="0"/>
        <c:axPos val="l"/>
        <c:numFmt formatCode="0.00" sourceLinked="1"/>
        <c:majorTickMark val="out"/>
        <c:minorTickMark val="none"/>
        <c:tickLblPos val="nextTo"/>
        <c:spPr>
          <a:noFill/>
          <a:ln w="6350" cap="flat" cmpd="sng" algn="ctr">
            <a:solidFill>
              <a:sysClr val="windowText" lastClr="000000">
                <a:lumMod val="100000"/>
              </a:sysClr>
            </a:solidFill>
            <a:prstDash val="solid"/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333333">
                    <a:alpha val="100000"/>
                  </a:srgbClr>
                </a:solidFill>
                <a:latin typeface="黑体" panose="02010609060101010101" pitchFamily="49" charset="-122"/>
                <a:ea typeface="黑体" panose="02010609060101010101" pitchFamily="49" charset="-122"/>
                <a:cs typeface="黑体" panose="02010609060101010101" pitchFamily="49" charset="-122"/>
              </a:defRPr>
            </a:pPr>
            <a:endParaRPr lang="zh-CN"/>
          </a:p>
        </c:txPr>
        <c:crossAx val="120844644"/>
        <c:crosses val="autoZero"/>
        <c:crossBetween val="between"/>
      </c:valAx>
      <c:dateAx>
        <c:axId val="642526223"/>
        <c:scaling>
          <c:orientation val="minMax"/>
        </c:scaling>
        <c:delete val="1"/>
        <c:axPos val="b"/>
        <c:numFmt formatCode="yyyy\-mm" sourceLinked="0"/>
        <c:majorTickMark val="out"/>
        <c:minorTickMark val="none"/>
        <c:tickLblPos val="nextTo"/>
        <c:crossAx val="160964725"/>
        <c:crosses val="autoZero"/>
        <c:auto val="1"/>
        <c:lblOffset val="100"/>
        <c:baseTimeUnit val="months"/>
      </c:dateAx>
      <c:valAx>
        <c:axId val="160964725"/>
        <c:scaling>
          <c:orientation val="minMax"/>
          <c:max val="1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ln w="3175" cap="flat" cmpd="sng" algn="ctr">
            <a:noFill/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333333">
                    <a:alpha val="100000"/>
                  </a:srgbClr>
                </a:solidFill>
                <a:latin typeface="黑体" panose="02010609060101010101" pitchFamily="49" charset="-122"/>
                <a:ea typeface="黑体" panose="02010609060101010101" pitchFamily="49" charset="-122"/>
                <a:cs typeface="黑体" panose="02010609060101010101" pitchFamily="49" charset="-122"/>
              </a:defRPr>
            </a:pPr>
            <a:endParaRPr lang="zh-CN"/>
          </a:p>
        </c:txPr>
        <c:crossAx val="642526223"/>
        <c:crosses val="max"/>
        <c:crossBetween val="between"/>
      </c:valAx>
      <c:spPr>
        <a:noFill/>
        <a:ln w="3175">
          <a:noFill/>
        </a:ln>
      </c:spPr>
    </c:plotArea>
    <c:legend>
      <c:legendPos val="r"/>
      <c:layout>
        <c:manualLayout>
          <c:xMode val="edge"/>
          <c:yMode val="edge"/>
          <c:x val="0.11749999999999999"/>
          <c:y val="1.7999999999999999E-2"/>
          <c:w val="0.738654147104851"/>
          <c:h val="7.0394999174700601E-2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825" b="0" i="0" u="none" strike="noStrike" kern="1200" baseline="0">
              <a:solidFill>
                <a:srgbClr val="333333"/>
              </a:solidFill>
              <a:latin typeface="黑体" panose="02010609060101010101" pitchFamily="49" charset="-122"/>
              <a:ea typeface="黑体" panose="02010609060101010101" pitchFamily="49" charset="-122"/>
              <a:cs typeface="黑体" panose="02010609060101010101" pitchFamily="49" charset="-122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ysClr val="window" lastClr="FFFFFF">
        <a:lumMod val="100000"/>
      </a:sysClr>
    </a:solidFill>
    <a:ln w="25400" cap="flat" cmpd="sng" algn="ctr">
      <a:noFill/>
      <a:prstDash val="solid"/>
      <a:round/>
    </a:ln>
    <a:effectLst/>
  </c:spPr>
  <c:txPr>
    <a:bodyPr rot="0" wrap="square" anchor="ctr" anchorCtr="1"/>
    <a:lstStyle/>
    <a:p>
      <a:pPr>
        <a:defRPr lang="zh-CN" sz="900" b="0" i="0" u="none" strike="noStrike" baseline="0">
          <a:solidFill>
            <a:srgbClr val="000000">
              <a:alpha val="100000"/>
            </a:srgbClr>
          </a:solidFill>
          <a:latin typeface="黑体" panose="02010609060101010101" pitchFamily="49" charset="-122"/>
          <a:ea typeface="黑体" panose="02010609060101010101" pitchFamily="49" charset="-122"/>
          <a:cs typeface="黑体" panose="02010609060101010101" pitchFamily="49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'信贷库存框架1-票据+贷款余额'!$D$3</c:f>
              <c:strCache>
                <c:ptCount val="1"/>
                <c:pt idx="0">
                  <c:v>信贷上行手动</c:v>
                </c:pt>
              </c:strCache>
            </c:strRef>
          </c:tx>
          <c:spPr>
            <a:solidFill>
              <a:srgbClr val="EE822F">
                <a:alpha val="100000"/>
              </a:srgbClr>
            </a:solidFill>
            <a:ln w="3175">
              <a:noFill/>
            </a:ln>
          </c:spPr>
          <c:invertIfNegative val="0"/>
          <c:cat>
            <c:numRef>
              <c:f>'信贷库存框架1-票据+贷款余额'!$A$37:$A$215</c:f>
              <c:numCache>
                <c:formatCode>yyyy\-mm</c:formatCode>
                <c:ptCount val="179"/>
                <c:pt idx="0">
                  <c:v>45443</c:v>
                </c:pt>
                <c:pt idx="1">
                  <c:v>45412</c:v>
                </c:pt>
                <c:pt idx="2">
                  <c:v>45382</c:v>
                </c:pt>
                <c:pt idx="3">
                  <c:v>45351</c:v>
                </c:pt>
                <c:pt idx="4">
                  <c:v>45322</c:v>
                </c:pt>
                <c:pt idx="5">
                  <c:v>45291</c:v>
                </c:pt>
                <c:pt idx="6">
                  <c:v>45260</c:v>
                </c:pt>
                <c:pt idx="7">
                  <c:v>45230</c:v>
                </c:pt>
                <c:pt idx="8">
                  <c:v>45199</c:v>
                </c:pt>
                <c:pt idx="9">
                  <c:v>45169</c:v>
                </c:pt>
                <c:pt idx="10">
                  <c:v>45138</c:v>
                </c:pt>
                <c:pt idx="11">
                  <c:v>45107</c:v>
                </c:pt>
                <c:pt idx="12">
                  <c:v>45077</c:v>
                </c:pt>
                <c:pt idx="13">
                  <c:v>45046</c:v>
                </c:pt>
                <c:pt idx="14">
                  <c:v>45016</c:v>
                </c:pt>
                <c:pt idx="15">
                  <c:v>44985</c:v>
                </c:pt>
                <c:pt idx="16">
                  <c:v>44957</c:v>
                </c:pt>
                <c:pt idx="17">
                  <c:v>44926</c:v>
                </c:pt>
                <c:pt idx="18">
                  <c:v>44895</c:v>
                </c:pt>
                <c:pt idx="19">
                  <c:v>44865</c:v>
                </c:pt>
                <c:pt idx="20">
                  <c:v>44834</c:v>
                </c:pt>
                <c:pt idx="21">
                  <c:v>44804</c:v>
                </c:pt>
                <c:pt idx="22">
                  <c:v>44773</c:v>
                </c:pt>
                <c:pt idx="23">
                  <c:v>44742</c:v>
                </c:pt>
                <c:pt idx="24">
                  <c:v>44712</c:v>
                </c:pt>
                <c:pt idx="25">
                  <c:v>44681</c:v>
                </c:pt>
                <c:pt idx="26">
                  <c:v>44651</c:v>
                </c:pt>
                <c:pt idx="27">
                  <c:v>44620</c:v>
                </c:pt>
                <c:pt idx="28">
                  <c:v>44592</c:v>
                </c:pt>
                <c:pt idx="29">
                  <c:v>44561</c:v>
                </c:pt>
                <c:pt idx="30">
                  <c:v>44530</c:v>
                </c:pt>
                <c:pt idx="31">
                  <c:v>44500</c:v>
                </c:pt>
                <c:pt idx="32">
                  <c:v>44469</c:v>
                </c:pt>
                <c:pt idx="33">
                  <c:v>44439</c:v>
                </c:pt>
                <c:pt idx="34">
                  <c:v>44408</c:v>
                </c:pt>
                <c:pt idx="35">
                  <c:v>44377</c:v>
                </c:pt>
                <c:pt idx="36">
                  <c:v>44347</c:v>
                </c:pt>
                <c:pt idx="37">
                  <c:v>44316</c:v>
                </c:pt>
                <c:pt idx="38">
                  <c:v>44286</c:v>
                </c:pt>
                <c:pt idx="39">
                  <c:v>44255</c:v>
                </c:pt>
                <c:pt idx="40">
                  <c:v>44227</c:v>
                </c:pt>
                <c:pt idx="41">
                  <c:v>44196</c:v>
                </c:pt>
                <c:pt idx="42">
                  <c:v>44165</c:v>
                </c:pt>
                <c:pt idx="43">
                  <c:v>44135</c:v>
                </c:pt>
                <c:pt idx="44">
                  <c:v>44104</c:v>
                </c:pt>
                <c:pt idx="45">
                  <c:v>44074</c:v>
                </c:pt>
                <c:pt idx="46">
                  <c:v>44043</c:v>
                </c:pt>
                <c:pt idx="47">
                  <c:v>44012</c:v>
                </c:pt>
                <c:pt idx="48">
                  <c:v>43982</c:v>
                </c:pt>
                <c:pt idx="49">
                  <c:v>43951</c:v>
                </c:pt>
                <c:pt idx="50">
                  <c:v>43921</c:v>
                </c:pt>
                <c:pt idx="51">
                  <c:v>43890</c:v>
                </c:pt>
                <c:pt idx="52">
                  <c:v>43861</c:v>
                </c:pt>
                <c:pt idx="53">
                  <c:v>43830</c:v>
                </c:pt>
                <c:pt idx="54">
                  <c:v>43799</c:v>
                </c:pt>
                <c:pt idx="55">
                  <c:v>43769</c:v>
                </c:pt>
                <c:pt idx="56">
                  <c:v>43738</c:v>
                </c:pt>
                <c:pt idx="57">
                  <c:v>43708</c:v>
                </c:pt>
                <c:pt idx="58">
                  <c:v>43677</c:v>
                </c:pt>
                <c:pt idx="59">
                  <c:v>43646</c:v>
                </c:pt>
                <c:pt idx="60">
                  <c:v>43616</c:v>
                </c:pt>
                <c:pt idx="61">
                  <c:v>43585</c:v>
                </c:pt>
                <c:pt idx="62">
                  <c:v>43555</c:v>
                </c:pt>
                <c:pt idx="63">
                  <c:v>43524</c:v>
                </c:pt>
                <c:pt idx="64">
                  <c:v>43496</c:v>
                </c:pt>
                <c:pt idx="65">
                  <c:v>43465</c:v>
                </c:pt>
                <c:pt idx="66">
                  <c:v>43434</c:v>
                </c:pt>
                <c:pt idx="67">
                  <c:v>43404</c:v>
                </c:pt>
                <c:pt idx="68">
                  <c:v>43373</c:v>
                </c:pt>
                <c:pt idx="69">
                  <c:v>43343</c:v>
                </c:pt>
                <c:pt idx="70">
                  <c:v>43312</c:v>
                </c:pt>
                <c:pt idx="71">
                  <c:v>43281</c:v>
                </c:pt>
                <c:pt idx="72">
                  <c:v>43251</c:v>
                </c:pt>
                <c:pt idx="73">
                  <c:v>43220</c:v>
                </c:pt>
                <c:pt idx="74">
                  <c:v>43190</c:v>
                </c:pt>
                <c:pt idx="75">
                  <c:v>43159</c:v>
                </c:pt>
                <c:pt idx="76">
                  <c:v>43131</c:v>
                </c:pt>
                <c:pt idx="77">
                  <c:v>43100</c:v>
                </c:pt>
                <c:pt idx="78">
                  <c:v>43069</c:v>
                </c:pt>
                <c:pt idx="79">
                  <c:v>43039</c:v>
                </c:pt>
                <c:pt idx="80">
                  <c:v>43008</c:v>
                </c:pt>
                <c:pt idx="81">
                  <c:v>42978</c:v>
                </c:pt>
                <c:pt idx="82">
                  <c:v>42947</c:v>
                </c:pt>
                <c:pt idx="83">
                  <c:v>42916</c:v>
                </c:pt>
                <c:pt idx="84">
                  <c:v>42886</c:v>
                </c:pt>
                <c:pt idx="85">
                  <c:v>42855</c:v>
                </c:pt>
                <c:pt idx="86">
                  <c:v>42825</c:v>
                </c:pt>
                <c:pt idx="87">
                  <c:v>42794</c:v>
                </c:pt>
                <c:pt idx="88">
                  <c:v>42766</c:v>
                </c:pt>
                <c:pt idx="89">
                  <c:v>42735</c:v>
                </c:pt>
                <c:pt idx="90">
                  <c:v>42704</c:v>
                </c:pt>
                <c:pt idx="91">
                  <c:v>42674</c:v>
                </c:pt>
                <c:pt idx="92">
                  <c:v>42643</c:v>
                </c:pt>
                <c:pt idx="93">
                  <c:v>42613</c:v>
                </c:pt>
                <c:pt idx="94">
                  <c:v>42582</c:v>
                </c:pt>
                <c:pt idx="95">
                  <c:v>42551</c:v>
                </c:pt>
                <c:pt idx="96">
                  <c:v>42521</c:v>
                </c:pt>
                <c:pt idx="97">
                  <c:v>42490</c:v>
                </c:pt>
                <c:pt idx="98">
                  <c:v>42460</c:v>
                </c:pt>
                <c:pt idx="99">
                  <c:v>42429</c:v>
                </c:pt>
                <c:pt idx="100">
                  <c:v>42400</c:v>
                </c:pt>
                <c:pt idx="101">
                  <c:v>42369</c:v>
                </c:pt>
                <c:pt idx="102">
                  <c:v>42338</c:v>
                </c:pt>
                <c:pt idx="103">
                  <c:v>42308</c:v>
                </c:pt>
                <c:pt idx="104">
                  <c:v>42277</c:v>
                </c:pt>
                <c:pt idx="105">
                  <c:v>42247</c:v>
                </c:pt>
                <c:pt idx="106">
                  <c:v>42216</c:v>
                </c:pt>
                <c:pt idx="107">
                  <c:v>42185</c:v>
                </c:pt>
                <c:pt idx="108">
                  <c:v>42155</c:v>
                </c:pt>
                <c:pt idx="109">
                  <c:v>42124</c:v>
                </c:pt>
                <c:pt idx="110">
                  <c:v>42094</c:v>
                </c:pt>
                <c:pt idx="111">
                  <c:v>42063</c:v>
                </c:pt>
                <c:pt idx="112">
                  <c:v>42035</c:v>
                </c:pt>
                <c:pt idx="113">
                  <c:v>42004</c:v>
                </c:pt>
                <c:pt idx="114">
                  <c:v>41973</c:v>
                </c:pt>
                <c:pt idx="115">
                  <c:v>41943</c:v>
                </c:pt>
                <c:pt idx="116">
                  <c:v>41912</c:v>
                </c:pt>
                <c:pt idx="117">
                  <c:v>41882</c:v>
                </c:pt>
                <c:pt idx="118">
                  <c:v>41851</c:v>
                </c:pt>
                <c:pt idx="119">
                  <c:v>41820</c:v>
                </c:pt>
                <c:pt idx="120">
                  <c:v>41790</c:v>
                </c:pt>
                <c:pt idx="121">
                  <c:v>41759</c:v>
                </c:pt>
                <c:pt idx="122">
                  <c:v>41729</c:v>
                </c:pt>
                <c:pt idx="123">
                  <c:v>41698</c:v>
                </c:pt>
                <c:pt idx="124">
                  <c:v>41670</c:v>
                </c:pt>
                <c:pt idx="125">
                  <c:v>41639</c:v>
                </c:pt>
                <c:pt idx="126">
                  <c:v>41608</c:v>
                </c:pt>
                <c:pt idx="127">
                  <c:v>41578</c:v>
                </c:pt>
                <c:pt idx="128">
                  <c:v>41547</c:v>
                </c:pt>
                <c:pt idx="129">
                  <c:v>41517</c:v>
                </c:pt>
                <c:pt idx="130">
                  <c:v>41486</c:v>
                </c:pt>
                <c:pt idx="131">
                  <c:v>41455</c:v>
                </c:pt>
                <c:pt idx="132">
                  <c:v>41425</c:v>
                </c:pt>
                <c:pt idx="133">
                  <c:v>41394</c:v>
                </c:pt>
                <c:pt idx="134">
                  <c:v>41364</c:v>
                </c:pt>
                <c:pt idx="135">
                  <c:v>41333</c:v>
                </c:pt>
                <c:pt idx="136">
                  <c:v>41305</c:v>
                </c:pt>
                <c:pt idx="137">
                  <c:v>41274</c:v>
                </c:pt>
                <c:pt idx="138">
                  <c:v>41243</c:v>
                </c:pt>
                <c:pt idx="139">
                  <c:v>41213</c:v>
                </c:pt>
                <c:pt idx="140">
                  <c:v>41182</c:v>
                </c:pt>
                <c:pt idx="141">
                  <c:v>41152</c:v>
                </c:pt>
                <c:pt idx="142">
                  <c:v>41121</c:v>
                </c:pt>
                <c:pt idx="143">
                  <c:v>41090</c:v>
                </c:pt>
                <c:pt idx="144">
                  <c:v>41060</c:v>
                </c:pt>
                <c:pt idx="145">
                  <c:v>41029</c:v>
                </c:pt>
                <c:pt idx="146">
                  <c:v>40999</c:v>
                </c:pt>
                <c:pt idx="147">
                  <c:v>40968</c:v>
                </c:pt>
                <c:pt idx="148">
                  <c:v>40939</c:v>
                </c:pt>
                <c:pt idx="149">
                  <c:v>40908</c:v>
                </c:pt>
                <c:pt idx="150">
                  <c:v>40877</c:v>
                </c:pt>
                <c:pt idx="151">
                  <c:v>40847</c:v>
                </c:pt>
                <c:pt idx="152">
                  <c:v>40816</c:v>
                </c:pt>
                <c:pt idx="153">
                  <c:v>40786</c:v>
                </c:pt>
                <c:pt idx="154">
                  <c:v>40755</c:v>
                </c:pt>
                <c:pt idx="155">
                  <c:v>40724</c:v>
                </c:pt>
                <c:pt idx="156">
                  <c:v>40694</c:v>
                </c:pt>
                <c:pt idx="157">
                  <c:v>40663</c:v>
                </c:pt>
                <c:pt idx="158">
                  <c:v>40633</c:v>
                </c:pt>
                <c:pt idx="159">
                  <c:v>40602</c:v>
                </c:pt>
                <c:pt idx="160">
                  <c:v>40574</c:v>
                </c:pt>
                <c:pt idx="161">
                  <c:v>40543</c:v>
                </c:pt>
                <c:pt idx="162">
                  <c:v>40512</c:v>
                </c:pt>
                <c:pt idx="163">
                  <c:v>40482</c:v>
                </c:pt>
                <c:pt idx="164">
                  <c:v>40451</c:v>
                </c:pt>
                <c:pt idx="165">
                  <c:v>40421</c:v>
                </c:pt>
                <c:pt idx="166">
                  <c:v>40390</c:v>
                </c:pt>
                <c:pt idx="167">
                  <c:v>40359</c:v>
                </c:pt>
                <c:pt idx="168">
                  <c:v>40329</c:v>
                </c:pt>
                <c:pt idx="169">
                  <c:v>40298</c:v>
                </c:pt>
                <c:pt idx="170">
                  <c:v>40268</c:v>
                </c:pt>
                <c:pt idx="171">
                  <c:v>40237</c:v>
                </c:pt>
                <c:pt idx="172">
                  <c:v>40209</c:v>
                </c:pt>
              </c:numCache>
            </c:numRef>
          </c:cat>
          <c:val>
            <c:numRef>
              <c:f>'信贷库存框架1-票据+贷款余额'!$D$18:$D$215</c:f>
              <c:numCache>
                <c:formatCode>General</c:formatCode>
                <c:ptCount val="198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5D-4628-BBD9-D3957101D046}"/>
            </c:ext>
          </c:extLst>
        </c:ser>
        <c:ser>
          <c:idx val="2"/>
          <c:order val="2"/>
          <c:tx>
            <c:strRef>
              <c:f>'信贷库存框架1-票据+贷款余额'!$E$3</c:f>
              <c:strCache>
                <c:ptCount val="1"/>
                <c:pt idx="0">
                  <c:v>信贷下行手动</c:v>
                </c:pt>
              </c:strCache>
            </c:strRef>
          </c:tx>
          <c:spPr>
            <a:solidFill>
              <a:srgbClr val="F2BA02">
                <a:alpha val="100000"/>
              </a:srgbClr>
            </a:solidFill>
            <a:ln w="3175">
              <a:noFill/>
            </a:ln>
          </c:spPr>
          <c:invertIfNegative val="0"/>
          <c:cat>
            <c:numRef>
              <c:f>'信贷库存框架1-票据+贷款余额'!$A$37:$A$215</c:f>
              <c:numCache>
                <c:formatCode>yyyy\-mm</c:formatCode>
                <c:ptCount val="179"/>
                <c:pt idx="0">
                  <c:v>45443</c:v>
                </c:pt>
                <c:pt idx="1">
                  <c:v>45412</c:v>
                </c:pt>
                <c:pt idx="2">
                  <c:v>45382</c:v>
                </c:pt>
                <c:pt idx="3">
                  <c:v>45351</c:v>
                </c:pt>
                <c:pt idx="4">
                  <c:v>45322</c:v>
                </c:pt>
                <c:pt idx="5">
                  <c:v>45291</c:v>
                </c:pt>
                <c:pt idx="6">
                  <c:v>45260</c:v>
                </c:pt>
                <c:pt idx="7">
                  <c:v>45230</c:v>
                </c:pt>
                <c:pt idx="8">
                  <c:v>45199</c:v>
                </c:pt>
                <c:pt idx="9">
                  <c:v>45169</c:v>
                </c:pt>
                <c:pt idx="10">
                  <c:v>45138</c:v>
                </c:pt>
                <c:pt idx="11">
                  <c:v>45107</c:v>
                </c:pt>
                <c:pt idx="12">
                  <c:v>45077</c:v>
                </c:pt>
                <c:pt idx="13">
                  <c:v>45046</c:v>
                </c:pt>
                <c:pt idx="14">
                  <c:v>45016</c:v>
                </c:pt>
                <c:pt idx="15">
                  <c:v>44985</c:v>
                </c:pt>
                <c:pt idx="16">
                  <c:v>44957</c:v>
                </c:pt>
                <c:pt idx="17">
                  <c:v>44926</c:v>
                </c:pt>
                <c:pt idx="18">
                  <c:v>44895</c:v>
                </c:pt>
                <c:pt idx="19">
                  <c:v>44865</c:v>
                </c:pt>
                <c:pt idx="20">
                  <c:v>44834</c:v>
                </c:pt>
                <c:pt idx="21">
                  <c:v>44804</c:v>
                </c:pt>
                <c:pt idx="22">
                  <c:v>44773</c:v>
                </c:pt>
                <c:pt idx="23">
                  <c:v>44742</c:v>
                </c:pt>
                <c:pt idx="24">
                  <c:v>44712</c:v>
                </c:pt>
                <c:pt idx="25">
                  <c:v>44681</c:v>
                </c:pt>
                <c:pt idx="26">
                  <c:v>44651</c:v>
                </c:pt>
                <c:pt idx="27">
                  <c:v>44620</c:v>
                </c:pt>
                <c:pt idx="28">
                  <c:v>44592</c:v>
                </c:pt>
                <c:pt idx="29">
                  <c:v>44561</c:v>
                </c:pt>
                <c:pt idx="30">
                  <c:v>44530</c:v>
                </c:pt>
                <c:pt idx="31">
                  <c:v>44500</c:v>
                </c:pt>
                <c:pt idx="32">
                  <c:v>44469</c:v>
                </c:pt>
                <c:pt idx="33">
                  <c:v>44439</c:v>
                </c:pt>
                <c:pt idx="34">
                  <c:v>44408</c:v>
                </c:pt>
                <c:pt idx="35">
                  <c:v>44377</c:v>
                </c:pt>
                <c:pt idx="36">
                  <c:v>44347</c:v>
                </c:pt>
                <c:pt idx="37">
                  <c:v>44316</c:v>
                </c:pt>
                <c:pt idx="38">
                  <c:v>44286</c:v>
                </c:pt>
                <c:pt idx="39">
                  <c:v>44255</c:v>
                </c:pt>
                <c:pt idx="40">
                  <c:v>44227</c:v>
                </c:pt>
                <c:pt idx="41">
                  <c:v>44196</c:v>
                </c:pt>
                <c:pt idx="42">
                  <c:v>44165</c:v>
                </c:pt>
                <c:pt idx="43">
                  <c:v>44135</c:v>
                </c:pt>
                <c:pt idx="44">
                  <c:v>44104</c:v>
                </c:pt>
                <c:pt idx="45">
                  <c:v>44074</c:v>
                </c:pt>
                <c:pt idx="46">
                  <c:v>44043</c:v>
                </c:pt>
                <c:pt idx="47">
                  <c:v>44012</c:v>
                </c:pt>
                <c:pt idx="48">
                  <c:v>43982</c:v>
                </c:pt>
                <c:pt idx="49">
                  <c:v>43951</c:v>
                </c:pt>
                <c:pt idx="50">
                  <c:v>43921</c:v>
                </c:pt>
                <c:pt idx="51">
                  <c:v>43890</c:v>
                </c:pt>
                <c:pt idx="52">
                  <c:v>43861</c:v>
                </c:pt>
                <c:pt idx="53">
                  <c:v>43830</c:v>
                </c:pt>
                <c:pt idx="54">
                  <c:v>43799</c:v>
                </c:pt>
                <c:pt idx="55">
                  <c:v>43769</c:v>
                </c:pt>
                <c:pt idx="56">
                  <c:v>43738</c:v>
                </c:pt>
                <c:pt idx="57">
                  <c:v>43708</c:v>
                </c:pt>
                <c:pt idx="58">
                  <c:v>43677</c:v>
                </c:pt>
                <c:pt idx="59">
                  <c:v>43646</c:v>
                </c:pt>
                <c:pt idx="60">
                  <c:v>43616</c:v>
                </c:pt>
                <c:pt idx="61">
                  <c:v>43585</c:v>
                </c:pt>
                <c:pt idx="62">
                  <c:v>43555</c:v>
                </c:pt>
                <c:pt idx="63">
                  <c:v>43524</c:v>
                </c:pt>
                <c:pt idx="64">
                  <c:v>43496</c:v>
                </c:pt>
                <c:pt idx="65">
                  <c:v>43465</c:v>
                </c:pt>
                <c:pt idx="66">
                  <c:v>43434</c:v>
                </c:pt>
                <c:pt idx="67">
                  <c:v>43404</c:v>
                </c:pt>
                <c:pt idx="68">
                  <c:v>43373</c:v>
                </c:pt>
                <c:pt idx="69">
                  <c:v>43343</c:v>
                </c:pt>
                <c:pt idx="70">
                  <c:v>43312</c:v>
                </c:pt>
                <c:pt idx="71">
                  <c:v>43281</c:v>
                </c:pt>
                <c:pt idx="72">
                  <c:v>43251</c:v>
                </c:pt>
                <c:pt idx="73">
                  <c:v>43220</c:v>
                </c:pt>
                <c:pt idx="74">
                  <c:v>43190</c:v>
                </c:pt>
                <c:pt idx="75">
                  <c:v>43159</c:v>
                </c:pt>
                <c:pt idx="76">
                  <c:v>43131</c:v>
                </c:pt>
                <c:pt idx="77">
                  <c:v>43100</c:v>
                </c:pt>
                <c:pt idx="78">
                  <c:v>43069</c:v>
                </c:pt>
                <c:pt idx="79">
                  <c:v>43039</c:v>
                </c:pt>
                <c:pt idx="80">
                  <c:v>43008</c:v>
                </c:pt>
                <c:pt idx="81">
                  <c:v>42978</c:v>
                </c:pt>
                <c:pt idx="82">
                  <c:v>42947</c:v>
                </c:pt>
                <c:pt idx="83">
                  <c:v>42916</c:v>
                </c:pt>
                <c:pt idx="84">
                  <c:v>42886</c:v>
                </c:pt>
                <c:pt idx="85">
                  <c:v>42855</c:v>
                </c:pt>
                <c:pt idx="86">
                  <c:v>42825</c:v>
                </c:pt>
                <c:pt idx="87">
                  <c:v>42794</c:v>
                </c:pt>
                <c:pt idx="88">
                  <c:v>42766</c:v>
                </c:pt>
                <c:pt idx="89">
                  <c:v>42735</c:v>
                </c:pt>
                <c:pt idx="90">
                  <c:v>42704</c:v>
                </c:pt>
                <c:pt idx="91">
                  <c:v>42674</c:v>
                </c:pt>
                <c:pt idx="92">
                  <c:v>42643</c:v>
                </c:pt>
                <c:pt idx="93">
                  <c:v>42613</c:v>
                </c:pt>
                <c:pt idx="94">
                  <c:v>42582</c:v>
                </c:pt>
                <c:pt idx="95">
                  <c:v>42551</c:v>
                </c:pt>
                <c:pt idx="96">
                  <c:v>42521</c:v>
                </c:pt>
                <c:pt idx="97">
                  <c:v>42490</c:v>
                </c:pt>
                <c:pt idx="98">
                  <c:v>42460</c:v>
                </c:pt>
                <c:pt idx="99">
                  <c:v>42429</c:v>
                </c:pt>
                <c:pt idx="100">
                  <c:v>42400</c:v>
                </c:pt>
                <c:pt idx="101">
                  <c:v>42369</c:v>
                </c:pt>
                <c:pt idx="102">
                  <c:v>42338</c:v>
                </c:pt>
                <c:pt idx="103">
                  <c:v>42308</c:v>
                </c:pt>
                <c:pt idx="104">
                  <c:v>42277</c:v>
                </c:pt>
                <c:pt idx="105">
                  <c:v>42247</c:v>
                </c:pt>
                <c:pt idx="106">
                  <c:v>42216</c:v>
                </c:pt>
                <c:pt idx="107">
                  <c:v>42185</c:v>
                </c:pt>
                <c:pt idx="108">
                  <c:v>42155</c:v>
                </c:pt>
                <c:pt idx="109">
                  <c:v>42124</c:v>
                </c:pt>
                <c:pt idx="110">
                  <c:v>42094</c:v>
                </c:pt>
                <c:pt idx="111">
                  <c:v>42063</c:v>
                </c:pt>
                <c:pt idx="112">
                  <c:v>42035</c:v>
                </c:pt>
                <c:pt idx="113">
                  <c:v>42004</c:v>
                </c:pt>
                <c:pt idx="114">
                  <c:v>41973</c:v>
                </c:pt>
                <c:pt idx="115">
                  <c:v>41943</c:v>
                </c:pt>
                <c:pt idx="116">
                  <c:v>41912</c:v>
                </c:pt>
                <c:pt idx="117">
                  <c:v>41882</c:v>
                </c:pt>
                <c:pt idx="118">
                  <c:v>41851</c:v>
                </c:pt>
                <c:pt idx="119">
                  <c:v>41820</c:v>
                </c:pt>
                <c:pt idx="120">
                  <c:v>41790</c:v>
                </c:pt>
                <c:pt idx="121">
                  <c:v>41759</c:v>
                </c:pt>
                <c:pt idx="122">
                  <c:v>41729</c:v>
                </c:pt>
                <c:pt idx="123">
                  <c:v>41698</c:v>
                </c:pt>
                <c:pt idx="124">
                  <c:v>41670</c:v>
                </c:pt>
                <c:pt idx="125">
                  <c:v>41639</c:v>
                </c:pt>
                <c:pt idx="126">
                  <c:v>41608</c:v>
                </c:pt>
                <c:pt idx="127">
                  <c:v>41578</c:v>
                </c:pt>
                <c:pt idx="128">
                  <c:v>41547</c:v>
                </c:pt>
                <c:pt idx="129">
                  <c:v>41517</c:v>
                </c:pt>
                <c:pt idx="130">
                  <c:v>41486</c:v>
                </c:pt>
                <c:pt idx="131">
                  <c:v>41455</c:v>
                </c:pt>
                <c:pt idx="132">
                  <c:v>41425</c:v>
                </c:pt>
                <c:pt idx="133">
                  <c:v>41394</c:v>
                </c:pt>
                <c:pt idx="134">
                  <c:v>41364</c:v>
                </c:pt>
                <c:pt idx="135">
                  <c:v>41333</c:v>
                </c:pt>
                <c:pt idx="136">
                  <c:v>41305</c:v>
                </c:pt>
                <c:pt idx="137">
                  <c:v>41274</c:v>
                </c:pt>
                <c:pt idx="138">
                  <c:v>41243</c:v>
                </c:pt>
                <c:pt idx="139">
                  <c:v>41213</c:v>
                </c:pt>
                <c:pt idx="140">
                  <c:v>41182</c:v>
                </c:pt>
                <c:pt idx="141">
                  <c:v>41152</c:v>
                </c:pt>
                <c:pt idx="142">
                  <c:v>41121</c:v>
                </c:pt>
                <c:pt idx="143">
                  <c:v>41090</c:v>
                </c:pt>
                <c:pt idx="144">
                  <c:v>41060</c:v>
                </c:pt>
                <c:pt idx="145">
                  <c:v>41029</c:v>
                </c:pt>
                <c:pt idx="146">
                  <c:v>40999</c:v>
                </c:pt>
                <c:pt idx="147">
                  <c:v>40968</c:v>
                </c:pt>
                <c:pt idx="148">
                  <c:v>40939</c:v>
                </c:pt>
                <c:pt idx="149">
                  <c:v>40908</c:v>
                </c:pt>
                <c:pt idx="150">
                  <c:v>40877</c:v>
                </c:pt>
                <c:pt idx="151">
                  <c:v>40847</c:v>
                </c:pt>
                <c:pt idx="152">
                  <c:v>40816</c:v>
                </c:pt>
                <c:pt idx="153">
                  <c:v>40786</c:v>
                </c:pt>
                <c:pt idx="154">
                  <c:v>40755</c:v>
                </c:pt>
                <c:pt idx="155">
                  <c:v>40724</c:v>
                </c:pt>
                <c:pt idx="156">
                  <c:v>40694</c:v>
                </c:pt>
                <c:pt idx="157">
                  <c:v>40663</c:v>
                </c:pt>
                <c:pt idx="158">
                  <c:v>40633</c:v>
                </c:pt>
                <c:pt idx="159">
                  <c:v>40602</c:v>
                </c:pt>
                <c:pt idx="160">
                  <c:v>40574</c:v>
                </c:pt>
                <c:pt idx="161">
                  <c:v>40543</c:v>
                </c:pt>
                <c:pt idx="162">
                  <c:v>40512</c:v>
                </c:pt>
                <c:pt idx="163">
                  <c:v>40482</c:v>
                </c:pt>
                <c:pt idx="164">
                  <c:v>40451</c:v>
                </c:pt>
                <c:pt idx="165">
                  <c:v>40421</c:v>
                </c:pt>
                <c:pt idx="166">
                  <c:v>40390</c:v>
                </c:pt>
                <c:pt idx="167">
                  <c:v>40359</c:v>
                </c:pt>
                <c:pt idx="168">
                  <c:v>40329</c:v>
                </c:pt>
                <c:pt idx="169">
                  <c:v>40298</c:v>
                </c:pt>
                <c:pt idx="170">
                  <c:v>40268</c:v>
                </c:pt>
                <c:pt idx="171">
                  <c:v>40237</c:v>
                </c:pt>
                <c:pt idx="172">
                  <c:v>40209</c:v>
                </c:pt>
              </c:numCache>
            </c:numRef>
          </c:cat>
          <c:val>
            <c:numRef>
              <c:f>'信贷库存框架1-票据+贷款余额'!$E$18:$E$215</c:f>
              <c:numCache>
                <c:formatCode>General</c:formatCode>
                <c:ptCount val="198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5D-4628-BBD9-D3957101D0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74693733"/>
        <c:axId val="292663970"/>
      </c:barChart>
      <c:lineChart>
        <c:grouping val="standard"/>
        <c:varyColors val="0"/>
        <c:ser>
          <c:idx val="0"/>
          <c:order val="0"/>
          <c:tx>
            <c:strRef>
              <c:f>'信贷库存框架1-票据+贷款余额'!$C$3</c:f>
              <c:strCache>
                <c:ptCount val="1"/>
                <c:pt idx="0">
                  <c:v>贷款余额增速</c:v>
                </c:pt>
              </c:strCache>
            </c:strRef>
          </c:tx>
          <c:spPr>
            <a:ln w="15875" cap="rnd" cmpd="sng" algn="ctr">
              <a:solidFill>
                <a:srgbClr val="004477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'信贷库存框架1-票据+贷款余额'!$A$18:$A$215</c:f>
              <c:numCache>
                <c:formatCode>yyyy\-mm</c:formatCode>
                <c:ptCount val="198"/>
                <c:pt idx="0">
                  <c:v>46022</c:v>
                </c:pt>
                <c:pt idx="1">
                  <c:v>45991</c:v>
                </c:pt>
                <c:pt idx="2">
                  <c:v>45961</c:v>
                </c:pt>
                <c:pt idx="3">
                  <c:v>45930</c:v>
                </c:pt>
                <c:pt idx="4">
                  <c:v>45900</c:v>
                </c:pt>
                <c:pt idx="5">
                  <c:v>45869</c:v>
                </c:pt>
                <c:pt idx="6">
                  <c:v>45838</c:v>
                </c:pt>
                <c:pt idx="7">
                  <c:v>45808</c:v>
                </c:pt>
                <c:pt idx="8">
                  <c:v>45777</c:v>
                </c:pt>
                <c:pt idx="9">
                  <c:v>45747</c:v>
                </c:pt>
                <c:pt idx="10">
                  <c:v>45716</c:v>
                </c:pt>
                <c:pt idx="11">
                  <c:v>45688</c:v>
                </c:pt>
                <c:pt idx="12">
                  <c:v>45657</c:v>
                </c:pt>
                <c:pt idx="13">
                  <c:v>45626</c:v>
                </c:pt>
                <c:pt idx="14">
                  <c:v>45596</c:v>
                </c:pt>
                <c:pt idx="15">
                  <c:v>45565</c:v>
                </c:pt>
                <c:pt idx="16">
                  <c:v>45535</c:v>
                </c:pt>
                <c:pt idx="17">
                  <c:v>45504</c:v>
                </c:pt>
                <c:pt idx="18">
                  <c:v>45473</c:v>
                </c:pt>
                <c:pt idx="19">
                  <c:v>45443</c:v>
                </c:pt>
                <c:pt idx="20">
                  <c:v>45412</c:v>
                </c:pt>
                <c:pt idx="21">
                  <c:v>45382</c:v>
                </c:pt>
                <c:pt idx="22">
                  <c:v>45351</c:v>
                </c:pt>
                <c:pt idx="23">
                  <c:v>45322</c:v>
                </c:pt>
                <c:pt idx="24">
                  <c:v>45291</c:v>
                </c:pt>
                <c:pt idx="25">
                  <c:v>45260</c:v>
                </c:pt>
                <c:pt idx="26">
                  <c:v>45230</c:v>
                </c:pt>
                <c:pt idx="27">
                  <c:v>45199</c:v>
                </c:pt>
                <c:pt idx="28">
                  <c:v>45169</c:v>
                </c:pt>
                <c:pt idx="29">
                  <c:v>45138</c:v>
                </c:pt>
                <c:pt idx="30">
                  <c:v>45107</c:v>
                </c:pt>
                <c:pt idx="31">
                  <c:v>45077</c:v>
                </c:pt>
                <c:pt idx="32">
                  <c:v>45046</c:v>
                </c:pt>
                <c:pt idx="33">
                  <c:v>45016</c:v>
                </c:pt>
                <c:pt idx="34">
                  <c:v>44985</c:v>
                </c:pt>
                <c:pt idx="35">
                  <c:v>44957</c:v>
                </c:pt>
                <c:pt idx="36">
                  <c:v>44926</c:v>
                </c:pt>
                <c:pt idx="37">
                  <c:v>44895</c:v>
                </c:pt>
                <c:pt idx="38">
                  <c:v>44865</c:v>
                </c:pt>
                <c:pt idx="39">
                  <c:v>44834</c:v>
                </c:pt>
                <c:pt idx="40">
                  <c:v>44804</c:v>
                </c:pt>
                <c:pt idx="41">
                  <c:v>44773</c:v>
                </c:pt>
                <c:pt idx="42">
                  <c:v>44742</c:v>
                </c:pt>
                <c:pt idx="43">
                  <c:v>44712</c:v>
                </c:pt>
                <c:pt idx="44">
                  <c:v>44681</c:v>
                </c:pt>
                <c:pt idx="45">
                  <c:v>44651</c:v>
                </c:pt>
                <c:pt idx="46">
                  <c:v>44620</c:v>
                </c:pt>
                <c:pt idx="47">
                  <c:v>44592</c:v>
                </c:pt>
                <c:pt idx="48">
                  <c:v>44561</c:v>
                </c:pt>
                <c:pt idx="49">
                  <c:v>44530</c:v>
                </c:pt>
                <c:pt idx="50">
                  <c:v>44500</c:v>
                </c:pt>
                <c:pt idx="51">
                  <c:v>44469</c:v>
                </c:pt>
                <c:pt idx="52">
                  <c:v>44439</c:v>
                </c:pt>
                <c:pt idx="53">
                  <c:v>44408</c:v>
                </c:pt>
                <c:pt idx="54">
                  <c:v>44377</c:v>
                </c:pt>
                <c:pt idx="55">
                  <c:v>44347</c:v>
                </c:pt>
                <c:pt idx="56">
                  <c:v>44316</c:v>
                </c:pt>
                <c:pt idx="57">
                  <c:v>44286</c:v>
                </c:pt>
                <c:pt idx="58">
                  <c:v>44255</c:v>
                </c:pt>
                <c:pt idx="59">
                  <c:v>44227</c:v>
                </c:pt>
                <c:pt idx="60">
                  <c:v>44196</c:v>
                </c:pt>
                <c:pt idx="61">
                  <c:v>44165</c:v>
                </c:pt>
                <c:pt idx="62">
                  <c:v>44135</c:v>
                </c:pt>
                <c:pt idx="63">
                  <c:v>44104</c:v>
                </c:pt>
                <c:pt idx="64">
                  <c:v>44074</c:v>
                </c:pt>
                <c:pt idx="65">
                  <c:v>44043</c:v>
                </c:pt>
                <c:pt idx="66">
                  <c:v>44012</c:v>
                </c:pt>
                <c:pt idx="67">
                  <c:v>43982</c:v>
                </c:pt>
                <c:pt idx="68">
                  <c:v>43951</c:v>
                </c:pt>
                <c:pt idx="69">
                  <c:v>43921</c:v>
                </c:pt>
                <c:pt idx="70">
                  <c:v>43890</c:v>
                </c:pt>
                <c:pt idx="71">
                  <c:v>43861</c:v>
                </c:pt>
                <c:pt idx="72">
                  <c:v>43830</c:v>
                </c:pt>
                <c:pt idx="73">
                  <c:v>43799</c:v>
                </c:pt>
                <c:pt idx="74">
                  <c:v>43769</c:v>
                </c:pt>
                <c:pt idx="75">
                  <c:v>43738</c:v>
                </c:pt>
                <c:pt idx="76">
                  <c:v>43708</c:v>
                </c:pt>
                <c:pt idx="77">
                  <c:v>43677</c:v>
                </c:pt>
                <c:pt idx="78">
                  <c:v>43646</c:v>
                </c:pt>
                <c:pt idx="79">
                  <c:v>43616</c:v>
                </c:pt>
                <c:pt idx="80">
                  <c:v>43585</c:v>
                </c:pt>
                <c:pt idx="81">
                  <c:v>43555</c:v>
                </c:pt>
                <c:pt idx="82">
                  <c:v>43524</c:v>
                </c:pt>
                <c:pt idx="83">
                  <c:v>43496</c:v>
                </c:pt>
                <c:pt idx="84">
                  <c:v>43465</c:v>
                </c:pt>
                <c:pt idx="85">
                  <c:v>43434</c:v>
                </c:pt>
                <c:pt idx="86">
                  <c:v>43404</c:v>
                </c:pt>
                <c:pt idx="87">
                  <c:v>43373</c:v>
                </c:pt>
                <c:pt idx="88">
                  <c:v>43343</c:v>
                </c:pt>
                <c:pt idx="89">
                  <c:v>43312</c:v>
                </c:pt>
                <c:pt idx="90">
                  <c:v>43281</c:v>
                </c:pt>
                <c:pt idx="91">
                  <c:v>43251</c:v>
                </c:pt>
                <c:pt idx="92">
                  <c:v>43220</c:v>
                </c:pt>
                <c:pt idx="93">
                  <c:v>43190</c:v>
                </c:pt>
                <c:pt idx="94">
                  <c:v>43159</c:v>
                </c:pt>
                <c:pt idx="95">
                  <c:v>43131</c:v>
                </c:pt>
                <c:pt idx="96">
                  <c:v>43100</c:v>
                </c:pt>
                <c:pt idx="97">
                  <c:v>43069</c:v>
                </c:pt>
                <c:pt idx="98">
                  <c:v>43039</c:v>
                </c:pt>
                <c:pt idx="99">
                  <c:v>43008</c:v>
                </c:pt>
                <c:pt idx="100">
                  <c:v>42978</c:v>
                </c:pt>
                <c:pt idx="101">
                  <c:v>42947</c:v>
                </c:pt>
                <c:pt idx="102">
                  <c:v>42916</c:v>
                </c:pt>
                <c:pt idx="103">
                  <c:v>42886</c:v>
                </c:pt>
                <c:pt idx="104">
                  <c:v>42855</c:v>
                </c:pt>
                <c:pt idx="105">
                  <c:v>42825</c:v>
                </c:pt>
                <c:pt idx="106">
                  <c:v>42794</c:v>
                </c:pt>
                <c:pt idx="107">
                  <c:v>42766</c:v>
                </c:pt>
                <c:pt idx="108">
                  <c:v>42735</c:v>
                </c:pt>
                <c:pt idx="109">
                  <c:v>42704</c:v>
                </c:pt>
                <c:pt idx="110">
                  <c:v>42674</c:v>
                </c:pt>
                <c:pt idx="111">
                  <c:v>42643</c:v>
                </c:pt>
                <c:pt idx="112">
                  <c:v>42613</c:v>
                </c:pt>
                <c:pt idx="113">
                  <c:v>42582</c:v>
                </c:pt>
                <c:pt idx="114">
                  <c:v>42551</c:v>
                </c:pt>
                <c:pt idx="115">
                  <c:v>42521</c:v>
                </c:pt>
                <c:pt idx="116">
                  <c:v>42490</c:v>
                </c:pt>
                <c:pt idx="117">
                  <c:v>42460</c:v>
                </c:pt>
                <c:pt idx="118">
                  <c:v>42429</c:v>
                </c:pt>
                <c:pt idx="119">
                  <c:v>42400</c:v>
                </c:pt>
                <c:pt idx="120">
                  <c:v>42369</c:v>
                </c:pt>
                <c:pt idx="121">
                  <c:v>42338</c:v>
                </c:pt>
                <c:pt idx="122">
                  <c:v>42308</c:v>
                </c:pt>
                <c:pt idx="123">
                  <c:v>42277</c:v>
                </c:pt>
                <c:pt idx="124">
                  <c:v>42247</c:v>
                </c:pt>
                <c:pt idx="125">
                  <c:v>42216</c:v>
                </c:pt>
                <c:pt idx="126">
                  <c:v>42185</c:v>
                </c:pt>
                <c:pt idx="127">
                  <c:v>42155</c:v>
                </c:pt>
                <c:pt idx="128">
                  <c:v>42124</c:v>
                </c:pt>
                <c:pt idx="129">
                  <c:v>42094</c:v>
                </c:pt>
                <c:pt idx="130">
                  <c:v>42063</c:v>
                </c:pt>
                <c:pt idx="131">
                  <c:v>42035</c:v>
                </c:pt>
                <c:pt idx="132">
                  <c:v>42004</c:v>
                </c:pt>
                <c:pt idx="133">
                  <c:v>41973</c:v>
                </c:pt>
                <c:pt idx="134">
                  <c:v>41943</c:v>
                </c:pt>
                <c:pt idx="135">
                  <c:v>41912</c:v>
                </c:pt>
                <c:pt idx="136">
                  <c:v>41882</c:v>
                </c:pt>
                <c:pt idx="137">
                  <c:v>41851</c:v>
                </c:pt>
                <c:pt idx="138">
                  <c:v>41820</c:v>
                </c:pt>
                <c:pt idx="139">
                  <c:v>41790</c:v>
                </c:pt>
                <c:pt idx="140">
                  <c:v>41759</c:v>
                </c:pt>
                <c:pt idx="141">
                  <c:v>41729</c:v>
                </c:pt>
                <c:pt idx="142">
                  <c:v>41698</c:v>
                </c:pt>
                <c:pt idx="143">
                  <c:v>41670</c:v>
                </c:pt>
                <c:pt idx="144">
                  <c:v>41639</c:v>
                </c:pt>
                <c:pt idx="145">
                  <c:v>41608</c:v>
                </c:pt>
                <c:pt idx="146">
                  <c:v>41578</c:v>
                </c:pt>
                <c:pt idx="147">
                  <c:v>41547</c:v>
                </c:pt>
                <c:pt idx="148">
                  <c:v>41517</c:v>
                </c:pt>
                <c:pt idx="149">
                  <c:v>41486</c:v>
                </c:pt>
                <c:pt idx="150">
                  <c:v>41455</c:v>
                </c:pt>
                <c:pt idx="151">
                  <c:v>41425</c:v>
                </c:pt>
                <c:pt idx="152">
                  <c:v>41394</c:v>
                </c:pt>
                <c:pt idx="153">
                  <c:v>41364</c:v>
                </c:pt>
                <c:pt idx="154">
                  <c:v>41333</c:v>
                </c:pt>
                <c:pt idx="155">
                  <c:v>41305</c:v>
                </c:pt>
                <c:pt idx="156">
                  <c:v>41274</c:v>
                </c:pt>
                <c:pt idx="157">
                  <c:v>41243</c:v>
                </c:pt>
                <c:pt idx="158">
                  <c:v>41213</c:v>
                </c:pt>
                <c:pt idx="159">
                  <c:v>41182</c:v>
                </c:pt>
                <c:pt idx="160">
                  <c:v>41152</c:v>
                </c:pt>
                <c:pt idx="161">
                  <c:v>41121</c:v>
                </c:pt>
                <c:pt idx="162">
                  <c:v>41090</c:v>
                </c:pt>
                <c:pt idx="163">
                  <c:v>41060</c:v>
                </c:pt>
                <c:pt idx="164">
                  <c:v>41029</c:v>
                </c:pt>
                <c:pt idx="165">
                  <c:v>40999</c:v>
                </c:pt>
                <c:pt idx="166">
                  <c:v>40968</c:v>
                </c:pt>
                <c:pt idx="167">
                  <c:v>40939</c:v>
                </c:pt>
                <c:pt idx="168">
                  <c:v>40908</c:v>
                </c:pt>
                <c:pt idx="169">
                  <c:v>40877</c:v>
                </c:pt>
                <c:pt idx="170">
                  <c:v>40847</c:v>
                </c:pt>
                <c:pt idx="171">
                  <c:v>40816</c:v>
                </c:pt>
                <c:pt idx="172">
                  <c:v>40786</c:v>
                </c:pt>
                <c:pt idx="173">
                  <c:v>40755</c:v>
                </c:pt>
                <c:pt idx="174">
                  <c:v>40724</c:v>
                </c:pt>
                <c:pt idx="175">
                  <c:v>40694</c:v>
                </c:pt>
                <c:pt idx="176">
                  <c:v>40663</c:v>
                </c:pt>
                <c:pt idx="177">
                  <c:v>40633</c:v>
                </c:pt>
                <c:pt idx="178">
                  <c:v>40602</c:v>
                </c:pt>
                <c:pt idx="179">
                  <c:v>40574</c:v>
                </c:pt>
                <c:pt idx="180">
                  <c:v>40543</c:v>
                </c:pt>
                <c:pt idx="181">
                  <c:v>40512</c:v>
                </c:pt>
                <c:pt idx="182">
                  <c:v>40482</c:v>
                </c:pt>
                <c:pt idx="183">
                  <c:v>40451</c:v>
                </c:pt>
                <c:pt idx="184">
                  <c:v>40421</c:v>
                </c:pt>
                <c:pt idx="185">
                  <c:v>40390</c:v>
                </c:pt>
                <c:pt idx="186">
                  <c:v>40359</c:v>
                </c:pt>
                <c:pt idx="187">
                  <c:v>40329</c:v>
                </c:pt>
                <c:pt idx="188">
                  <c:v>40298</c:v>
                </c:pt>
                <c:pt idx="189">
                  <c:v>40268</c:v>
                </c:pt>
                <c:pt idx="190">
                  <c:v>40237</c:v>
                </c:pt>
                <c:pt idx="191">
                  <c:v>40209</c:v>
                </c:pt>
              </c:numCache>
            </c:numRef>
          </c:cat>
          <c:val>
            <c:numRef>
              <c:f>'信贷库存框架1-票据+贷款余额'!$C$18:$C$215</c:f>
              <c:numCache>
                <c:formatCode>0.00</c:formatCode>
                <c:ptCount val="198"/>
                <c:pt idx="0">
                  <c:v>7.2</c:v>
                </c:pt>
                <c:pt idx="1">
                  <c:v>7.3</c:v>
                </c:pt>
                <c:pt idx="2">
                  <c:v>8.629999999999999</c:v>
                </c:pt>
                <c:pt idx="3">
                  <c:v>8.33</c:v>
                </c:pt>
                <c:pt idx="4">
                  <c:v>8.58</c:v>
                </c:pt>
                <c:pt idx="5">
                  <c:v>8.5400000000000009</c:v>
                </c:pt>
                <c:pt idx="6">
                  <c:v>8.2200000000000006</c:v>
                </c:pt>
                <c:pt idx="7">
                  <c:v>8.1199999999999992</c:v>
                </c:pt>
                <c:pt idx="8">
                  <c:v>8.11</c:v>
                </c:pt>
                <c:pt idx="9">
                  <c:v>7.48</c:v>
                </c:pt>
                <c:pt idx="10">
                  <c:v>7.71</c:v>
                </c:pt>
                <c:pt idx="11">
                  <c:v>7.54</c:v>
                </c:pt>
                <c:pt idx="12">
                  <c:v>7.2</c:v>
                </c:pt>
                <c:pt idx="13">
                  <c:v>7.3</c:v>
                </c:pt>
                <c:pt idx="14">
                  <c:v>7.5</c:v>
                </c:pt>
                <c:pt idx="15">
                  <c:v>7.6</c:v>
                </c:pt>
                <c:pt idx="16">
                  <c:v>8</c:v>
                </c:pt>
                <c:pt idx="17">
                  <c:v>8.3000000000000007</c:v>
                </c:pt>
                <c:pt idx="18">
                  <c:v>8.3000000000000007</c:v>
                </c:pt>
                <c:pt idx="19">
                  <c:v>8.9</c:v>
                </c:pt>
                <c:pt idx="20">
                  <c:v>9.1</c:v>
                </c:pt>
                <c:pt idx="21">
                  <c:v>9.1999999999999993</c:v>
                </c:pt>
                <c:pt idx="22">
                  <c:v>9.6999999999999993</c:v>
                </c:pt>
                <c:pt idx="23">
                  <c:v>10</c:v>
                </c:pt>
                <c:pt idx="24">
                  <c:v>10.1</c:v>
                </c:pt>
                <c:pt idx="25">
                  <c:v>10.199999999999999</c:v>
                </c:pt>
                <c:pt idx="26">
                  <c:v>10.3</c:v>
                </c:pt>
                <c:pt idx="27">
                  <c:v>10.199999999999999</c:v>
                </c:pt>
                <c:pt idx="28">
                  <c:v>10.5</c:v>
                </c:pt>
                <c:pt idx="29">
                  <c:v>10.5</c:v>
                </c:pt>
                <c:pt idx="30">
                  <c:v>10.6</c:v>
                </c:pt>
                <c:pt idx="31">
                  <c:v>10.6</c:v>
                </c:pt>
                <c:pt idx="32">
                  <c:v>10.9</c:v>
                </c:pt>
                <c:pt idx="33">
                  <c:v>11.1</c:v>
                </c:pt>
                <c:pt idx="34">
                  <c:v>10.8</c:v>
                </c:pt>
                <c:pt idx="35">
                  <c:v>10.6</c:v>
                </c:pt>
                <c:pt idx="36">
                  <c:v>10.4</c:v>
                </c:pt>
                <c:pt idx="37">
                  <c:v>10.4</c:v>
                </c:pt>
                <c:pt idx="38">
                  <c:v>10.5</c:v>
                </c:pt>
                <c:pt idx="39">
                  <c:v>10.7</c:v>
                </c:pt>
                <c:pt idx="40">
                  <c:v>10.4</c:v>
                </c:pt>
                <c:pt idx="41">
                  <c:v>10.5</c:v>
                </c:pt>
                <c:pt idx="42">
                  <c:v>10.8</c:v>
                </c:pt>
                <c:pt idx="43">
                  <c:v>10.7</c:v>
                </c:pt>
                <c:pt idx="44">
                  <c:v>10.6</c:v>
                </c:pt>
                <c:pt idx="45">
                  <c:v>11</c:v>
                </c:pt>
                <c:pt idx="46">
                  <c:v>11.1</c:v>
                </c:pt>
                <c:pt idx="47">
                  <c:v>11.2</c:v>
                </c:pt>
                <c:pt idx="48">
                  <c:v>11.3</c:v>
                </c:pt>
                <c:pt idx="49">
                  <c:v>11.4</c:v>
                </c:pt>
                <c:pt idx="50">
                  <c:v>11.4</c:v>
                </c:pt>
                <c:pt idx="51">
                  <c:v>11.4</c:v>
                </c:pt>
                <c:pt idx="52">
                  <c:v>11.7</c:v>
                </c:pt>
                <c:pt idx="53">
                  <c:v>11.8</c:v>
                </c:pt>
                <c:pt idx="54">
                  <c:v>11.9</c:v>
                </c:pt>
                <c:pt idx="55">
                  <c:v>11.8</c:v>
                </c:pt>
                <c:pt idx="56">
                  <c:v>12</c:v>
                </c:pt>
                <c:pt idx="57">
                  <c:v>12.3</c:v>
                </c:pt>
                <c:pt idx="58">
                  <c:v>12.6</c:v>
                </c:pt>
                <c:pt idx="59">
                  <c:v>12.5</c:v>
                </c:pt>
                <c:pt idx="60">
                  <c:v>12.5</c:v>
                </c:pt>
                <c:pt idx="61">
                  <c:v>12.6</c:v>
                </c:pt>
                <c:pt idx="62">
                  <c:v>12.8</c:v>
                </c:pt>
                <c:pt idx="63">
                  <c:v>12.8</c:v>
                </c:pt>
                <c:pt idx="64">
                  <c:v>12.8</c:v>
                </c:pt>
                <c:pt idx="65">
                  <c:v>13</c:v>
                </c:pt>
                <c:pt idx="66">
                  <c:v>13</c:v>
                </c:pt>
                <c:pt idx="67">
                  <c:v>13</c:v>
                </c:pt>
                <c:pt idx="68">
                  <c:v>12.9</c:v>
                </c:pt>
                <c:pt idx="69">
                  <c:v>12.3</c:v>
                </c:pt>
                <c:pt idx="70">
                  <c:v>11.7</c:v>
                </c:pt>
                <c:pt idx="71">
                  <c:v>11.6</c:v>
                </c:pt>
                <c:pt idx="72">
                  <c:v>11.9</c:v>
                </c:pt>
                <c:pt idx="73">
                  <c:v>11.9</c:v>
                </c:pt>
                <c:pt idx="74">
                  <c:v>11.8</c:v>
                </c:pt>
                <c:pt idx="75">
                  <c:v>12</c:v>
                </c:pt>
                <c:pt idx="76">
                  <c:v>11.9</c:v>
                </c:pt>
                <c:pt idx="77">
                  <c:v>11.9</c:v>
                </c:pt>
                <c:pt idx="78">
                  <c:v>12.5</c:v>
                </c:pt>
                <c:pt idx="79">
                  <c:v>12.9</c:v>
                </c:pt>
                <c:pt idx="80">
                  <c:v>12.9</c:v>
                </c:pt>
                <c:pt idx="81">
                  <c:v>13.3</c:v>
                </c:pt>
                <c:pt idx="82">
                  <c:v>12.7</c:v>
                </c:pt>
                <c:pt idx="83">
                  <c:v>12.8</c:v>
                </c:pt>
                <c:pt idx="84">
                  <c:v>12.9</c:v>
                </c:pt>
                <c:pt idx="85">
                  <c:v>12.6</c:v>
                </c:pt>
                <c:pt idx="86">
                  <c:v>12.8</c:v>
                </c:pt>
                <c:pt idx="87">
                  <c:v>12.8</c:v>
                </c:pt>
                <c:pt idx="88">
                  <c:v>12.8</c:v>
                </c:pt>
                <c:pt idx="89">
                  <c:v>12.7</c:v>
                </c:pt>
                <c:pt idx="90">
                  <c:v>12.1</c:v>
                </c:pt>
                <c:pt idx="91">
                  <c:v>12</c:v>
                </c:pt>
                <c:pt idx="92">
                  <c:v>11.9</c:v>
                </c:pt>
                <c:pt idx="93">
                  <c:v>11.9</c:v>
                </c:pt>
                <c:pt idx="94">
                  <c:v>12.1</c:v>
                </c:pt>
                <c:pt idx="95">
                  <c:v>12.6</c:v>
                </c:pt>
                <c:pt idx="96">
                  <c:v>12.1</c:v>
                </c:pt>
                <c:pt idx="97">
                  <c:v>12.6</c:v>
                </c:pt>
                <c:pt idx="98">
                  <c:v>12.4</c:v>
                </c:pt>
                <c:pt idx="99">
                  <c:v>12.5</c:v>
                </c:pt>
                <c:pt idx="100">
                  <c:v>12.6</c:v>
                </c:pt>
                <c:pt idx="101">
                  <c:v>13</c:v>
                </c:pt>
                <c:pt idx="102">
                  <c:v>12.7</c:v>
                </c:pt>
                <c:pt idx="103">
                  <c:v>12.8</c:v>
                </c:pt>
                <c:pt idx="104">
                  <c:v>12.8</c:v>
                </c:pt>
                <c:pt idx="105">
                  <c:v>12.3</c:v>
                </c:pt>
                <c:pt idx="106">
                  <c:v>12.7</c:v>
                </c:pt>
                <c:pt idx="107">
                  <c:v>12.1</c:v>
                </c:pt>
                <c:pt idx="108">
                  <c:v>12.8</c:v>
                </c:pt>
                <c:pt idx="109">
                  <c:v>12.5</c:v>
                </c:pt>
                <c:pt idx="110">
                  <c:v>12.3</c:v>
                </c:pt>
                <c:pt idx="111">
                  <c:v>12</c:v>
                </c:pt>
                <c:pt idx="112">
                  <c:v>11.6</c:v>
                </c:pt>
                <c:pt idx="113">
                  <c:v>11.6</c:v>
                </c:pt>
                <c:pt idx="114">
                  <c:v>13</c:v>
                </c:pt>
                <c:pt idx="115">
                  <c:v>13</c:v>
                </c:pt>
                <c:pt idx="116">
                  <c:v>13.1</c:v>
                </c:pt>
                <c:pt idx="117">
                  <c:v>13.4</c:v>
                </c:pt>
                <c:pt idx="118">
                  <c:v>13.6</c:v>
                </c:pt>
                <c:pt idx="119">
                  <c:v>14.1</c:v>
                </c:pt>
                <c:pt idx="120">
                  <c:v>13.4</c:v>
                </c:pt>
                <c:pt idx="121">
                  <c:v>13.9</c:v>
                </c:pt>
                <c:pt idx="122">
                  <c:v>14.4</c:v>
                </c:pt>
                <c:pt idx="123">
                  <c:v>12.4</c:v>
                </c:pt>
                <c:pt idx="124">
                  <c:v>14.7</c:v>
                </c:pt>
                <c:pt idx="125">
                  <c:v>14.4</c:v>
                </c:pt>
                <c:pt idx="126">
                  <c:v>12.5</c:v>
                </c:pt>
                <c:pt idx="127">
                  <c:v>13.1</c:v>
                </c:pt>
                <c:pt idx="128">
                  <c:v>13.4</c:v>
                </c:pt>
                <c:pt idx="129">
                  <c:v>13.3</c:v>
                </c:pt>
                <c:pt idx="130">
                  <c:v>13.8</c:v>
                </c:pt>
                <c:pt idx="131">
                  <c:v>13.7</c:v>
                </c:pt>
                <c:pt idx="132">
                  <c:v>13.3</c:v>
                </c:pt>
                <c:pt idx="133">
                  <c:v>13</c:v>
                </c:pt>
                <c:pt idx="134">
                  <c:v>12.9</c:v>
                </c:pt>
                <c:pt idx="135">
                  <c:v>13</c:v>
                </c:pt>
                <c:pt idx="136">
                  <c:v>13.2</c:v>
                </c:pt>
                <c:pt idx="137">
                  <c:v>13.3</c:v>
                </c:pt>
                <c:pt idx="138">
                  <c:v>13.7</c:v>
                </c:pt>
                <c:pt idx="139">
                  <c:v>13.6</c:v>
                </c:pt>
                <c:pt idx="140">
                  <c:v>13.4</c:v>
                </c:pt>
                <c:pt idx="141">
                  <c:v>13.7</c:v>
                </c:pt>
                <c:pt idx="142">
                  <c:v>13.9</c:v>
                </c:pt>
                <c:pt idx="143">
                  <c:v>14</c:v>
                </c:pt>
                <c:pt idx="144">
                  <c:v>13.9</c:v>
                </c:pt>
                <c:pt idx="145">
                  <c:v>14.2</c:v>
                </c:pt>
                <c:pt idx="146">
                  <c:v>14.3</c:v>
                </c:pt>
                <c:pt idx="147">
                  <c:v>14.6</c:v>
                </c:pt>
                <c:pt idx="148">
                  <c:v>14.6</c:v>
                </c:pt>
                <c:pt idx="149">
                  <c:v>15</c:v>
                </c:pt>
                <c:pt idx="150">
                  <c:v>15.1</c:v>
                </c:pt>
                <c:pt idx="151">
                  <c:v>15.6</c:v>
                </c:pt>
                <c:pt idx="152">
                  <c:v>16.100000000000001</c:v>
                </c:pt>
                <c:pt idx="153">
                  <c:v>16</c:v>
                </c:pt>
                <c:pt idx="154">
                  <c:v>16.100000000000001</c:v>
                </c:pt>
                <c:pt idx="155">
                  <c:v>16.399999999999999</c:v>
                </c:pt>
                <c:pt idx="156">
                  <c:v>15.6</c:v>
                </c:pt>
                <c:pt idx="157">
                  <c:v>16.100000000000001</c:v>
                </c:pt>
                <c:pt idx="158">
                  <c:v>16.2</c:v>
                </c:pt>
                <c:pt idx="159">
                  <c:v>16.399999999999999</c:v>
                </c:pt>
                <c:pt idx="160">
                  <c:v>16.100000000000001</c:v>
                </c:pt>
                <c:pt idx="161">
                  <c:v>15.9</c:v>
                </c:pt>
                <c:pt idx="162">
                  <c:v>15.9</c:v>
                </c:pt>
                <c:pt idx="163">
                  <c:v>15.4</c:v>
                </c:pt>
                <c:pt idx="164">
                  <c:v>15.1</c:v>
                </c:pt>
                <c:pt idx="165">
                  <c:v>15.5</c:v>
                </c:pt>
                <c:pt idx="166">
                  <c:v>15</c:v>
                </c:pt>
                <c:pt idx="167">
                  <c:v>14.8</c:v>
                </c:pt>
                <c:pt idx="168">
                  <c:v>15.7</c:v>
                </c:pt>
                <c:pt idx="169">
                  <c:v>15.6</c:v>
                </c:pt>
                <c:pt idx="170">
                  <c:v>15.9</c:v>
                </c:pt>
                <c:pt idx="171">
                  <c:v>16</c:v>
                </c:pt>
                <c:pt idx="172">
                  <c:v>16.5</c:v>
                </c:pt>
                <c:pt idx="173">
                  <c:v>16.7</c:v>
                </c:pt>
                <c:pt idx="174">
                  <c:v>16.8</c:v>
                </c:pt>
                <c:pt idx="175">
                  <c:v>16.899999999999999</c:v>
                </c:pt>
                <c:pt idx="176">
                  <c:v>17.2</c:v>
                </c:pt>
                <c:pt idx="177">
                  <c:v>17.600000000000001</c:v>
                </c:pt>
                <c:pt idx="178">
                  <c:v>17.399999999999999</c:v>
                </c:pt>
                <c:pt idx="179">
                  <c:v>18.3</c:v>
                </c:pt>
                <c:pt idx="180">
                  <c:v>19.7</c:v>
                </c:pt>
                <c:pt idx="181">
                  <c:v>19.399999999999999</c:v>
                </c:pt>
                <c:pt idx="182">
                  <c:v>19.100000000000001</c:v>
                </c:pt>
                <c:pt idx="183">
                  <c:v>18.7</c:v>
                </c:pt>
                <c:pt idx="184">
                  <c:v>18.899999999999999</c:v>
                </c:pt>
                <c:pt idx="185">
                  <c:v>19.100000000000001</c:v>
                </c:pt>
                <c:pt idx="186">
                  <c:v>19.2</c:v>
                </c:pt>
                <c:pt idx="187">
                  <c:v>23.2</c:v>
                </c:pt>
                <c:pt idx="188">
                  <c:v>24.11</c:v>
                </c:pt>
                <c:pt idx="189">
                  <c:v>24.08</c:v>
                </c:pt>
                <c:pt idx="190">
                  <c:v>29.29</c:v>
                </c:pt>
                <c:pt idx="191">
                  <c:v>31.02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25D-4628-BBD9-D3957101D0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8291500"/>
        <c:axId val="952865869"/>
      </c:lineChart>
      <c:dateAx>
        <c:axId val="648291500"/>
        <c:scaling>
          <c:orientation val="minMax"/>
        </c:scaling>
        <c:delete val="0"/>
        <c:axPos val="b"/>
        <c:numFmt formatCode="yyyy\-mm" sourceLinked="0"/>
        <c:majorTickMark val="out"/>
        <c:minorTickMark val="none"/>
        <c:tickLblPos val="nextTo"/>
        <c:spPr>
          <a:noFill/>
          <a:ln w="6350" cap="flat" cmpd="sng" algn="ctr">
            <a:solidFill>
              <a:sysClr val="windowText" lastClr="000000">
                <a:lumMod val="100000"/>
              </a:sysClr>
            </a:solidFill>
            <a:prstDash val="solid"/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333333">
                    <a:alpha val="100000"/>
                  </a:srgbClr>
                </a:solidFill>
                <a:latin typeface="黑体" panose="02010609060101010101" pitchFamily="49" charset="-122"/>
                <a:ea typeface="黑体" panose="02010609060101010101" pitchFamily="49" charset="-122"/>
                <a:cs typeface="黑体" panose="02010609060101010101" pitchFamily="49" charset="-122"/>
              </a:defRPr>
            </a:pPr>
            <a:endParaRPr lang="zh-CN"/>
          </a:p>
        </c:txPr>
        <c:crossAx val="952865869"/>
        <c:crosses val="autoZero"/>
        <c:auto val="1"/>
        <c:lblOffset val="100"/>
        <c:baseTimeUnit val="months"/>
      </c:dateAx>
      <c:valAx>
        <c:axId val="952865869"/>
        <c:scaling>
          <c:orientation val="minMax"/>
          <c:max val="30"/>
          <c:min val="-0.5"/>
        </c:scaling>
        <c:delete val="0"/>
        <c:axPos val="l"/>
        <c:numFmt formatCode="0.00" sourceLinked="1"/>
        <c:majorTickMark val="out"/>
        <c:minorTickMark val="none"/>
        <c:tickLblPos val="nextTo"/>
        <c:spPr>
          <a:noFill/>
          <a:ln w="6350" cap="flat" cmpd="sng" algn="ctr">
            <a:solidFill>
              <a:sysClr val="windowText" lastClr="000000">
                <a:lumMod val="100000"/>
              </a:sysClr>
            </a:solidFill>
            <a:prstDash val="solid"/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333333">
                    <a:alpha val="100000"/>
                  </a:srgbClr>
                </a:solidFill>
                <a:latin typeface="黑体" panose="02010609060101010101" pitchFamily="49" charset="-122"/>
                <a:ea typeface="黑体" panose="02010609060101010101" pitchFamily="49" charset="-122"/>
                <a:cs typeface="黑体" panose="02010609060101010101" pitchFamily="49" charset="-122"/>
              </a:defRPr>
            </a:pPr>
            <a:endParaRPr lang="zh-CN"/>
          </a:p>
        </c:txPr>
        <c:crossAx val="648291500"/>
        <c:crosses val="autoZero"/>
        <c:crossBetween val="between"/>
      </c:valAx>
      <c:dateAx>
        <c:axId val="74693733"/>
        <c:scaling>
          <c:orientation val="minMax"/>
        </c:scaling>
        <c:delete val="1"/>
        <c:axPos val="b"/>
        <c:numFmt formatCode="yyyy\-mm" sourceLinked="0"/>
        <c:majorTickMark val="out"/>
        <c:minorTickMark val="none"/>
        <c:tickLblPos val="nextTo"/>
        <c:crossAx val="292663970"/>
        <c:crosses val="autoZero"/>
        <c:auto val="1"/>
        <c:lblOffset val="100"/>
        <c:baseTimeUnit val="months"/>
      </c:dateAx>
      <c:valAx>
        <c:axId val="292663970"/>
        <c:scaling>
          <c:orientation val="minMax"/>
          <c:max val="1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ln w="3175" cap="flat" cmpd="sng" algn="ctr">
            <a:noFill/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333333">
                    <a:alpha val="100000"/>
                  </a:srgbClr>
                </a:solidFill>
                <a:latin typeface="黑体" panose="02010609060101010101" pitchFamily="49" charset="-122"/>
                <a:ea typeface="黑体" panose="02010609060101010101" pitchFamily="49" charset="-122"/>
                <a:cs typeface="黑体" panose="02010609060101010101" pitchFamily="49" charset="-122"/>
              </a:defRPr>
            </a:pPr>
            <a:endParaRPr lang="zh-CN"/>
          </a:p>
        </c:txPr>
        <c:crossAx val="74693733"/>
        <c:crosses val="max"/>
        <c:crossBetween val="between"/>
      </c:valAx>
      <c:spPr>
        <a:noFill/>
        <a:ln w="3175">
          <a:noFill/>
        </a:ln>
      </c:spPr>
    </c:plotArea>
    <c:legend>
      <c:legendPos val="r"/>
      <c:layout>
        <c:manualLayout>
          <c:xMode val="edge"/>
          <c:yMode val="edge"/>
          <c:x val="0.11749999999999999"/>
          <c:y val="1.7999999999999999E-2"/>
          <c:w val="0.73837852203288301"/>
          <c:h val="6.3974416480909194E-2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825" b="0" i="0" u="none" strike="noStrike" kern="1200" baseline="0">
              <a:solidFill>
                <a:srgbClr val="333333"/>
              </a:solidFill>
              <a:latin typeface="黑体" panose="02010609060101010101" pitchFamily="49" charset="-122"/>
              <a:ea typeface="黑体" panose="02010609060101010101" pitchFamily="49" charset="-122"/>
              <a:cs typeface="黑体" panose="02010609060101010101" pitchFamily="49" charset="-122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ysClr val="window" lastClr="FFFFFF">
        <a:lumMod val="100000"/>
      </a:sysClr>
    </a:solidFill>
    <a:ln w="25400" cap="flat" cmpd="sng" algn="ctr">
      <a:noFill/>
      <a:prstDash val="solid"/>
      <a:round/>
    </a:ln>
    <a:effectLst/>
  </c:spPr>
  <c:txPr>
    <a:bodyPr rot="0" wrap="square" anchor="ctr" anchorCtr="1"/>
    <a:lstStyle/>
    <a:p>
      <a:pPr>
        <a:defRPr lang="zh-CN" sz="900" b="0" i="0" u="none" strike="noStrike" baseline="0">
          <a:solidFill>
            <a:srgbClr val="000000">
              <a:alpha val="100000"/>
            </a:srgbClr>
          </a:solidFill>
          <a:latin typeface="黑体" panose="02010609060101010101" pitchFamily="49" charset="-122"/>
          <a:ea typeface="黑体" panose="02010609060101010101" pitchFamily="49" charset="-122"/>
          <a:cs typeface="黑体" panose="02010609060101010101" pitchFamily="49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9337220878964599E-2"/>
          <c:y val="7.7841182800196307E-2"/>
          <c:w val="0.90780827762764904"/>
          <c:h val="0.64518932340161395"/>
        </c:manualLayout>
      </c:layout>
      <c:barChart>
        <c:barDir val="col"/>
        <c:grouping val="clustered"/>
        <c:varyColors val="0"/>
        <c:ser>
          <c:idx val="0"/>
          <c:order val="1"/>
          <c:tx>
            <c:strRef>
              <c:f>'财政货币框架1&amp;2底稿'!$F$11</c:f>
              <c:strCache>
                <c:ptCount val="1"/>
                <c:pt idx="0">
                  <c:v>货币上行手动</c:v>
                </c:pt>
              </c:strCache>
            </c:strRef>
          </c:tx>
          <c:spPr>
            <a:solidFill>
              <a:srgbClr val="4874CB">
                <a:lumMod val="60000"/>
                <a:lumOff val="40000"/>
              </a:srgbClr>
            </a:solidFill>
            <a:ln>
              <a:noFill/>
            </a:ln>
            <a:effectLst/>
          </c:spPr>
          <c:invertIfNegative val="0"/>
          <c:cat>
            <c:numRef>
              <c:f>'财政货币框架1&amp;2底稿'!$A$12:$A$101</c:f>
              <c:numCache>
                <c:formatCode>yyyy\-mm</c:formatCode>
                <c:ptCount val="90"/>
                <c:pt idx="0">
                  <c:v>42429</c:v>
                </c:pt>
                <c:pt idx="1">
                  <c:v>42460</c:v>
                </c:pt>
                <c:pt idx="2">
                  <c:v>42490</c:v>
                </c:pt>
                <c:pt idx="3">
                  <c:v>42521</c:v>
                </c:pt>
                <c:pt idx="4">
                  <c:v>42551</c:v>
                </c:pt>
                <c:pt idx="5">
                  <c:v>42582</c:v>
                </c:pt>
                <c:pt idx="6">
                  <c:v>42613</c:v>
                </c:pt>
                <c:pt idx="7">
                  <c:v>42643</c:v>
                </c:pt>
                <c:pt idx="8">
                  <c:v>42674</c:v>
                </c:pt>
                <c:pt idx="9">
                  <c:v>42704</c:v>
                </c:pt>
                <c:pt idx="10">
                  <c:v>42735</c:v>
                </c:pt>
                <c:pt idx="11">
                  <c:v>42794</c:v>
                </c:pt>
                <c:pt idx="12">
                  <c:v>42825</c:v>
                </c:pt>
                <c:pt idx="13">
                  <c:v>42855</c:v>
                </c:pt>
                <c:pt idx="14">
                  <c:v>42886</c:v>
                </c:pt>
                <c:pt idx="15">
                  <c:v>42916</c:v>
                </c:pt>
                <c:pt idx="16">
                  <c:v>42947</c:v>
                </c:pt>
                <c:pt idx="17">
                  <c:v>42978</c:v>
                </c:pt>
                <c:pt idx="18">
                  <c:v>43008</c:v>
                </c:pt>
                <c:pt idx="19">
                  <c:v>43039</c:v>
                </c:pt>
                <c:pt idx="20">
                  <c:v>43069</c:v>
                </c:pt>
                <c:pt idx="21">
                  <c:v>43100</c:v>
                </c:pt>
                <c:pt idx="22">
                  <c:v>43159</c:v>
                </c:pt>
                <c:pt idx="23">
                  <c:v>43190</c:v>
                </c:pt>
                <c:pt idx="24">
                  <c:v>43220</c:v>
                </c:pt>
                <c:pt idx="25">
                  <c:v>43251</c:v>
                </c:pt>
                <c:pt idx="26">
                  <c:v>43281</c:v>
                </c:pt>
                <c:pt idx="27">
                  <c:v>43312</c:v>
                </c:pt>
                <c:pt idx="28">
                  <c:v>43343</c:v>
                </c:pt>
                <c:pt idx="29">
                  <c:v>43373</c:v>
                </c:pt>
                <c:pt idx="30">
                  <c:v>43404</c:v>
                </c:pt>
                <c:pt idx="31">
                  <c:v>43434</c:v>
                </c:pt>
                <c:pt idx="32">
                  <c:v>43465</c:v>
                </c:pt>
                <c:pt idx="33">
                  <c:v>43524</c:v>
                </c:pt>
                <c:pt idx="34">
                  <c:v>43555</c:v>
                </c:pt>
                <c:pt idx="35">
                  <c:v>43585</c:v>
                </c:pt>
                <c:pt idx="36">
                  <c:v>43616</c:v>
                </c:pt>
                <c:pt idx="37">
                  <c:v>43646</c:v>
                </c:pt>
                <c:pt idx="38">
                  <c:v>43677</c:v>
                </c:pt>
                <c:pt idx="39">
                  <c:v>43708</c:v>
                </c:pt>
                <c:pt idx="40">
                  <c:v>43738</c:v>
                </c:pt>
                <c:pt idx="41">
                  <c:v>43769</c:v>
                </c:pt>
                <c:pt idx="42">
                  <c:v>43799</c:v>
                </c:pt>
                <c:pt idx="43">
                  <c:v>43830</c:v>
                </c:pt>
                <c:pt idx="44">
                  <c:v>43890</c:v>
                </c:pt>
                <c:pt idx="45">
                  <c:v>43921</c:v>
                </c:pt>
                <c:pt idx="46">
                  <c:v>43951</c:v>
                </c:pt>
                <c:pt idx="47">
                  <c:v>43982</c:v>
                </c:pt>
                <c:pt idx="48">
                  <c:v>44012</c:v>
                </c:pt>
                <c:pt idx="49">
                  <c:v>44043</c:v>
                </c:pt>
                <c:pt idx="50">
                  <c:v>44074</c:v>
                </c:pt>
                <c:pt idx="51">
                  <c:v>44104</c:v>
                </c:pt>
                <c:pt idx="52">
                  <c:v>44135</c:v>
                </c:pt>
                <c:pt idx="53">
                  <c:v>44165</c:v>
                </c:pt>
                <c:pt idx="54">
                  <c:v>44196</c:v>
                </c:pt>
                <c:pt idx="55">
                  <c:v>44255</c:v>
                </c:pt>
                <c:pt idx="56">
                  <c:v>44286</c:v>
                </c:pt>
                <c:pt idx="57">
                  <c:v>44316</c:v>
                </c:pt>
                <c:pt idx="58">
                  <c:v>44347</c:v>
                </c:pt>
                <c:pt idx="59">
                  <c:v>44377</c:v>
                </c:pt>
                <c:pt idx="60">
                  <c:v>44408</c:v>
                </c:pt>
                <c:pt idx="61">
                  <c:v>44439</c:v>
                </c:pt>
                <c:pt idx="62">
                  <c:v>44469</c:v>
                </c:pt>
                <c:pt idx="63">
                  <c:v>44500</c:v>
                </c:pt>
                <c:pt idx="64">
                  <c:v>44530</c:v>
                </c:pt>
                <c:pt idx="65">
                  <c:v>44561</c:v>
                </c:pt>
                <c:pt idx="66">
                  <c:v>44620</c:v>
                </c:pt>
                <c:pt idx="67">
                  <c:v>44651</c:v>
                </c:pt>
                <c:pt idx="68">
                  <c:v>44681</c:v>
                </c:pt>
                <c:pt idx="69">
                  <c:v>44712</c:v>
                </c:pt>
                <c:pt idx="70">
                  <c:v>44742</c:v>
                </c:pt>
                <c:pt idx="71">
                  <c:v>44773</c:v>
                </c:pt>
                <c:pt idx="72">
                  <c:v>44804</c:v>
                </c:pt>
                <c:pt idx="73">
                  <c:v>44834</c:v>
                </c:pt>
                <c:pt idx="74">
                  <c:v>44865</c:v>
                </c:pt>
                <c:pt idx="75">
                  <c:v>44895</c:v>
                </c:pt>
                <c:pt idx="76">
                  <c:v>44926</c:v>
                </c:pt>
                <c:pt idx="77">
                  <c:v>44985</c:v>
                </c:pt>
                <c:pt idx="78">
                  <c:v>45016</c:v>
                </c:pt>
                <c:pt idx="79">
                  <c:v>45046</c:v>
                </c:pt>
                <c:pt idx="80">
                  <c:v>45077</c:v>
                </c:pt>
                <c:pt idx="81">
                  <c:v>45107</c:v>
                </c:pt>
                <c:pt idx="82">
                  <c:v>45138</c:v>
                </c:pt>
                <c:pt idx="83">
                  <c:v>45169</c:v>
                </c:pt>
                <c:pt idx="84">
                  <c:v>45199</c:v>
                </c:pt>
                <c:pt idx="85">
                  <c:v>45230</c:v>
                </c:pt>
                <c:pt idx="86">
                  <c:v>45260</c:v>
                </c:pt>
                <c:pt idx="87">
                  <c:v>45291</c:v>
                </c:pt>
                <c:pt idx="88">
                  <c:v>45351</c:v>
                </c:pt>
                <c:pt idx="89">
                  <c:v>45382</c:v>
                </c:pt>
              </c:numCache>
            </c:numRef>
          </c:cat>
          <c:val>
            <c:numRef>
              <c:f>'财政货币框架1&amp;2底稿'!$F$12:$F$101</c:f>
              <c:numCache>
                <c:formatCode>General</c:formatCode>
                <c:ptCount val="9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C8-4B5B-9A60-B1FC33D965F6}"/>
            </c:ext>
          </c:extLst>
        </c:ser>
        <c:ser>
          <c:idx val="2"/>
          <c:order val="2"/>
          <c:tx>
            <c:strRef>
              <c:f>'财政货币框架1&amp;2底稿'!$G$11</c:f>
              <c:strCache>
                <c:ptCount val="1"/>
                <c:pt idx="0">
                  <c:v>货币下行手动</c:v>
                </c:pt>
              </c:strCache>
            </c:strRef>
          </c:tx>
          <c:spPr>
            <a:solidFill>
              <a:srgbClr val="EE822F">
                <a:lumMod val="60000"/>
                <a:lumOff val="40000"/>
              </a:srgbClr>
            </a:solidFill>
            <a:ln>
              <a:noFill/>
            </a:ln>
            <a:effectLst/>
          </c:spPr>
          <c:invertIfNegative val="0"/>
          <c:cat>
            <c:numRef>
              <c:f>'财政货币框架1&amp;2底稿'!$A$12:$A$101</c:f>
              <c:numCache>
                <c:formatCode>yyyy\-mm</c:formatCode>
                <c:ptCount val="90"/>
                <c:pt idx="0">
                  <c:v>42429</c:v>
                </c:pt>
                <c:pt idx="1">
                  <c:v>42460</c:v>
                </c:pt>
                <c:pt idx="2">
                  <c:v>42490</c:v>
                </c:pt>
                <c:pt idx="3">
                  <c:v>42521</c:v>
                </c:pt>
                <c:pt idx="4">
                  <c:v>42551</c:v>
                </c:pt>
                <c:pt idx="5">
                  <c:v>42582</c:v>
                </c:pt>
                <c:pt idx="6">
                  <c:v>42613</c:v>
                </c:pt>
                <c:pt idx="7">
                  <c:v>42643</c:v>
                </c:pt>
                <c:pt idx="8">
                  <c:v>42674</c:v>
                </c:pt>
                <c:pt idx="9">
                  <c:v>42704</c:v>
                </c:pt>
                <c:pt idx="10">
                  <c:v>42735</c:v>
                </c:pt>
                <c:pt idx="11">
                  <c:v>42794</c:v>
                </c:pt>
                <c:pt idx="12">
                  <c:v>42825</c:v>
                </c:pt>
                <c:pt idx="13">
                  <c:v>42855</c:v>
                </c:pt>
                <c:pt idx="14">
                  <c:v>42886</c:v>
                </c:pt>
                <c:pt idx="15">
                  <c:v>42916</c:v>
                </c:pt>
                <c:pt idx="16">
                  <c:v>42947</c:v>
                </c:pt>
                <c:pt idx="17">
                  <c:v>42978</c:v>
                </c:pt>
                <c:pt idx="18">
                  <c:v>43008</c:v>
                </c:pt>
                <c:pt idx="19">
                  <c:v>43039</c:v>
                </c:pt>
                <c:pt idx="20">
                  <c:v>43069</c:v>
                </c:pt>
                <c:pt idx="21">
                  <c:v>43100</c:v>
                </c:pt>
                <c:pt idx="22">
                  <c:v>43159</c:v>
                </c:pt>
                <c:pt idx="23">
                  <c:v>43190</c:v>
                </c:pt>
                <c:pt idx="24">
                  <c:v>43220</c:v>
                </c:pt>
                <c:pt idx="25">
                  <c:v>43251</c:v>
                </c:pt>
                <c:pt idx="26">
                  <c:v>43281</c:v>
                </c:pt>
                <c:pt idx="27">
                  <c:v>43312</c:v>
                </c:pt>
                <c:pt idx="28">
                  <c:v>43343</c:v>
                </c:pt>
                <c:pt idx="29">
                  <c:v>43373</c:v>
                </c:pt>
                <c:pt idx="30">
                  <c:v>43404</c:v>
                </c:pt>
                <c:pt idx="31">
                  <c:v>43434</c:v>
                </c:pt>
                <c:pt idx="32">
                  <c:v>43465</c:v>
                </c:pt>
                <c:pt idx="33">
                  <c:v>43524</c:v>
                </c:pt>
                <c:pt idx="34">
                  <c:v>43555</c:v>
                </c:pt>
                <c:pt idx="35">
                  <c:v>43585</c:v>
                </c:pt>
                <c:pt idx="36">
                  <c:v>43616</c:v>
                </c:pt>
                <c:pt idx="37">
                  <c:v>43646</c:v>
                </c:pt>
                <c:pt idx="38">
                  <c:v>43677</c:v>
                </c:pt>
                <c:pt idx="39">
                  <c:v>43708</c:v>
                </c:pt>
                <c:pt idx="40">
                  <c:v>43738</c:v>
                </c:pt>
                <c:pt idx="41">
                  <c:v>43769</c:v>
                </c:pt>
                <c:pt idx="42">
                  <c:v>43799</c:v>
                </c:pt>
                <c:pt idx="43">
                  <c:v>43830</c:v>
                </c:pt>
                <c:pt idx="44">
                  <c:v>43890</c:v>
                </c:pt>
                <c:pt idx="45">
                  <c:v>43921</c:v>
                </c:pt>
                <c:pt idx="46">
                  <c:v>43951</c:v>
                </c:pt>
                <c:pt idx="47">
                  <c:v>43982</c:v>
                </c:pt>
                <c:pt idx="48">
                  <c:v>44012</c:v>
                </c:pt>
                <c:pt idx="49">
                  <c:v>44043</c:v>
                </c:pt>
                <c:pt idx="50">
                  <c:v>44074</c:v>
                </c:pt>
                <c:pt idx="51">
                  <c:v>44104</c:v>
                </c:pt>
                <c:pt idx="52">
                  <c:v>44135</c:v>
                </c:pt>
                <c:pt idx="53">
                  <c:v>44165</c:v>
                </c:pt>
                <c:pt idx="54">
                  <c:v>44196</c:v>
                </c:pt>
                <c:pt idx="55">
                  <c:v>44255</c:v>
                </c:pt>
                <c:pt idx="56">
                  <c:v>44286</c:v>
                </c:pt>
                <c:pt idx="57">
                  <c:v>44316</c:v>
                </c:pt>
                <c:pt idx="58">
                  <c:v>44347</c:v>
                </c:pt>
                <c:pt idx="59">
                  <c:v>44377</c:v>
                </c:pt>
                <c:pt idx="60">
                  <c:v>44408</c:v>
                </c:pt>
                <c:pt idx="61">
                  <c:v>44439</c:v>
                </c:pt>
                <c:pt idx="62">
                  <c:v>44469</c:v>
                </c:pt>
                <c:pt idx="63">
                  <c:v>44500</c:v>
                </c:pt>
                <c:pt idx="64">
                  <c:v>44530</c:v>
                </c:pt>
                <c:pt idx="65">
                  <c:v>44561</c:v>
                </c:pt>
                <c:pt idx="66">
                  <c:v>44620</c:v>
                </c:pt>
                <c:pt idx="67">
                  <c:v>44651</c:v>
                </c:pt>
                <c:pt idx="68">
                  <c:v>44681</c:v>
                </c:pt>
                <c:pt idx="69">
                  <c:v>44712</c:v>
                </c:pt>
                <c:pt idx="70">
                  <c:v>44742</c:v>
                </c:pt>
                <c:pt idx="71">
                  <c:v>44773</c:v>
                </c:pt>
                <c:pt idx="72">
                  <c:v>44804</c:v>
                </c:pt>
                <c:pt idx="73">
                  <c:v>44834</c:v>
                </c:pt>
                <c:pt idx="74">
                  <c:v>44865</c:v>
                </c:pt>
                <c:pt idx="75">
                  <c:v>44895</c:v>
                </c:pt>
                <c:pt idx="76">
                  <c:v>44926</c:v>
                </c:pt>
                <c:pt idx="77">
                  <c:v>44985</c:v>
                </c:pt>
                <c:pt idx="78">
                  <c:v>45016</c:v>
                </c:pt>
                <c:pt idx="79">
                  <c:v>45046</c:v>
                </c:pt>
                <c:pt idx="80">
                  <c:v>45077</c:v>
                </c:pt>
                <c:pt idx="81">
                  <c:v>45107</c:v>
                </c:pt>
                <c:pt idx="82">
                  <c:v>45138</c:v>
                </c:pt>
                <c:pt idx="83">
                  <c:v>45169</c:v>
                </c:pt>
                <c:pt idx="84">
                  <c:v>45199</c:v>
                </c:pt>
                <c:pt idx="85">
                  <c:v>45230</c:v>
                </c:pt>
                <c:pt idx="86">
                  <c:v>45260</c:v>
                </c:pt>
                <c:pt idx="87">
                  <c:v>45291</c:v>
                </c:pt>
                <c:pt idx="88">
                  <c:v>45351</c:v>
                </c:pt>
                <c:pt idx="89">
                  <c:v>45382</c:v>
                </c:pt>
              </c:numCache>
            </c:numRef>
          </c:cat>
          <c:val>
            <c:numRef>
              <c:f>'财政货币框架1&amp;2底稿'!$G$12:$G$101</c:f>
              <c:numCache>
                <c:formatCode>General</c:formatCode>
                <c:ptCount val="9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C8-4B5B-9A60-B1FC33D965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45717383"/>
        <c:axId val="269723025"/>
      </c:barChart>
      <c:lineChart>
        <c:grouping val="standard"/>
        <c:varyColors val="0"/>
        <c:ser>
          <c:idx val="1"/>
          <c:order val="0"/>
          <c:tx>
            <c:v>货币政策力度指数</c:v>
          </c:tx>
          <c:spPr>
            <a:ln w="158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numRef>
              <c:f>'财政货币框架1&amp;2底稿'!$A$12:$A$101</c:f>
              <c:numCache>
                <c:formatCode>yyyy\-mm</c:formatCode>
                <c:ptCount val="90"/>
                <c:pt idx="0">
                  <c:v>42429</c:v>
                </c:pt>
                <c:pt idx="1">
                  <c:v>42460</c:v>
                </c:pt>
                <c:pt idx="2">
                  <c:v>42490</c:v>
                </c:pt>
                <c:pt idx="3">
                  <c:v>42521</c:v>
                </c:pt>
                <c:pt idx="4">
                  <c:v>42551</c:v>
                </c:pt>
                <c:pt idx="5">
                  <c:v>42582</c:v>
                </c:pt>
                <c:pt idx="6">
                  <c:v>42613</c:v>
                </c:pt>
                <c:pt idx="7">
                  <c:v>42643</c:v>
                </c:pt>
                <c:pt idx="8">
                  <c:v>42674</c:v>
                </c:pt>
                <c:pt idx="9">
                  <c:v>42704</c:v>
                </c:pt>
                <c:pt idx="10">
                  <c:v>42735</c:v>
                </c:pt>
                <c:pt idx="11">
                  <c:v>42794</c:v>
                </c:pt>
                <c:pt idx="12">
                  <c:v>42825</c:v>
                </c:pt>
                <c:pt idx="13">
                  <c:v>42855</c:v>
                </c:pt>
                <c:pt idx="14">
                  <c:v>42886</c:v>
                </c:pt>
                <c:pt idx="15">
                  <c:v>42916</c:v>
                </c:pt>
                <c:pt idx="16">
                  <c:v>42947</c:v>
                </c:pt>
                <c:pt idx="17">
                  <c:v>42978</c:v>
                </c:pt>
                <c:pt idx="18">
                  <c:v>43008</c:v>
                </c:pt>
                <c:pt idx="19">
                  <c:v>43039</c:v>
                </c:pt>
                <c:pt idx="20">
                  <c:v>43069</c:v>
                </c:pt>
                <c:pt idx="21">
                  <c:v>43100</c:v>
                </c:pt>
                <c:pt idx="22">
                  <c:v>43159</c:v>
                </c:pt>
                <c:pt idx="23">
                  <c:v>43190</c:v>
                </c:pt>
                <c:pt idx="24">
                  <c:v>43220</c:v>
                </c:pt>
                <c:pt idx="25">
                  <c:v>43251</c:v>
                </c:pt>
                <c:pt idx="26">
                  <c:v>43281</c:v>
                </c:pt>
                <c:pt idx="27">
                  <c:v>43312</c:v>
                </c:pt>
                <c:pt idx="28">
                  <c:v>43343</c:v>
                </c:pt>
                <c:pt idx="29">
                  <c:v>43373</c:v>
                </c:pt>
                <c:pt idx="30">
                  <c:v>43404</c:v>
                </c:pt>
                <c:pt idx="31">
                  <c:v>43434</c:v>
                </c:pt>
                <c:pt idx="32">
                  <c:v>43465</c:v>
                </c:pt>
                <c:pt idx="33">
                  <c:v>43524</c:v>
                </c:pt>
                <c:pt idx="34">
                  <c:v>43555</c:v>
                </c:pt>
                <c:pt idx="35">
                  <c:v>43585</c:v>
                </c:pt>
                <c:pt idx="36">
                  <c:v>43616</c:v>
                </c:pt>
                <c:pt idx="37">
                  <c:v>43646</c:v>
                </c:pt>
                <c:pt idx="38">
                  <c:v>43677</c:v>
                </c:pt>
                <c:pt idx="39">
                  <c:v>43708</c:v>
                </c:pt>
                <c:pt idx="40">
                  <c:v>43738</c:v>
                </c:pt>
                <c:pt idx="41">
                  <c:v>43769</c:v>
                </c:pt>
                <c:pt idx="42">
                  <c:v>43799</c:v>
                </c:pt>
                <c:pt idx="43">
                  <c:v>43830</c:v>
                </c:pt>
                <c:pt idx="44">
                  <c:v>43890</c:v>
                </c:pt>
                <c:pt idx="45">
                  <c:v>43921</c:v>
                </c:pt>
                <c:pt idx="46">
                  <c:v>43951</c:v>
                </c:pt>
                <c:pt idx="47">
                  <c:v>43982</c:v>
                </c:pt>
                <c:pt idx="48">
                  <c:v>44012</c:v>
                </c:pt>
                <c:pt idx="49">
                  <c:v>44043</c:v>
                </c:pt>
                <c:pt idx="50">
                  <c:v>44074</c:v>
                </c:pt>
                <c:pt idx="51">
                  <c:v>44104</c:v>
                </c:pt>
                <c:pt idx="52">
                  <c:v>44135</c:v>
                </c:pt>
                <c:pt idx="53">
                  <c:v>44165</c:v>
                </c:pt>
                <c:pt idx="54">
                  <c:v>44196</c:v>
                </c:pt>
                <c:pt idx="55">
                  <c:v>44255</c:v>
                </c:pt>
                <c:pt idx="56">
                  <c:v>44286</c:v>
                </c:pt>
                <c:pt idx="57">
                  <c:v>44316</c:v>
                </c:pt>
                <c:pt idx="58">
                  <c:v>44347</c:v>
                </c:pt>
                <c:pt idx="59">
                  <c:v>44377</c:v>
                </c:pt>
                <c:pt idx="60">
                  <c:v>44408</c:v>
                </c:pt>
                <c:pt idx="61">
                  <c:v>44439</c:v>
                </c:pt>
                <c:pt idx="62">
                  <c:v>44469</c:v>
                </c:pt>
                <c:pt idx="63">
                  <c:v>44500</c:v>
                </c:pt>
                <c:pt idx="64">
                  <c:v>44530</c:v>
                </c:pt>
                <c:pt idx="65">
                  <c:v>44561</c:v>
                </c:pt>
                <c:pt idx="66">
                  <c:v>44620</c:v>
                </c:pt>
                <c:pt idx="67">
                  <c:v>44651</c:v>
                </c:pt>
                <c:pt idx="68">
                  <c:v>44681</c:v>
                </c:pt>
                <c:pt idx="69">
                  <c:v>44712</c:v>
                </c:pt>
                <c:pt idx="70">
                  <c:v>44742</c:v>
                </c:pt>
                <c:pt idx="71">
                  <c:v>44773</c:v>
                </c:pt>
                <c:pt idx="72">
                  <c:v>44804</c:v>
                </c:pt>
                <c:pt idx="73">
                  <c:v>44834</c:v>
                </c:pt>
                <c:pt idx="74">
                  <c:v>44865</c:v>
                </c:pt>
                <c:pt idx="75">
                  <c:v>44895</c:v>
                </c:pt>
                <c:pt idx="76">
                  <c:v>44926</c:v>
                </c:pt>
                <c:pt idx="77">
                  <c:v>44985</c:v>
                </c:pt>
                <c:pt idx="78">
                  <c:v>45016</c:v>
                </c:pt>
                <c:pt idx="79">
                  <c:v>45046</c:v>
                </c:pt>
                <c:pt idx="80">
                  <c:v>45077</c:v>
                </c:pt>
                <c:pt idx="81">
                  <c:v>45107</c:v>
                </c:pt>
                <c:pt idx="82">
                  <c:v>45138</c:v>
                </c:pt>
                <c:pt idx="83">
                  <c:v>45169</c:v>
                </c:pt>
                <c:pt idx="84">
                  <c:v>45199</c:v>
                </c:pt>
                <c:pt idx="85">
                  <c:v>45230</c:v>
                </c:pt>
                <c:pt idx="86">
                  <c:v>45260</c:v>
                </c:pt>
                <c:pt idx="87">
                  <c:v>45291</c:v>
                </c:pt>
                <c:pt idx="88">
                  <c:v>45351</c:v>
                </c:pt>
                <c:pt idx="89">
                  <c:v>45382</c:v>
                </c:pt>
              </c:numCache>
            </c:numRef>
          </c:cat>
          <c:val>
            <c:numRef>
              <c:f>'财政货币框架1&amp;2底稿'!$E$12:$E$101</c:f>
              <c:numCache>
                <c:formatCode>General</c:formatCode>
                <c:ptCount val="90"/>
                <c:pt idx="0">
                  <c:v>152.41087887079277</c:v>
                </c:pt>
                <c:pt idx="1">
                  <c:v>152.25372545660647</c:v>
                </c:pt>
                <c:pt idx="2">
                  <c:v>150.90026249829131</c:v>
                </c:pt>
                <c:pt idx="3">
                  <c:v>149.24959689994137</c:v>
                </c:pt>
                <c:pt idx="4">
                  <c:v>147.68132002850447</c:v>
                </c:pt>
                <c:pt idx="5">
                  <c:v>145.12479501506024</c:v>
                </c:pt>
                <c:pt idx="6">
                  <c:v>142.41091895174773</c:v>
                </c:pt>
                <c:pt idx="7">
                  <c:v>139.24229935342618</c:v>
                </c:pt>
                <c:pt idx="8">
                  <c:v>134.24102780509082</c:v>
                </c:pt>
                <c:pt idx="9">
                  <c:v>126.76150093645049</c:v>
                </c:pt>
                <c:pt idx="10">
                  <c:v>115.85858420860264</c:v>
                </c:pt>
                <c:pt idx="11">
                  <c:v>87.245447554989127</c:v>
                </c:pt>
                <c:pt idx="12">
                  <c:v>74.811842102248789</c:v>
                </c:pt>
                <c:pt idx="13">
                  <c:v>64.676153189194238</c:v>
                </c:pt>
                <c:pt idx="14">
                  <c:v>57.954490083166867</c:v>
                </c:pt>
                <c:pt idx="15">
                  <c:v>55.285961781584575</c:v>
                </c:pt>
                <c:pt idx="16">
                  <c:v>55.337460521342479</c:v>
                </c:pt>
                <c:pt idx="17">
                  <c:v>58.212968903415643</c:v>
                </c:pt>
                <c:pt idx="18">
                  <c:v>63.113665203446509</c:v>
                </c:pt>
                <c:pt idx="19">
                  <c:v>67.528851161856238</c:v>
                </c:pt>
                <c:pt idx="20">
                  <c:v>69.952979199628075</c:v>
                </c:pt>
                <c:pt idx="21">
                  <c:v>69.336008886150182</c:v>
                </c:pt>
                <c:pt idx="22" formatCode="#,##0.00_ ">
                  <c:v>96.627006910697006</c:v>
                </c:pt>
                <c:pt idx="23" formatCode="#,##0.00_ ">
                  <c:v>96.284209087594206</c:v>
                </c:pt>
                <c:pt idx="24" formatCode="#,##0.00_ ">
                  <c:v>96.650602981666296</c:v>
                </c:pt>
                <c:pt idx="25" formatCode="#,##0.00_ ">
                  <c:v>97.666670854718703</c:v>
                </c:pt>
                <c:pt idx="26" formatCode="#,##0.00_ ">
                  <c:v>97.462458293619093</c:v>
                </c:pt>
                <c:pt idx="27" formatCode="#,##0.00_ ">
                  <c:v>98.997510875960302</c:v>
                </c:pt>
                <c:pt idx="28" formatCode="#,##0.00_ ">
                  <c:v>99.161304438097602</c:v>
                </c:pt>
                <c:pt idx="29" formatCode="#,##0.00_ ">
                  <c:v>98.917475401727899</c:v>
                </c:pt>
                <c:pt idx="30" formatCode="#,##0.00_ ">
                  <c:v>100.0297662657</c:v>
                </c:pt>
                <c:pt idx="31" formatCode="#,##0.00_ ">
                  <c:v>99.771989906763395</c:v>
                </c:pt>
                <c:pt idx="32" formatCode="#,##0.00_ ">
                  <c:v>99.252904638422805</c:v>
                </c:pt>
                <c:pt idx="33" formatCode="#,##0.00_ ">
                  <c:v>100.245850926583</c:v>
                </c:pt>
                <c:pt idx="34" formatCode="#,##0.00_ ">
                  <c:v>99.4273532746775</c:v>
                </c:pt>
                <c:pt idx="35" formatCode="#,##0.00_ ">
                  <c:v>99.256621064903698</c:v>
                </c:pt>
                <c:pt idx="36" formatCode="#,##0.00_ ">
                  <c:v>99.522957744624904</c:v>
                </c:pt>
                <c:pt idx="37" formatCode="#,##0.00_ ">
                  <c:v>100.121709770377</c:v>
                </c:pt>
                <c:pt idx="38" formatCode="#,##0.00_ ">
                  <c:v>99.330406630018302</c:v>
                </c:pt>
                <c:pt idx="39" formatCode="#,##0.00_ ">
                  <c:v>99.275046775470102</c:v>
                </c:pt>
                <c:pt idx="40" formatCode="#,##0.00_ ">
                  <c:v>99.679140172252502</c:v>
                </c:pt>
                <c:pt idx="41" formatCode="#,##0.00_ ">
                  <c:v>99.606060296242205</c:v>
                </c:pt>
                <c:pt idx="42" formatCode="#,##0.00_ ">
                  <c:v>99.662614633503594</c:v>
                </c:pt>
                <c:pt idx="43" formatCode="#,##0.00_ ">
                  <c:v>100.199222610045</c:v>
                </c:pt>
                <c:pt idx="44" formatCode="#,##0.00_ ">
                  <c:v>104.280814627932</c:v>
                </c:pt>
                <c:pt idx="45">
                  <c:v>101.27254609384801</c:v>
                </c:pt>
                <c:pt idx="46">
                  <c:v>101.263204027418</c:v>
                </c:pt>
                <c:pt idx="47">
                  <c:v>100.539330729428</c:v>
                </c:pt>
                <c:pt idx="48">
                  <c:v>99.850556328195296</c:v>
                </c:pt>
                <c:pt idx="49">
                  <c:v>99.702257053386006</c:v>
                </c:pt>
                <c:pt idx="50">
                  <c:v>99.685514766767795</c:v>
                </c:pt>
                <c:pt idx="51">
                  <c:v>99.655704830750906</c:v>
                </c:pt>
                <c:pt idx="52">
                  <c:v>99.174565663736502</c:v>
                </c:pt>
                <c:pt idx="53">
                  <c:v>99.708505853147003</c:v>
                </c:pt>
                <c:pt idx="54">
                  <c:v>100.155046685746</c:v>
                </c:pt>
                <c:pt idx="55">
                  <c:v>100.20092702068899</c:v>
                </c:pt>
                <c:pt idx="56">
                  <c:v>100.088405469612</c:v>
                </c:pt>
                <c:pt idx="57">
                  <c:v>100.153687711206</c:v>
                </c:pt>
                <c:pt idx="58">
                  <c:v>100.09428595111</c:v>
                </c:pt>
                <c:pt idx="59">
                  <c:v>100.053632658472</c:v>
                </c:pt>
                <c:pt idx="60">
                  <c:v>100.73055678952301</c:v>
                </c:pt>
                <c:pt idx="61">
                  <c:v>100.776587837684</c:v>
                </c:pt>
                <c:pt idx="62">
                  <c:v>100.874745019906</c:v>
                </c:pt>
                <c:pt idx="63">
                  <c:v>100.915725119957</c:v>
                </c:pt>
                <c:pt idx="64">
                  <c:v>100.84793343128</c:v>
                </c:pt>
                <c:pt idx="65">
                  <c:v>100.965600377312</c:v>
                </c:pt>
                <c:pt idx="66">
                  <c:v>101.416802304518</c:v>
                </c:pt>
                <c:pt idx="67">
                  <c:v>101.397748304914</c:v>
                </c:pt>
                <c:pt idx="68">
                  <c:v>102.380420285673</c:v>
                </c:pt>
                <c:pt idx="69">
                  <c:v>102.717064974839</c:v>
                </c:pt>
                <c:pt idx="70">
                  <c:v>102.61802244947999</c:v>
                </c:pt>
                <c:pt idx="71">
                  <c:v>102.923848574228</c:v>
                </c:pt>
                <c:pt idx="72">
                  <c:v>102.732310981738</c:v>
                </c:pt>
                <c:pt idx="73">
                  <c:v>102.053637349572</c:v>
                </c:pt>
                <c:pt idx="74">
                  <c:v>102.116677117449</c:v>
                </c:pt>
                <c:pt idx="75">
                  <c:v>101.91050792244199</c:v>
                </c:pt>
                <c:pt idx="76">
                  <c:v>101.749877001561</c:v>
                </c:pt>
                <c:pt idx="77">
                  <c:v>101.818220786094</c:v>
                </c:pt>
                <c:pt idx="78">
                  <c:v>102.16778140786499</c:v>
                </c:pt>
                <c:pt idx="79">
                  <c:v>102.485490015064</c:v>
                </c:pt>
                <c:pt idx="80">
                  <c:v>102.81567925386599</c:v>
                </c:pt>
                <c:pt idx="81">
                  <c:v>102.610960620593</c:v>
                </c:pt>
                <c:pt idx="82">
                  <c:v>102.772909899298</c:v>
                </c:pt>
                <c:pt idx="83">
                  <c:v>102.571504237141</c:v>
                </c:pt>
                <c:pt idx="84">
                  <c:v>102.287683571789</c:v>
                </c:pt>
                <c:pt idx="85">
                  <c:v>102.80197142784399</c:v>
                </c:pt>
                <c:pt idx="86">
                  <c:v>103.093535205799</c:v>
                </c:pt>
                <c:pt idx="87">
                  <c:v>103.459942756666</c:v>
                </c:pt>
                <c:pt idx="88">
                  <c:v>104.73638190700299</c:v>
                </c:pt>
                <c:pt idx="89">
                  <c:v>104.51673523010599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6C8-4B5B-9A60-B1FC33D965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5643233"/>
        <c:axId val="269355564"/>
      </c:lineChart>
      <c:dateAx>
        <c:axId val="325643233"/>
        <c:scaling>
          <c:orientation val="minMax"/>
        </c:scaling>
        <c:delete val="0"/>
        <c:axPos val="b"/>
        <c:numFmt formatCode="yyyy\-mm" sourceLinked="0"/>
        <c:majorTickMark val="in"/>
        <c:minorTickMark val="none"/>
        <c:tickLblPos val="low"/>
        <c:spPr>
          <a:noFill/>
          <a:ln w="6350" cap="flat" cmpd="sng" algn="ctr">
            <a:solidFill>
              <a:srgbClr val="000000"/>
            </a:solidFill>
            <a:round/>
          </a:ln>
          <a:effectLst/>
        </c:spPr>
        <c:txPr>
          <a:bodyPr rot="-5400000" spcFirstLastPara="0" vertOverflow="ellipsis" wrap="square" anchor="ctr" anchorCtr="1"/>
          <a:lstStyle/>
          <a:p>
            <a:pPr>
              <a:defRPr lang="zh-CN" sz="800" b="0" i="0" u="none" strike="noStrike" kern="1200" baseline="0">
                <a:solidFill>
                  <a:sysClr val="windowText" lastClr="000000"/>
                </a:solidFill>
                <a:latin typeface="黑体" panose="02010609060101010101" pitchFamily="49" charset="-122"/>
                <a:ea typeface="黑体" panose="02010609060101010101" pitchFamily="49" charset="-122"/>
                <a:cs typeface="黑体" panose="02010609060101010101" pitchFamily="49" charset="-122"/>
                <a:sym typeface="黑体" panose="02010609060101010101" pitchFamily="49" charset="-122"/>
              </a:defRPr>
            </a:pPr>
            <a:endParaRPr lang="zh-CN"/>
          </a:p>
        </c:txPr>
        <c:crossAx val="269355564"/>
        <c:crosses val="autoZero"/>
        <c:auto val="1"/>
        <c:lblOffset val="100"/>
        <c:baseTimeUnit val="months"/>
      </c:dateAx>
      <c:valAx>
        <c:axId val="269355564"/>
        <c:scaling>
          <c:orientation val="minMax"/>
          <c:min val="90"/>
        </c:scaling>
        <c:delete val="0"/>
        <c:axPos val="l"/>
        <c:numFmt formatCode="General" sourceLinked="0"/>
        <c:majorTickMark val="in"/>
        <c:minorTickMark val="none"/>
        <c:tickLblPos val="nextTo"/>
        <c:spPr>
          <a:noFill/>
          <a:ln w="6350">
            <a:solidFill>
              <a:srgbClr val="000000"/>
            </a:solidFill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800" b="0" i="0" u="none" strike="noStrike" kern="1200" baseline="0">
                <a:solidFill>
                  <a:schemeClr val="tx1"/>
                </a:solidFill>
                <a:latin typeface="黑体" panose="02010609060101010101" pitchFamily="49" charset="-122"/>
                <a:ea typeface="黑体" panose="02010609060101010101" pitchFamily="49" charset="-122"/>
                <a:cs typeface="黑体" panose="02010609060101010101" pitchFamily="49" charset="-122"/>
                <a:sym typeface="黑体" panose="02010609060101010101" pitchFamily="49" charset="-122"/>
              </a:defRPr>
            </a:pPr>
            <a:endParaRPr lang="zh-CN"/>
          </a:p>
        </c:txPr>
        <c:crossAx val="325643233"/>
        <c:crosses val="autoZero"/>
        <c:crossBetween val="between"/>
      </c:valAx>
      <c:dateAx>
        <c:axId val="945717383"/>
        <c:scaling>
          <c:orientation val="minMax"/>
        </c:scaling>
        <c:delete val="1"/>
        <c:axPos val="b"/>
        <c:numFmt formatCode="yyyy\-mm" sourceLinked="1"/>
        <c:majorTickMark val="none"/>
        <c:minorTickMark val="none"/>
        <c:tickLblPos val="nextTo"/>
        <c:crossAx val="269723025"/>
        <c:crosses val="autoZero"/>
        <c:auto val="1"/>
        <c:lblOffset val="100"/>
        <c:baseTimeUnit val="months"/>
      </c:dateAx>
      <c:valAx>
        <c:axId val="269723025"/>
        <c:scaling>
          <c:orientation val="minMax"/>
          <c:max val="1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/>
                </a:solidFill>
                <a:latin typeface="黑体" panose="02010609060101010101" pitchFamily="49" charset="-122"/>
                <a:ea typeface="黑体" panose="02010609060101010101" pitchFamily="49" charset="-122"/>
                <a:cs typeface="黑体" panose="02010609060101010101" pitchFamily="49" charset="-122"/>
                <a:sym typeface="黑体" panose="02010609060101010101" pitchFamily="49" charset="-122"/>
              </a:defRPr>
            </a:pPr>
            <a:endParaRPr lang="zh-CN"/>
          </a:p>
        </c:txPr>
        <c:crossAx val="945717383"/>
        <c:crosses val="max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84676876501917"/>
          <c:y val="1.00569896077774E-2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800" b="0" i="0" u="none" strike="noStrike" kern="1200" baseline="0">
              <a:solidFill>
                <a:schemeClr val="tx1"/>
              </a:solidFill>
              <a:latin typeface="黑体" panose="02010609060101010101" pitchFamily="49" charset="-122"/>
              <a:ea typeface="黑体" panose="02010609060101010101" pitchFamily="49" charset="-122"/>
              <a:cs typeface="黑体" panose="02010609060101010101" pitchFamily="49" charset="-122"/>
              <a:sym typeface="黑体" panose="02010609060101010101" pitchFamily="49" charset="-122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zh-CN" sz="800" baseline="0">
          <a:solidFill>
            <a:schemeClr val="tx1"/>
          </a:solidFill>
          <a:latin typeface="黑体" panose="02010609060101010101" pitchFamily="49" charset="-122"/>
          <a:ea typeface="黑体" panose="02010609060101010101" pitchFamily="49" charset="-122"/>
          <a:cs typeface="黑体" panose="02010609060101010101" pitchFamily="49" charset="-122"/>
          <a:sym typeface="黑体" panose="02010609060101010101" pitchFamily="49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9168912211033903E-2"/>
          <c:y val="0.12877263581488901"/>
          <c:w val="0.88166217557793203"/>
          <c:h val="0.59416498993963796"/>
        </c:manualLayout>
      </c:layout>
      <c:barChart>
        <c:barDir val="col"/>
        <c:grouping val="clustered"/>
        <c:varyColors val="0"/>
        <c:ser>
          <c:idx val="0"/>
          <c:order val="1"/>
          <c:tx>
            <c:strRef>
              <c:f>'财政货币框架1&amp;2底稿'!$H$11</c:f>
              <c:strCache>
                <c:ptCount val="1"/>
                <c:pt idx="0">
                  <c:v>财政上行手动</c:v>
                </c:pt>
              </c:strCache>
            </c:strRef>
          </c:tx>
          <c:spPr>
            <a:solidFill>
              <a:srgbClr val="4874CB">
                <a:lumMod val="60000"/>
                <a:lumOff val="40000"/>
              </a:srgbClr>
            </a:solidFill>
            <a:ln>
              <a:noFill/>
            </a:ln>
            <a:effectLst/>
          </c:spPr>
          <c:invertIfNegative val="0"/>
          <c:cat>
            <c:numRef>
              <c:f>'财政货币框架1&amp;2底稿'!$A$12:$A$101</c:f>
              <c:numCache>
                <c:formatCode>yyyy\-mm</c:formatCode>
                <c:ptCount val="90"/>
                <c:pt idx="0">
                  <c:v>42429</c:v>
                </c:pt>
                <c:pt idx="1">
                  <c:v>42460</c:v>
                </c:pt>
                <c:pt idx="2">
                  <c:v>42490</c:v>
                </c:pt>
                <c:pt idx="3">
                  <c:v>42521</c:v>
                </c:pt>
                <c:pt idx="4">
                  <c:v>42551</c:v>
                </c:pt>
                <c:pt idx="5">
                  <c:v>42582</c:v>
                </c:pt>
                <c:pt idx="6">
                  <c:v>42613</c:v>
                </c:pt>
                <c:pt idx="7">
                  <c:v>42643</c:v>
                </c:pt>
                <c:pt idx="8">
                  <c:v>42674</c:v>
                </c:pt>
                <c:pt idx="9">
                  <c:v>42704</c:v>
                </c:pt>
                <c:pt idx="10">
                  <c:v>42735</c:v>
                </c:pt>
                <c:pt idx="11">
                  <c:v>42794</c:v>
                </c:pt>
                <c:pt idx="12">
                  <c:v>42825</c:v>
                </c:pt>
                <c:pt idx="13">
                  <c:v>42855</c:v>
                </c:pt>
                <c:pt idx="14">
                  <c:v>42886</c:v>
                </c:pt>
                <c:pt idx="15">
                  <c:v>42916</c:v>
                </c:pt>
                <c:pt idx="16">
                  <c:v>42947</c:v>
                </c:pt>
                <c:pt idx="17">
                  <c:v>42978</c:v>
                </c:pt>
                <c:pt idx="18">
                  <c:v>43008</c:v>
                </c:pt>
                <c:pt idx="19">
                  <c:v>43039</c:v>
                </c:pt>
                <c:pt idx="20">
                  <c:v>43069</c:v>
                </c:pt>
                <c:pt idx="21">
                  <c:v>43100</c:v>
                </c:pt>
                <c:pt idx="22">
                  <c:v>43159</c:v>
                </c:pt>
                <c:pt idx="23">
                  <c:v>43190</c:v>
                </c:pt>
                <c:pt idx="24">
                  <c:v>43220</c:v>
                </c:pt>
                <c:pt idx="25">
                  <c:v>43251</c:v>
                </c:pt>
                <c:pt idx="26">
                  <c:v>43281</c:v>
                </c:pt>
                <c:pt idx="27">
                  <c:v>43312</c:v>
                </c:pt>
                <c:pt idx="28">
                  <c:v>43343</c:v>
                </c:pt>
                <c:pt idx="29">
                  <c:v>43373</c:v>
                </c:pt>
                <c:pt idx="30">
                  <c:v>43404</c:v>
                </c:pt>
                <c:pt idx="31">
                  <c:v>43434</c:v>
                </c:pt>
                <c:pt idx="32">
                  <c:v>43465</c:v>
                </c:pt>
                <c:pt idx="33">
                  <c:v>43524</c:v>
                </c:pt>
                <c:pt idx="34">
                  <c:v>43555</c:v>
                </c:pt>
                <c:pt idx="35">
                  <c:v>43585</c:v>
                </c:pt>
                <c:pt idx="36">
                  <c:v>43616</c:v>
                </c:pt>
                <c:pt idx="37">
                  <c:v>43646</c:v>
                </c:pt>
                <c:pt idx="38">
                  <c:v>43677</c:v>
                </c:pt>
                <c:pt idx="39">
                  <c:v>43708</c:v>
                </c:pt>
                <c:pt idx="40">
                  <c:v>43738</c:v>
                </c:pt>
                <c:pt idx="41">
                  <c:v>43769</c:v>
                </c:pt>
                <c:pt idx="42">
                  <c:v>43799</c:v>
                </c:pt>
                <c:pt idx="43">
                  <c:v>43830</c:v>
                </c:pt>
                <c:pt idx="44">
                  <c:v>43890</c:v>
                </c:pt>
                <c:pt idx="45">
                  <c:v>43921</c:v>
                </c:pt>
                <c:pt idx="46">
                  <c:v>43951</c:v>
                </c:pt>
                <c:pt idx="47">
                  <c:v>43982</c:v>
                </c:pt>
                <c:pt idx="48">
                  <c:v>44012</c:v>
                </c:pt>
                <c:pt idx="49">
                  <c:v>44043</c:v>
                </c:pt>
                <c:pt idx="50">
                  <c:v>44074</c:v>
                </c:pt>
                <c:pt idx="51">
                  <c:v>44104</c:v>
                </c:pt>
                <c:pt idx="52">
                  <c:v>44135</c:v>
                </c:pt>
                <c:pt idx="53">
                  <c:v>44165</c:v>
                </c:pt>
                <c:pt idx="54">
                  <c:v>44196</c:v>
                </c:pt>
                <c:pt idx="55">
                  <c:v>44255</c:v>
                </c:pt>
                <c:pt idx="56">
                  <c:v>44286</c:v>
                </c:pt>
                <c:pt idx="57">
                  <c:v>44316</c:v>
                </c:pt>
                <c:pt idx="58">
                  <c:v>44347</c:v>
                </c:pt>
                <c:pt idx="59">
                  <c:v>44377</c:v>
                </c:pt>
                <c:pt idx="60">
                  <c:v>44408</c:v>
                </c:pt>
                <c:pt idx="61">
                  <c:v>44439</c:v>
                </c:pt>
                <c:pt idx="62">
                  <c:v>44469</c:v>
                </c:pt>
                <c:pt idx="63">
                  <c:v>44500</c:v>
                </c:pt>
                <c:pt idx="64">
                  <c:v>44530</c:v>
                </c:pt>
                <c:pt idx="65">
                  <c:v>44561</c:v>
                </c:pt>
                <c:pt idx="66">
                  <c:v>44620</c:v>
                </c:pt>
                <c:pt idx="67">
                  <c:v>44651</c:v>
                </c:pt>
                <c:pt idx="68">
                  <c:v>44681</c:v>
                </c:pt>
                <c:pt idx="69">
                  <c:v>44712</c:v>
                </c:pt>
                <c:pt idx="70">
                  <c:v>44742</c:v>
                </c:pt>
                <c:pt idx="71">
                  <c:v>44773</c:v>
                </c:pt>
                <c:pt idx="72">
                  <c:v>44804</c:v>
                </c:pt>
                <c:pt idx="73">
                  <c:v>44834</c:v>
                </c:pt>
                <c:pt idx="74">
                  <c:v>44865</c:v>
                </c:pt>
                <c:pt idx="75">
                  <c:v>44895</c:v>
                </c:pt>
                <c:pt idx="76">
                  <c:v>44926</c:v>
                </c:pt>
                <c:pt idx="77">
                  <c:v>44985</c:v>
                </c:pt>
                <c:pt idx="78">
                  <c:v>45016</c:v>
                </c:pt>
                <c:pt idx="79">
                  <c:v>45046</c:v>
                </c:pt>
                <c:pt idx="80">
                  <c:v>45077</c:v>
                </c:pt>
                <c:pt idx="81">
                  <c:v>45107</c:v>
                </c:pt>
                <c:pt idx="82">
                  <c:v>45138</c:v>
                </c:pt>
                <c:pt idx="83">
                  <c:v>45169</c:v>
                </c:pt>
                <c:pt idx="84">
                  <c:v>45199</c:v>
                </c:pt>
                <c:pt idx="85">
                  <c:v>45230</c:v>
                </c:pt>
                <c:pt idx="86">
                  <c:v>45260</c:v>
                </c:pt>
                <c:pt idx="87">
                  <c:v>45291</c:v>
                </c:pt>
                <c:pt idx="88">
                  <c:v>45351</c:v>
                </c:pt>
                <c:pt idx="89">
                  <c:v>45382</c:v>
                </c:pt>
              </c:numCache>
            </c:numRef>
          </c:cat>
          <c:val>
            <c:numRef>
              <c:f>'财政货币框架1&amp;2底稿'!$H$12:$H$101</c:f>
              <c:numCache>
                <c:formatCode>General</c:formatCode>
                <c:ptCount val="9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D4-402F-9C56-A242238514D4}"/>
            </c:ext>
          </c:extLst>
        </c:ser>
        <c:ser>
          <c:idx val="2"/>
          <c:order val="2"/>
          <c:tx>
            <c:strRef>
              <c:f>'财政货币框架1&amp;2底稿'!$I$11</c:f>
              <c:strCache>
                <c:ptCount val="1"/>
                <c:pt idx="0">
                  <c:v>财政下行手动</c:v>
                </c:pt>
              </c:strCache>
            </c:strRef>
          </c:tx>
          <c:spPr>
            <a:solidFill>
              <a:srgbClr val="EE822F">
                <a:lumMod val="60000"/>
                <a:lumOff val="40000"/>
              </a:srgbClr>
            </a:solidFill>
            <a:ln>
              <a:noFill/>
            </a:ln>
            <a:effectLst/>
          </c:spPr>
          <c:invertIfNegative val="0"/>
          <c:cat>
            <c:numRef>
              <c:f>'财政货币框架1&amp;2底稿'!$A$12:$A$101</c:f>
              <c:numCache>
                <c:formatCode>yyyy\-mm</c:formatCode>
                <c:ptCount val="90"/>
                <c:pt idx="0">
                  <c:v>42429</c:v>
                </c:pt>
                <c:pt idx="1">
                  <c:v>42460</c:v>
                </c:pt>
                <c:pt idx="2">
                  <c:v>42490</c:v>
                </c:pt>
                <c:pt idx="3">
                  <c:v>42521</c:v>
                </c:pt>
                <c:pt idx="4">
                  <c:v>42551</c:v>
                </c:pt>
                <c:pt idx="5">
                  <c:v>42582</c:v>
                </c:pt>
                <c:pt idx="6">
                  <c:v>42613</c:v>
                </c:pt>
                <c:pt idx="7">
                  <c:v>42643</c:v>
                </c:pt>
                <c:pt idx="8">
                  <c:v>42674</c:v>
                </c:pt>
                <c:pt idx="9">
                  <c:v>42704</c:v>
                </c:pt>
                <c:pt idx="10">
                  <c:v>42735</c:v>
                </c:pt>
                <c:pt idx="11">
                  <c:v>42794</c:v>
                </c:pt>
                <c:pt idx="12">
                  <c:v>42825</c:v>
                </c:pt>
                <c:pt idx="13">
                  <c:v>42855</c:v>
                </c:pt>
                <c:pt idx="14">
                  <c:v>42886</c:v>
                </c:pt>
                <c:pt idx="15">
                  <c:v>42916</c:v>
                </c:pt>
                <c:pt idx="16">
                  <c:v>42947</c:v>
                </c:pt>
                <c:pt idx="17">
                  <c:v>42978</c:v>
                </c:pt>
                <c:pt idx="18">
                  <c:v>43008</c:v>
                </c:pt>
                <c:pt idx="19">
                  <c:v>43039</c:v>
                </c:pt>
                <c:pt idx="20">
                  <c:v>43069</c:v>
                </c:pt>
                <c:pt idx="21">
                  <c:v>43100</c:v>
                </c:pt>
                <c:pt idx="22">
                  <c:v>43159</c:v>
                </c:pt>
                <c:pt idx="23">
                  <c:v>43190</c:v>
                </c:pt>
                <c:pt idx="24">
                  <c:v>43220</c:v>
                </c:pt>
                <c:pt idx="25">
                  <c:v>43251</c:v>
                </c:pt>
                <c:pt idx="26">
                  <c:v>43281</c:v>
                </c:pt>
                <c:pt idx="27">
                  <c:v>43312</c:v>
                </c:pt>
                <c:pt idx="28">
                  <c:v>43343</c:v>
                </c:pt>
                <c:pt idx="29">
                  <c:v>43373</c:v>
                </c:pt>
                <c:pt idx="30">
                  <c:v>43404</c:v>
                </c:pt>
                <c:pt idx="31">
                  <c:v>43434</c:v>
                </c:pt>
                <c:pt idx="32">
                  <c:v>43465</c:v>
                </c:pt>
                <c:pt idx="33">
                  <c:v>43524</c:v>
                </c:pt>
                <c:pt idx="34">
                  <c:v>43555</c:v>
                </c:pt>
                <c:pt idx="35">
                  <c:v>43585</c:v>
                </c:pt>
                <c:pt idx="36">
                  <c:v>43616</c:v>
                </c:pt>
                <c:pt idx="37">
                  <c:v>43646</c:v>
                </c:pt>
                <c:pt idx="38">
                  <c:v>43677</c:v>
                </c:pt>
                <c:pt idx="39">
                  <c:v>43708</c:v>
                </c:pt>
                <c:pt idx="40">
                  <c:v>43738</c:v>
                </c:pt>
                <c:pt idx="41">
                  <c:v>43769</c:v>
                </c:pt>
                <c:pt idx="42">
                  <c:v>43799</c:v>
                </c:pt>
                <c:pt idx="43">
                  <c:v>43830</c:v>
                </c:pt>
                <c:pt idx="44">
                  <c:v>43890</c:v>
                </c:pt>
                <c:pt idx="45">
                  <c:v>43921</c:v>
                </c:pt>
                <c:pt idx="46">
                  <c:v>43951</c:v>
                </c:pt>
                <c:pt idx="47">
                  <c:v>43982</c:v>
                </c:pt>
                <c:pt idx="48">
                  <c:v>44012</c:v>
                </c:pt>
                <c:pt idx="49">
                  <c:v>44043</c:v>
                </c:pt>
                <c:pt idx="50">
                  <c:v>44074</c:v>
                </c:pt>
                <c:pt idx="51">
                  <c:v>44104</c:v>
                </c:pt>
                <c:pt idx="52">
                  <c:v>44135</c:v>
                </c:pt>
                <c:pt idx="53">
                  <c:v>44165</c:v>
                </c:pt>
                <c:pt idx="54">
                  <c:v>44196</c:v>
                </c:pt>
                <c:pt idx="55">
                  <c:v>44255</c:v>
                </c:pt>
                <c:pt idx="56">
                  <c:v>44286</c:v>
                </c:pt>
                <c:pt idx="57">
                  <c:v>44316</c:v>
                </c:pt>
                <c:pt idx="58">
                  <c:v>44347</c:v>
                </c:pt>
                <c:pt idx="59">
                  <c:v>44377</c:v>
                </c:pt>
                <c:pt idx="60">
                  <c:v>44408</c:v>
                </c:pt>
                <c:pt idx="61">
                  <c:v>44439</c:v>
                </c:pt>
                <c:pt idx="62">
                  <c:v>44469</c:v>
                </c:pt>
                <c:pt idx="63">
                  <c:v>44500</c:v>
                </c:pt>
                <c:pt idx="64">
                  <c:v>44530</c:v>
                </c:pt>
                <c:pt idx="65">
                  <c:v>44561</c:v>
                </c:pt>
                <c:pt idx="66">
                  <c:v>44620</c:v>
                </c:pt>
                <c:pt idx="67">
                  <c:v>44651</c:v>
                </c:pt>
                <c:pt idx="68">
                  <c:v>44681</c:v>
                </c:pt>
                <c:pt idx="69">
                  <c:v>44712</c:v>
                </c:pt>
                <c:pt idx="70">
                  <c:v>44742</c:v>
                </c:pt>
                <c:pt idx="71">
                  <c:v>44773</c:v>
                </c:pt>
                <c:pt idx="72">
                  <c:v>44804</c:v>
                </c:pt>
                <c:pt idx="73">
                  <c:v>44834</c:v>
                </c:pt>
                <c:pt idx="74">
                  <c:v>44865</c:v>
                </c:pt>
                <c:pt idx="75">
                  <c:v>44895</c:v>
                </c:pt>
                <c:pt idx="76">
                  <c:v>44926</c:v>
                </c:pt>
                <c:pt idx="77">
                  <c:v>44985</c:v>
                </c:pt>
                <c:pt idx="78">
                  <c:v>45016</c:v>
                </c:pt>
                <c:pt idx="79">
                  <c:v>45046</c:v>
                </c:pt>
                <c:pt idx="80">
                  <c:v>45077</c:v>
                </c:pt>
                <c:pt idx="81">
                  <c:v>45107</c:v>
                </c:pt>
                <c:pt idx="82">
                  <c:v>45138</c:v>
                </c:pt>
                <c:pt idx="83">
                  <c:v>45169</c:v>
                </c:pt>
                <c:pt idx="84">
                  <c:v>45199</c:v>
                </c:pt>
                <c:pt idx="85">
                  <c:v>45230</c:v>
                </c:pt>
                <c:pt idx="86">
                  <c:v>45260</c:v>
                </c:pt>
                <c:pt idx="87">
                  <c:v>45291</c:v>
                </c:pt>
                <c:pt idx="88">
                  <c:v>45351</c:v>
                </c:pt>
                <c:pt idx="89">
                  <c:v>45382</c:v>
                </c:pt>
              </c:numCache>
            </c:numRef>
          </c:cat>
          <c:val>
            <c:numRef>
              <c:f>'财政货币框架1&amp;2底稿'!$I$12:$I$101</c:f>
              <c:numCache>
                <c:formatCode>General</c:formatCode>
                <c:ptCount val="9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D4-402F-9C56-A242238514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45717383"/>
        <c:axId val="269723025"/>
      </c:barChart>
      <c:lineChart>
        <c:grouping val="standard"/>
        <c:varyColors val="0"/>
        <c:ser>
          <c:idx val="1"/>
          <c:order val="0"/>
          <c:tx>
            <c:v>财政政策力度指数</c:v>
          </c:tx>
          <c:spPr>
            <a:ln w="158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numRef>
              <c:f>'财政货币框架1&amp;2底稿'!$A$12:$A$101</c:f>
              <c:numCache>
                <c:formatCode>yyyy\-mm</c:formatCode>
                <c:ptCount val="90"/>
                <c:pt idx="0">
                  <c:v>42429</c:v>
                </c:pt>
                <c:pt idx="1">
                  <c:v>42460</c:v>
                </c:pt>
                <c:pt idx="2">
                  <c:v>42490</c:v>
                </c:pt>
                <c:pt idx="3">
                  <c:v>42521</c:v>
                </c:pt>
                <c:pt idx="4">
                  <c:v>42551</c:v>
                </c:pt>
                <c:pt idx="5">
                  <c:v>42582</c:v>
                </c:pt>
                <c:pt idx="6">
                  <c:v>42613</c:v>
                </c:pt>
                <c:pt idx="7">
                  <c:v>42643</c:v>
                </c:pt>
                <c:pt idx="8">
                  <c:v>42674</c:v>
                </c:pt>
                <c:pt idx="9">
                  <c:v>42704</c:v>
                </c:pt>
                <c:pt idx="10">
                  <c:v>42735</c:v>
                </c:pt>
                <c:pt idx="11">
                  <c:v>42794</c:v>
                </c:pt>
                <c:pt idx="12">
                  <c:v>42825</c:v>
                </c:pt>
                <c:pt idx="13">
                  <c:v>42855</c:v>
                </c:pt>
                <c:pt idx="14">
                  <c:v>42886</c:v>
                </c:pt>
                <c:pt idx="15">
                  <c:v>42916</c:v>
                </c:pt>
                <c:pt idx="16">
                  <c:v>42947</c:v>
                </c:pt>
                <c:pt idx="17">
                  <c:v>42978</c:v>
                </c:pt>
                <c:pt idx="18">
                  <c:v>43008</c:v>
                </c:pt>
                <c:pt idx="19">
                  <c:v>43039</c:v>
                </c:pt>
                <c:pt idx="20">
                  <c:v>43069</c:v>
                </c:pt>
                <c:pt idx="21">
                  <c:v>43100</c:v>
                </c:pt>
                <c:pt idx="22">
                  <c:v>43159</c:v>
                </c:pt>
                <c:pt idx="23">
                  <c:v>43190</c:v>
                </c:pt>
                <c:pt idx="24">
                  <c:v>43220</c:v>
                </c:pt>
                <c:pt idx="25">
                  <c:v>43251</c:v>
                </c:pt>
                <c:pt idx="26">
                  <c:v>43281</c:v>
                </c:pt>
                <c:pt idx="27">
                  <c:v>43312</c:v>
                </c:pt>
                <c:pt idx="28">
                  <c:v>43343</c:v>
                </c:pt>
                <c:pt idx="29">
                  <c:v>43373</c:v>
                </c:pt>
                <c:pt idx="30">
                  <c:v>43404</c:v>
                </c:pt>
                <c:pt idx="31">
                  <c:v>43434</c:v>
                </c:pt>
                <c:pt idx="32">
                  <c:v>43465</c:v>
                </c:pt>
                <c:pt idx="33">
                  <c:v>43524</c:v>
                </c:pt>
                <c:pt idx="34">
                  <c:v>43555</c:v>
                </c:pt>
                <c:pt idx="35">
                  <c:v>43585</c:v>
                </c:pt>
                <c:pt idx="36">
                  <c:v>43616</c:v>
                </c:pt>
                <c:pt idx="37">
                  <c:v>43646</c:v>
                </c:pt>
                <c:pt idx="38">
                  <c:v>43677</c:v>
                </c:pt>
                <c:pt idx="39">
                  <c:v>43708</c:v>
                </c:pt>
                <c:pt idx="40">
                  <c:v>43738</c:v>
                </c:pt>
                <c:pt idx="41">
                  <c:v>43769</c:v>
                </c:pt>
                <c:pt idx="42">
                  <c:v>43799</c:v>
                </c:pt>
                <c:pt idx="43">
                  <c:v>43830</c:v>
                </c:pt>
                <c:pt idx="44">
                  <c:v>43890</c:v>
                </c:pt>
                <c:pt idx="45">
                  <c:v>43921</c:v>
                </c:pt>
                <c:pt idx="46">
                  <c:v>43951</c:v>
                </c:pt>
                <c:pt idx="47">
                  <c:v>43982</c:v>
                </c:pt>
                <c:pt idx="48">
                  <c:v>44012</c:v>
                </c:pt>
                <c:pt idx="49">
                  <c:v>44043</c:v>
                </c:pt>
                <c:pt idx="50">
                  <c:v>44074</c:v>
                </c:pt>
                <c:pt idx="51">
                  <c:v>44104</c:v>
                </c:pt>
                <c:pt idx="52">
                  <c:v>44135</c:v>
                </c:pt>
                <c:pt idx="53">
                  <c:v>44165</c:v>
                </c:pt>
                <c:pt idx="54">
                  <c:v>44196</c:v>
                </c:pt>
                <c:pt idx="55">
                  <c:v>44255</c:v>
                </c:pt>
                <c:pt idx="56">
                  <c:v>44286</c:v>
                </c:pt>
                <c:pt idx="57">
                  <c:v>44316</c:v>
                </c:pt>
                <c:pt idx="58">
                  <c:v>44347</c:v>
                </c:pt>
                <c:pt idx="59">
                  <c:v>44377</c:v>
                </c:pt>
                <c:pt idx="60">
                  <c:v>44408</c:v>
                </c:pt>
                <c:pt idx="61">
                  <c:v>44439</c:v>
                </c:pt>
                <c:pt idx="62">
                  <c:v>44469</c:v>
                </c:pt>
                <c:pt idx="63">
                  <c:v>44500</c:v>
                </c:pt>
                <c:pt idx="64">
                  <c:v>44530</c:v>
                </c:pt>
                <c:pt idx="65">
                  <c:v>44561</c:v>
                </c:pt>
                <c:pt idx="66">
                  <c:v>44620</c:v>
                </c:pt>
                <c:pt idx="67">
                  <c:v>44651</c:v>
                </c:pt>
                <c:pt idx="68">
                  <c:v>44681</c:v>
                </c:pt>
                <c:pt idx="69">
                  <c:v>44712</c:v>
                </c:pt>
                <c:pt idx="70">
                  <c:v>44742</c:v>
                </c:pt>
                <c:pt idx="71">
                  <c:v>44773</c:v>
                </c:pt>
                <c:pt idx="72">
                  <c:v>44804</c:v>
                </c:pt>
                <c:pt idx="73">
                  <c:v>44834</c:v>
                </c:pt>
                <c:pt idx="74">
                  <c:v>44865</c:v>
                </c:pt>
                <c:pt idx="75">
                  <c:v>44895</c:v>
                </c:pt>
                <c:pt idx="76">
                  <c:v>44926</c:v>
                </c:pt>
                <c:pt idx="77">
                  <c:v>44985</c:v>
                </c:pt>
                <c:pt idx="78">
                  <c:v>45016</c:v>
                </c:pt>
                <c:pt idx="79">
                  <c:v>45046</c:v>
                </c:pt>
                <c:pt idx="80">
                  <c:v>45077</c:v>
                </c:pt>
                <c:pt idx="81">
                  <c:v>45107</c:v>
                </c:pt>
                <c:pt idx="82">
                  <c:v>45138</c:v>
                </c:pt>
                <c:pt idx="83">
                  <c:v>45169</c:v>
                </c:pt>
                <c:pt idx="84">
                  <c:v>45199</c:v>
                </c:pt>
                <c:pt idx="85">
                  <c:v>45230</c:v>
                </c:pt>
                <c:pt idx="86">
                  <c:v>45260</c:v>
                </c:pt>
                <c:pt idx="87">
                  <c:v>45291</c:v>
                </c:pt>
                <c:pt idx="88">
                  <c:v>45351</c:v>
                </c:pt>
                <c:pt idx="89">
                  <c:v>45382</c:v>
                </c:pt>
              </c:numCache>
            </c:numRef>
          </c:cat>
          <c:val>
            <c:numRef>
              <c:f>'财政货币框架1&amp;2底稿'!$B$12:$B$101</c:f>
              <c:numCache>
                <c:formatCode>General</c:formatCode>
                <c:ptCount val="90"/>
                <c:pt idx="0">
                  <c:v>1</c:v>
                </c:pt>
                <c:pt idx="1">
                  <c:v>1.0650718762215701</c:v>
                </c:pt>
                <c:pt idx="2">
                  <c:v>0.93170216598544398</c:v>
                </c:pt>
                <c:pt idx="3">
                  <c:v>0.99320260512869096</c:v>
                </c:pt>
                <c:pt idx="4">
                  <c:v>1.13081434032324</c:v>
                </c:pt>
                <c:pt idx="5">
                  <c:v>1.1270222341873799</c:v>
                </c:pt>
                <c:pt idx="6">
                  <c:v>1.16535166739222</c:v>
                </c:pt>
                <c:pt idx="7">
                  <c:v>1.19938108043119</c:v>
                </c:pt>
                <c:pt idx="8">
                  <c:v>1.13943313698542</c:v>
                </c:pt>
                <c:pt idx="9">
                  <c:v>1.1715069620216301</c:v>
                </c:pt>
                <c:pt idx="10">
                  <c:v>1.1303442314968399</c:v>
                </c:pt>
                <c:pt idx="11">
                  <c:v>0.76980753790019396</c:v>
                </c:pt>
                <c:pt idx="12">
                  <c:v>0.89383162636790203</c:v>
                </c:pt>
                <c:pt idx="13">
                  <c:v>0.88959307751237704</c:v>
                </c:pt>
                <c:pt idx="14">
                  <c:v>0.96742311199318898</c:v>
                </c:pt>
                <c:pt idx="15">
                  <c:v>1.0332594958580399</c:v>
                </c:pt>
                <c:pt idx="16">
                  <c:v>0.98562475683522699</c:v>
                </c:pt>
                <c:pt idx="17">
                  <c:v>0.97156838451444505</c:v>
                </c:pt>
                <c:pt idx="18">
                  <c:v>0.91844615489748405</c:v>
                </c:pt>
                <c:pt idx="19">
                  <c:v>0.89995508407855795</c:v>
                </c:pt>
                <c:pt idx="20">
                  <c:v>0.86212635713020003</c:v>
                </c:pt>
                <c:pt idx="21">
                  <c:v>0.87057174957878702</c:v>
                </c:pt>
                <c:pt idx="22">
                  <c:v>0.69061429320642198</c:v>
                </c:pt>
                <c:pt idx="23">
                  <c:v>0.68897769969313705</c:v>
                </c:pt>
                <c:pt idx="24">
                  <c:v>0.72066737368964096</c:v>
                </c:pt>
                <c:pt idx="25">
                  <c:v>0.67509440326305803</c:v>
                </c:pt>
                <c:pt idx="26">
                  <c:v>0.729974024856612</c:v>
                </c:pt>
                <c:pt idx="27">
                  <c:v>0.76524525000786203</c:v>
                </c:pt>
                <c:pt idx="28">
                  <c:v>0.75342544244189302</c:v>
                </c:pt>
                <c:pt idx="29">
                  <c:v>0.82545222905466398</c:v>
                </c:pt>
                <c:pt idx="30">
                  <c:v>0.88452283250730501</c:v>
                </c:pt>
                <c:pt idx="31">
                  <c:v>0.89580211492338002</c:v>
                </c:pt>
                <c:pt idx="32">
                  <c:v>0.97375857919076503</c:v>
                </c:pt>
                <c:pt idx="33">
                  <c:v>1.6842664267670999</c:v>
                </c:pt>
                <c:pt idx="34">
                  <c:v>1.2302356329297299</c:v>
                </c:pt>
                <c:pt idx="35">
                  <c:v>1.2335277586823701</c:v>
                </c:pt>
                <c:pt idx="36">
                  <c:v>1.2242217313266499</c:v>
                </c:pt>
                <c:pt idx="37">
                  <c:v>1.1581909915173101</c:v>
                </c:pt>
                <c:pt idx="38">
                  <c:v>1.1183640737329299</c:v>
                </c:pt>
                <c:pt idx="39">
                  <c:v>1.06115949430112</c:v>
                </c:pt>
                <c:pt idx="40">
                  <c:v>1.0261622557374299</c:v>
                </c:pt>
                <c:pt idx="41">
                  <c:v>0.96251795620594904</c:v>
                </c:pt>
                <c:pt idx="42">
                  <c:v>0.88755087658334297</c:v>
                </c:pt>
                <c:pt idx="43">
                  <c:v>0.82852773849113603</c:v>
                </c:pt>
                <c:pt idx="44">
                  <c:v>1.14479564900495</c:v>
                </c:pt>
                <c:pt idx="45">
                  <c:v>1.25183172599059</c:v>
                </c:pt>
                <c:pt idx="46">
                  <c:v>1.3796421127970999</c:v>
                </c:pt>
                <c:pt idx="47">
                  <c:v>1.31878676395075</c:v>
                </c:pt>
                <c:pt idx="48">
                  <c:v>1.1084348048396799</c:v>
                </c:pt>
                <c:pt idx="49">
                  <c:v>1.0760048232760999</c:v>
                </c:pt>
                <c:pt idx="50">
                  <c:v>1.0601993513132899</c:v>
                </c:pt>
                <c:pt idx="51">
                  <c:v>1.0205426944213101</c:v>
                </c:pt>
                <c:pt idx="52">
                  <c:v>1.0269808202545301</c:v>
                </c:pt>
                <c:pt idx="53">
                  <c:v>1.04775208532998</c:v>
                </c:pt>
                <c:pt idx="54">
                  <c:v>1.0524164925509101</c:v>
                </c:pt>
                <c:pt idx="55">
                  <c:v>0.59940776310385502</c:v>
                </c:pt>
                <c:pt idx="56">
                  <c:v>0.38438527231227598</c:v>
                </c:pt>
                <c:pt idx="57">
                  <c:v>0.30270593579538302</c:v>
                </c:pt>
                <c:pt idx="58">
                  <c:v>0.393826389392326</c:v>
                </c:pt>
                <c:pt idx="59">
                  <c:v>0.48195573803478198</c:v>
                </c:pt>
                <c:pt idx="60">
                  <c:v>0.51555138161685998</c:v>
                </c:pt>
                <c:pt idx="61">
                  <c:v>0.60167179817732996</c:v>
                </c:pt>
                <c:pt idx="62">
                  <c:v>0.63722972111925102</c:v>
                </c:pt>
                <c:pt idx="63">
                  <c:v>0.71204674522529998</c:v>
                </c:pt>
                <c:pt idx="64">
                  <c:v>0.82117817946051797</c:v>
                </c:pt>
                <c:pt idx="65">
                  <c:v>0.79821849858463401</c:v>
                </c:pt>
                <c:pt idx="66">
                  <c:v>1.0718898622372699</c:v>
                </c:pt>
                <c:pt idx="67">
                  <c:v>1.21287709986225</c:v>
                </c:pt>
                <c:pt idx="68">
                  <c:v>1.6604208724182199</c:v>
                </c:pt>
                <c:pt idx="69">
                  <c:v>1.82577960687426</c:v>
                </c:pt>
                <c:pt idx="70">
                  <c:v>1.8537894614852899</c:v>
                </c:pt>
                <c:pt idx="71">
                  <c:v>1.8348464226457899</c:v>
                </c:pt>
                <c:pt idx="72">
                  <c:v>1.7249808757873699</c:v>
                </c:pt>
                <c:pt idx="73">
                  <c:v>1.60957592355588</c:v>
                </c:pt>
                <c:pt idx="74">
                  <c:v>1.48657671794082</c:v>
                </c:pt>
                <c:pt idx="75">
                  <c:v>1.38090920538364</c:v>
                </c:pt>
                <c:pt idx="76">
                  <c:v>1.1884084486034601</c:v>
                </c:pt>
                <c:pt idx="77">
                  <c:v>1.3192648585628499</c:v>
                </c:pt>
                <c:pt idx="78">
                  <c:v>1.22035817550188</c:v>
                </c:pt>
                <c:pt idx="79">
                  <c:v>0.75008113883977201</c:v>
                </c:pt>
                <c:pt idx="80">
                  <c:v>0.62359519637955296</c:v>
                </c:pt>
                <c:pt idx="81">
                  <c:v>0.61734799888190395</c:v>
                </c:pt>
                <c:pt idx="82">
                  <c:v>0.64392305495310898</c:v>
                </c:pt>
                <c:pt idx="83">
                  <c:v>0.73061774230295895</c:v>
                </c:pt>
                <c:pt idx="84">
                  <c:v>0.81020969366104101</c:v>
                </c:pt>
                <c:pt idx="85">
                  <c:v>0.87416473809416695</c:v>
                </c:pt>
                <c:pt idx="86">
                  <c:v>0.90293351149721102</c:v>
                </c:pt>
                <c:pt idx="87">
                  <c:v>0.99731315194727299</c:v>
                </c:pt>
                <c:pt idx="88">
                  <c:v>1.1797815123173001</c:v>
                </c:pt>
                <c:pt idx="89">
                  <c:v>1.11099833628865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1D4-402F-9C56-A242238514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5643233"/>
        <c:axId val="269355564"/>
      </c:lineChart>
      <c:dateAx>
        <c:axId val="325643233"/>
        <c:scaling>
          <c:orientation val="minMax"/>
        </c:scaling>
        <c:delete val="0"/>
        <c:axPos val="b"/>
        <c:numFmt formatCode="yyyy\-mm" sourceLinked="0"/>
        <c:majorTickMark val="in"/>
        <c:minorTickMark val="none"/>
        <c:tickLblPos val="low"/>
        <c:spPr>
          <a:noFill/>
          <a:ln w="6350" cap="flat" cmpd="sng" algn="ctr">
            <a:solidFill>
              <a:srgbClr val="000000"/>
            </a:solidFill>
            <a:round/>
          </a:ln>
          <a:effectLst/>
        </c:spPr>
        <c:txPr>
          <a:bodyPr rot="-5400000" spcFirstLastPara="0" vertOverflow="ellipsis" wrap="square" anchor="ctr" anchorCtr="1"/>
          <a:lstStyle/>
          <a:p>
            <a:pPr>
              <a:defRPr lang="zh-CN" sz="800" b="0" i="0" u="none" strike="noStrike" kern="1200" baseline="0">
                <a:solidFill>
                  <a:sysClr val="windowText" lastClr="000000"/>
                </a:solidFill>
                <a:latin typeface="黑体" panose="02010609060101010101" pitchFamily="49" charset="-122"/>
                <a:ea typeface="黑体" panose="02010609060101010101" pitchFamily="49" charset="-122"/>
                <a:cs typeface="黑体" panose="02010609060101010101" pitchFamily="49" charset="-122"/>
                <a:sym typeface="黑体" panose="02010609060101010101" pitchFamily="49" charset="-122"/>
              </a:defRPr>
            </a:pPr>
            <a:endParaRPr lang="zh-CN"/>
          </a:p>
        </c:txPr>
        <c:crossAx val="269355564"/>
        <c:crosses val="autoZero"/>
        <c:auto val="1"/>
        <c:lblOffset val="100"/>
        <c:baseTimeUnit val="months"/>
      </c:dateAx>
      <c:valAx>
        <c:axId val="269355564"/>
        <c:scaling>
          <c:orientation val="minMax"/>
        </c:scaling>
        <c:delete val="0"/>
        <c:axPos val="l"/>
        <c:numFmt formatCode="General" sourceLinked="0"/>
        <c:majorTickMark val="in"/>
        <c:minorTickMark val="none"/>
        <c:tickLblPos val="nextTo"/>
        <c:spPr>
          <a:noFill/>
          <a:ln w="6350">
            <a:solidFill>
              <a:srgbClr val="000000"/>
            </a:solidFill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800" b="0" i="0" u="none" strike="noStrike" kern="1200" baseline="0">
                <a:solidFill>
                  <a:schemeClr val="tx1"/>
                </a:solidFill>
                <a:latin typeface="黑体" panose="02010609060101010101" pitchFamily="49" charset="-122"/>
                <a:ea typeface="黑体" panose="02010609060101010101" pitchFamily="49" charset="-122"/>
                <a:cs typeface="黑体" panose="02010609060101010101" pitchFamily="49" charset="-122"/>
                <a:sym typeface="黑体" panose="02010609060101010101" pitchFamily="49" charset="-122"/>
              </a:defRPr>
            </a:pPr>
            <a:endParaRPr lang="zh-CN"/>
          </a:p>
        </c:txPr>
        <c:crossAx val="325643233"/>
        <c:crosses val="autoZero"/>
        <c:crossBetween val="between"/>
      </c:valAx>
      <c:dateAx>
        <c:axId val="945717383"/>
        <c:scaling>
          <c:orientation val="minMax"/>
        </c:scaling>
        <c:delete val="1"/>
        <c:axPos val="b"/>
        <c:numFmt formatCode="yyyy\-mm" sourceLinked="1"/>
        <c:majorTickMark val="none"/>
        <c:minorTickMark val="none"/>
        <c:tickLblPos val="nextTo"/>
        <c:crossAx val="269723025"/>
        <c:crosses val="autoZero"/>
        <c:auto val="1"/>
        <c:lblOffset val="100"/>
        <c:baseTimeUnit val="months"/>
      </c:dateAx>
      <c:valAx>
        <c:axId val="269723025"/>
        <c:scaling>
          <c:orientation val="minMax"/>
          <c:max val="1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/>
                </a:solidFill>
                <a:latin typeface="黑体" panose="02010609060101010101" pitchFamily="49" charset="-122"/>
                <a:ea typeface="黑体" panose="02010609060101010101" pitchFamily="49" charset="-122"/>
                <a:cs typeface="黑体" panose="02010609060101010101" pitchFamily="49" charset="-122"/>
                <a:sym typeface="黑体" panose="02010609060101010101" pitchFamily="49" charset="-122"/>
              </a:defRPr>
            </a:pPr>
            <a:endParaRPr lang="zh-CN"/>
          </a:p>
        </c:txPr>
        <c:crossAx val="945717383"/>
        <c:crosses val="max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68784743581601"/>
          <c:y val="1.00603621730382E-2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800" b="0" i="0" u="none" strike="noStrike" kern="1200" baseline="0">
              <a:solidFill>
                <a:schemeClr val="tx1"/>
              </a:solidFill>
              <a:latin typeface="黑体" panose="02010609060101010101" pitchFamily="49" charset="-122"/>
              <a:ea typeface="黑体" panose="02010609060101010101" pitchFamily="49" charset="-122"/>
              <a:cs typeface="黑体" panose="02010609060101010101" pitchFamily="49" charset="-122"/>
              <a:sym typeface="黑体" panose="02010609060101010101" pitchFamily="49" charset="-122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zh-CN" sz="800" baseline="0">
          <a:solidFill>
            <a:schemeClr val="tx1"/>
          </a:solidFill>
          <a:latin typeface="黑体" panose="02010609060101010101" pitchFamily="49" charset="-122"/>
          <a:ea typeface="黑体" panose="02010609060101010101" pitchFamily="49" charset="-122"/>
          <a:cs typeface="黑体" panose="02010609060101010101" pitchFamily="49" charset="-122"/>
          <a:sym typeface="黑体" panose="02010609060101010101" pitchFamily="49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9168912211033903E-2"/>
          <c:y val="0.12877263581488901"/>
          <c:w val="0.88166217557793203"/>
          <c:h val="0.59416498993963796"/>
        </c:manualLayout>
      </c:layout>
      <c:barChart>
        <c:barDir val="col"/>
        <c:grouping val="clustered"/>
        <c:varyColors val="0"/>
        <c:ser>
          <c:idx val="0"/>
          <c:order val="1"/>
          <c:tx>
            <c:strRef>
              <c:f>'财政货币框架1&amp;2底稿'!$U$11</c:f>
              <c:strCache>
                <c:ptCount val="1"/>
                <c:pt idx="0">
                  <c:v>财政上行手动</c:v>
                </c:pt>
              </c:strCache>
            </c:strRef>
          </c:tx>
          <c:spPr>
            <a:solidFill>
              <a:srgbClr val="4874CB">
                <a:lumMod val="60000"/>
                <a:lumOff val="40000"/>
              </a:srgbClr>
            </a:solidFill>
            <a:ln>
              <a:noFill/>
            </a:ln>
            <a:effectLst/>
          </c:spPr>
          <c:invertIfNegative val="0"/>
          <c:cat>
            <c:numRef>
              <c:f>'财政货币框架1&amp;2底稿'!$A$12:$A$122</c:f>
              <c:numCache>
                <c:formatCode>yyyy\-mm</c:formatCode>
                <c:ptCount val="111"/>
                <c:pt idx="0">
                  <c:v>42429</c:v>
                </c:pt>
                <c:pt idx="1">
                  <c:v>42460</c:v>
                </c:pt>
                <c:pt idx="2">
                  <c:v>42490</c:v>
                </c:pt>
                <c:pt idx="3">
                  <c:v>42521</c:v>
                </c:pt>
                <c:pt idx="4">
                  <c:v>42551</c:v>
                </c:pt>
                <c:pt idx="5">
                  <c:v>42582</c:v>
                </c:pt>
                <c:pt idx="6">
                  <c:v>42613</c:v>
                </c:pt>
                <c:pt idx="7">
                  <c:v>42643</c:v>
                </c:pt>
                <c:pt idx="8">
                  <c:v>42674</c:v>
                </c:pt>
                <c:pt idx="9">
                  <c:v>42704</c:v>
                </c:pt>
                <c:pt idx="10">
                  <c:v>42735</c:v>
                </c:pt>
                <c:pt idx="11">
                  <c:v>42794</c:v>
                </c:pt>
                <c:pt idx="12">
                  <c:v>42825</c:v>
                </c:pt>
                <c:pt idx="13">
                  <c:v>42855</c:v>
                </c:pt>
                <c:pt idx="14">
                  <c:v>42886</c:v>
                </c:pt>
                <c:pt idx="15">
                  <c:v>42916</c:v>
                </c:pt>
                <c:pt idx="16">
                  <c:v>42947</c:v>
                </c:pt>
                <c:pt idx="17">
                  <c:v>42978</c:v>
                </c:pt>
                <c:pt idx="18">
                  <c:v>43008</c:v>
                </c:pt>
                <c:pt idx="19">
                  <c:v>43039</c:v>
                </c:pt>
                <c:pt idx="20">
                  <c:v>43069</c:v>
                </c:pt>
                <c:pt idx="21">
                  <c:v>43100</c:v>
                </c:pt>
                <c:pt idx="22">
                  <c:v>43159</c:v>
                </c:pt>
                <c:pt idx="23">
                  <c:v>43190</c:v>
                </c:pt>
                <c:pt idx="24">
                  <c:v>43220</c:v>
                </c:pt>
                <c:pt idx="25">
                  <c:v>43251</c:v>
                </c:pt>
                <c:pt idx="26">
                  <c:v>43281</c:v>
                </c:pt>
                <c:pt idx="27">
                  <c:v>43312</c:v>
                </c:pt>
                <c:pt idx="28">
                  <c:v>43343</c:v>
                </c:pt>
                <c:pt idx="29">
                  <c:v>43373</c:v>
                </c:pt>
                <c:pt idx="30">
                  <c:v>43404</c:v>
                </c:pt>
                <c:pt idx="31">
                  <c:v>43434</c:v>
                </c:pt>
                <c:pt idx="32">
                  <c:v>43465</c:v>
                </c:pt>
                <c:pt idx="33">
                  <c:v>43524</c:v>
                </c:pt>
                <c:pt idx="34">
                  <c:v>43555</c:v>
                </c:pt>
                <c:pt idx="35">
                  <c:v>43585</c:v>
                </c:pt>
                <c:pt idx="36">
                  <c:v>43616</c:v>
                </c:pt>
                <c:pt idx="37">
                  <c:v>43646</c:v>
                </c:pt>
                <c:pt idx="38">
                  <c:v>43677</c:v>
                </c:pt>
                <c:pt idx="39">
                  <c:v>43708</c:v>
                </c:pt>
                <c:pt idx="40">
                  <c:v>43738</c:v>
                </c:pt>
                <c:pt idx="41">
                  <c:v>43769</c:v>
                </c:pt>
                <c:pt idx="42">
                  <c:v>43799</c:v>
                </c:pt>
                <c:pt idx="43">
                  <c:v>43830</c:v>
                </c:pt>
                <c:pt idx="44">
                  <c:v>43890</c:v>
                </c:pt>
                <c:pt idx="45">
                  <c:v>43921</c:v>
                </c:pt>
                <c:pt idx="46">
                  <c:v>43951</c:v>
                </c:pt>
                <c:pt idx="47">
                  <c:v>43982</c:v>
                </c:pt>
                <c:pt idx="48">
                  <c:v>44012</c:v>
                </c:pt>
                <c:pt idx="49">
                  <c:v>44043</c:v>
                </c:pt>
                <c:pt idx="50">
                  <c:v>44074</c:v>
                </c:pt>
                <c:pt idx="51">
                  <c:v>44104</c:v>
                </c:pt>
                <c:pt idx="52">
                  <c:v>44135</c:v>
                </c:pt>
                <c:pt idx="53">
                  <c:v>44165</c:v>
                </c:pt>
                <c:pt idx="54">
                  <c:v>44196</c:v>
                </c:pt>
                <c:pt idx="55">
                  <c:v>44255</c:v>
                </c:pt>
                <c:pt idx="56">
                  <c:v>44286</c:v>
                </c:pt>
                <c:pt idx="57">
                  <c:v>44316</c:v>
                </c:pt>
                <c:pt idx="58">
                  <c:v>44347</c:v>
                </c:pt>
                <c:pt idx="59">
                  <c:v>44377</c:v>
                </c:pt>
                <c:pt idx="60">
                  <c:v>44408</c:v>
                </c:pt>
                <c:pt idx="61">
                  <c:v>44439</c:v>
                </c:pt>
                <c:pt idx="62">
                  <c:v>44469</c:v>
                </c:pt>
                <c:pt idx="63">
                  <c:v>44500</c:v>
                </c:pt>
                <c:pt idx="64">
                  <c:v>44530</c:v>
                </c:pt>
                <c:pt idx="65">
                  <c:v>44561</c:v>
                </c:pt>
                <c:pt idx="66">
                  <c:v>44620</c:v>
                </c:pt>
                <c:pt idx="67">
                  <c:v>44651</c:v>
                </c:pt>
                <c:pt idx="68">
                  <c:v>44681</c:v>
                </c:pt>
                <c:pt idx="69">
                  <c:v>44712</c:v>
                </c:pt>
                <c:pt idx="70">
                  <c:v>44742</c:v>
                </c:pt>
                <c:pt idx="71">
                  <c:v>44773</c:v>
                </c:pt>
                <c:pt idx="72">
                  <c:v>44804</c:v>
                </c:pt>
                <c:pt idx="73">
                  <c:v>44834</c:v>
                </c:pt>
                <c:pt idx="74">
                  <c:v>44865</c:v>
                </c:pt>
                <c:pt idx="75">
                  <c:v>44895</c:v>
                </c:pt>
                <c:pt idx="76">
                  <c:v>44926</c:v>
                </c:pt>
                <c:pt idx="77">
                  <c:v>44985</c:v>
                </c:pt>
                <c:pt idx="78">
                  <c:v>45016</c:v>
                </c:pt>
                <c:pt idx="79">
                  <c:v>45046</c:v>
                </c:pt>
                <c:pt idx="80">
                  <c:v>45077</c:v>
                </c:pt>
                <c:pt idx="81">
                  <c:v>45107</c:v>
                </c:pt>
                <c:pt idx="82">
                  <c:v>45138</c:v>
                </c:pt>
                <c:pt idx="83">
                  <c:v>45169</c:v>
                </c:pt>
                <c:pt idx="84">
                  <c:v>45199</c:v>
                </c:pt>
                <c:pt idx="85">
                  <c:v>45230</c:v>
                </c:pt>
                <c:pt idx="86">
                  <c:v>45260</c:v>
                </c:pt>
                <c:pt idx="87">
                  <c:v>45291</c:v>
                </c:pt>
                <c:pt idx="88">
                  <c:v>45351</c:v>
                </c:pt>
                <c:pt idx="89">
                  <c:v>45382</c:v>
                </c:pt>
                <c:pt idx="90">
                  <c:v>45412</c:v>
                </c:pt>
                <c:pt idx="91">
                  <c:v>45443</c:v>
                </c:pt>
                <c:pt idx="92">
                  <c:v>45473</c:v>
                </c:pt>
                <c:pt idx="93">
                  <c:v>45504</c:v>
                </c:pt>
                <c:pt idx="94">
                  <c:v>45535</c:v>
                </c:pt>
                <c:pt idx="95">
                  <c:v>45565</c:v>
                </c:pt>
                <c:pt idx="96">
                  <c:v>45596</c:v>
                </c:pt>
                <c:pt idx="97">
                  <c:v>45626</c:v>
                </c:pt>
                <c:pt idx="98">
                  <c:v>45657</c:v>
                </c:pt>
                <c:pt idx="99">
                  <c:v>45688</c:v>
                </c:pt>
                <c:pt idx="100">
                  <c:v>45716</c:v>
                </c:pt>
                <c:pt idx="101">
                  <c:v>45747</c:v>
                </c:pt>
                <c:pt idx="102">
                  <c:v>45777</c:v>
                </c:pt>
                <c:pt idx="103">
                  <c:v>45808</c:v>
                </c:pt>
                <c:pt idx="104">
                  <c:v>45838</c:v>
                </c:pt>
                <c:pt idx="105">
                  <c:v>45869</c:v>
                </c:pt>
                <c:pt idx="106">
                  <c:v>45900</c:v>
                </c:pt>
                <c:pt idx="107">
                  <c:v>45930</c:v>
                </c:pt>
                <c:pt idx="108">
                  <c:v>45961</c:v>
                </c:pt>
                <c:pt idx="109">
                  <c:v>45991</c:v>
                </c:pt>
                <c:pt idx="110">
                  <c:v>46022</c:v>
                </c:pt>
              </c:numCache>
            </c:numRef>
          </c:cat>
          <c:val>
            <c:numRef>
              <c:f>'财政货币框架1&amp;2底稿'!$U$12:$U$122</c:f>
              <c:numCache>
                <c:formatCode>General</c:formatCode>
                <c:ptCount val="11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0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50-4E57-8593-BCE759145AB8}"/>
            </c:ext>
          </c:extLst>
        </c:ser>
        <c:ser>
          <c:idx val="2"/>
          <c:order val="2"/>
          <c:tx>
            <c:strRef>
              <c:f>'财政货币框架1&amp;2底稿'!$V$11</c:f>
              <c:strCache>
                <c:ptCount val="1"/>
                <c:pt idx="0">
                  <c:v>财政下行手动</c:v>
                </c:pt>
              </c:strCache>
            </c:strRef>
          </c:tx>
          <c:spPr>
            <a:solidFill>
              <a:srgbClr val="EE822F">
                <a:lumMod val="60000"/>
                <a:lumOff val="40000"/>
              </a:srgbClr>
            </a:solidFill>
            <a:ln>
              <a:noFill/>
            </a:ln>
            <a:effectLst/>
          </c:spPr>
          <c:invertIfNegative val="0"/>
          <c:cat>
            <c:numRef>
              <c:f>'财政货币框架1&amp;2底稿'!$A$12:$A$122</c:f>
              <c:numCache>
                <c:formatCode>yyyy\-mm</c:formatCode>
                <c:ptCount val="111"/>
                <c:pt idx="0">
                  <c:v>42429</c:v>
                </c:pt>
                <c:pt idx="1">
                  <c:v>42460</c:v>
                </c:pt>
                <c:pt idx="2">
                  <c:v>42490</c:v>
                </c:pt>
                <c:pt idx="3">
                  <c:v>42521</c:v>
                </c:pt>
                <c:pt idx="4">
                  <c:v>42551</c:v>
                </c:pt>
                <c:pt idx="5">
                  <c:v>42582</c:v>
                </c:pt>
                <c:pt idx="6">
                  <c:v>42613</c:v>
                </c:pt>
                <c:pt idx="7">
                  <c:v>42643</c:v>
                </c:pt>
                <c:pt idx="8">
                  <c:v>42674</c:v>
                </c:pt>
                <c:pt idx="9">
                  <c:v>42704</c:v>
                </c:pt>
                <c:pt idx="10">
                  <c:v>42735</c:v>
                </c:pt>
                <c:pt idx="11">
                  <c:v>42794</c:v>
                </c:pt>
                <c:pt idx="12">
                  <c:v>42825</c:v>
                </c:pt>
                <c:pt idx="13">
                  <c:v>42855</c:v>
                </c:pt>
                <c:pt idx="14">
                  <c:v>42886</c:v>
                </c:pt>
                <c:pt idx="15">
                  <c:v>42916</c:v>
                </c:pt>
                <c:pt idx="16">
                  <c:v>42947</c:v>
                </c:pt>
                <c:pt idx="17">
                  <c:v>42978</c:v>
                </c:pt>
                <c:pt idx="18">
                  <c:v>43008</c:v>
                </c:pt>
                <c:pt idx="19">
                  <c:v>43039</c:v>
                </c:pt>
                <c:pt idx="20">
                  <c:v>43069</c:v>
                </c:pt>
                <c:pt idx="21">
                  <c:v>43100</c:v>
                </c:pt>
                <c:pt idx="22">
                  <c:v>43159</c:v>
                </c:pt>
                <c:pt idx="23">
                  <c:v>43190</c:v>
                </c:pt>
                <c:pt idx="24">
                  <c:v>43220</c:v>
                </c:pt>
                <c:pt idx="25">
                  <c:v>43251</c:v>
                </c:pt>
                <c:pt idx="26">
                  <c:v>43281</c:v>
                </c:pt>
                <c:pt idx="27">
                  <c:v>43312</c:v>
                </c:pt>
                <c:pt idx="28">
                  <c:v>43343</c:v>
                </c:pt>
                <c:pt idx="29">
                  <c:v>43373</c:v>
                </c:pt>
                <c:pt idx="30">
                  <c:v>43404</c:v>
                </c:pt>
                <c:pt idx="31">
                  <c:v>43434</c:v>
                </c:pt>
                <c:pt idx="32">
                  <c:v>43465</c:v>
                </c:pt>
                <c:pt idx="33">
                  <c:v>43524</c:v>
                </c:pt>
                <c:pt idx="34">
                  <c:v>43555</c:v>
                </c:pt>
                <c:pt idx="35">
                  <c:v>43585</c:v>
                </c:pt>
                <c:pt idx="36">
                  <c:v>43616</c:v>
                </c:pt>
                <c:pt idx="37">
                  <c:v>43646</c:v>
                </c:pt>
                <c:pt idx="38">
                  <c:v>43677</c:v>
                </c:pt>
                <c:pt idx="39">
                  <c:v>43708</c:v>
                </c:pt>
                <c:pt idx="40">
                  <c:v>43738</c:v>
                </c:pt>
                <c:pt idx="41">
                  <c:v>43769</c:v>
                </c:pt>
                <c:pt idx="42">
                  <c:v>43799</c:v>
                </c:pt>
                <c:pt idx="43">
                  <c:v>43830</c:v>
                </c:pt>
                <c:pt idx="44">
                  <c:v>43890</c:v>
                </c:pt>
                <c:pt idx="45">
                  <c:v>43921</c:v>
                </c:pt>
                <c:pt idx="46">
                  <c:v>43951</c:v>
                </c:pt>
                <c:pt idx="47">
                  <c:v>43982</c:v>
                </c:pt>
                <c:pt idx="48">
                  <c:v>44012</c:v>
                </c:pt>
                <c:pt idx="49">
                  <c:v>44043</c:v>
                </c:pt>
                <c:pt idx="50">
                  <c:v>44074</c:v>
                </c:pt>
                <c:pt idx="51">
                  <c:v>44104</c:v>
                </c:pt>
                <c:pt idx="52">
                  <c:v>44135</c:v>
                </c:pt>
                <c:pt idx="53">
                  <c:v>44165</c:v>
                </c:pt>
                <c:pt idx="54">
                  <c:v>44196</c:v>
                </c:pt>
                <c:pt idx="55">
                  <c:v>44255</c:v>
                </c:pt>
                <c:pt idx="56">
                  <c:v>44286</c:v>
                </c:pt>
                <c:pt idx="57">
                  <c:v>44316</c:v>
                </c:pt>
                <c:pt idx="58">
                  <c:v>44347</c:v>
                </c:pt>
                <c:pt idx="59">
                  <c:v>44377</c:v>
                </c:pt>
                <c:pt idx="60">
                  <c:v>44408</c:v>
                </c:pt>
                <c:pt idx="61">
                  <c:v>44439</c:v>
                </c:pt>
                <c:pt idx="62">
                  <c:v>44469</c:v>
                </c:pt>
                <c:pt idx="63">
                  <c:v>44500</c:v>
                </c:pt>
                <c:pt idx="64">
                  <c:v>44530</c:v>
                </c:pt>
                <c:pt idx="65">
                  <c:v>44561</c:v>
                </c:pt>
                <c:pt idx="66">
                  <c:v>44620</c:v>
                </c:pt>
                <c:pt idx="67">
                  <c:v>44651</c:v>
                </c:pt>
                <c:pt idx="68">
                  <c:v>44681</c:v>
                </c:pt>
                <c:pt idx="69">
                  <c:v>44712</c:v>
                </c:pt>
                <c:pt idx="70">
                  <c:v>44742</c:v>
                </c:pt>
                <c:pt idx="71">
                  <c:v>44773</c:v>
                </c:pt>
                <c:pt idx="72">
                  <c:v>44804</c:v>
                </c:pt>
                <c:pt idx="73">
                  <c:v>44834</c:v>
                </c:pt>
                <c:pt idx="74">
                  <c:v>44865</c:v>
                </c:pt>
                <c:pt idx="75">
                  <c:v>44895</c:v>
                </c:pt>
                <c:pt idx="76">
                  <c:v>44926</c:v>
                </c:pt>
                <c:pt idx="77">
                  <c:v>44985</c:v>
                </c:pt>
                <c:pt idx="78">
                  <c:v>45016</c:v>
                </c:pt>
                <c:pt idx="79">
                  <c:v>45046</c:v>
                </c:pt>
                <c:pt idx="80">
                  <c:v>45077</c:v>
                </c:pt>
                <c:pt idx="81">
                  <c:v>45107</c:v>
                </c:pt>
                <c:pt idx="82">
                  <c:v>45138</c:v>
                </c:pt>
                <c:pt idx="83">
                  <c:v>45169</c:v>
                </c:pt>
                <c:pt idx="84">
                  <c:v>45199</c:v>
                </c:pt>
                <c:pt idx="85">
                  <c:v>45230</c:v>
                </c:pt>
                <c:pt idx="86">
                  <c:v>45260</c:v>
                </c:pt>
                <c:pt idx="87">
                  <c:v>45291</c:v>
                </c:pt>
                <c:pt idx="88">
                  <c:v>45351</c:v>
                </c:pt>
                <c:pt idx="89">
                  <c:v>45382</c:v>
                </c:pt>
                <c:pt idx="90">
                  <c:v>45412</c:v>
                </c:pt>
                <c:pt idx="91">
                  <c:v>45443</c:v>
                </c:pt>
                <c:pt idx="92">
                  <c:v>45473</c:v>
                </c:pt>
                <c:pt idx="93">
                  <c:v>45504</c:v>
                </c:pt>
                <c:pt idx="94">
                  <c:v>45535</c:v>
                </c:pt>
                <c:pt idx="95">
                  <c:v>45565</c:v>
                </c:pt>
                <c:pt idx="96">
                  <c:v>45596</c:v>
                </c:pt>
                <c:pt idx="97">
                  <c:v>45626</c:v>
                </c:pt>
                <c:pt idx="98">
                  <c:v>45657</c:v>
                </c:pt>
                <c:pt idx="99">
                  <c:v>45688</c:v>
                </c:pt>
                <c:pt idx="100">
                  <c:v>45716</c:v>
                </c:pt>
                <c:pt idx="101">
                  <c:v>45747</c:v>
                </c:pt>
                <c:pt idx="102">
                  <c:v>45777</c:v>
                </c:pt>
                <c:pt idx="103">
                  <c:v>45808</c:v>
                </c:pt>
                <c:pt idx="104">
                  <c:v>45838</c:v>
                </c:pt>
                <c:pt idx="105">
                  <c:v>45869</c:v>
                </c:pt>
                <c:pt idx="106">
                  <c:v>45900</c:v>
                </c:pt>
                <c:pt idx="107">
                  <c:v>45930</c:v>
                </c:pt>
                <c:pt idx="108">
                  <c:v>45961</c:v>
                </c:pt>
                <c:pt idx="109">
                  <c:v>45991</c:v>
                </c:pt>
                <c:pt idx="110">
                  <c:v>46022</c:v>
                </c:pt>
              </c:numCache>
            </c:numRef>
          </c:cat>
          <c:val>
            <c:numRef>
              <c:f>'财政货币框架1&amp;2底稿'!$V$12:$V$122</c:f>
              <c:numCache>
                <c:formatCode>General</c:formatCode>
                <c:ptCount val="1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1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50-4E57-8593-BCE759145A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45717383"/>
        <c:axId val="269723025"/>
      </c:barChart>
      <c:lineChart>
        <c:grouping val="standard"/>
        <c:varyColors val="0"/>
        <c:ser>
          <c:idx val="1"/>
          <c:order val="0"/>
          <c:tx>
            <c:strRef>
              <c:f>'财政货币框架1&amp;2底稿'!$Q$11</c:f>
              <c:strCache>
                <c:ptCount val="1"/>
                <c:pt idx="0">
                  <c:v>广义财政支出同比</c:v>
                </c:pt>
              </c:strCache>
            </c:strRef>
          </c:tx>
          <c:spPr>
            <a:ln w="158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numRef>
              <c:f>'财政货币框架1&amp;2底稿'!$A$12:$A$122</c:f>
              <c:numCache>
                <c:formatCode>yyyy\-mm</c:formatCode>
                <c:ptCount val="111"/>
                <c:pt idx="0">
                  <c:v>42429</c:v>
                </c:pt>
                <c:pt idx="1">
                  <c:v>42460</c:v>
                </c:pt>
                <c:pt idx="2">
                  <c:v>42490</c:v>
                </c:pt>
                <c:pt idx="3">
                  <c:v>42521</c:v>
                </c:pt>
                <c:pt idx="4">
                  <c:v>42551</c:v>
                </c:pt>
                <c:pt idx="5">
                  <c:v>42582</c:v>
                </c:pt>
                <c:pt idx="6">
                  <c:v>42613</c:v>
                </c:pt>
                <c:pt idx="7">
                  <c:v>42643</c:v>
                </c:pt>
                <c:pt idx="8">
                  <c:v>42674</c:v>
                </c:pt>
                <c:pt idx="9">
                  <c:v>42704</c:v>
                </c:pt>
                <c:pt idx="10">
                  <c:v>42735</c:v>
                </c:pt>
                <c:pt idx="11">
                  <c:v>42794</c:v>
                </c:pt>
                <c:pt idx="12">
                  <c:v>42825</c:v>
                </c:pt>
                <c:pt idx="13">
                  <c:v>42855</c:v>
                </c:pt>
                <c:pt idx="14">
                  <c:v>42886</c:v>
                </c:pt>
                <c:pt idx="15">
                  <c:v>42916</c:v>
                </c:pt>
                <c:pt idx="16">
                  <c:v>42947</c:v>
                </c:pt>
                <c:pt idx="17">
                  <c:v>42978</c:v>
                </c:pt>
                <c:pt idx="18">
                  <c:v>43008</c:v>
                </c:pt>
                <c:pt idx="19">
                  <c:v>43039</c:v>
                </c:pt>
                <c:pt idx="20">
                  <c:v>43069</c:v>
                </c:pt>
                <c:pt idx="21">
                  <c:v>43100</c:v>
                </c:pt>
                <c:pt idx="22">
                  <c:v>43159</c:v>
                </c:pt>
                <c:pt idx="23">
                  <c:v>43190</c:v>
                </c:pt>
                <c:pt idx="24">
                  <c:v>43220</c:v>
                </c:pt>
                <c:pt idx="25">
                  <c:v>43251</c:v>
                </c:pt>
                <c:pt idx="26">
                  <c:v>43281</c:v>
                </c:pt>
                <c:pt idx="27">
                  <c:v>43312</c:v>
                </c:pt>
                <c:pt idx="28">
                  <c:v>43343</c:v>
                </c:pt>
                <c:pt idx="29">
                  <c:v>43373</c:v>
                </c:pt>
                <c:pt idx="30">
                  <c:v>43404</c:v>
                </c:pt>
                <c:pt idx="31">
                  <c:v>43434</c:v>
                </c:pt>
                <c:pt idx="32">
                  <c:v>43465</c:v>
                </c:pt>
                <c:pt idx="33">
                  <c:v>43524</c:v>
                </c:pt>
                <c:pt idx="34">
                  <c:v>43555</c:v>
                </c:pt>
                <c:pt idx="35">
                  <c:v>43585</c:v>
                </c:pt>
                <c:pt idx="36">
                  <c:v>43616</c:v>
                </c:pt>
                <c:pt idx="37">
                  <c:v>43646</c:v>
                </c:pt>
                <c:pt idx="38">
                  <c:v>43677</c:v>
                </c:pt>
                <c:pt idx="39">
                  <c:v>43708</c:v>
                </c:pt>
                <c:pt idx="40">
                  <c:v>43738</c:v>
                </c:pt>
                <c:pt idx="41">
                  <c:v>43769</c:v>
                </c:pt>
                <c:pt idx="42">
                  <c:v>43799</c:v>
                </c:pt>
                <c:pt idx="43">
                  <c:v>43830</c:v>
                </c:pt>
                <c:pt idx="44">
                  <c:v>43890</c:v>
                </c:pt>
                <c:pt idx="45">
                  <c:v>43921</c:v>
                </c:pt>
                <c:pt idx="46">
                  <c:v>43951</c:v>
                </c:pt>
                <c:pt idx="47">
                  <c:v>43982</c:v>
                </c:pt>
                <c:pt idx="48">
                  <c:v>44012</c:v>
                </c:pt>
                <c:pt idx="49">
                  <c:v>44043</c:v>
                </c:pt>
                <c:pt idx="50">
                  <c:v>44074</c:v>
                </c:pt>
                <c:pt idx="51">
                  <c:v>44104</c:v>
                </c:pt>
                <c:pt idx="52">
                  <c:v>44135</c:v>
                </c:pt>
                <c:pt idx="53">
                  <c:v>44165</c:v>
                </c:pt>
                <c:pt idx="54">
                  <c:v>44196</c:v>
                </c:pt>
                <c:pt idx="55">
                  <c:v>44255</c:v>
                </c:pt>
                <c:pt idx="56">
                  <c:v>44286</c:v>
                </c:pt>
                <c:pt idx="57">
                  <c:v>44316</c:v>
                </c:pt>
                <c:pt idx="58">
                  <c:v>44347</c:v>
                </c:pt>
                <c:pt idx="59">
                  <c:v>44377</c:v>
                </c:pt>
                <c:pt idx="60">
                  <c:v>44408</c:v>
                </c:pt>
                <c:pt idx="61">
                  <c:v>44439</c:v>
                </c:pt>
                <c:pt idx="62">
                  <c:v>44469</c:v>
                </c:pt>
                <c:pt idx="63">
                  <c:v>44500</c:v>
                </c:pt>
                <c:pt idx="64">
                  <c:v>44530</c:v>
                </c:pt>
                <c:pt idx="65">
                  <c:v>44561</c:v>
                </c:pt>
                <c:pt idx="66">
                  <c:v>44620</c:v>
                </c:pt>
                <c:pt idx="67">
                  <c:v>44651</c:v>
                </c:pt>
                <c:pt idx="68">
                  <c:v>44681</c:v>
                </c:pt>
                <c:pt idx="69">
                  <c:v>44712</c:v>
                </c:pt>
                <c:pt idx="70">
                  <c:v>44742</c:v>
                </c:pt>
                <c:pt idx="71">
                  <c:v>44773</c:v>
                </c:pt>
                <c:pt idx="72">
                  <c:v>44804</c:v>
                </c:pt>
                <c:pt idx="73">
                  <c:v>44834</c:v>
                </c:pt>
                <c:pt idx="74">
                  <c:v>44865</c:v>
                </c:pt>
                <c:pt idx="75">
                  <c:v>44895</c:v>
                </c:pt>
                <c:pt idx="76">
                  <c:v>44926</c:v>
                </c:pt>
                <c:pt idx="77">
                  <c:v>44985</c:v>
                </c:pt>
                <c:pt idx="78">
                  <c:v>45016</c:v>
                </c:pt>
                <c:pt idx="79">
                  <c:v>45046</c:v>
                </c:pt>
                <c:pt idx="80">
                  <c:v>45077</c:v>
                </c:pt>
                <c:pt idx="81">
                  <c:v>45107</c:v>
                </c:pt>
                <c:pt idx="82">
                  <c:v>45138</c:v>
                </c:pt>
                <c:pt idx="83">
                  <c:v>45169</c:v>
                </c:pt>
                <c:pt idx="84">
                  <c:v>45199</c:v>
                </c:pt>
                <c:pt idx="85">
                  <c:v>45230</c:v>
                </c:pt>
                <c:pt idx="86">
                  <c:v>45260</c:v>
                </c:pt>
                <c:pt idx="87">
                  <c:v>45291</c:v>
                </c:pt>
                <c:pt idx="88">
                  <c:v>45351</c:v>
                </c:pt>
                <c:pt idx="89">
                  <c:v>45382</c:v>
                </c:pt>
                <c:pt idx="90">
                  <c:v>45412</c:v>
                </c:pt>
                <c:pt idx="91">
                  <c:v>45443</c:v>
                </c:pt>
                <c:pt idx="92">
                  <c:v>45473</c:v>
                </c:pt>
                <c:pt idx="93">
                  <c:v>45504</c:v>
                </c:pt>
                <c:pt idx="94">
                  <c:v>45535</c:v>
                </c:pt>
                <c:pt idx="95">
                  <c:v>45565</c:v>
                </c:pt>
                <c:pt idx="96">
                  <c:v>45596</c:v>
                </c:pt>
                <c:pt idx="97">
                  <c:v>45626</c:v>
                </c:pt>
                <c:pt idx="98">
                  <c:v>45657</c:v>
                </c:pt>
                <c:pt idx="99">
                  <c:v>45688</c:v>
                </c:pt>
                <c:pt idx="100">
                  <c:v>45716</c:v>
                </c:pt>
                <c:pt idx="101">
                  <c:v>45747</c:v>
                </c:pt>
                <c:pt idx="102">
                  <c:v>45777</c:v>
                </c:pt>
                <c:pt idx="103">
                  <c:v>45808</c:v>
                </c:pt>
                <c:pt idx="104">
                  <c:v>45838</c:v>
                </c:pt>
                <c:pt idx="105">
                  <c:v>45869</c:v>
                </c:pt>
                <c:pt idx="106">
                  <c:v>45900</c:v>
                </c:pt>
                <c:pt idx="107">
                  <c:v>45930</c:v>
                </c:pt>
                <c:pt idx="108">
                  <c:v>45961</c:v>
                </c:pt>
                <c:pt idx="109">
                  <c:v>45991</c:v>
                </c:pt>
                <c:pt idx="110">
                  <c:v>46022</c:v>
                </c:pt>
              </c:numCache>
            </c:numRef>
          </c:cat>
          <c:val>
            <c:numRef>
              <c:f>'财政货币框架1&amp;2底稿'!$Q$12:$Q$122</c:f>
              <c:numCache>
                <c:formatCode>#,##0.00_ </c:formatCode>
                <c:ptCount val="111"/>
                <c:pt idx="0">
                  <c:v>5.5188850491648296</c:v>
                </c:pt>
                <c:pt idx="1">
                  <c:v>10.9017324978881</c:v>
                </c:pt>
                <c:pt idx="2">
                  <c:v>7.69029294977791</c:v>
                </c:pt>
                <c:pt idx="3">
                  <c:v>9.8467051083747297</c:v>
                </c:pt>
                <c:pt idx="4">
                  <c:v>12.1446122152981</c:v>
                </c:pt>
                <c:pt idx="5">
                  <c:v>11.200284073409</c:v>
                </c:pt>
                <c:pt idx="6">
                  <c:v>11.7373617201684</c:v>
                </c:pt>
                <c:pt idx="7">
                  <c:v>11.494648091794099</c:v>
                </c:pt>
                <c:pt idx="8">
                  <c:v>9.7078806783824998</c:v>
                </c:pt>
                <c:pt idx="9">
                  <c:v>10.196291298772699</c:v>
                </c:pt>
                <c:pt idx="10">
                  <c:v>7.5921918838134701</c:v>
                </c:pt>
                <c:pt idx="11">
                  <c:v>18.299836046750801</c:v>
                </c:pt>
                <c:pt idx="12">
                  <c:v>20.6020100796515</c:v>
                </c:pt>
                <c:pt idx="13">
                  <c:v>17.423385064803099</c:v>
                </c:pt>
                <c:pt idx="14">
                  <c:v>15.719430425387699</c:v>
                </c:pt>
                <c:pt idx="15">
                  <c:v>17.172466596808601</c:v>
                </c:pt>
                <c:pt idx="16">
                  <c:v>16.472756566501101</c:v>
                </c:pt>
                <c:pt idx="17">
                  <c:v>15.811883821468999</c:v>
                </c:pt>
                <c:pt idx="18">
                  <c:v>14.8002437632571</c:v>
                </c:pt>
                <c:pt idx="19">
                  <c:v>13.5382949894841</c:v>
                </c:pt>
                <c:pt idx="20">
                  <c:v>11.8493173353923</c:v>
                </c:pt>
                <c:pt idx="21">
                  <c:v>12.5001597832062</c:v>
                </c:pt>
                <c:pt idx="22">
                  <c:v>23.088805419361201</c:v>
                </c:pt>
                <c:pt idx="23">
                  <c:v>16.851154550618801</c:v>
                </c:pt>
                <c:pt idx="24">
                  <c:v>16.267404005753502</c:v>
                </c:pt>
                <c:pt idx="25">
                  <c:v>14.109631874554699</c:v>
                </c:pt>
                <c:pt idx="26">
                  <c:v>12.702443102338799</c:v>
                </c:pt>
                <c:pt idx="27">
                  <c:v>11.8636116446187</c:v>
                </c:pt>
                <c:pt idx="28">
                  <c:v>11.7970784212401</c:v>
                </c:pt>
                <c:pt idx="29">
                  <c:v>13.0899826110556</c:v>
                </c:pt>
                <c:pt idx="30">
                  <c:v>13.8211978228739</c:v>
                </c:pt>
                <c:pt idx="31">
                  <c:v>13.2126898955621</c:v>
                </c:pt>
                <c:pt idx="32">
                  <c:v>14.1794493050032</c:v>
                </c:pt>
                <c:pt idx="33">
                  <c:v>32.873258838713099</c:v>
                </c:pt>
                <c:pt idx="34">
                  <c:v>22.821214873108801</c:v>
                </c:pt>
                <c:pt idx="35">
                  <c:v>19.766225821753601</c:v>
                </c:pt>
                <c:pt idx="36">
                  <c:v>16.591507840315899</c:v>
                </c:pt>
                <c:pt idx="37">
                  <c:v>15.0054204019679</c:v>
                </c:pt>
                <c:pt idx="38">
                  <c:v>14.8964313946567</c:v>
                </c:pt>
                <c:pt idx="39">
                  <c:v>13.713475898305701</c:v>
                </c:pt>
                <c:pt idx="40">
                  <c:v>12.845194073031299</c:v>
                </c:pt>
                <c:pt idx="41">
                  <c:v>12.0772955214305</c:v>
                </c:pt>
                <c:pt idx="42">
                  <c:v>10.510824046104201</c:v>
                </c:pt>
                <c:pt idx="43">
                  <c:v>9.5436331550943994</c:v>
                </c:pt>
                <c:pt idx="44">
                  <c:v>-5.1564334843147099</c:v>
                </c:pt>
                <c:pt idx="45">
                  <c:v>-3.1957166817184901</c:v>
                </c:pt>
                <c:pt idx="46">
                  <c:v>1.2988337003507</c:v>
                </c:pt>
                <c:pt idx="47">
                  <c:v>1.03987425545996</c:v>
                </c:pt>
                <c:pt idx="48">
                  <c:v>0.58187294633077802</c:v>
                </c:pt>
                <c:pt idx="49">
                  <c:v>2.2339906473913</c:v>
                </c:pt>
                <c:pt idx="50">
                  <c:v>3.88700477129836</c:v>
                </c:pt>
                <c:pt idx="51">
                  <c:v>5.4176720193027696</c:v>
                </c:pt>
                <c:pt idx="52">
                  <c:v>6.1041375745465496</c:v>
                </c:pt>
                <c:pt idx="53">
                  <c:v>7.4210714525968404</c:v>
                </c:pt>
                <c:pt idx="54">
                  <c:v>10.098141043305001</c:v>
                </c:pt>
                <c:pt idx="55">
                  <c:v>3.27444781003339</c:v>
                </c:pt>
                <c:pt idx="56">
                  <c:v>1.33407967161116</c:v>
                </c:pt>
                <c:pt idx="57">
                  <c:v>0.32507397194098397</c:v>
                </c:pt>
                <c:pt idx="58">
                  <c:v>0.84331529348191003</c:v>
                </c:pt>
                <c:pt idx="59">
                  <c:v>1.08400413307512</c:v>
                </c:pt>
                <c:pt idx="60">
                  <c:v>0.43435361746852302</c:v>
                </c:pt>
                <c:pt idx="61">
                  <c:v>0.36012609090143799</c:v>
                </c:pt>
                <c:pt idx="62">
                  <c:v>-1.0800977099718601</c:v>
                </c:pt>
                <c:pt idx="63">
                  <c:v>-1.0695925950163201</c:v>
                </c:pt>
                <c:pt idx="64">
                  <c:v>0.50197924185643295</c:v>
                </c:pt>
                <c:pt idx="65">
                  <c:v>-0.99123456009153199</c:v>
                </c:pt>
                <c:pt idx="66">
                  <c:v>11.9010918432884</c:v>
                </c:pt>
                <c:pt idx="67">
                  <c:v>16.229581503011801</c:v>
                </c:pt>
                <c:pt idx="68">
                  <c:v>12.7762451722927</c:v>
                </c:pt>
                <c:pt idx="69">
                  <c:v>12.3580179755941</c:v>
                </c:pt>
                <c:pt idx="70">
                  <c:v>12.448661055853099</c:v>
                </c:pt>
                <c:pt idx="71">
                  <c:v>12.5572629128536</c:v>
                </c:pt>
                <c:pt idx="72">
                  <c:v>11.0134026768072</c:v>
                </c:pt>
                <c:pt idx="73">
                  <c:v>7.9855265572514798</c:v>
                </c:pt>
                <c:pt idx="74">
                  <c:v>7.3729585911890503</c:v>
                </c:pt>
                <c:pt idx="75">
                  <c:v>5.9995671024065196</c:v>
                </c:pt>
                <c:pt idx="76">
                  <c:v>3.1137581496903999</c:v>
                </c:pt>
                <c:pt idx="77">
                  <c:v>2.1465878436549399</c:v>
                </c:pt>
                <c:pt idx="78">
                  <c:v>0.68685359947495905</c:v>
                </c:pt>
                <c:pt idx="79">
                  <c:v>1.71231353572731</c:v>
                </c:pt>
                <c:pt idx="80">
                  <c:v>0.56074226088967305</c:v>
                </c:pt>
                <c:pt idx="81">
                  <c:v>-3.5914714799714802</c:v>
                </c:pt>
                <c:pt idx="82">
                  <c:v>-4.7639377078263703</c:v>
                </c:pt>
                <c:pt idx="83">
                  <c:v>-4.03707543962018</c:v>
                </c:pt>
                <c:pt idx="84">
                  <c:v>-2.3710391860589701</c:v>
                </c:pt>
                <c:pt idx="85">
                  <c:v>-1.21363958395367</c:v>
                </c:pt>
                <c:pt idx="86">
                  <c:v>-0.48667145190832101</c:v>
                </c:pt>
                <c:pt idx="87">
                  <c:v>1.2718485312183401</c:v>
                </c:pt>
                <c:pt idx="88">
                  <c:v>2.7270513757000199</c:v>
                </c:pt>
                <c:pt idx="89">
                  <c:v>-1.4913296096919599</c:v>
                </c:pt>
                <c:pt idx="90">
                  <c:v>-2.3306455844541998</c:v>
                </c:pt>
                <c:pt idx="91">
                  <c:v>-1.7567894270287701</c:v>
                </c:pt>
                <c:pt idx="92">
                  <c:v>-4.8588969987615602</c:v>
                </c:pt>
                <c:pt idx="93">
                  <c:v>3.6609596279856298</c:v>
                </c:pt>
                <c:pt idx="94">
                  <c:v>-8.8106360043118901</c:v>
                </c:pt>
                <c:pt idx="95">
                  <c:v>12.597784943221701</c:v>
                </c:pt>
                <c:pt idx="96">
                  <c:v>20.424326986211401</c:v>
                </c:pt>
                <c:pt idx="97">
                  <c:v>4.57134201757043</c:v>
                </c:pt>
                <c:pt idx="98">
                  <c:v>10.556476874884799</c:v>
                </c:pt>
                <c:pt idx="100" formatCode="0.0_ ">
                  <c:v>2.9458924136379001</c:v>
                </c:pt>
                <c:pt idx="101" formatCode="0.0_ ">
                  <c:v>3.4396184995926502</c:v>
                </c:pt>
                <c:pt idx="102" formatCode="0.0_ ">
                  <c:v>5.17265484405437</c:v>
                </c:pt>
                <c:pt idx="103" formatCode="0.0_ ">
                  <c:v>4.92418929084028</c:v>
                </c:pt>
                <c:pt idx="104" formatCode="0.0_ ">
                  <c:v>2.9734137204808699</c:v>
                </c:pt>
                <c:pt idx="105" formatCode="0.0_ ">
                  <c:v>4.59880142923486</c:v>
                </c:pt>
                <c:pt idx="106" formatCode="0.0_ ">
                  <c:v>5.3281129562100604</c:v>
                </c:pt>
                <c:pt idx="107" formatCode="0.0_ ">
                  <c:v>5.1990161257252296</c:v>
                </c:pt>
                <c:pt idx="108" formatCode="0.0_ ">
                  <c:v>6.0527496488638004</c:v>
                </c:pt>
                <c:pt idx="109" formatCode="0.0_ ">
                  <c:v>6.3562642247151402</c:v>
                </c:pt>
                <c:pt idx="110" formatCode="0.0_ ">
                  <c:v>6.2035875779791301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350-4E57-8593-BCE759145A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5643233"/>
        <c:axId val="269355564"/>
      </c:lineChart>
      <c:dateAx>
        <c:axId val="325643233"/>
        <c:scaling>
          <c:orientation val="minMax"/>
        </c:scaling>
        <c:delete val="0"/>
        <c:axPos val="b"/>
        <c:numFmt formatCode="yyyy\-mm" sourceLinked="0"/>
        <c:majorTickMark val="in"/>
        <c:minorTickMark val="none"/>
        <c:tickLblPos val="low"/>
        <c:spPr>
          <a:noFill/>
          <a:ln w="6350" cap="flat" cmpd="sng" algn="ctr">
            <a:solidFill>
              <a:srgbClr val="000000"/>
            </a:solidFill>
            <a:round/>
          </a:ln>
          <a:effectLst/>
        </c:spPr>
        <c:txPr>
          <a:bodyPr rot="-5400000" spcFirstLastPara="0" vertOverflow="ellipsis" wrap="square" anchor="ctr" anchorCtr="1"/>
          <a:lstStyle/>
          <a:p>
            <a:pPr>
              <a:defRPr lang="zh-CN" sz="800" b="0" i="0" u="none" strike="noStrike" kern="1200" baseline="0">
                <a:solidFill>
                  <a:sysClr val="windowText" lastClr="000000"/>
                </a:solidFill>
                <a:latin typeface="黑体" panose="02010609060101010101" pitchFamily="49" charset="-122"/>
                <a:ea typeface="黑体" panose="02010609060101010101" pitchFamily="49" charset="-122"/>
                <a:cs typeface="黑体" panose="02010609060101010101" pitchFamily="49" charset="-122"/>
                <a:sym typeface="黑体" panose="02010609060101010101" pitchFamily="49" charset="-122"/>
              </a:defRPr>
            </a:pPr>
            <a:endParaRPr lang="zh-CN"/>
          </a:p>
        </c:txPr>
        <c:crossAx val="269355564"/>
        <c:crosses val="autoZero"/>
        <c:auto val="1"/>
        <c:lblOffset val="100"/>
        <c:baseTimeUnit val="months"/>
      </c:dateAx>
      <c:valAx>
        <c:axId val="269355564"/>
        <c:scaling>
          <c:orientation val="minMax"/>
        </c:scaling>
        <c:delete val="0"/>
        <c:axPos val="l"/>
        <c:numFmt formatCode="General" sourceLinked="0"/>
        <c:majorTickMark val="in"/>
        <c:minorTickMark val="none"/>
        <c:tickLblPos val="nextTo"/>
        <c:spPr>
          <a:noFill/>
          <a:ln w="6350">
            <a:solidFill>
              <a:srgbClr val="000000"/>
            </a:solidFill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800" b="0" i="0" u="none" strike="noStrike" kern="1200" baseline="0">
                <a:solidFill>
                  <a:schemeClr val="tx1"/>
                </a:solidFill>
                <a:latin typeface="黑体" panose="02010609060101010101" pitchFamily="49" charset="-122"/>
                <a:ea typeface="黑体" panose="02010609060101010101" pitchFamily="49" charset="-122"/>
                <a:cs typeface="黑体" panose="02010609060101010101" pitchFamily="49" charset="-122"/>
                <a:sym typeface="黑体" panose="02010609060101010101" pitchFamily="49" charset="-122"/>
              </a:defRPr>
            </a:pPr>
            <a:endParaRPr lang="zh-CN"/>
          </a:p>
        </c:txPr>
        <c:crossAx val="325643233"/>
        <c:crosses val="autoZero"/>
        <c:crossBetween val="between"/>
      </c:valAx>
      <c:dateAx>
        <c:axId val="945717383"/>
        <c:scaling>
          <c:orientation val="minMax"/>
        </c:scaling>
        <c:delete val="1"/>
        <c:axPos val="b"/>
        <c:numFmt formatCode="yyyy\-mm" sourceLinked="1"/>
        <c:majorTickMark val="none"/>
        <c:minorTickMark val="none"/>
        <c:tickLblPos val="nextTo"/>
        <c:crossAx val="269723025"/>
        <c:crosses val="autoZero"/>
        <c:auto val="1"/>
        <c:lblOffset val="100"/>
        <c:baseTimeUnit val="months"/>
      </c:dateAx>
      <c:valAx>
        <c:axId val="269723025"/>
        <c:scaling>
          <c:orientation val="minMax"/>
          <c:max val="1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/>
                </a:solidFill>
                <a:latin typeface="黑体" panose="02010609060101010101" pitchFamily="49" charset="-122"/>
                <a:ea typeface="黑体" panose="02010609060101010101" pitchFamily="49" charset="-122"/>
                <a:cs typeface="黑体" panose="02010609060101010101" pitchFamily="49" charset="-122"/>
                <a:sym typeface="黑体" panose="02010609060101010101" pitchFamily="49" charset="-122"/>
              </a:defRPr>
            </a:pPr>
            <a:endParaRPr lang="zh-CN"/>
          </a:p>
        </c:txPr>
        <c:crossAx val="945717383"/>
        <c:crosses val="max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68784743581601"/>
          <c:y val="1.00603621730382E-2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800" b="0" i="0" u="none" strike="noStrike" kern="1200" baseline="0">
              <a:solidFill>
                <a:schemeClr val="tx1"/>
              </a:solidFill>
              <a:latin typeface="黑体" panose="02010609060101010101" pitchFamily="49" charset="-122"/>
              <a:ea typeface="黑体" panose="02010609060101010101" pitchFamily="49" charset="-122"/>
              <a:cs typeface="黑体" panose="02010609060101010101" pitchFamily="49" charset="-122"/>
              <a:sym typeface="黑体" panose="02010609060101010101" pitchFamily="49" charset="-122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zh-CN" sz="800" baseline="0">
          <a:solidFill>
            <a:schemeClr val="tx1"/>
          </a:solidFill>
          <a:latin typeface="黑体" panose="02010609060101010101" pitchFamily="49" charset="-122"/>
          <a:ea typeface="黑体" panose="02010609060101010101" pitchFamily="49" charset="-122"/>
          <a:cs typeface="黑体" panose="02010609060101010101" pitchFamily="49" charset="-122"/>
          <a:sym typeface="黑体" panose="02010609060101010101" pitchFamily="49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9337220878964599E-2"/>
          <c:y val="7.7841182800196307E-2"/>
          <c:w val="0.90780827762764904"/>
          <c:h val="0.64518932340161395"/>
        </c:manualLayout>
      </c:layout>
      <c:barChart>
        <c:barDir val="col"/>
        <c:grouping val="clustered"/>
        <c:varyColors val="0"/>
        <c:ser>
          <c:idx val="0"/>
          <c:order val="1"/>
          <c:tx>
            <c:strRef>
              <c:f>'财政货币框架1&amp;2底稿'!$F$11</c:f>
              <c:strCache>
                <c:ptCount val="1"/>
                <c:pt idx="0">
                  <c:v>货币上行手动</c:v>
                </c:pt>
              </c:strCache>
            </c:strRef>
          </c:tx>
          <c:spPr>
            <a:solidFill>
              <a:srgbClr val="4874CB">
                <a:lumMod val="60000"/>
                <a:lumOff val="40000"/>
              </a:srgbClr>
            </a:solidFill>
            <a:ln>
              <a:noFill/>
            </a:ln>
            <a:effectLst/>
          </c:spPr>
          <c:invertIfNegative val="0"/>
          <c:cat>
            <c:numRef>
              <c:f>'财政货币框架1&amp;2底稿'!$A$12:$A$122</c:f>
              <c:numCache>
                <c:formatCode>yyyy\-mm</c:formatCode>
                <c:ptCount val="111"/>
                <c:pt idx="0">
                  <c:v>42429</c:v>
                </c:pt>
                <c:pt idx="1">
                  <c:v>42460</c:v>
                </c:pt>
                <c:pt idx="2">
                  <c:v>42490</c:v>
                </c:pt>
                <c:pt idx="3">
                  <c:v>42521</c:v>
                </c:pt>
                <c:pt idx="4">
                  <c:v>42551</c:v>
                </c:pt>
                <c:pt idx="5">
                  <c:v>42582</c:v>
                </c:pt>
                <c:pt idx="6">
                  <c:v>42613</c:v>
                </c:pt>
                <c:pt idx="7">
                  <c:v>42643</c:v>
                </c:pt>
                <c:pt idx="8">
                  <c:v>42674</c:v>
                </c:pt>
                <c:pt idx="9">
                  <c:v>42704</c:v>
                </c:pt>
                <c:pt idx="10">
                  <c:v>42735</c:v>
                </c:pt>
                <c:pt idx="11">
                  <c:v>42794</c:v>
                </c:pt>
                <c:pt idx="12">
                  <c:v>42825</c:v>
                </c:pt>
                <c:pt idx="13">
                  <c:v>42855</c:v>
                </c:pt>
                <c:pt idx="14">
                  <c:v>42886</c:v>
                </c:pt>
                <c:pt idx="15">
                  <c:v>42916</c:v>
                </c:pt>
                <c:pt idx="16">
                  <c:v>42947</c:v>
                </c:pt>
                <c:pt idx="17">
                  <c:v>42978</c:v>
                </c:pt>
                <c:pt idx="18">
                  <c:v>43008</c:v>
                </c:pt>
                <c:pt idx="19">
                  <c:v>43039</c:v>
                </c:pt>
                <c:pt idx="20">
                  <c:v>43069</c:v>
                </c:pt>
                <c:pt idx="21">
                  <c:v>43100</c:v>
                </c:pt>
                <c:pt idx="22">
                  <c:v>43159</c:v>
                </c:pt>
                <c:pt idx="23">
                  <c:v>43190</c:v>
                </c:pt>
                <c:pt idx="24">
                  <c:v>43220</c:v>
                </c:pt>
                <c:pt idx="25">
                  <c:v>43251</c:v>
                </c:pt>
                <c:pt idx="26">
                  <c:v>43281</c:v>
                </c:pt>
                <c:pt idx="27">
                  <c:v>43312</c:v>
                </c:pt>
                <c:pt idx="28">
                  <c:v>43343</c:v>
                </c:pt>
                <c:pt idx="29">
                  <c:v>43373</c:v>
                </c:pt>
                <c:pt idx="30">
                  <c:v>43404</c:v>
                </c:pt>
                <c:pt idx="31">
                  <c:v>43434</c:v>
                </c:pt>
                <c:pt idx="32">
                  <c:v>43465</c:v>
                </c:pt>
                <c:pt idx="33">
                  <c:v>43524</c:v>
                </c:pt>
                <c:pt idx="34">
                  <c:v>43555</c:v>
                </c:pt>
                <c:pt idx="35">
                  <c:v>43585</c:v>
                </c:pt>
                <c:pt idx="36">
                  <c:v>43616</c:v>
                </c:pt>
                <c:pt idx="37">
                  <c:v>43646</c:v>
                </c:pt>
                <c:pt idx="38">
                  <c:v>43677</c:v>
                </c:pt>
                <c:pt idx="39">
                  <c:v>43708</c:v>
                </c:pt>
                <c:pt idx="40">
                  <c:v>43738</c:v>
                </c:pt>
                <c:pt idx="41">
                  <c:v>43769</c:v>
                </c:pt>
                <c:pt idx="42">
                  <c:v>43799</c:v>
                </c:pt>
                <c:pt idx="43">
                  <c:v>43830</c:v>
                </c:pt>
                <c:pt idx="44">
                  <c:v>43890</c:v>
                </c:pt>
                <c:pt idx="45">
                  <c:v>43921</c:v>
                </c:pt>
                <c:pt idx="46">
                  <c:v>43951</c:v>
                </c:pt>
                <c:pt idx="47">
                  <c:v>43982</c:v>
                </c:pt>
                <c:pt idx="48">
                  <c:v>44012</c:v>
                </c:pt>
                <c:pt idx="49">
                  <c:v>44043</c:v>
                </c:pt>
                <c:pt idx="50">
                  <c:v>44074</c:v>
                </c:pt>
                <c:pt idx="51">
                  <c:v>44104</c:v>
                </c:pt>
                <c:pt idx="52">
                  <c:v>44135</c:v>
                </c:pt>
                <c:pt idx="53">
                  <c:v>44165</c:v>
                </c:pt>
                <c:pt idx="54">
                  <c:v>44196</c:v>
                </c:pt>
                <c:pt idx="55">
                  <c:v>44255</c:v>
                </c:pt>
                <c:pt idx="56">
                  <c:v>44286</c:v>
                </c:pt>
                <c:pt idx="57">
                  <c:v>44316</c:v>
                </c:pt>
                <c:pt idx="58">
                  <c:v>44347</c:v>
                </c:pt>
                <c:pt idx="59">
                  <c:v>44377</c:v>
                </c:pt>
                <c:pt idx="60">
                  <c:v>44408</c:v>
                </c:pt>
                <c:pt idx="61">
                  <c:v>44439</c:v>
                </c:pt>
                <c:pt idx="62">
                  <c:v>44469</c:v>
                </c:pt>
                <c:pt idx="63">
                  <c:v>44500</c:v>
                </c:pt>
                <c:pt idx="64">
                  <c:v>44530</c:v>
                </c:pt>
                <c:pt idx="65">
                  <c:v>44561</c:v>
                </c:pt>
                <c:pt idx="66">
                  <c:v>44620</c:v>
                </c:pt>
                <c:pt idx="67">
                  <c:v>44651</c:v>
                </c:pt>
                <c:pt idx="68">
                  <c:v>44681</c:v>
                </c:pt>
                <c:pt idx="69">
                  <c:v>44712</c:v>
                </c:pt>
                <c:pt idx="70">
                  <c:v>44742</c:v>
                </c:pt>
                <c:pt idx="71">
                  <c:v>44773</c:v>
                </c:pt>
                <c:pt idx="72">
                  <c:v>44804</c:v>
                </c:pt>
                <c:pt idx="73">
                  <c:v>44834</c:v>
                </c:pt>
                <c:pt idx="74">
                  <c:v>44865</c:v>
                </c:pt>
                <c:pt idx="75">
                  <c:v>44895</c:v>
                </c:pt>
                <c:pt idx="76">
                  <c:v>44926</c:v>
                </c:pt>
                <c:pt idx="77">
                  <c:v>44985</c:v>
                </c:pt>
                <c:pt idx="78">
                  <c:v>45016</c:v>
                </c:pt>
                <c:pt idx="79">
                  <c:v>45046</c:v>
                </c:pt>
                <c:pt idx="80">
                  <c:v>45077</c:v>
                </c:pt>
                <c:pt idx="81">
                  <c:v>45107</c:v>
                </c:pt>
                <c:pt idx="82">
                  <c:v>45138</c:v>
                </c:pt>
                <c:pt idx="83">
                  <c:v>45169</c:v>
                </c:pt>
                <c:pt idx="84">
                  <c:v>45199</c:v>
                </c:pt>
                <c:pt idx="85">
                  <c:v>45230</c:v>
                </c:pt>
                <c:pt idx="86">
                  <c:v>45260</c:v>
                </c:pt>
                <c:pt idx="87">
                  <c:v>45291</c:v>
                </c:pt>
                <c:pt idx="88">
                  <c:v>45351</c:v>
                </c:pt>
                <c:pt idx="89">
                  <c:v>45382</c:v>
                </c:pt>
                <c:pt idx="90">
                  <c:v>45412</c:v>
                </c:pt>
                <c:pt idx="91">
                  <c:v>45443</c:v>
                </c:pt>
                <c:pt idx="92">
                  <c:v>45473</c:v>
                </c:pt>
                <c:pt idx="93">
                  <c:v>45504</c:v>
                </c:pt>
                <c:pt idx="94">
                  <c:v>45535</c:v>
                </c:pt>
                <c:pt idx="95">
                  <c:v>45565</c:v>
                </c:pt>
                <c:pt idx="96">
                  <c:v>45596</c:v>
                </c:pt>
                <c:pt idx="97">
                  <c:v>45626</c:v>
                </c:pt>
                <c:pt idx="98">
                  <c:v>45657</c:v>
                </c:pt>
                <c:pt idx="99">
                  <c:v>45688</c:v>
                </c:pt>
                <c:pt idx="100">
                  <c:v>45716</c:v>
                </c:pt>
                <c:pt idx="101">
                  <c:v>45747</c:v>
                </c:pt>
                <c:pt idx="102">
                  <c:v>45777</c:v>
                </c:pt>
                <c:pt idx="103">
                  <c:v>45808</c:v>
                </c:pt>
                <c:pt idx="104">
                  <c:v>45838</c:v>
                </c:pt>
                <c:pt idx="105">
                  <c:v>45869</c:v>
                </c:pt>
                <c:pt idx="106">
                  <c:v>45900</c:v>
                </c:pt>
                <c:pt idx="107">
                  <c:v>45930</c:v>
                </c:pt>
                <c:pt idx="108">
                  <c:v>45961</c:v>
                </c:pt>
                <c:pt idx="109">
                  <c:v>45991</c:v>
                </c:pt>
                <c:pt idx="110">
                  <c:v>46022</c:v>
                </c:pt>
              </c:numCache>
            </c:numRef>
          </c:cat>
          <c:val>
            <c:numRef>
              <c:f>'财政货币框架1&amp;2底稿'!$S$12:$S$122</c:f>
              <c:numCache>
                <c:formatCode>General</c:formatCode>
                <c:ptCount val="1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5E-429D-BB68-D188450D1DFB}"/>
            </c:ext>
          </c:extLst>
        </c:ser>
        <c:ser>
          <c:idx val="2"/>
          <c:order val="2"/>
          <c:tx>
            <c:strRef>
              <c:f>'财政货币框架1&amp;2底稿'!$G$11</c:f>
              <c:strCache>
                <c:ptCount val="1"/>
                <c:pt idx="0">
                  <c:v>货币下行手动</c:v>
                </c:pt>
              </c:strCache>
            </c:strRef>
          </c:tx>
          <c:spPr>
            <a:solidFill>
              <a:srgbClr val="EE822F">
                <a:lumMod val="60000"/>
                <a:lumOff val="40000"/>
              </a:srgbClr>
            </a:solidFill>
            <a:ln>
              <a:noFill/>
            </a:ln>
            <a:effectLst/>
          </c:spPr>
          <c:invertIfNegative val="0"/>
          <c:cat>
            <c:numRef>
              <c:f>'财政货币框架1&amp;2底稿'!$A$12:$A$122</c:f>
              <c:numCache>
                <c:formatCode>yyyy\-mm</c:formatCode>
                <c:ptCount val="111"/>
                <c:pt idx="0">
                  <c:v>42429</c:v>
                </c:pt>
                <c:pt idx="1">
                  <c:v>42460</c:v>
                </c:pt>
                <c:pt idx="2">
                  <c:v>42490</c:v>
                </c:pt>
                <c:pt idx="3">
                  <c:v>42521</c:v>
                </c:pt>
                <c:pt idx="4">
                  <c:v>42551</c:v>
                </c:pt>
                <c:pt idx="5">
                  <c:v>42582</c:v>
                </c:pt>
                <c:pt idx="6">
                  <c:v>42613</c:v>
                </c:pt>
                <c:pt idx="7">
                  <c:v>42643</c:v>
                </c:pt>
                <c:pt idx="8">
                  <c:v>42674</c:v>
                </c:pt>
                <c:pt idx="9">
                  <c:v>42704</c:v>
                </c:pt>
                <c:pt idx="10">
                  <c:v>42735</c:v>
                </c:pt>
                <c:pt idx="11">
                  <c:v>42794</c:v>
                </c:pt>
                <c:pt idx="12">
                  <c:v>42825</c:v>
                </c:pt>
                <c:pt idx="13">
                  <c:v>42855</c:v>
                </c:pt>
                <c:pt idx="14">
                  <c:v>42886</c:v>
                </c:pt>
                <c:pt idx="15">
                  <c:v>42916</c:v>
                </c:pt>
                <c:pt idx="16">
                  <c:v>42947</c:v>
                </c:pt>
                <c:pt idx="17">
                  <c:v>42978</c:v>
                </c:pt>
                <c:pt idx="18">
                  <c:v>43008</c:v>
                </c:pt>
                <c:pt idx="19">
                  <c:v>43039</c:v>
                </c:pt>
                <c:pt idx="20">
                  <c:v>43069</c:v>
                </c:pt>
                <c:pt idx="21">
                  <c:v>43100</c:v>
                </c:pt>
                <c:pt idx="22">
                  <c:v>43159</c:v>
                </c:pt>
                <c:pt idx="23">
                  <c:v>43190</c:v>
                </c:pt>
                <c:pt idx="24">
                  <c:v>43220</c:v>
                </c:pt>
                <c:pt idx="25">
                  <c:v>43251</c:v>
                </c:pt>
                <c:pt idx="26">
                  <c:v>43281</c:v>
                </c:pt>
                <c:pt idx="27">
                  <c:v>43312</c:v>
                </c:pt>
                <c:pt idx="28">
                  <c:v>43343</c:v>
                </c:pt>
                <c:pt idx="29">
                  <c:v>43373</c:v>
                </c:pt>
                <c:pt idx="30">
                  <c:v>43404</c:v>
                </c:pt>
                <c:pt idx="31">
                  <c:v>43434</c:v>
                </c:pt>
                <c:pt idx="32">
                  <c:v>43465</c:v>
                </c:pt>
                <c:pt idx="33">
                  <c:v>43524</c:v>
                </c:pt>
                <c:pt idx="34">
                  <c:v>43555</c:v>
                </c:pt>
                <c:pt idx="35">
                  <c:v>43585</c:v>
                </c:pt>
                <c:pt idx="36">
                  <c:v>43616</c:v>
                </c:pt>
                <c:pt idx="37">
                  <c:v>43646</c:v>
                </c:pt>
                <c:pt idx="38">
                  <c:v>43677</c:v>
                </c:pt>
                <c:pt idx="39">
                  <c:v>43708</c:v>
                </c:pt>
                <c:pt idx="40">
                  <c:v>43738</c:v>
                </c:pt>
                <c:pt idx="41">
                  <c:v>43769</c:v>
                </c:pt>
                <c:pt idx="42">
                  <c:v>43799</c:v>
                </c:pt>
                <c:pt idx="43">
                  <c:v>43830</c:v>
                </c:pt>
                <c:pt idx="44">
                  <c:v>43890</c:v>
                </c:pt>
                <c:pt idx="45">
                  <c:v>43921</c:v>
                </c:pt>
                <c:pt idx="46">
                  <c:v>43951</c:v>
                </c:pt>
                <c:pt idx="47">
                  <c:v>43982</c:v>
                </c:pt>
                <c:pt idx="48">
                  <c:v>44012</c:v>
                </c:pt>
                <c:pt idx="49">
                  <c:v>44043</c:v>
                </c:pt>
                <c:pt idx="50">
                  <c:v>44074</c:v>
                </c:pt>
                <c:pt idx="51">
                  <c:v>44104</c:v>
                </c:pt>
                <c:pt idx="52">
                  <c:v>44135</c:v>
                </c:pt>
                <c:pt idx="53">
                  <c:v>44165</c:v>
                </c:pt>
                <c:pt idx="54">
                  <c:v>44196</c:v>
                </c:pt>
                <c:pt idx="55">
                  <c:v>44255</c:v>
                </c:pt>
                <c:pt idx="56">
                  <c:v>44286</c:v>
                </c:pt>
                <c:pt idx="57">
                  <c:v>44316</c:v>
                </c:pt>
                <c:pt idx="58">
                  <c:v>44347</c:v>
                </c:pt>
                <c:pt idx="59">
                  <c:v>44377</c:v>
                </c:pt>
                <c:pt idx="60">
                  <c:v>44408</c:v>
                </c:pt>
                <c:pt idx="61">
                  <c:v>44439</c:v>
                </c:pt>
                <c:pt idx="62">
                  <c:v>44469</c:v>
                </c:pt>
                <c:pt idx="63">
                  <c:v>44500</c:v>
                </c:pt>
                <c:pt idx="64">
                  <c:v>44530</c:v>
                </c:pt>
                <c:pt idx="65">
                  <c:v>44561</c:v>
                </c:pt>
                <c:pt idx="66">
                  <c:v>44620</c:v>
                </c:pt>
                <c:pt idx="67">
                  <c:v>44651</c:v>
                </c:pt>
                <c:pt idx="68">
                  <c:v>44681</c:v>
                </c:pt>
                <c:pt idx="69">
                  <c:v>44712</c:v>
                </c:pt>
                <c:pt idx="70">
                  <c:v>44742</c:v>
                </c:pt>
                <c:pt idx="71">
                  <c:v>44773</c:v>
                </c:pt>
                <c:pt idx="72">
                  <c:v>44804</c:v>
                </c:pt>
                <c:pt idx="73">
                  <c:v>44834</c:v>
                </c:pt>
                <c:pt idx="74">
                  <c:v>44865</c:v>
                </c:pt>
                <c:pt idx="75">
                  <c:v>44895</c:v>
                </c:pt>
                <c:pt idx="76">
                  <c:v>44926</c:v>
                </c:pt>
                <c:pt idx="77">
                  <c:v>44985</c:v>
                </c:pt>
                <c:pt idx="78">
                  <c:v>45016</c:v>
                </c:pt>
                <c:pt idx="79">
                  <c:v>45046</c:v>
                </c:pt>
                <c:pt idx="80">
                  <c:v>45077</c:v>
                </c:pt>
                <c:pt idx="81">
                  <c:v>45107</c:v>
                </c:pt>
                <c:pt idx="82">
                  <c:v>45138</c:v>
                </c:pt>
                <c:pt idx="83">
                  <c:v>45169</c:v>
                </c:pt>
                <c:pt idx="84">
                  <c:v>45199</c:v>
                </c:pt>
                <c:pt idx="85">
                  <c:v>45230</c:v>
                </c:pt>
                <c:pt idx="86">
                  <c:v>45260</c:v>
                </c:pt>
                <c:pt idx="87">
                  <c:v>45291</c:v>
                </c:pt>
                <c:pt idx="88">
                  <c:v>45351</c:v>
                </c:pt>
                <c:pt idx="89">
                  <c:v>45382</c:v>
                </c:pt>
                <c:pt idx="90">
                  <c:v>45412</c:v>
                </c:pt>
                <c:pt idx="91">
                  <c:v>45443</c:v>
                </c:pt>
                <c:pt idx="92">
                  <c:v>45473</c:v>
                </c:pt>
                <c:pt idx="93">
                  <c:v>45504</c:v>
                </c:pt>
                <c:pt idx="94">
                  <c:v>45535</c:v>
                </c:pt>
                <c:pt idx="95">
                  <c:v>45565</c:v>
                </c:pt>
                <c:pt idx="96">
                  <c:v>45596</c:v>
                </c:pt>
                <c:pt idx="97">
                  <c:v>45626</c:v>
                </c:pt>
                <c:pt idx="98">
                  <c:v>45657</c:v>
                </c:pt>
                <c:pt idx="99">
                  <c:v>45688</c:v>
                </c:pt>
                <c:pt idx="100">
                  <c:v>45716</c:v>
                </c:pt>
                <c:pt idx="101">
                  <c:v>45747</c:v>
                </c:pt>
                <c:pt idx="102">
                  <c:v>45777</c:v>
                </c:pt>
                <c:pt idx="103">
                  <c:v>45808</c:v>
                </c:pt>
                <c:pt idx="104">
                  <c:v>45838</c:v>
                </c:pt>
                <c:pt idx="105">
                  <c:v>45869</c:v>
                </c:pt>
                <c:pt idx="106">
                  <c:v>45900</c:v>
                </c:pt>
                <c:pt idx="107">
                  <c:v>45930</c:v>
                </c:pt>
                <c:pt idx="108">
                  <c:v>45961</c:v>
                </c:pt>
                <c:pt idx="109">
                  <c:v>45991</c:v>
                </c:pt>
                <c:pt idx="110">
                  <c:v>46022</c:v>
                </c:pt>
              </c:numCache>
            </c:numRef>
          </c:cat>
          <c:val>
            <c:numRef>
              <c:f>'财政货币框架1&amp;2底稿'!$T$12:$T$122</c:f>
              <c:numCache>
                <c:formatCode>General</c:formatCode>
                <c:ptCount val="11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5E-429D-BB68-D188450D1D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45717383"/>
        <c:axId val="269723025"/>
      </c:barChart>
      <c:lineChart>
        <c:grouping val="standard"/>
        <c:varyColors val="0"/>
        <c:ser>
          <c:idx val="1"/>
          <c:order val="0"/>
          <c:tx>
            <c:strRef>
              <c:f>'财政货币框架1&amp;2底稿'!$R$11</c:f>
              <c:strCache>
                <c:ptCount val="1"/>
                <c:pt idx="0">
                  <c:v>SHIBOR:3个月</c:v>
                </c:pt>
              </c:strCache>
            </c:strRef>
          </c:tx>
          <c:spPr>
            <a:ln w="158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numRef>
              <c:f>'财政货币框架1&amp;2底稿'!$A$12:$A$122</c:f>
              <c:numCache>
                <c:formatCode>yyyy\-mm</c:formatCode>
                <c:ptCount val="111"/>
                <c:pt idx="0">
                  <c:v>42429</c:v>
                </c:pt>
                <c:pt idx="1">
                  <c:v>42460</c:v>
                </c:pt>
                <c:pt idx="2">
                  <c:v>42490</c:v>
                </c:pt>
                <c:pt idx="3">
                  <c:v>42521</c:v>
                </c:pt>
                <c:pt idx="4">
                  <c:v>42551</c:v>
                </c:pt>
                <c:pt idx="5">
                  <c:v>42582</c:v>
                </c:pt>
                <c:pt idx="6">
                  <c:v>42613</c:v>
                </c:pt>
                <c:pt idx="7">
                  <c:v>42643</c:v>
                </c:pt>
                <c:pt idx="8">
                  <c:v>42674</c:v>
                </c:pt>
                <c:pt idx="9">
                  <c:v>42704</c:v>
                </c:pt>
                <c:pt idx="10">
                  <c:v>42735</c:v>
                </c:pt>
                <c:pt idx="11">
                  <c:v>42794</c:v>
                </c:pt>
                <c:pt idx="12">
                  <c:v>42825</c:v>
                </c:pt>
                <c:pt idx="13">
                  <c:v>42855</c:v>
                </c:pt>
                <c:pt idx="14">
                  <c:v>42886</c:v>
                </c:pt>
                <c:pt idx="15">
                  <c:v>42916</c:v>
                </c:pt>
                <c:pt idx="16">
                  <c:v>42947</c:v>
                </c:pt>
                <c:pt idx="17">
                  <c:v>42978</c:v>
                </c:pt>
                <c:pt idx="18">
                  <c:v>43008</c:v>
                </c:pt>
                <c:pt idx="19">
                  <c:v>43039</c:v>
                </c:pt>
                <c:pt idx="20">
                  <c:v>43069</c:v>
                </c:pt>
                <c:pt idx="21">
                  <c:v>43100</c:v>
                </c:pt>
                <c:pt idx="22">
                  <c:v>43159</c:v>
                </c:pt>
                <c:pt idx="23">
                  <c:v>43190</c:v>
                </c:pt>
                <c:pt idx="24">
                  <c:v>43220</c:v>
                </c:pt>
                <c:pt idx="25">
                  <c:v>43251</c:v>
                </c:pt>
                <c:pt idx="26">
                  <c:v>43281</c:v>
                </c:pt>
                <c:pt idx="27">
                  <c:v>43312</c:v>
                </c:pt>
                <c:pt idx="28">
                  <c:v>43343</c:v>
                </c:pt>
                <c:pt idx="29">
                  <c:v>43373</c:v>
                </c:pt>
                <c:pt idx="30">
                  <c:v>43404</c:v>
                </c:pt>
                <c:pt idx="31">
                  <c:v>43434</c:v>
                </c:pt>
                <c:pt idx="32">
                  <c:v>43465</c:v>
                </c:pt>
                <c:pt idx="33">
                  <c:v>43524</c:v>
                </c:pt>
                <c:pt idx="34">
                  <c:v>43555</c:v>
                </c:pt>
                <c:pt idx="35">
                  <c:v>43585</c:v>
                </c:pt>
                <c:pt idx="36">
                  <c:v>43616</c:v>
                </c:pt>
                <c:pt idx="37">
                  <c:v>43646</c:v>
                </c:pt>
                <c:pt idx="38">
                  <c:v>43677</c:v>
                </c:pt>
                <c:pt idx="39">
                  <c:v>43708</c:v>
                </c:pt>
                <c:pt idx="40">
                  <c:v>43738</c:v>
                </c:pt>
                <c:pt idx="41">
                  <c:v>43769</c:v>
                </c:pt>
                <c:pt idx="42">
                  <c:v>43799</c:v>
                </c:pt>
                <c:pt idx="43">
                  <c:v>43830</c:v>
                </c:pt>
                <c:pt idx="44">
                  <c:v>43890</c:v>
                </c:pt>
                <c:pt idx="45">
                  <c:v>43921</c:v>
                </c:pt>
                <c:pt idx="46">
                  <c:v>43951</c:v>
                </c:pt>
                <c:pt idx="47">
                  <c:v>43982</c:v>
                </c:pt>
                <c:pt idx="48">
                  <c:v>44012</c:v>
                </c:pt>
                <c:pt idx="49">
                  <c:v>44043</c:v>
                </c:pt>
                <c:pt idx="50">
                  <c:v>44074</c:v>
                </c:pt>
                <c:pt idx="51">
                  <c:v>44104</c:v>
                </c:pt>
                <c:pt idx="52">
                  <c:v>44135</c:v>
                </c:pt>
                <c:pt idx="53">
                  <c:v>44165</c:v>
                </c:pt>
                <c:pt idx="54">
                  <c:v>44196</c:v>
                </c:pt>
                <c:pt idx="55">
                  <c:v>44255</c:v>
                </c:pt>
                <c:pt idx="56">
                  <c:v>44286</c:v>
                </c:pt>
                <c:pt idx="57">
                  <c:v>44316</c:v>
                </c:pt>
                <c:pt idx="58">
                  <c:v>44347</c:v>
                </c:pt>
                <c:pt idx="59">
                  <c:v>44377</c:v>
                </c:pt>
                <c:pt idx="60">
                  <c:v>44408</c:v>
                </c:pt>
                <c:pt idx="61">
                  <c:v>44439</c:v>
                </c:pt>
                <c:pt idx="62">
                  <c:v>44469</c:v>
                </c:pt>
                <c:pt idx="63">
                  <c:v>44500</c:v>
                </c:pt>
                <c:pt idx="64">
                  <c:v>44530</c:v>
                </c:pt>
                <c:pt idx="65">
                  <c:v>44561</c:v>
                </c:pt>
                <c:pt idx="66">
                  <c:v>44620</c:v>
                </c:pt>
                <c:pt idx="67">
                  <c:v>44651</c:v>
                </c:pt>
                <c:pt idx="68">
                  <c:v>44681</c:v>
                </c:pt>
                <c:pt idx="69">
                  <c:v>44712</c:v>
                </c:pt>
                <c:pt idx="70">
                  <c:v>44742</c:v>
                </c:pt>
                <c:pt idx="71">
                  <c:v>44773</c:v>
                </c:pt>
                <c:pt idx="72">
                  <c:v>44804</c:v>
                </c:pt>
                <c:pt idx="73">
                  <c:v>44834</c:v>
                </c:pt>
                <c:pt idx="74">
                  <c:v>44865</c:v>
                </c:pt>
                <c:pt idx="75">
                  <c:v>44895</c:v>
                </c:pt>
                <c:pt idx="76">
                  <c:v>44926</c:v>
                </c:pt>
                <c:pt idx="77">
                  <c:v>44985</c:v>
                </c:pt>
                <c:pt idx="78">
                  <c:v>45016</c:v>
                </c:pt>
                <c:pt idx="79">
                  <c:v>45046</c:v>
                </c:pt>
                <c:pt idx="80">
                  <c:v>45077</c:v>
                </c:pt>
                <c:pt idx="81">
                  <c:v>45107</c:v>
                </c:pt>
                <c:pt idx="82">
                  <c:v>45138</c:v>
                </c:pt>
                <c:pt idx="83">
                  <c:v>45169</c:v>
                </c:pt>
                <c:pt idx="84">
                  <c:v>45199</c:v>
                </c:pt>
                <c:pt idx="85">
                  <c:v>45230</c:v>
                </c:pt>
                <c:pt idx="86">
                  <c:v>45260</c:v>
                </c:pt>
                <c:pt idx="87">
                  <c:v>45291</c:v>
                </c:pt>
                <c:pt idx="88">
                  <c:v>45351</c:v>
                </c:pt>
                <c:pt idx="89">
                  <c:v>45382</c:v>
                </c:pt>
                <c:pt idx="90">
                  <c:v>45412</c:v>
                </c:pt>
                <c:pt idx="91">
                  <c:v>45443</c:v>
                </c:pt>
                <c:pt idx="92">
                  <c:v>45473</c:v>
                </c:pt>
                <c:pt idx="93">
                  <c:v>45504</c:v>
                </c:pt>
                <c:pt idx="94">
                  <c:v>45535</c:v>
                </c:pt>
                <c:pt idx="95">
                  <c:v>45565</c:v>
                </c:pt>
                <c:pt idx="96">
                  <c:v>45596</c:v>
                </c:pt>
                <c:pt idx="97">
                  <c:v>45626</c:v>
                </c:pt>
                <c:pt idx="98">
                  <c:v>45657</c:v>
                </c:pt>
                <c:pt idx="99">
                  <c:v>45688</c:v>
                </c:pt>
                <c:pt idx="100">
                  <c:v>45716</c:v>
                </c:pt>
                <c:pt idx="101">
                  <c:v>45747</c:v>
                </c:pt>
                <c:pt idx="102">
                  <c:v>45777</c:v>
                </c:pt>
                <c:pt idx="103">
                  <c:v>45808</c:v>
                </c:pt>
                <c:pt idx="104">
                  <c:v>45838</c:v>
                </c:pt>
                <c:pt idx="105">
                  <c:v>45869</c:v>
                </c:pt>
                <c:pt idx="106">
                  <c:v>45900</c:v>
                </c:pt>
                <c:pt idx="107">
                  <c:v>45930</c:v>
                </c:pt>
                <c:pt idx="108">
                  <c:v>45961</c:v>
                </c:pt>
                <c:pt idx="109">
                  <c:v>45991</c:v>
                </c:pt>
                <c:pt idx="110">
                  <c:v>46022</c:v>
                </c:pt>
              </c:numCache>
            </c:numRef>
          </c:cat>
          <c:val>
            <c:numRef>
              <c:f>'财政货币框架1&amp;2底稿'!$R$12:$R$122</c:f>
              <c:numCache>
                <c:formatCode>#,##0.0000_ </c:formatCode>
                <c:ptCount val="111"/>
                <c:pt idx="0">
                  <c:v>2.99941666666667</c:v>
                </c:pt>
                <c:pt idx="1">
                  <c:v>2.8105217391304298</c:v>
                </c:pt>
                <c:pt idx="2">
                  <c:v>2.8587600000000002</c:v>
                </c:pt>
                <c:pt idx="3">
                  <c:v>2.91659523809524</c:v>
                </c:pt>
                <c:pt idx="4">
                  <c:v>2.9540428571428601</c:v>
                </c:pt>
                <c:pt idx="5">
                  <c:v>2.8957999999999999</c:v>
                </c:pt>
                <c:pt idx="6">
                  <c:v>2.8061826086956501</c:v>
                </c:pt>
                <c:pt idx="7">
                  <c:v>2.79327619047619</c:v>
                </c:pt>
                <c:pt idx="8">
                  <c:v>2.8082777777777799</c:v>
                </c:pt>
                <c:pt idx="9">
                  <c:v>2.92010454545454</c:v>
                </c:pt>
                <c:pt idx="10">
                  <c:v>3.1734818181818198</c:v>
                </c:pt>
                <c:pt idx="11">
                  <c:v>4.1763947368421004</c:v>
                </c:pt>
                <c:pt idx="12">
                  <c:v>4.3482913043478302</c:v>
                </c:pt>
                <c:pt idx="13">
                  <c:v>4.2873052631578998</c:v>
                </c:pt>
                <c:pt idx="14">
                  <c:v>4.4370333333333303</c:v>
                </c:pt>
                <c:pt idx="15">
                  <c:v>4.6691227272727298</c:v>
                </c:pt>
                <c:pt idx="16">
                  <c:v>4.3090952380952396</c:v>
                </c:pt>
                <c:pt idx="17">
                  <c:v>4.3237217391304403</c:v>
                </c:pt>
                <c:pt idx="18">
                  <c:v>4.3786181818181804</c:v>
                </c:pt>
                <c:pt idx="19">
                  <c:v>4.3731352941176498</c:v>
                </c:pt>
                <c:pt idx="20">
                  <c:v>4.5628136363636402</c:v>
                </c:pt>
                <c:pt idx="21">
                  <c:v>4.8368952380952397</c:v>
                </c:pt>
                <c:pt idx="22">
                  <c:v>4.7089705882352897</c:v>
                </c:pt>
                <c:pt idx="23">
                  <c:v>4.6795636363636399</c:v>
                </c:pt>
                <c:pt idx="24">
                  <c:v>4.1458950000000003</c:v>
                </c:pt>
                <c:pt idx="25">
                  <c:v>4.1181227272727297</c:v>
                </c:pt>
                <c:pt idx="26">
                  <c:v>4.3137999999999996</c:v>
                </c:pt>
                <c:pt idx="27">
                  <c:v>3.59733636363636</c:v>
                </c:pt>
                <c:pt idx="28">
                  <c:v>2.8839999999999999</c:v>
                </c:pt>
                <c:pt idx="29">
                  <c:v>2.8399047619047599</c:v>
                </c:pt>
                <c:pt idx="30">
                  <c:v>2.8684444444444401</c:v>
                </c:pt>
                <c:pt idx="31">
                  <c:v>3.0350181818181801</c:v>
                </c:pt>
                <c:pt idx="32">
                  <c:v>3.1983333333333301</c:v>
                </c:pt>
                <c:pt idx="33">
                  <c:v>2.8118235294117602</c:v>
                </c:pt>
                <c:pt idx="34">
                  <c:v>2.7906428571428599</c:v>
                </c:pt>
                <c:pt idx="35">
                  <c:v>2.81304545454545</c:v>
                </c:pt>
                <c:pt idx="36">
                  <c:v>2.9065714285714299</c:v>
                </c:pt>
                <c:pt idx="37">
                  <c:v>2.8859473684210499</c:v>
                </c:pt>
                <c:pt idx="38">
                  <c:v>2.6233913043478299</c:v>
                </c:pt>
                <c:pt idx="39">
                  <c:v>2.6622818181818202</c:v>
                </c:pt>
                <c:pt idx="40">
                  <c:v>2.7138571428571399</c:v>
                </c:pt>
                <c:pt idx="41">
                  <c:v>2.7748947368421</c:v>
                </c:pt>
                <c:pt idx="42">
                  <c:v>2.9901428571428599</c:v>
                </c:pt>
                <c:pt idx="43">
                  <c:v>3.0289954545454498</c:v>
                </c:pt>
                <c:pt idx="44">
                  <c:v>2.6011500000000001</c:v>
                </c:pt>
                <c:pt idx="45">
                  <c:v>2.1530909090909098</c:v>
                </c:pt>
                <c:pt idx="46">
                  <c:v>1.51272727272727</c:v>
                </c:pt>
                <c:pt idx="47">
                  <c:v>1.40473684210526</c:v>
                </c:pt>
                <c:pt idx="48">
                  <c:v>1.8831904761904801</c:v>
                </c:pt>
                <c:pt idx="49">
                  <c:v>2.3283043478260899</c:v>
                </c:pt>
                <c:pt idx="50">
                  <c:v>2.6053809523809499</c:v>
                </c:pt>
                <c:pt idx="51">
                  <c:v>2.67669565217391</c:v>
                </c:pt>
                <c:pt idx="52">
                  <c:v>2.8344117647058802</c:v>
                </c:pt>
                <c:pt idx="53">
                  <c:v>3.0278571428571399</c:v>
                </c:pt>
                <c:pt idx="54">
                  <c:v>2.9256521739130399</c:v>
                </c:pt>
                <c:pt idx="55">
                  <c:v>2.8085882352941201</c:v>
                </c:pt>
                <c:pt idx="56">
                  <c:v>2.7153695652173901</c:v>
                </c:pt>
                <c:pt idx="57">
                  <c:v>2.6046363636363599</c:v>
                </c:pt>
                <c:pt idx="58">
                  <c:v>2.5134210526315801</c:v>
                </c:pt>
                <c:pt idx="59">
                  <c:v>2.4500000000000002</c:v>
                </c:pt>
                <c:pt idx="60">
                  <c:v>2.4178636363636401</c:v>
                </c:pt>
                <c:pt idx="61">
                  <c:v>2.3626818181818199</c:v>
                </c:pt>
                <c:pt idx="62">
                  <c:v>2.3775454545454502</c:v>
                </c:pt>
                <c:pt idx="63">
                  <c:v>2.4317176470588202</c:v>
                </c:pt>
                <c:pt idx="64">
                  <c:v>2.4658636363636401</c:v>
                </c:pt>
                <c:pt idx="65">
                  <c:v>2.4946956521739101</c:v>
                </c:pt>
                <c:pt idx="66">
                  <c:v>2.4100625</c:v>
                </c:pt>
                <c:pt idx="67">
                  <c:v>2.3658695652173898</c:v>
                </c:pt>
                <c:pt idx="68">
                  <c:v>2.3164761904761901</c:v>
                </c:pt>
                <c:pt idx="69">
                  <c:v>2.0969500000000001</c:v>
                </c:pt>
                <c:pt idx="70">
                  <c:v>2.00061904761905</c:v>
                </c:pt>
                <c:pt idx="71">
                  <c:v>1.94590476190476</c:v>
                </c:pt>
                <c:pt idx="72">
                  <c:v>1.6428086956521699</c:v>
                </c:pt>
                <c:pt idx="73">
                  <c:v>1.61323809523809</c:v>
                </c:pt>
                <c:pt idx="74">
                  <c:v>1.6995555555555599</c:v>
                </c:pt>
                <c:pt idx="75">
                  <c:v>2.0111363636363602</c:v>
                </c:pt>
                <c:pt idx="76">
                  <c:v>2.3194545454545401</c:v>
                </c:pt>
                <c:pt idx="77">
                  <c:v>2.3834499999999998</c:v>
                </c:pt>
                <c:pt idx="78">
                  <c:v>2.47773913043478</c:v>
                </c:pt>
                <c:pt idx="79">
                  <c:v>2.42415</c:v>
                </c:pt>
                <c:pt idx="80">
                  <c:v>2.3034761904761898</c:v>
                </c:pt>
                <c:pt idx="81">
                  <c:v>2.1543333333333301</c:v>
                </c:pt>
                <c:pt idx="82">
                  <c:v>2.11557142857143</c:v>
                </c:pt>
                <c:pt idx="83">
                  <c:v>2.05017391304348</c:v>
                </c:pt>
                <c:pt idx="84">
                  <c:v>2.1665000000000001</c:v>
                </c:pt>
                <c:pt idx="85">
                  <c:v>2.3387894736842099</c:v>
                </c:pt>
                <c:pt idx="86">
                  <c:v>2.4542772727272699</c:v>
                </c:pt>
                <c:pt idx="87">
                  <c:v>2.5737142857142898</c:v>
                </c:pt>
                <c:pt idx="88">
                  <c:v>2.28771666666667</c:v>
                </c:pt>
                <c:pt idx="89">
                  <c:v>2.1623809523809499</c:v>
                </c:pt>
                <c:pt idx="90">
                  <c:v>2.0665</c:v>
                </c:pt>
                <c:pt idx="91">
                  <c:v>1.9711904761904799</c:v>
                </c:pt>
                <c:pt idx="92" formatCode="General">
                  <c:v>1.9348421052631599</c:v>
                </c:pt>
                <c:pt idx="93" formatCode="General">
                  <c:v>1.8953478260869601</c:v>
                </c:pt>
                <c:pt idx="94" formatCode="General">
                  <c:v>1.8428409090909099</c:v>
                </c:pt>
                <c:pt idx="95" formatCode="General">
                  <c:v>1.8476666666666699</c:v>
                </c:pt>
                <c:pt idx="96" formatCode="General">
                  <c:v>1.86052631578947</c:v>
                </c:pt>
                <c:pt idx="97" formatCode="General">
                  <c:v>1.86266666666667</c:v>
                </c:pt>
                <c:pt idx="98" formatCode="General">
                  <c:v>1.7298272727272701</c:v>
                </c:pt>
                <c:pt idx="99" formatCode="General">
                  <c:v>1.6740526315789499</c:v>
                </c:pt>
                <c:pt idx="100" formatCode="General">
                  <c:v>1.71877777777778</c:v>
                </c:pt>
                <c:pt idx="101" formatCode="General">
                  <c:v>1.62461216556931</c:v>
                </c:pt>
                <c:pt idx="102" formatCode="General">
                  <c:v>1.55257612515147</c:v>
                </c:pt>
                <c:pt idx="103" formatCode="General">
                  <c:v>1.4809694030773299</c:v>
                </c:pt>
                <c:pt idx="104" formatCode="General">
                  <c:v>1.4536606138734101</c:v>
                </c:pt>
                <c:pt idx="105" formatCode="General">
                  <c:v>1.4239882814615801</c:v>
                </c:pt>
                <c:pt idx="106" formatCode="General">
                  <c:v>1.3845394618470801</c:v>
                </c:pt>
                <c:pt idx="107" formatCode="General">
                  <c:v>1.38816508778363</c:v>
                </c:pt>
                <c:pt idx="108" formatCode="General">
                  <c:v>1.3978266334917799</c:v>
                </c:pt>
                <c:pt idx="109" formatCode="General">
                  <c:v>1.3994346943054199</c:v>
                </c:pt>
                <c:pt idx="110" formatCode="General">
                  <c:v>1.2996315142861099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25E-429D-BB68-D188450D1D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5643233"/>
        <c:axId val="269355564"/>
      </c:lineChart>
      <c:dateAx>
        <c:axId val="325643233"/>
        <c:scaling>
          <c:orientation val="minMax"/>
        </c:scaling>
        <c:delete val="0"/>
        <c:axPos val="b"/>
        <c:numFmt formatCode="yyyy\-mm" sourceLinked="0"/>
        <c:majorTickMark val="in"/>
        <c:minorTickMark val="none"/>
        <c:tickLblPos val="low"/>
        <c:spPr>
          <a:noFill/>
          <a:ln w="6350" cap="flat" cmpd="sng" algn="ctr">
            <a:solidFill>
              <a:srgbClr val="000000"/>
            </a:solidFill>
            <a:round/>
          </a:ln>
          <a:effectLst/>
        </c:spPr>
        <c:txPr>
          <a:bodyPr rot="-5400000" spcFirstLastPara="0" vertOverflow="ellipsis" wrap="square" anchor="ctr" anchorCtr="1"/>
          <a:lstStyle/>
          <a:p>
            <a:pPr>
              <a:defRPr lang="zh-CN" sz="800" b="0" i="0" u="none" strike="noStrike" kern="1200" baseline="0">
                <a:solidFill>
                  <a:sysClr val="windowText" lastClr="000000"/>
                </a:solidFill>
                <a:latin typeface="黑体" panose="02010609060101010101" pitchFamily="49" charset="-122"/>
                <a:ea typeface="黑体" panose="02010609060101010101" pitchFamily="49" charset="-122"/>
                <a:cs typeface="黑体" panose="02010609060101010101" pitchFamily="49" charset="-122"/>
                <a:sym typeface="黑体" panose="02010609060101010101" pitchFamily="49" charset="-122"/>
              </a:defRPr>
            </a:pPr>
            <a:endParaRPr lang="zh-CN"/>
          </a:p>
        </c:txPr>
        <c:crossAx val="269355564"/>
        <c:crosses val="autoZero"/>
        <c:auto val="1"/>
        <c:lblOffset val="100"/>
        <c:baseTimeUnit val="months"/>
      </c:dateAx>
      <c:valAx>
        <c:axId val="269355564"/>
        <c:scaling>
          <c:orientation val="minMax"/>
        </c:scaling>
        <c:delete val="0"/>
        <c:axPos val="l"/>
        <c:numFmt formatCode="General" sourceLinked="0"/>
        <c:majorTickMark val="in"/>
        <c:minorTickMark val="none"/>
        <c:tickLblPos val="nextTo"/>
        <c:spPr>
          <a:noFill/>
          <a:ln w="6350">
            <a:solidFill>
              <a:srgbClr val="000000"/>
            </a:solidFill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800" b="0" i="0" u="none" strike="noStrike" kern="1200" baseline="0">
                <a:solidFill>
                  <a:schemeClr val="tx1"/>
                </a:solidFill>
                <a:latin typeface="黑体" panose="02010609060101010101" pitchFamily="49" charset="-122"/>
                <a:ea typeface="黑体" panose="02010609060101010101" pitchFamily="49" charset="-122"/>
                <a:cs typeface="黑体" panose="02010609060101010101" pitchFamily="49" charset="-122"/>
                <a:sym typeface="黑体" panose="02010609060101010101" pitchFamily="49" charset="-122"/>
              </a:defRPr>
            </a:pPr>
            <a:endParaRPr lang="zh-CN"/>
          </a:p>
        </c:txPr>
        <c:crossAx val="325643233"/>
        <c:crosses val="autoZero"/>
        <c:crossBetween val="between"/>
      </c:valAx>
      <c:dateAx>
        <c:axId val="945717383"/>
        <c:scaling>
          <c:orientation val="minMax"/>
        </c:scaling>
        <c:delete val="1"/>
        <c:axPos val="b"/>
        <c:numFmt formatCode="yyyy\-mm" sourceLinked="1"/>
        <c:majorTickMark val="none"/>
        <c:minorTickMark val="none"/>
        <c:tickLblPos val="nextTo"/>
        <c:crossAx val="269723025"/>
        <c:crosses val="autoZero"/>
        <c:auto val="1"/>
        <c:lblOffset val="100"/>
        <c:baseTimeUnit val="months"/>
      </c:dateAx>
      <c:valAx>
        <c:axId val="269723025"/>
        <c:scaling>
          <c:orientation val="minMax"/>
          <c:max val="1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/>
                </a:solidFill>
                <a:latin typeface="黑体" panose="02010609060101010101" pitchFamily="49" charset="-122"/>
                <a:ea typeface="黑体" panose="02010609060101010101" pitchFamily="49" charset="-122"/>
                <a:cs typeface="黑体" panose="02010609060101010101" pitchFamily="49" charset="-122"/>
                <a:sym typeface="黑体" panose="02010609060101010101" pitchFamily="49" charset="-122"/>
              </a:defRPr>
            </a:pPr>
            <a:endParaRPr lang="zh-CN"/>
          </a:p>
        </c:txPr>
        <c:crossAx val="945717383"/>
        <c:crosses val="max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84676876501917"/>
          <c:y val="1.00569896077774E-2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800" b="0" i="0" u="none" strike="noStrike" kern="1200" baseline="0">
              <a:solidFill>
                <a:schemeClr val="tx1"/>
              </a:solidFill>
              <a:latin typeface="黑体" panose="02010609060101010101" pitchFamily="49" charset="-122"/>
              <a:ea typeface="黑体" panose="02010609060101010101" pitchFamily="49" charset="-122"/>
              <a:cs typeface="黑体" panose="02010609060101010101" pitchFamily="49" charset="-122"/>
              <a:sym typeface="黑体" panose="02010609060101010101" pitchFamily="49" charset="-122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zh-CN" sz="800" baseline="0">
          <a:solidFill>
            <a:schemeClr val="tx1"/>
          </a:solidFill>
          <a:latin typeface="黑体" panose="02010609060101010101" pitchFamily="49" charset="-122"/>
          <a:ea typeface="黑体" panose="02010609060101010101" pitchFamily="49" charset="-122"/>
          <a:cs typeface="黑体" panose="02010609060101010101" pitchFamily="49" charset="-122"/>
          <a:sym typeface="黑体" panose="02010609060101010101" pitchFamily="49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8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黑体" panose="02010609060101010101" pitchFamily="49" charset="-122"/>
              <a:ea typeface="黑体" panose="02010609060101010101" pitchFamily="49" charset="-122"/>
              <a:cs typeface="黑体" panose="02010609060101010101" pitchFamily="49" charset="-122"/>
              <a:sym typeface="黑体" panose="02010609060101010101" pitchFamily="49" charset="-122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美林时钟!$B$20</c:f>
              <c:strCache>
                <c:ptCount val="1"/>
                <c:pt idx="0">
                  <c:v>工业增加值:当月同比</c:v>
                </c:pt>
              </c:strCache>
            </c:strRef>
          </c:tx>
          <c:spPr>
            <a:ln w="15875" cap="rnd" cmpd="sng" algn="ctr">
              <a:solidFill>
                <a:srgbClr val="004477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美林时钟!$A$21:$A$266</c:f>
              <c:numCache>
                <c:formatCode>yyyy\-mm</c:formatCode>
                <c:ptCount val="246"/>
                <c:pt idx="0">
                  <c:v>37315</c:v>
                </c:pt>
                <c:pt idx="1">
                  <c:v>37346</c:v>
                </c:pt>
                <c:pt idx="2">
                  <c:v>37376</c:v>
                </c:pt>
                <c:pt idx="3">
                  <c:v>37407</c:v>
                </c:pt>
                <c:pt idx="4">
                  <c:v>37437</c:v>
                </c:pt>
                <c:pt idx="5">
                  <c:v>37468</c:v>
                </c:pt>
                <c:pt idx="6">
                  <c:v>37499</c:v>
                </c:pt>
                <c:pt idx="7">
                  <c:v>37529</c:v>
                </c:pt>
                <c:pt idx="8">
                  <c:v>37560</c:v>
                </c:pt>
                <c:pt idx="9">
                  <c:v>37590</c:v>
                </c:pt>
                <c:pt idx="10">
                  <c:v>37621</c:v>
                </c:pt>
                <c:pt idx="11">
                  <c:v>37680</c:v>
                </c:pt>
                <c:pt idx="12">
                  <c:v>37711</c:v>
                </c:pt>
                <c:pt idx="13">
                  <c:v>37741</c:v>
                </c:pt>
                <c:pt idx="14">
                  <c:v>37772</c:v>
                </c:pt>
                <c:pt idx="15">
                  <c:v>37802</c:v>
                </c:pt>
                <c:pt idx="16">
                  <c:v>37833</c:v>
                </c:pt>
                <c:pt idx="17">
                  <c:v>37864</c:v>
                </c:pt>
                <c:pt idx="18">
                  <c:v>37894</c:v>
                </c:pt>
                <c:pt idx="19">
                  <c:v>37925</c:v>
                </c:pt>
                <c:pt idx="20">
                  <c:v>37955</c:v>
                </c:pt>
                <c:pt idx="21">
                  <c:v>37986</c:v>
                </c:pt>
                <c:pt idx="22">
                  <c:v>38046</c:v>
                </c:pt>
                <c:pt idx="23">
                  <c:v>38077</c:v>
                </c:pt>
                <c:pt idx="24">
                  <c:v>38107</c:v>
                </c:pt>
                <c:pt idx="25">
                  <c:v>38138</c:v>
                </c:pt>
                <c:pt idx="26">
                  <c:v>38168</c:v>
                </c:pt>
                <c:pt idx="27">
                  <c:v>38199</c:v>
                </c:pt>
                <c:pt idx="28">
                  <c:v>38230</c:v>
                </c:pt>
                <c:pt idx="29">
                  <c:v>38260</c:v>
                </c:pt>
                <c:pt idx="30">
                  <c:v>38291</c:v>
                </c:pt>
                <c:pt idx="31">
                  <c:v>38321</c:v>
                </c:pt>
                <c:pt idx="32">
                  <c:v>38352</c:v>
                </c:pt>
                <c:pt idx="33">
                  <c:v>38411</c:v>
                </c:pt>
                <c:pt idx="34">
                  <c:v>38442</c:v>
                </c:pt>
                <c:pt idx="35">
                  <c:v>38472</c:v>
                </c:pt>
                <c:pt idx="36">
                  <c:v>38503</c:v>
                </c:pt>
                <c:pt idx="37">
                  <c:v>38533</c:v>
                </c:pt>
                <c:pt idx="38">
                  <c:v>38564</c:v>
                </c:pt>
                <c:pt idx="39">
                  <c:v>38595</c:v>
                </c:pt>
                <c:pt idx="40">
                  <c:v>38625</c:v>
                </c:pt>
                <c:pt idx="41">
                  <c:v>38656</c:v>
                </c:pt>
                <c:pt idx="42">
                  <c:v>38686</c:v>
                </c:pt>
                <c:pt idx="43">
                  <c:v>38717</c:v>
                </c:pt>
                <c:pt idx="44">
                  <c:v>38776</c:v>
                </c:pt>
                <c:pt idx="45">
                  <c:v>38807</c:v>
                </c:pt>
                <c:pt idx="46">
                  <c:v>38837</c:v>
                </c:pt>
                <c:pt idx="47">
                  <c:v>38868</c:v>
                </c:pt>
                <c:pt idx="48">
                  <c:v>38898</c:v>
                </c:pt>
                <c:pt idx="49">
                  <c:v>38929</c:v>
                </c:pt>
                <c:pt idx="50">
                  <c:v>38960</c:v>
                </c:pt>
                <c:pt idx="51">
                  <c:v>38990</c:v>
                </c:pt>
                <c:pt idx="52">
                  <c:v>39021</c:v>
                </c:pt>
                <c:pt idx="53">
                  <c:v>39051</c:v>
                </c:pt>
                <c:pt idx="54">
                  <c:v>39082</c:v>
                </c:pt>
                <c:pt idx="55">
                  <c:v>39141</c:v>
                </c:pt>
                <c:pt idx="56">
                  <c:v>39172</c:v>
                </c:pt>
                <c:pt idx="57">
                  <c:v>39202</c:v>
                </c:pt>
                <c:pt idx="58">
                  <c:v>39233</c:v>
                </c:pt>
                <c:pt idx="59">
                  <c:v>39263</c:v>
                </c:pt>
                <c:pt idx="60">
                  <c:v>39294</c:v>
                </c:pt>
                <c:pt idx="61">
                  <c:v>39325</c:v>
                </c:pt>
                <c:pt idx="62">
                  <c:v>39355</c:v>
                </c:pt>
                <c:pt idx="63">
                  <c:v>39386</c:v>
                </c:pt>
                <c:pt idx="64">
                  <c:v>39416</c:v>
                </c:pt>
                <c:pt idx="65">
                  <c:v>39447</c:v>
                </c:pt>
                <c:pt idx="66">
                  <c:v>39507</c:v>
                </c:pt>
                <c:pt idx="67">
                  <c:v>39538</c:v>
                </c:pt>
                <c:pt idx="68">
                  <c:v>39568</c:v>
                </c:pt>
                <c:pt idx="69">
                  <c:v>39599</c:v>
                </c:pt>
                <c:pt idx="70">
                  <c:v>39629</c:v>
                </c:pt>
                <c:pt idx="71">
                  <c:v>39660</c:v>
                </c:pt>
                <c:pt idx="72">
                  <c:v>39691</c:v>
                </c:pt>
                <c:pt idx="73">
                  <c:v>39721</c:v>
                </c:pt>
                <c:pt idx="74">
                  <c:v>39752</c:v>
                </c:pt>
                <c:pt idx="75">
                  <c:v>39782</c:v>
                </c:pt>
                <c:pt idx="76">
                  <c:v>39813</c:v>
                </c:pt>
                <c:pt idx="77">
                  <c:v>39872</c:v>
                </c:pt>
                <c:pt idx="78">
                  <c:v>39903</c:v>
                </c:pt>
                <c:pt idx="79">
                  <c:v>39933</c:v>
                </c:pt>
                <c:pt idx="80">
                  <c:v>39964</c:v>
                </c:pt>
                <c:pt idx="81">
                  <c:v>39994</c:v>
                </c:pt>
                <c:pt idx="82">
                  <c:v>40025</c:v>
                </c:pt>
                <c:pt idx="83">
                  <c:v>40056</c:v>
                </c:pt>
                <c:pt idx="84">
                  <c:v>40086</c:v>
                </c:pt>
                <c:pt idx="85">
                  <c:v>40117</c:v>
                </c:pt>
                <c:pt idx="86">
                  <c:v>40147</c:v>
                </c:pt>
                <c:pt idx="87">
                  <c:v>40178</c:v>
                </c:pt>
                <c:pt idx="88">
                  <c:v>40237</c:v>
                </c:pt>
                <c:pt idx="89">
                  <c:v>40268</c:v>
                </c:pt>
                <c:pt idx="90">
                  <c:v>40298</c:v>
                </c:pt>
                <c:pt idx="91">
                  <c:v>40329</c:v>
                </c:pt>
                <c:pt idx="92">
                  <c:v>40359</c:v>
                </c:pt>
                <c:pt idx="93">
                  <c:v>40390</c:v>
                </c:pt>
                <c:pt idx="94">
                  <c:v>40421</c:v>
                </c:pt>
                <c:pt idx="95">
                  <c:v>40451</c:v>
                </c:pt>
                <c:pt idx="96">
                  <c:v>40482</c:v>
                </c:pt>
                <c:pt idx="97">
                  <c:v>40512</c:v>
                </c:pt>
                <c:pt idx="98">
                  <c:v>40543</c:v>
                </c:pt>
                <c:pt idx="99">
                  <c:v>40602</c:v>
                </c:pt>
                <c:pt idx="100">
                  <c:v>40633</c:v>
                </c:pt>
                <c:pt idx="101">
                  <c:v>40663</c:v>
                </c:pt>
                <c:pt idx="102">
                  <c:v>40694</c:v>
                </c:pt>
                <c:pt idx="103">
                  <c:v>40724</c:v>
                </c:pt>
                <c:pt idx="104">
                  <c:v>40755</c:v>
                </c:pt>
                <c:pt idx="105">
                  <c:v>40786</c:v>
                </c:pt>
                <c:pt idx="106">
                  <c:v>40816</c:v>
                </c:pt>
                <c:pt idx="107">
                  <c:v>40847</c:v>
                </c:pt>
                <c:pt idx="108">
                  <c:v>40877</c:v>
                </c:pt>
                <c:pt idx="109">
                  <c:v>40908</c:v>
                </c:pt>
                <c:pt idx="110">
                  <c:v>40968</c:v>
                </c:pt>
                <c:pt idx="111">
                  <c:v>40999</c:v>
                </c:pt>
                <c:pt idx="112">
                  <c:v>41029</c:v>
                </c:pt>
                <c:pt idx="113">
                  <c:v>41060</c:v>
                </c:pt>
                <c:pt idx="114">
                  <c:v>41090</c:v>
                </c:pt>
                <c:pt idx="115">
                  <c:v>41121</c:v>
                </c:pt>
                <c:pt idx="116">
                  <c:v>41152</c:v>
                </c:pt>
                <c:pt idx="117">
                  <c:v>41182</c:v>
                </c:pt>
                <c:pt idx="118">
                  <c:v>41213</c:v>
                </c:pt>
                <c:pt idx="119">
                  <c:v>41243</c:v>
                </c:pt>
                <c:pt idx="120">
                  <c:v>41274</c:v>
                </c:pt>
                <c:pt idx="121">
                  <c:v>41333</c:v>
                </c:pt>
                <c:pt idx="122">
                  <c:v>41364</c:v>
                </c:pt>
                <c:pt idx="123">
                  <c:v>41394</c:v>
                </c:pt>
                <c:pt idx="124">
                  <c:v>41425</c:v>
                </c:pt>
                <c:pt idx="125">
                  <c:v>41455</c:v>
                </c:pt>
                <c:pt idx="126">
                  <c:v>41486</c:v>
                </c:pt>
                <c:pt idx="127">
                  <c:v>41517</c:v>
                </c:pt>
                <c:pt idx="128">
                  <c:v>41547</c:v>
                </c:pt>
                <c:pt idx="129">
                  <c:v>41578</c:v>
                </c:pt>
                <c:pt idx="130">
                  <c:v>41608</c:v>
                </c:pt>
                <c:pt idx="131">
                  <c:v>41639</c:v>
                </c:pt>
                <c:pt idx="132">
                  <c:v>41698</c:v>
                </c:pt>
                <c:pt idx="133">
                  <c:v>41729</c:v>
                </c:pt>
                <c:pt idx="134">
                  <c:v>41759</c:v>
                </c:pt>
                <c:pt idx="135">
                  <c:v>41790</c:v>
                </c:pt>
                <c:pt idx="136">
                  <c:v>41820</c:v>
                </c:pt>
                <c:pt idx="137">
                  <c:v>41851</c:v>
                </c:pt>
                <c:pt idx="138">
                  <c:v>41882</c:v>
                </c:pt>
                <c:pt idx="139">
                  <c:v>41912</c:v>
                </c:pt>
                <c:pt idx="140">
                  <c:v>41943</c:v>
                </c:pt>
                <c:pt idx="141">
                  <c:v>41973</c:v>
                </c:pt>
                <c:pt idx="142">
                  <c:v>42004</c:v>
                </c:pt>
                <c:pt idx="143">
                  <c:v>42063</c:v>
                </c:pt>
                <c:pt idx="144">
                  <c:v>42094</c:v>
                </c:pt>
                <c:pt idx="145">
                  <c:v>42124</c:v>
                </c:pt>
                <c:pt idx="146">
                  <c:v>42155</c:v>
                </c:pt>
                <c:pt idx="147">
                  <c:v>42185</c:v>
                </c:pt>
                <c:pt idx="148">
                  <c:v>42216</c:v>
                </c:pt>
                <c:pt idx="149">
                  <c:v>42247</c:v>
                </c:pt>
                <c:pt idx="150">
                  <c:v>42277</c:v>
                </c:pt>
                <c:pt idx="151">
                  <c:v>42308</c:v>
                </c:pt>
                <c:pt idx="152">
                  <c:v>42338</c:v>
                </c:pt>
                <c:pt idx="153">
                  <c:v>42369</c:v>
                </c:pt>
                <c:pt idx="154">
                  <c:v>42429</c:v>
                </c:pt>
                <c:pt idx="155">
                  <c:v>42460</c:v>
                </c:pt>
                <c:pt idx="156">
                  <c:v>42490</c:v>
                </c:pt>
                <c:pt idx="157">
                  <c:v>42521</c:v>
                </c:pt>
                <c:pt idx="158">
                  <c:v>42551</c:v>
                </c:pt>
                <c:pt idx="159">
                  <c:v>42582</c:v>
                </c:pt>
                <c:pt idx="160">
                  <c:v>42613</c:v>
                </c:pt>
                <c:pt idx="161">
                  <c:v>42643</c:v>
                </c:pt>
                <c:pt idx="162">
                  <c:v>42674</c:v>
                </c:pt>
                <c:pt idx="163">
                  <c:v>42704</c:v>
                </c:pt>
                <c:pt idx="164">
                  <c:v>42735</c:v>
                </c:pt>
                <c:pt idx="165">
                  <c:v>42794</c:v>
                </c:pt>
                <c:pt idx="166">
                  <c:v>42825</c:v>
                </c:pt>
                <c:pt idx="167">
                  <c:v>42855</c:v>
                </c:pt>
                <c:pt idx="168">
                  <c:v>42886</c:v>
                </c:pt>
                <c:pt idx="169">
                  <c:v>42916</c:v>
                </c:pt>
                <c:pt idx="170">
                  <c:v>42947</c:v>
                </c:pt>
                <c:pt idx="171">
                  <c:v>42978</c:v>
                </c:pt>
                <c:pt idx="172">
                  <c:v>43008</c:v>
                </c:pt>
                <c:pt idx="173">
                  <c:v>43039</c:v>
                </c:pt>
                <c:pt idx="174">
                  <c:v>43069</c:v>
                </c:pt>
                <c:pt idx="175">
                  <c:v>43100</c:v>
                </c:pt>
                <c:pt idx="176">
                  <c:v>43159</c:v>
                </c:pt>
                <c:pt idx="177">
                  <c:v>43190</c:v>
                </c:pt>
                <c:pt idx="178">
                  <c:v>43220</c:v>
                </c:pt>
                <c:pt idx="179">
                  <c:v>43251</c:v>
                </c:pt>
                <c:pt idx="180">
                  <c:v>43281</c:v>
                </c:pt>
                <c:pt idx="181">
                  <c:v>43312</c:v>
                </c:pt>
                <c:pt idx="182">
                  <c:v>43343</c:v>
                </c:pt>
                <c:pt idx="183">
                  <c:v>43373</c:v>
                </c:pt>
                <c:pt idx="184">
                  <c:v>43404</c:v>
                </c:pt>
                <c:pt idx="185">
                  <c:v>43434</c:v>
                </c:pt>
                <c:pt idx="186">
                  <c:v>43465</c:v>
                </c:pt>
                <c:pt idx="187">
                  <c:v>43524</c:v>
                </c:pt>
                <c:pt idx="188">
                  <c:v>43555</c:v>
                </c:pt>
                <c:pt idx="189">
                  <c:v>43585</c:v>
                </c:pt>
                <c:pt idx="190">
                  <c:v>43616</c:v>
                </c:pt>
                <c:pt idx="191">
                  <c:v>43646</c:v>
                </c:pt>
                <c:pt idx="192">
                  <c:v>43677</c:v>
                </c:pt>
                <c:pt idx="193">
                  <c:v>43708</c:v>
                </c:pt>
                <c:pt idx="194">
                  <c:v>43738</c:v>
                </c:pt>
                <c:pt idx="195">
                  <c:v>43769</c:v>
                </c:pt>
                <c:pt idx="196">
                  <c:v>43799</c:v>
                </c:pt>
                <c:pt idx="197">
                  <c:v>43830</c:v>
                </c:pt>
                <c:pt idx="198">
                  <c:v>43890</c:v>
                </c:pt>
                <c:pt idx="199">
                  <c:v>43921</c:v>
                </c:pt>
                <c:pt idx="200">
                  <c:v>43951</c:v>
                </c:pt>
                <c:pt idx="201">
                  <c:v>43982</c:v>
                </c:pt>
                <c:pt idx="202">
                  <c:v>44012</c:v>
                </c:pt>
                <c:pt idx="203">
                  <c:v>44043</c:v>
                </c:pt>
                <c:pt idx="204">
                  <c:v>44074</c:v>
                </c:pt>
                <c:pt idx="205">
                  <c:v>44104</c:v>
                </c:pt>
                <c:pt idx="206">
                  <c:v>44135</c:v>
                </c:pt>
                <c:pt idx="207">
                  <c:v>44165</c:v>
                </c:pt>
                <c:pt idx="208">
                  <c:v>44196</c:v>
                </c:pt>
                <c:pt idx="209">
                  <c:v>44255</c:v>
                </c:pt>
                <c:pt idx="210">
                  <c:v>44286</c:v>
                </c:pt>
                <c:pt idx="211">
                  <c:v>44316</c:v>
                </c:pt>
                <c:pt idx="212">
                  <c:v>44347</c:v>
                </c:pt>
                <c:pt idx="213">
                  <c:v>44377</c:v>
                </c:pt>
                <c:pt idx="214">
                  <c:v>44408</c:v>
                </c:pt>
                <c:pt idx="215">
                  <c:v>44439</c:v>
                </c:pt>
                <c:pt idx="216">
                  <c:v>44469</c:v>
                </c:pt>
                <c:pt idx="217">
                  <c:v>44500</c:v>
                </c:pt>
                <c:pt idx="218">
                  <c:v>44530</c:v>
                </c:pt>
                <c:pt idx="219">
                  <c:v>44561</c:v>
                </c:pt>
                <c:pt idx="220">
                  <c:v>44620</c:v>
                </c:pt>
                <c:pt idx="221">
                  <c:v>44651</c:v>
                </c:pt>
                <c:pt idx="222">
                  <c:v>44681</c:v>
                </c:pt>
                <c:pt idx="223">
                  <c:v>44712</c:v>
                </c:pt>
                <c:pt idx="224">
                  <c:v>44742</c:v>
                </c:pt>
                <c:pt idx="225">
                  <c:v>44773</c:v>
                </c:pt>
                <c:pt idx="226">
                  <c:v>44804</c:v>
                </c:pt>
                <c:pt idx="227">
                  <c:v>44834</c:v>
                </c:pt>
                <c:pt idx="228">
                  <c:v>44865</c:v>
                </c:pt>
                <c:pt idx="229">
                  <c:v>44895</c:v>
                </c:pt>
                <c:pt idx="230">
                  <c:v>44926</c:v>
                </c:pt>
                <c:pt idx="231">
                  <c:v>44985</c:v>
                </c:pt>
                <c:pt idx="232">
                  <c:v>45016</c:v>
                </c:pt>
                <c:pt idx="233">
                  <c:v>45046</c:v>
                </c:pt>
                <c:pt idx="234">
                  <c:v>45077</c:v>
                </c:pt>
                <c:pt idx="235">
                  <c:v>45107</c:v>
                </c:pt>
                <c:pt idx="236">
                  <c:v>45138</c:v>
                </c:pt>
                <c:pt idx="237">
                  <c:v>45169</c:v>
                </c:pt>
                <c:pt idx="238">
                  <c:v>45199</c:v>
                </c:pt>
                <c:pt idx="239">
                  <c:v>45230</c:v>
                </c:pt>
                <c:pt idx="240">
                  <c:v>45260</c:v>
                </c:pt>
                <c:pt idx="241">
                  <c:v>45291</c:v>
                </c:pt>
                <c:pt idx="242">
                  <c:v>45351</c:v>
                </c:pt>
                <c:pt idx="243">
                  <c:v>45382</c:v>
                </c:pt>
                <c:pt idx="244">
                  <c:v>45412</c:v>
                </c:pt>
                <c:pt idx="245">
                  <c:v>45443</c:v>
                </c:pt>
              </c:numCache>
            </c:numRef>
          </c:cat>
          <c:val>
            <c:numRef>
              <c:f>美林时钟!$B$21:$B$266</c:f>
              <c:numCache>
                <c:formatCode>0.0_ </c:formatCode>
                <c:ptCount val="246"/>
                <c:pt idx="0">
                  <c:v>10.9</c:v>
                </c:pt>
                <c:pt idx="1">
                  <c:v>10.9</c:v>
                </c:pt>
                <c:pt idx="2">
                  <c:v>12.1</c:v>
                </c:pt>
                <c:pt idx="3">
                  <c:v>12.9</c:v>
                </c:pt>
                <c:pt idx="4">
                  <c:v>12.4</c:v>
                </c:pt>
                <c:pt idx="5">
                  <c:v>12.8</c:v>
                </c:pt>
                <c:pt idx="6">
                  <c:v>12.7</c:v>
                </c:pt>
                <c:pt idx="7">
                  <c:v>13.8</c:v>
                </c:pt>
                <c:pt idx="8">
                  <c:v>14.2</c:v>
                </c:pt>
                <c:pt idx="9">
                  <c:v>14.5</c:v>
                </c:pt>
                <c:pt idx="10">
                  <c:v>14.9</c:v>
                </c:pt>
                <c:pt idx="11">
                  <c:v>17.5</c:v>
                </c:pt>
                <c:pt idx="12">
                  <c:v>16.899999999999999</c:v>
                </c:pt>
                <c:pt idx="13">
                  <c:v>14.9</c:v>
                </c:pt>
                <c:pt idx="14">
                  <c:v>13.7</c:v>
                </c:pt>
                <c:pt idx="15">
                  <c:v>16.899999999999999</c:v>
                </c:pt>
                <c:pt idx="16">
                  <c:v>16.5</c:v>
                </c:pt>
                <c:pt idx="17">
                  <c:v>17.100000000000001</c:v>
                </c:pt>
                <c:pt idx="18">
                  <c:v>16.3</c:v>
                </c:pt>
                <c:pt idx="19">
                  <c:v>17.2</c:v>
                </c:pt>
                <c:pt idx="20">
                  <c:v>17.899999999999999</c:v>
                </c:pt>
                <c:pt idx="21">
                  <c:v>18.100000000000001</c:v>
                </c:pt>
                <c:pt idx="22">
                  <c:v>16.600000000000001</c:v>
                </c:pt>
                <c:pt idx="23">
                  <c:v>19.399999999999999</c:v>
                </c:pt>
                <c:pt idx="24">
                  <c:v>19.100000000000001</c:v>
                </c:pt>
                <c:pt idx="25">
                  <c:v>17.5</c:v>
                </c:pt>
                <c:pt idx="26">
                  <c:v>16.2</c:v>
                </c:pt>
                <c:pt idx="27">
                  <c:v>15.5</c:v>
                </c:pt>
                <c:pt idx="28">
                  <c:v>15.9</c:v>
                </c:pt>
                <c:pt idx="29">
                  <c:v>16.100000000000001</c:v>
                </c:pt>
                <c:pt idx="30">
                  <c:v>15.7</c:v>
                </c:pt>
                <c:pt idx="31">
                  <c:v>14.8</c:v>
                </c:pt>
                <c:pt idx="32">
                  <c:v>14.4</c:v>
                </c:pt>
                <c:pt idx="33">
                  <c:v>16.899999999999999</c:v>
                </c:pt>
                <c:pt idx="34">
                  <c:v>15.1</c:v>
                </c:pt>
                <c:pt idx="35">
                  <c:v>16</c:v>
                </c:pt>
                <c:pt idx="36">
                  <c:v>16.600000000000001</c:v>
                </c:pt>
                <c:pt idx="37">
                  <c:v>16.8</c:v>
                </c:pt>
                <c:pt idx="38">
                  <c:v>16.100000000000001</c:v>
                </c:pt>
                <c:pt idx="39">
                  <c:v>16</c:v>
                </c:pt>
                <c:pt idx="40">
                  <c:v>16.5</c:v>
                </c:pt>
                <c:pt idx="41">
                  <c:v>16.100000000000001</c:v>
                </c:pt>
                <c:pt idx="42">
                  <c:v>16.600000000000001</c:v>
                </c:pt>
                <c:pt idx="43">
                  <c:v>16.5</c:v>
                </c:pt>
                <c:pt idx="44">
                  <c:v>16.2</c:v>
                </c:pt>
                <c:pt idx="45">
                  <c:v>17.8</c:v>
                </c:pt>
                <c:pt idx="46">
                  <c:v>16.600000000000001</c:v>
                </c:pt>
                <c:pt idx="47">
                  <c:v>17.899999999999999</c:v>
                </c:pt>
                <c:pt idx="48">
                  <c:v>19.5</c:v>
                </c:pt>
                <c:pt idx="49">
                  <c:v>16.7</c:v>
                </c:pt>
                <c:pt idx="50">
                  <c:v>15.7</c:v>
                </c:pt>
                <c:pt idx="51">
                  <c:v>16.100000000000001</c:v>
                </c:pt>
                <c:pt idx="52">
                  <c:v>14.7</c:v>
                </c:pt>
                <c:pt idx="53">
                  <c:v>14.9</c:v>
                </c:pt>
                <c:pt idx="54">
                  <c:v>14.7</c:v>
                </c:pt>
                <c:pt idx="55">
                  <c:v>18.5</c:v>
                </c:pt>
                <c:pt idx="56">
                  <c:v>17.600000000000001</c:v>
                </c:pt>
                <c:pt idx="57">
                  <c:v>17.399999999999999</c:v>
                </c:pt>
                <c:pt idx="58">
                  <c:v>18.100000000000001</c:v>
                </c:pt>
                <c:pt idx="59">
                  <c:v>19.399999999999999</c:v>
                </c:pt>
                <c:pt idx="60">
                  <c:v>18</c:v>
                </c:pt>
                <c:pt idx="61">
                  <c:v>17.5</c:v>
                </c:pt>
                <c:pt idx="62">
                  <c:v>18.899999999999999</c:v>
                </c:pt>
                <c:pt idx="63">
                  <c:v>17.899999999999999</c:v>
                </c:pt>
                <c:pt idx="64">
                  <c:v>17.3</c:v>
                </c:pt>
                <c:pt idx="65">
                  <c:v>17.399999999999999</c:v>
                </c:pt>
                <c:pt idx="66">
                  <c:v>15.4</c:v>
                </c:pt>
                <c:pt idx="67">
                  <c:v>17.8</c:v>
                </c:pt>
                <c:pt idx="68">
                  <c:v>15.7</c:v>
                </c:pt>
                <c:pt idx="69">
                  <c:v>16</c:v>
                </c:pt>
                <c:pt idx="70">
                  <c:v>16</c:v>
                </c:pt>
                <c:pt idx="71">
                  <c:v>14.7</c:v>
                </c:pt>
                <c:pt idx="72">
                  <c:v>12.8</c:v>
                </c:pt>
                <c:pt idx="73">
                  <c:v>11.4</c:v>
                </c:pt>
                <c:pt idx="74">
                  <c:v>8.1999999999999993</c:v>
                </c:pt>
                <c:pt idx="75">
                  <c:v>5.4</c:v>
                </c:pt>
                <c:pt idx="76">
                  <c:v>5.7</c:v>
                </c:pt>
                <c:pt idx="77">
                  <c:v>3.8</c:v>
                </c:pt>
                <c:pt idx="78">
                  <c:v>8.3000000000000007</c:v>
                </c:pt>
                <c:pt idx="79">
                  <c:v>7.3</c:v>
                </c:pt>
                <c:pt idx="80">
                  <c:v>8.9</c:v>
                </c:pt>
                <c:pt idx="81">
                  <c:v>10.7</c:v>
                </c:pt>
                <c:pt idx="82">
                  <c:v>10.8</c:v>
                </c:pt>
                <c:pt idx="83">
                  <c:v>12.3</c:v>
                </c:pt>
                <c:pt idx="84">
                  <c:v>13.9</c:v>
                </c:pt>
                <c:pt idx="85">
                  <c:v>16.100000000000001</c:v>
                </c:pt>
                <c:pt idx="86">
                  <c:v>19.2</c:v>
                </c:pt>
                <c:pt idx="87">
                  <c:v>18.5</c:v>
                </c:pt>
                <c:pt idx="88">
                  <c:v>20.7</c:v>
                </c:pt>
                <c:pt idx="89">
                  <c:v>18.100000000000001</c:v>
                </c:pt>
                <c:pt idx="90">
                  <c:v>17.8</c:v>
                </c:pt>
                <c:pt idx="91">
                  <c:v>16.5</c:v>
                </c:pt>
                <c:pt idx="92">
                  <c:v>13.7</c:v>
                </c:pt>
                <c:pt idx="93">
                  <c:v>13.4</c:v>
                </c:pt>
                <c:pt idx="94">
                  <c:v>13.9</c:v>
                </c:pt>
                <c:pt idx="95">
                  <c:v>13.3</c:v>
                </c:pt>
                <c:pt idx="96">
                  <c:v>13.1</c:v>
                </c:pt>
                <c:pt idx="97">
                  <c:v>13.3</c:v>
                </c:pt>
                <c:pt idx="98">
                  <c:v>13.5</c:v>
                </c:pt>
                <c:pt idx="99">
                  <c:v>14.1</c:v>
                </c:pt>
                <c:pt idx="100">
                  <c:v>14.8</c:v>
                </c:pt>
                <c:pt idx="101">
                  <c:v>13.4</c:v>
                </c:pt>
                <c:pt idx="102">
                  <c:v>13.3</c:v>
                </c:pt>
                <c:pt idx="103">
                  <c:v>15.1</c:v>
                </c:pt>
                <c:pt idx="104">
                  <c:v>14</c:v>
                </c:pt>
                <c:pt idx="105">
                  <c:v>13.5</c:v>
                </c:pt>
                <c:pt idx="106">
                  <c:v>13.8</c:v>
                </c:pt>
                <c:pt idx="107">
                  <c:v>13.2</c:v>
                </c:pt>
                <c:pt idx="108">
                  <c:v>12.4</c:v>
                </c:pt>
                <c:pt idx="109">
                  <c:v>12.8</c:v>
                </c:pt>
                <c:pt idx="110">
                  <c:v>11.4</c:v>
                </c:pt>
                <c:pt idx="111">
                  <c:v>11.9</c:v>
                </c:pt>
                <c:pt idx="112">
                  <c:v>9.3000000000000007</c:v>
                </c:pt>
                <c:pt idx="113">
                  <c:v>9.6</c:v>
                </c:pt>
                <c:pt idx="114">
                  <c:v>9.5</c:v>
                </c:pt>
                <c:pt idx="115">
                  <c:v>9.1999999999999993</c:v>
                </c:pt>
                <c:pt idx="116">
                  <c:v>8.9</c:v>
                </c:pt>
                <c:pt idx="117">
                  <c:v>9.1999999999999993</c:v>
                </c:pt>
                <c:pt idx="118">
                  <c:v>9.6</c:v>
                </c:pt>
                <c:pt idx="119">
                  <c:v>10.1</c:v>
                </c:pt>
                <c:pt idx="120">
                  <c:v>10.3</c:v>
                </c:pt>
                <c:pt idx="121">
                  <c:v>9.9</c:v>
                </c:pt>
                <c:pt idx="122">
                  <c:v>8.9</c:v>
                </c:pt>
                <c:pt idx="123">
                  <c:v>9.3000000000000007</c:v>
                </c:pt>
                <c:pt idx="124">
                  <c:v>9.1999999999999993</c:v>
                </c:pt>
                <c:pt idx="125">
                  <c:v>8.9</c:v>
                </c:pt>
                <c:pt idx="126">
                  <c:v>9.6999999999999993</c:v>
                </c:pt>
                <c:pt idx="127">
                  <c:v>10.4</c:v>
                </c:pt>
                <c:pt idx="128">
                  <c:v>10.199999999999999</c:v>
                </c:pt>
                <c:pt idx="129">
                  <c:v>10.3</c:v>
                </c:pt>
                <c:pt idx="130">
                  <c:v>10</c:v>
                </c:pt>
                <c:pt idx="131">
                  <c:v>9.6999999999999993</c:v>
                </c:pt>
                <c:pt idx="132">
                  <c:v>8.6</c:v>
                </c:pt>
                <c:pt idx="133">
                  <c:v>8.8000000000000007</c:v>
                </c:pt>
                <c:pt idx="134">
                  <c:v>8.6999999999999993</c:v>
                </c:pt>
                <c:pt idx="135">
                  <c:v>8.8000000000000007</c:v>
                </c:pt>
                <c:pt idx="136">
                  <c:v>9.1999999999999993</c:v>
                </c:pt>
                <c:pt idx="137">
                  <c:v>9</c:v>
                </c:pt>
                <c:pt idx="138">
                  <c:v>6.9</c:v>
                </c:pt>
                <c:pt idx="139">
                  <c:v>8</c:v>
                </c:pt>
                <c:pt idx="140">
                  <c:v>7.7</c:v>
                </c:pt>
                <c:pt idx="141">
                  <c:v>7.2</c:v>
                </c:pt>
                <c:pt idx="142">
                  <c:v>7.9</c:v>
                </c:pt>
                <c:pt idx="143">
                  <c:v>6.8</c:v>
                </c:pt>
                <c:pt idx="144">
                  <c:v>5.6</c:v>
                </c:pt>
                <c:pt idx="145">
                  <c:v>5.9</c:v>
                </c:pt>
                <c:pt idx="146">
                  <c:v>6.1</c:v>
                </c:pt>
                <c:pt idx="147">
                  <c:v>6.8</c:v>
                </c:pt>
                <c:pt idx="148">
                  <c:v>6</c:v>
                </c:pt>
                <c:pt idx="149">
                  <c:v>6.1</c:v>
                </c:pt>
                <c:pt idx="150">
                  <c:v>5.7</c:v>
                </c:pt>
                <c:pt idx="151">
                  <c:v>5.6</c:v>
                </c:pt>
                <c:pt idx="152">
                  <c:v>6.2</c:v>
                </c:pt>
                <c:pt idx="153">
                  <c:v>5.9</c:v>
                </c:pt>
                <c:pt idx="154">
                  <c:v>5.4</c:v>
                </c:pt>
                <c:pt idx="155">
                  <c:v>6.8</c:v>
                </c:pt>
                <c:pt idx="156">
                  <c:v>6</c:v>
                </c:pt>
                <c:pt idx="157">
                  <c:v>6</c:v>
                </c:pt>
                <c:pt idx="158">
                  <c:v>6.2</c:v>
                </c:pt>
                <c:pt idx="159">
                  <c:v>6</c:v>
                </c:pt>
                <c:pt idx="160">
                  <c:v>6.3</c:v>
                </c:pt>
                <c:pt idx="161">
                  <c:v>6.1</c:v>
                </c:pt>
                <c:pt idx="162">
                  <c:v>6.1</c:v>
                </c:pt>
                <c:pt idx="163">
                  <c:v>6.2</c:v>
                </c:pt>
                <c:pt idx="164">
                  <c:v>6</c:v>
                </c:pt>
                <c:pt idx="165">
                  <c:v>6.3</c:v>
                </c:pt>
                <c:pt idx="166">
                  <c:v>7.6</c:v>
                </c:pt>
                <c:pt idx="167">
                  <c:v>6.5</c:v>
                </c:pt>
                <c:pt idx="168">
                  <c:v>6.5</c:v>
                </c:pt>
                <c:pt idx="169">
                  <c:v>7.6</c:v>
                </c:pt>
                <c:pt idx="170">
                  <c:v>6.4</c:v>
                </c:pt>
                <c:pt idx="171">
                  <c:v>6</c:v>
                </c:pt>
                <c:pt idx="172">
                  <c:v>6.6</c:v>
                </c:pt>
                <c:pt idx="173">
                  <c:v>6.2</c:v>
                </c:pt>
                <c:pt idx="174">
                  <c:v>6.1</c:v>
                </c:pt>
                <c:pt idx="175">
                  <c:v>6.2</c:v>
                </c:pt>
                <c:pt idx="176">
                  <c:v>7.2</c:v>
                </c:pt>
                <c:pt idx="177">
                  <c:v>6</c:v>
                </c:pt>
                <c:pt idx="178">
                  <c:v>7</c:v>
                </c:pt>
                <c:pt idx="179">
                  <c:v>6.8</c:v>
                </c:pt>
                <c:pt idx="180">
                  <c:v>6</c:v>
                </c:pt>
                <c:pt idx="181">
                  <c:v>6</c:v>
                </c:pt>
                <c:pt idx="182">
                  <c:v>6.1</c:v>
                </c:pt>
                <c:pt idx="183">
                  <c:v>5.8</c:v>
                </c:pt>
                <c:pt idx="184">
                  <c:v>5.9</c:v>
                </c:pt>
                <c:pt idx="185">
                  <c:v>5.4</c:v>
                </c:pt>
                <c:pt idx="186">
                  <c:v>5.7</c:v>
                </c:pt>
                <c:pt idx="187">
                  <c:v>5.3</c:v>
                </c:pt>
                <c:pt idx="188">
                  <c:v>8.5</c:v>
                </c:pt>
                <c:pt idx="189">
                  <c:v>5.4</c:v>
                </c:pt>
                <c:pt idx="190">
                  <c:v>5</c:v>
                </c:pt>
                <c:pt idx="191">
                  <c:v>6.3</c:v>
                </c:pt>
                <c:pt idx="192">
                  <c:v>4.8</c:v>
                </c:pt>
                <c:pt idx="193">
                  <c:v>4.4000000000000004</c:v>
                </c:pt>
                <c:pt idx="194">
                  <c:v>5.8</c:v>
                </c:pt>
                <c:pt idx="195">
                  <c:v>4.7</c:v>
                </c:pt>
                <c:pt idx="196">
                  <c:v>6.2</c:v>
                </c:pt>
                <c:pt idx="197">
                  <c:v>6.9</c:v>
                </c:pt>
                <c:pt idx="198">
                  <c:v>-13.5</c:v>
                </c:pt>
                <c:pt idx="199">
                  <c:v>-1.1000000000000001</c:v>
                </c:pt>
                <c:pt idx="200">
                  <c:v>3.9</c:v>
                </c:pt>
                <c:pt idx="201">
                  <c:v>4.4000000000000004</c:v>
                </c:pt>
                <c:pt idx="202">
                  <c:v>4.8</c:v>
                </c:pt>
                <c:pt idx="203">
                  <c:v>4.8</c:v>
                </c:pt>
                <c:pt idx="204">
                  <c:v>5.6</c:v>
                </c:pt>
                <c:pt idx="205">
                  <c:v>6.9</c:v>
                </c:pt>
                <c:pt idx="206">
                  <c:v>6.9</c:v>
                </c:pt>
                <c:pt idx="207">
                  <c:v>7</c:v>
                </c:pt>
                <c:pt idx="208">
                  <c:v>7.3</c:v>
                </c:pt>
                <c:pt idx="209">
                  <c:v>35.1</c:v>
                </c:pt>
                <c:pt idx="210">
                  <c:v>14.1</c:v>
                </c:pt>
                <c:pt idx="211">
                  <c:v>9.8000000000000007</c:v>
                </c:pt>
                <c:pt idx="212">
                  <c:v>8.8000000000000007</c:v>
                </c:pt>
                <c:pt idx="213">
                  <c:v>8.3000000000000007</c:v>
                </c:pt>
                <c:pt idx="214">
                  <c:v>6.4</c:v>
                </c:pt>
                <c:pt idx="215">
                  <c:v>5.3</c:v>
                </c:pt>
                <c:pt idx="216">
                  <c:v>3.1</c:v>
                </c:pt>
                <c:pt idx="217">
                  <c:v>3.5</c:v>
                </c:pt>
                <c:pt idx="218">
                  <c:v>3.8</c:v>
                </c:pt>
                <c:pt idx="219">
                  <c:v>4.3</c:v>
                </c:pt>
                <c:pt idx="220">
                  <c:v>7.5</c:v>
                </c:pt>
                <c:pt idx="221">
                  <c:v>5</c:v>
                </c:pt>
                <c:pt idx="222">
                  <c:v>-2.9</c:v>
                </c:pt>
                <c:pt idx="223">
                  <c:v>0.7</c:v>
                </c:pt>
                <c:pt idx="224">
                  <c:v>3.9</c:v>
                </c:pt>
                <c:pt idx="225">
                  <c:v>3.8</c:v>
                </c:pt>
                <c:pt idx="226">
                  <c:v>4.2</c:v>
                </c:pt>
                <c:pt idx="227">
                  <c:v>6.3</c:v>
                </c:pt>
                <c:pt idx="228">
                  <c:v>5</c:v>
                </c:pt>
                <c:pt idx="229">
                  <c:v>2.2000000000000002</c:v>
                </c:pt>
                <c:pt idx="230">
                  <c:v>1.3</c:v>
                </c:pt>
                <c:pt idx="231">
                  <c:v>2.4</c:v>
                </c:pt>
                <c:pt idx="232">
                  <c:v>3.9</c:v>
                </c:pt>
                <c:pt idx="233">
                  <c:v>5.6</c:v>
                </c:pt>
                <c:pt idx="234">
                  <c:v>3.5</c:v>
                </c:pt>
                <c:pt idx="235">
                  <c:v>4.4000000000000004</c:v>
                </c:pt>
                <c:pt idx="236">
                  <c:v>3.7</c:v>
                </c:pt>
                <c:pt idx="237">
                  <c:v>4.5</c:v>
                </c:pt>
                <c:pt idx="238">
                  <c:v>4.5</c:v>
                </c:pt>
                <c:pt idx="239">
                  <c:v>4.5999999999999996</c:v>
                </c:pt>
                <c:pt idx="240">
                  <c:v>6.6</c:v>
                </c:pt>
                <c:pt idx="241">
                  <c:v>6.8</c:v>
                </c:pt>
                <c:pt idx="242">
                  <c:v>7</c:v>
                </c:pt>
                <c:pt idx="243">
                  <c:v>4.5</c:v>
                </c:pt>
                <c:pt idx="244">
                  <c:v>6.7</c:v>
                </c:pt>
                <c:pt idx="245">
                  <c:v>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3B-42F0-B80C-A50167E714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4876624"/>
        <c:axId val="614618969"/>
      </c:lineChart>
      <c:catAx>
        <c:axId val="904876624"/>
        <c:scaling>
          <c:orientation val="minMax"/>
        </c:scaling>
        <c:delete val="0"/>
        <c:axPos val="b"/>
        <c:numFmt formatCode="yyyy\-mm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黑体" panose="02010609060101010101" pitchFamily="49" charset="-122"/>
                <a:ea typeface="黑体" panose="02010609060101010101" pitchFamily="49" charset="-122"/>
                <a:cs typeface="黑体" panose="02010609060101010101" pitchFamily="49" charset="-122"/>
                <a:sym typeface="黑体" panose="02010609060101010101" pitchFamily="49" charset="-122"/>
              </a:defRPr>
            </a:pPr>
            <a:endParaRPr lang="zh-CN"/>
          </a:p>
        </c:txPr>
        <c:crossAx val="614618969"/>
        <c:crosses val="autoZero"/>
        <c:auto val="0"/>
        <c:lblAlgn val="ctr"/>
        <c:lblOffset val="100"/>
        <c:noMultiLvlLbl val="0"/>
      </c:catAx>
      <c:valAx>
        <c:axId val="614618969"/>
        <c:scaling>
          <c:orientation val="minMax"/>
        </c:scaling>
        <c:delete val="0"/>
        <c:axPos val="l"/>
        <c:numFmt formatCode="0.0_ 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黑体" panose="02010609060101010101" pitchFamily="49" charset="-122"/>
                <a:ea typeface="黑体" panose="02010609060101010101" pitchFamily="49" charset="-122"/>
                <a:cs typeface="黑体" panose="02010609060101010101" pitchFamily="49" charset="-122"/>
                <a:sym typeface="黑体" panose="02010609060101010101" pitchFamily="49" charset="-122"/>
              </a:defRPr>
            </a:pPr>
            <a:endParaRPr lang="zh-CN"/>
          </a:p>
        </c:txPr>
        <c:crossAx val="904876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 wrap="square"/>
    <a:lstStyle/>
    <a:p>
      <a:pPr>
        <a:defRPr lang="zh-CN" sz="700">
          <a:latin typeface="黑体" panose="02010609060101010101" pitchFamily="49" charset="-122"/>
          <a:ea typeface="黑体" panose="02010609060101010101" pitchFamily="49" charset="-122"/>
          <a:cs typeface="黑体" panose="02010609060101010101" pitchFamily="49" charset="-122"/>
          <a:sym typeface="黑体" panose="02010609060101010101" pitchFamily="49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8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黑体" panose="02010609060101010101" pitchFamily="49" charset="-122"/>
              <a:ea typeface="黑体" panose="02010609060101010101" pitchFamily="49" charset="-122"/>
              <a:cs typeface="黑体" panose="02010609060101010101" pitchFamily="49" charset="-122"/>
              <a:sym typeface="黑体" panose="02010609060101010101" pitchFamily="49" charset="-122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美林时钟!$C$20</c:f>
              <c:strCache>
                <c:ptCount val="1"/>
                <c:pt idx="0">
                  <c:v>CPI:当月同比</c:v>
                </c:pt>
              </c:strCache>
            </c:strRef>
          </c:tx>
          <c:spPr>
            <a:ln w="15875" cap="rnd" cmpd="sng" algn="ctr">
              <a:solidFill>
                <a:srgbClr val="004477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美林时钟!$A$21:$A$266</c:f>
              <c:numCache>
                <c:formatCode>yyyy\-mm</c:formatCode>
                <c:ptCount val="246"/>
                <c:pt idx="0">
                  <c:v>37315</c:v>
                </c:pt>
                <c:pt idx="1">
                  <c:v>37346</c:v>
                </c:pt>
                <c:pt idx="2">
                  <c:v>37376</c:v>
                </c:pt>
                <c:pt idx="3">
                  <c:v>37407</c:v>
                </c:pt>
                <c:pt idx="4">
                  <c:v>37437</c:v>
                </c:pt>
                <c:pt idx="5">
                  <c:v>37468</c:v>
                </c:pt>
                <c:pt idx="6">
                  <c:v>37499</c:v>
                </c:pt>
                <c:pt idx="7">
                  <c:v>37529</c:v>
                </c:pt>
                <c:pt idx="8">
                  <c:v>37560</c:v>
                </c:pt>
                <c:pt idx="9">
                  <c:v>37590</c:v>
                </c:pt>
                <c:pt idx="10">
                  <c:v>37621</c:v>
                </c:pt>
                <c:pt idx="11">
                  <c:v>37680</c:v>
                </c:pt>
                <c:pt idx="12">
                  <c:v>37711</c:v>
                </c:pt>
                <c:pt idx="13">
                  <c:v>37741</c:v>
                </c:pt>
                <c:pt idx="14">
                  <c:v>37772</c:v>
                </c:pt>
                <c:pt idx="15">
                  <c:v>37802</c:v>
                </c:pt>
                <c:pt idx="16">
                  <c:v>37833</c:v>
                </c:pt>
                <c:pt idx="17">
                  <c:v>37864</c:v>
                </c:pt>
                <c:pt idx="18">
                  <c:v>37894</c:v>
                </c:pt>
                <c:pt idx="19">
                  <c:v>37925</c:v>
                </c:pt>
                <c:pt idx="20">
                  <c:v>37955</c:v>
                </c:pt>
                <c:pt idx="21">
                  <c:v>37986</c:v>
                </c:pt>
                <c:pt idx="22">
                  <c:v>38046</c:v>
                </c:pt>
                <c:pt idx="23">
                  <c:v>38077</c:v>
                </c:pt>
                <c:pt idx="24">
                  <c:v>38107</c:v>
                </c:pt>
                <c:pt idx="25">
                  <c:v>38138</c:v>
                </c:pt>
                <c:pt idx="26">
                  <c:v>38168</c:v>
                </c:pt>
                <c:pt idx="27">
                  <c:v>38199</c:v>
                </c:pt>
                <c:pt idx="28">
                  <c:v>38230</c:v>
                </c:pt>
                <c:pt idx="29">
                  <c:v>38260</c:v>
                </c:pt>
                <c:pt idx="30">
                  <c:v>38291</c:v>
                </c:pt>
                <c:pt idx="31">
                  <c:v>38321</c:v>
                </c:pt>
                <c:pt idx="32">
                  <c:v>38352</c:v>
                </c:pt>
                <c:pt idx="33">
                  <c:v>38411</c:v>
                </c:pt>
                <c:pt idx="34">
                  <c:v>38442</c:v>
                </c:pt>
                <c:pt idx="35">
                  <c:v>38472</c:v>
                </c:pt>
                <c:pt idx="36">
                  <c:v>38503</c:v>
                </c:pt>
                <c:pt idx="37">
                  <c:v>38533</c:v>
                </c:pt>
                <c:pt idx="38">
                  <c:v>38564</c:v>
                </c:pt>
                <c:pt idx="39">
                  <c:v>38595</c:v>
                </c:pt>
                <c:pt idx="40">
                  <c:v>38625</c:v>
                </c:pt>
                <c:pt idx="41">
                  <c:v>38656</c:v>
                </c:pt>
                <c:pt idx="42">
                  <c:v>38686</c:v>
                </c:pt>
                <c:pt idx="43">
                  <c:v>38717</c:v>
                </c:pt>
                <c:pt idx="44">
                  <c:v>38776</c:v>
                </c:pt>
                <c:pt idx="45">
                  <c:v>38807</c:v>
                </c:pt>
                <c:pt idx="46">
                  <c:v>38837</c:v>
                </c:pt>
                <c:pt idx="47">
                  <c:v>38868</c:v>
                </c:pt>
                <c:pt idx="48">
                  <c:v>38898</c:v>
                </c:pt>
                <c:pt idx="49">
                  <c:v>38929</c:v>
                </c:pt>
                <c:pt idx="50">
                  <c:v>38960</c:v>
                </c:pt>
                <c:pt idx="51">
                  <c:v>38990</c:v>
                </c:pt>
                <c:pt idx="52">
                  <c:v>39021</c:v>
                </c:pt>
                <c:pt idx="53">
                  <c:v>39051</c:v>
                </c:pt>
                <c:pt idx="54">
                  <c:v>39082</c:v>
                </c:pt>
                <c:pt idx="55">
                  <c:v>39141</c:v>
                </c:pt>
                <c:pt idx="56">
                  <c:v>39172</c:v>
                </c:pt>
                <c:pt idx="57">
                  <c:v>39202</c:v>
                </c:pt>
                <c:pt idx="58">
                  <c:v>39233</c:v>
                </c:pt>
                <c:pt idx="59">
                  <c:v>39263</c:v>
                </c:pt>
                <c:pt idx="60">
                  <c:v>39294</c:v>
                </c:pt>
                <c:pt idx="61">
                  <c:v>39325</c:v>
                </c:pt>
                <c:pt idx="62">
                  <c:v>39355</c:v>
                </c:pt>
                <c:pt idx="63">
                  <c:v>39386</c:v>
                </c:pt>
                <c:pt idx="64">
                  <c:v>39416</c:v>
                </c:pt>
                <c:pt idx="65">
                  <c:v>39447</c:v>
                </c:pt>
                <c:pt idx="66">
                  <c:v>39507</c:v>
                </c:pt>
                <c:pt idx="67">
                  <c:v>39538</c:v>
                </c:pt>
                <c:pt idx="68">
                  <c:v>39568</c:v>
                </c:pt>
                <c:pt idx="69">
                  <c:v>39599</c:v>
                </c:pt>
                <c:pt idx="70">
                  <c:v>39629</c:v>
                </c:pt>
                <c:pt idx="71">
                  <c:v>39660</c:v>
                </c:pt>
                <c:pt idx="72">
                  <c:v>39691</c:v>
                </c:pt>
                <c:pt idx="73">
                  <c:v>39721</c:v>
                </c:pt>
                <c:pt idx="74">
                  <c:v>39752</c:v>
                </c:pt>
                <c:pt idx="75">
                  <c:v>39782</c:v>
                </c:pt>
                <c:pt idx="76">
                  <c:v>39813</c:v>
                </c:pt>
                <c:pt idx="77">
                  <c:v>39872</c:v>
                </c:pt>
                <c:pt idx="78">
                  <c:v>39903</c:v>
                </c:pt>
                <c:pt idx="79">
                  <c:v>39933</c:v>
                </c:pt>
                <c:pt idx="80">
                  <c:v>39964</c:v>
                </c:pt>
                <c:pt idx="81">
                  <c:v>39994</c:v>
                </c:pt>
                <c:pt idx="82">
                  <c:v>40025</c:v>
                </c:pt>
                <c:pt idx="83">
                  <c:v>40056</c:v>
                </c:pt>
                <c:pt idx="84">
                  <c:v>40086</c:v>
                </c:pt>
                <c:pt idx="85">
                  <c:v>40117</c:v>
                </c:pt>
                <c:pt idx="86">
                  <c:v>40147</c:v>
                </c:pt>
                <c:pt idx="87">
                  <c:v>40178</c:v>
                </c:pt>
                <c:pt idx="88">
                  <c:v>40237</c:v>
                </c:pt>
                <c:pt idx="89">
                  <c:v>40268</c:v>
                </c:pt>
                <c:pt idx="90">
                  <c:v>40298</c:v>
                </c:pt>
                <c:pt idx="91">
                  <c:v>40329</c:v>
                </c:pt>
                <c:pt idx="92">
                  <c:v>40359</c:v>
                </c:pt>
                <c:pt idx="93">
                  <c:v>40390</c:v>
                </c:pt>
                <c:pt idx="94">
                  <c:v>40421</c:v>
                </c:pt>
                <c:pt idx="95">
                  <c:v>40451</c:v>
                </c:pt>
                <c:pt idx="96">
                  <c:v>40482</c:v>
                </c:pt>
                <c:pt idx="97">
                  <c:v>40512</c:v>
                </c:pt>
                <c:pt idx="98">
                  <c:v>40543</c:v>
                </c:pt>
                <c:pt idx="99">
                  <c:v>40602</c:v>
                </c:pt>
                <c:pt idx="100">
                  <c:v>40633</c:v>
                </c:pt>
                <c:pt idx="101">
                  <c:v>40663</c:v>
                </c:pt>
                <c:pt idx="102">
                  <c:v>40694</c:v>
                </c:pt>
                <c:pt idx="103">
                  <c:v>40724</c:v>
                </c:pt>
                <c:pt idx="104">
                  <c:v>40755</c:v>
                </c:pt>
                <c:pt idx="105">
                  <c:v>40786</c:v>
                </c:pt>
                <c:pt idx="106">
                  <c:v>40816</c:v>
                </c:pt>
                <c:pt idx="107">
                  <c:v>40847</c:v>
                </c:pt>
                <c:pt idx="108">
                  <c:v>40877</c:v>
                </c:pt>
                <c:pt idx="109">
                  <c:v>40908</c:v>
                </c:pt>
                <c:pt idx="110">
                  <c:v>40968</c:v>
                </c:pt>
                <c:pt idx="111">
                  <c:v>40999</c:v>
                </c:pt>
                <c:pt idx="112">
                  <c:v>41029</c:v>
                </c:pt>
                <c:pt idx="113">
                  <c:v>41060</c:v>
                </c:pt>
                <c:pt idx="114">
                  <c:v>41090</c:v>
                </c:pt>
                <c:pt idx="115">
                  <c:v>41121</c:v>
                </c:pt>
                <c:pt idx="116">
                  <c:v>41152</c:v>
                </c:pt>
                <c:pt idx="117">
                  <c:v>41182</c:v>
                </c:pt>
                <c:pt idx="118">
                  <c:v>41213</c:v>
                </c:pt>
                <c:pt idx="119">
                  <c:v>41243</c:v>
                </c:pt>
                <c:pt idx="120">
                  <c:v>41274</c:v>
                </c:pt>
                <c:pt idx="121">
                  <c:v>41333</c:v>
                </c:pt>
                <c:pt idx="122">
                  <c:v>41364</c:v>
                </c:pt>
                <c:pt idx="123">
                  <c:v>41394</c:v>
                </c:pt>
                <c:pt idx="124">
                  <c:v>41425</c:v>
                </c:pt>
                <c:pt idx="125">
                  <c:v>41455</c:v>
                </c:pt>
                <c:pt idx="126">
                  <c:v>41486</c:v>
                </c:pt>
                <c:pt idx="127">
                  <c:v>41517</c:v>
                </c:pt>
                <c:pt idx="128">
                  <c:v>41547</c:v>
                </c:pt>
                <c:pt idx="129">
                  <c:v>41578</c:v>
                </c:pt>
                <c:pt idx="130">
                  <c:v>41608</c:v>
                </c:pt>
                <c:pt idx="131">
                  <c:v>41639</c:v>
                </c:pt>
                <c:pt idx="132">
                  <c:v>41698</c:v>
                </c:pt>
                <c:pt idx="133">
                  <c:v>41729</c:v>
                </c:pt>
                <c:pt idx="134">
                  <c:v>41759</c:v>
                </c:pt>
                <c:pt idx="135">
                  <c:v>41790</c:v>
                </c:pt>
                <c:pt idx="136">
                  <c:v>41820</c:v>
                </c:pt>
                <c:pt idx="137">
                  <c:v>41851</c:v>
                </c:pt>
                <c:pt idx="138">
                  <c:v>41882</c:v>
                </c:pt>
                <c:pt idx="139">
                  <c:v>41912</c:v>
                </c:pt>
                <c:pt idx="140">
                  <c:v>41943</c:v>
                </c:pt>
                <c:pt idx="141">
                  <c:v>41973</c:v>
                </c:pt>
                <c:pt idx="142">
                  <c:v>42004</c:v>
                </c:pt>
                <c:pt idx="143">
                  <c:v>42063</c:v>
                </c:pt>
                <c:pt idx="144">
                  <c:v>42094</c:v>
                </c:pt>
                <c:pt idx="145">
                  <c:v>42124</c:v>
                </c:pt>
                <c:pt idx="146">
                  <c:v>42155</c:v>
                </c:pt>
                <c:pt idx="147">
                  <c:v>42185</c:v>
                </c:pt>
                <c:pt idx="148">
                  <c:v>42216</c:v>
                </c:pt>
                <c:pt idx="149">
                  <c:v>42247</c:v>
                </c:pt>
                <c:pt idx="150">
                  <c:v>42277</c:v>
                </c:pt>
                <c:pt idx="151">
                  <c:v>42308</c:v>
                </c:pt>
                <c:pt idx="152">
                  <c:v>42338</c:v>
                </c:pt>
                <c:pt idx="153">
                  <c:v>42369</c:v>
                </c:pt>
                <c:pt idx="154">
                  <c:v>42429</c:v>
                </c:pt>
                <c:pt idx="155">
                  <c:v>42460</c:v>
                </c:pt>
                <c:pt idx="156">
                  <c:v>42490</c:v>
                </c:pt>
                <c:pt idx="157">
                  <c:v>42521</c:v>
                </c:pt>
                <c:pt idx="158">
                  <c:v>42551</c:v>
                </c:pt>
                <c:pt idx="159">
                  <c:v>42582</c:v>
                </c:pt>
                <c:pt idx="160">
                  <c:v>42613</c:v>
                </c:pt>
                <c:pt idx="161">
                  <c:v>42643</c:v>
                </c:pt>
                <c:pt idx="162">
                  <c:v>42674</c:v>
                </c:pt>
                <c:pt idx="163">
                  <c:v>42704</c:v>
                </c:pt>
                <c:pt idx="164">
                  <c:v>42735</c:v>
                </c:pt>
                <c:pt idx="165">
                  <c:v>42794</c:v>
                </c:pt>
                <c:pt idx="166">
                  <c:v>42825</c:v>
                </c:pt>
                <c:pt idx="167">
                  <c:v>42855</c:v>
                </c:pt>
                <c:pt idx="168">
                  <c:v>42886</c:v>
                </c:pt>
                <c:pt idx="169">
                  <c:v>42916</c:v>
                </c:pt>
                <c:pt idx="170">
                  <c:v>42947</c:v>
                </c:pt>
                <c:pt idx="171">
                  <c:v>42978</c:v>
                </c:pt>
                <c:pt idx="172">
                  <c:v>43008</c:v>
                </c:pt>
                <c:pt idx="173">
                  <c:v>43039</c:v>
                </c:pt>
                <c:pt idx="174">
                  <c:v>43069</c:v>
                </c:pt>
                <c:pt idx="175">
                  <c:v>43100</c:v>
                </c:pt>
                <c:pt idx="176">
                  <c:v>43159</c:v>
                </c:pt>
                <c:pt idx="177">
                  <c:v>43190</c:v>
                </c:pt>
                <c:pt idx="178">
                  <c:v>43220</c:v>
                </c:pt>
                <c:pt idx="179">
                  <c:v>43251</c:v>
                </c:pt>
                <c:pt idx="180">
                  <c:v>43281</c:v>
                </c:pt>
                <c:pt idx="181">
                  <c:v>43312</c:v>
                </c:pt>
                <c:pt idx="182">
                  <c:v>43343</c:v>
                </c:pt>
                <c:pt idx="183">
                  <c:v>43373</c:v>
                </c:pt>
                <c:pt idx="184">
                  <c:v>43404</c:v>
                </c:pt>
                <c:pt idx="185">
                  <c:v>43434</c:v>
                </c:pt>
                <c:pt idx="186">
                  <c:v>43465</c:v>
                </c:pt>
                <c:pt idx="187">
                  <c:v>43524</c:v>
                </c:pt>
                <c:pt idx="188">
                  <c:v>43555</c:v>
                </c:pt>
                <c:pt idx="189">
                  <c:v>43585</c:v>
                </c:pt>
                <c:pt idx="190">
                  <c:v>43616</c:v>
                </c:pt>
                <c:pt idx="191">
                  <c:v>43646</c:v>
                </c:pt>
                <c:pt idx="192">
                  <c:v>43677</c:v>
                </c:pt>
                <c:pt idx="193">
                  <c:v>43708</c:v>
                </c:pt>
                <c:pt idx="194">
                  <c:v>43738</c:v>
                </c:pt>
                <c:pt idx="195">
                  <c:v>43769</c:v>
                </c:pt>
                <c:pt idx="196">
                  <c:v>43799</c:v>
                </c:pt>
                <c:pt idx="197">
                  <c:v>43830</c:v>
                </c:pt>
                <c:pt idx="198">
                  <c:v>43890</c:v>
                </c:pt>
                <c:pt idx="199">
                  <c:v>43921</c:v>
                </c:pt>
                <c:pt idx="200">
                  <c:v>43951</c:v>
                </c:pt>
                <c:pt idx="201">
                  <c:v>43982</c:v>
                </c:pt>
                <c:pt idx="202">
                  <c:v>44012</c:v>
                </c:pt>
                <c:pt idx="203">
                  <c:v>44043</c:v>
                </c:pt>
                <c:pt idx="204">
                  <c:v>44074</c:v>
                </c:pt>
                <c:pt idx="205">
                  <c:v>44104</c:v>
                </c:pt>
                <c:pt idx="206">
                  <c:v>44135</c:v>
                </c:pt>
                <c:pt idx="207">
                  <c:v>44165</c:v>
                </c:pt>
                <c:pt idx="208">
                  <c:v>44196</c:v>
                </c:pt>
                <c:pt idx="209">
                  <c:v>44255</c:v>
                </c:pt>
                <c:pt idx="210">
                  <c:v>44286</c:v>
                </c:pt>
                <c:pt idx="211">
                  <c:v>44316</c:v>
                </c:pt>
                <c:pt idx="212">
                  <c:v>44347</c:v>
                </c:pt>
                <c:pt idx="213">
                  <c:v>44377</c:v>
                </c:pt>
                <c:pt idx="214">
                  <c:v>44408</c:v>
                </c:pt>
                <c:pt idx="215">
                  <c:v>44439</c:v>
                </c:pt>
                <c:pt idx="216">
                  <c:v>44469</c:v>
                </c:pt>
                <c:pt idx="217">
                  <c:v>44500</c:v>
                </c:pt>
                <c:pt idx="218">
                  <c:v>44530</c:v>
                </c:pt>
                <c:pt idx="219">
                  <c:v>44561</c:v>
                </c:pt>
                <c:pt idx="220">
                  <c:v>44620</c:v>
                </c:pt>
                <c:pt idx="221">
                  <c:v>44651</c:v>
                </c:pt>
                <c:pt idx="222">
                  <c:v>44681</c:v>
                </c:pt>
                <c:pt idx="223">
                  <c:v>44712</c:v>
                </c:pt>
                <c:pt idx="224">
                  <c:v>44742</c:v>
                </c:pt>
                <c:pt idx="225">
                  <c:v>44773</c:v>
                </c:pt>
                <c:pt idx="226">
                  <c:v>44804</c:v>
                </c:pt>
                <c:pt idx="227">
                  <c:v>44834</c:v>
                </c:pt>
                <c:pt idx="228">
                  <c:v>44865</c:v>
                </c:pt>
                <c:pt idx="229">
                  <c:v>44895</c:v>
                </c:pt>
                <c:pt idx="230">
                  <c:v>44926</c:v>
                </c:pt>
                <c:pt idx="231">
                  <c:v>44985</c:v>
                </c:pt>
                <c:pt idx="232">
                  <c:v>45016</c:v>
                </c:pt>
                <c:pt idx="233">
                  <c:v>45046</c:v>
                </c:pt>
                <c:pt idx="234">
                  <c:v>45077</c:v>
                </c:pt>
                <c:pt idx="235">
                  <c:v>45107</c:v>
                </c:pt>
                <c:pt idx="236">
                  <c:v>45138</c:v>
                </c:pt>
                <c:pt idx="237">
                  <c:v>45169</c:v>
                </c:pt>
                <c:pt idx="238">
                  <c:v>45199</c:v>
                </c:pt>
                <c:pt idx="239">
                  <c:v>45230</c:v>
                </c:pt>
                <c:pt idx="240">
                  <c:v>45260</c:v>
                </c:pt>
                <c:pt idx="241">
                  <c:v>45291</c:v>
                </c:pt>
                <c:pt idx="242">
                  <c:v>45351</c:v>
                </c:pt>
                <c:pt idx="243">
                  <c:v>45382</c:v>
                </c:pt>
                <c:pt idx="244">
                  <c:v>45412</c:v>
                </c:pt>
                <c:pt idx="245">
                  <c:v>45443</c:v>
                </c:pt>
              </c:numCache>
            </c:numRef>
          </c:cat>
          <c:val>
            <c:numRef>
              <c:f>美林时钟!$C$21:$C$266</c:f>
              <c:numCache>
                <c:formatCode>0.0_ </c:formatCode>
                <c:ptCount val="246"/>
                <c:pt idx="0">
                  <c:v>-0.5</c:v>
                </c:pt>
                <c:pt idx="1">
                  <c:v>-0.8</c:v>
                </c:pt>
                <c:pt idx="2">
                  <c:v>-1.3</c:v>
                </c:pt>
                <c:pt idx="3">
                  <c:v>-1.1000000000000001</c:v>
                </c:pt>
                <c:pt idx="4">
                  <c:v>-0.8</c:v>
                </c:pt>
                <c:pt idx="5">
                  <c:v>-0.9</c:v>
                </c:pt>
                <c:pt idx="6">
                  <c:v>-0.7</c:v>
                </c:pt>
                <c:pt idx="7">
                  <c:v>-0.7</c:v>
                </c:pt>
                <c:pt idx="8">
                  <c:v>-0.8</c:v>
                </c:pt>
                <c:pt idx="9">
                  <c:v>-0.7</c:v>
                </c:pt>
                <c:pt idx="10">
                  <c:v>-0.4</c:v>
                </c:pt>
                <c:pt idx="11">
                  <c:v>0.3</c:v>
                </c:pt>
                <c:pt idx="12">
                  <c:v>0.9</c:v>
                </c:pt>
                <c:pt idx="13">
                  <c:v>1</c:v>
                </c:pt>
                <c:pt idx="14">
                  <c:v>0.7</c:v>
                </c:pt>
                <c:pt idx="15">
                  <c:v>0.3</c:v>
                </c:pt>
                <c:pt idx="16">
                  <c:v>0.5</c:v>
                </c:pt>
                <c:pt idx="17">
                  <c:v>0.9</c:v>
                </c:pt>
                <c:pt idx="18">
                  <c:v>1.1000000000000001</c:v>
                </c:pt>
                <c:pt idx="19">
                  <c:v>1.8</c:v>
                </c:pt>
                <c:pt idx="20">
                  <c:v>3</c:v>
                </c:pt>
                <c:pt idx="21">
                  <c:v>3.2</c:v>
                </c:pt>
                <c:pt idx="22">
                  <c:v>2.6</c:v>
                </c:pt>
                <c:pt idx="23">
                  <c:v>3</c:v>
                </c:pt>
                <c:pt idx="24">
                  <c:v>3.8</c:v>
                </c:pt>
                <c:pt idx="25">
                  <c:v>4.4000000000000004</c:v>
                </c:pt>
                <c:pt idx="26">
                  <c:v>5</c:v>
                </c:pt>
                <c:pt idx="27">
                  <c:v>5.3</c:v>
                </c:pt>
                <c:pt idx="28">
                  <c:v>5.3</c:v>
                </c:pt>
                <c:pt idx="29">
                  <c:v>5.2</c:v>
                </c:pt>
                <c:pt idx="30">
                  <c:v>4.3</c:v>
                </c:pt>
                <c:pt idx="31">
                  <c:v>2.8</c:v>
                </c:pt>
                <c:pt idx="32">
                  <c:v>2.4</c:v>
                </c:pt>
                <c:pt idx="33">
                  <c:v>2.9</c:v>
                </c:pt>
                <c:pt idx="34">
                  <c:v>2.7</c:v>
                </c:pt>
                <c:pt idx="35">
                  <c:v>1.8</c:v>
                </c:pt>
                <c:pt idx="36">
                  <c:v>1.8</c:v>
                </c:pt>
                <c:pt idx="37">
                  <c:v>1.6</c:v>
                </c:pt>
                <c:pt idx="38">
                  <c:v>1.8</c:v>
                </c:pt>
                <c:pt idx="39">
                  <c:v>1.3</c:v>
                </c:pt>
                <c:pt idx="40">
                  <c:v>0.9</c:v>
                </c:pt>
                <c:pt idx="41">
                  <c:v>1.2</c:v>
                </c:pt>
                <c:pt idx="42">
                  <c:v>1.3</c:v>
                </c:pt>
                <c:pt idx="43">
                  <c:v>1.6</c:v>
                </c:pt>
                <c:pt idx="44">
                  <c:v>1.4</c:v>
                </c:pt>
                <c:pt idx="45">
                  <c:v>0.8</c:v>
                </c:pt>
                <c:pt idx="46">
                  <c:v>1.2</c:v>
                </c:pt>
                <c:pt idx="47">
                  <c:v>1.4</c:v>
                </c:pt>
                <c:pt idx="48">
                  <c:v>1.5</c:v>
                </c:pt>
                <c:pt idx="49">
                  <c:v>1</c:v>
                </c:pt>
                <c:pt idx="50">
                  <c:v>1.3</c:v>
                </c:pt>
                <c:pt idx="51">
                  <c:v>1.5</c:v>
                </c:pt>
                <c:pt idx="52">
                  <c:v>1.4</c:v>
                </c:pt>
                <c:pt idx="53">
                  <c:v>1.9</c:v>
                </c:pt>
                <c:pt idx="54">
                  <c:v>2.8</c:v>
                </c:pt>
                <c:pt idx="55">
                  <c:v>2.4</c:v>
                </c:pt>
                <c:pt idx="56">
                  <c:v>3.3</c:v>
                </c:pt>
                <c:pt idx="57">
                  <c:v>3</c:v>
                </c:pt>
                <c:pt idx="58">
                  <c:v>3.4</c:v>
                </c:pt>
                <c:pt idx="59">
                  <c:v>4.4000000000000004</c:v>
                </c:pt>
                <c:pt idx="60">
                  <c:v>5.6</c:v>
                </c:pt>
                <c:pt idx="61">
                  <c:v>6.5</c:v>
                </c:pt>
                <c:pt idx="62">
                  <c:v>6.2</c:v>
                </c:pt>
                <c:pt idx="63">
                  <c:v>6.5</c:v>
                </c:pt>
                <c:pt idx="64">
                  <c:v>6.9</c:v>
                </c:pt>
                <c:pt idx="65">
                  <c:v>6.5</c:v>
                </c:pt>
                <c:pt idx="66">
                  <c:v>7.9</c:v>
                </c:pt>
                <c:pt idx="67">
                  <c:v>8.3000000000000007</c:v>
                </c:pt>
                <c:pt idx="68">
                  <c:v>8.5</c:v>
                </c:pt>
                <c:pt idx="69">
                  <c:v>7.7</c:v>
                </c:pt>
                <c:pt idx="70">
                  <c:v>7.1</c:v>
                </c:pt>
                <c:pt idx="71">
                  <c:v>6.3</c:v>
                </c:pt>
                <c:pt idx="72">
                  <c:v>4.9000000000000004</c:v>
                </c:pt>
                <c:pt idx="73">
                  <c:v>4.5999999999999996</c:v>
                </c:pt>
                <c:pt idx="74">
                  <c:v>4</c:v>
                </c:pt>
                <c:pt idx="75">
                  <c:v>2.4</c:v>
                </c:pt>
                <c:pt idx="76">
                  <c:v>1.2</c:v>
                </c:pt>
                <c:pt idx="77">
                  <c:v>-0.3</c:v>
                </c:pt>
                <c:pt idx="78">
                  <c:v>-1.2</c:v>
                </c:pt>
                <c:pt idx="79">
                  <c:v>-1.5</c:v>
                </c:pt>
                <c:pt idx="80">
                  <c:v>-1.4</c:v>
                </c:pt>
                <c:pt idx="81">
                  <c:v>-1.7</c:v>
                </c:pt>
                <c:pt idx="82">
                  <c:v>-1.8</c:v>
                </c:pt>
                <c:pt idx="83">
                  <c:v>-1.2</c:v>
                </c:pt>
                <c:pt idx="84">
                  <c:v>-0.8</c:v>
                </c:pt>
                <c:pt idx="85">
                  <c:v>-0.5</c:v>
                </c:pt>
                <c:pt idx="86">
                  <c:v>0.6</c:v>
                </c:pt>
                <c:pt idx="87">
                  <c:v>1.9</c:v>
                </c:pt>
                <c:pt idx="88">
                  <c:v>2.1</c:v>
                </c:pt>
                <c:pt idx="89">
                  <c:v>2.4</c:v>
                </c:pt>
                <c:pt idx="90">
                  <c:v>2.8</c:v>
                </c:pt>
                <c:pt idx="91">
                  <c:v>3.1</c:v>
                </c:pt>
                <c:pt idx="92">
                  <c:v>2.9</c:v>
                </c:pt>
                <c:pt idx="93">
                  <c:v>3.3</c:v>
                </c:pt>
                <c:pt idx="94">
                  <c:v>3.5</c:v>
                </c:pt>
                <c:pt idx="95">
                  <c:v>3.6</c:v>
                </c:pt>
                <c:pt idx="96">
                  <c:v>4.4000000000000004</c:v>
                </c:pt>
                <c:pt idx="97">
                  <c:v>5.0999999999999996</c:v>
                </c:pt>
                <c:pt idx="98">
                  <c:v>4.5999999999999996</c:v>
                </c:pt>
                <c:pt idx="99">
                  <c:v>4.9000000000000004</c:v>
                </c:pt>
                <c:pt idx="100">
                  <c:v>5.383</c:v>
                </c:pt>
                <c:pt idx="101">
                  <c:v>5.3440000000000003</c:v>
                </c:pt>
                <c:pt idx="102">
                  <c:v>5.5149999999999997</c:v>
                </c:pt>
                <c:pt idx="103">
                  <c:v>6.3550000000000004</c:v>
                </c:pt>
                <c:pt idx="104">
                  <c:v>6.4509999999999996</c:v>
                </c:pt>
                <c:pt idx="105">
                  <c:v>6.1509999999999998</c:v>
                </c:pt>
                <c:pt idx="106">
                  <c:v>6.0670000000000002</c:v>
                </c:pt>
                <c:pt idx="107">
                  <c:v>5.4950000000000001</c:v>
                </c:pt>
                <c:pt idx="108">
                  <c:v>4.2249999999999996</c:v>
                </c:pt>
                <c:pt idx="109">
                  <c:v>4.07</c:v>
                </c:pt>
                <c:pt idx="110">
                  <c:v>3.9</c:v>
                </c:pt>
                <c:pt idx="111">
                  <c:v>3.6</c:v>
                </c:pt>
                <c:pt idx="112">
                  <c:v>3.4</c:v>
                </c:pt>
                <c:pt idx="113">
                  <c:v>3</c:v>
                </c:pt>
                <c:pt idx="114">
                  <c:v>2.2000000000000002</c:v>
                </c:pt>
                <c:pt idx="115">
                  <c:v>1.8</c:v>
                </c:pt>
                <c:pt idx="116">
                  <c:v>2</c:v>
                </c:pt>
                <c:pt idx="117">
                  <c:v>1.9</c:v>
                </c:pt>
                <c:pt idx="118">
                  <c:v>1.7</c:v>
                </c:pt>
                <c:pt idx="119">
                  <c:v>2</c:v>
                </c:pt>
                <c:pt idx="120">
                  <c:v>2.5</c:v>
                </c:pt>
                <c:pt idx="121">
                  <c:v>2.6248</c:v>
                </c:pt>
                <c:pt idx="122">
                  <c:v>2.0695999999999999</c:v>
                </c:pt>
                <c:pt idx="123">
                  <c:v>2.3860999999999999</c:v>
                </c:pt>
                <c:pt idx="124">
                  <c:v>2.0981000000000001</c:v>
                </c:pt>
                <c:pt idx="125">
                  <c:v>2.6684000000000001</c:v>
                </c:pt>
                <c:pt idx="126">
                  <c:v>2.6741000000000001</c:v>
                </c:pt>
                <c:pt idx="127">
                  <c:v>2.5666000000000002</c:v>
                </c:pt>
                <c:pt idx="128">
                  <c:v>3.0518999999999998</c:v>
                </c:pt>
                <c:pt idx="129">
                  <c:v>3.2058</c:v>
                </c:pt>
                <c:pt idx="130">
                  <c:v>3.0179999999999998</c:v>
                </c:pt>
                <c:pt idx="131">
                  <c:v>2.4986999999999999</c:v>
                </c:pt>
                <c:pt idx="132">
                  <c:v>2.2172000000000001</c:v>
                </c:pt>
                <c:pt idx="133">
                  <c:v>2.3847999999999998</c:v>
                </c:pt>
                <c:pt idx="134">
                  <c:v>1.8013999999999999</c:v>
                </c:pt>
                <c:pt idx="135">
                  <c:v>2.4773000000000001</c:v>
                </c:pt>
                <c:pt idx="136">
                  <c:v>2.3361000000000001</c:v>
                </c:pt>
                <c:pt idx="137">
                  <c:v>2.2852000000000001</c:v>
                </c:pt>
                <c:pt idx="138">
                  <c:v>1.9908999999999999</c:v>
                </c:pt>
                <c:pt idx="139">
                  <c:v>1.6274999999999999</c:v>
                </c:pt>
                <c:pt idx="140">
                  <c:v>1.6011</c:v>
                </c:pt>
                <c:pt idx="141">
                  <c:v>1.4393</c:v>
                </c:pt>
                <c:pt idx="142">
                  <c:v>1.5056</c:v>
                </c:pt>
                <c:pt idx="143">
                  <c:v>1.0983000000000001</c:v>
                </c:pt>
                <c:pt idx="144">
                  <c:v>1.3757999999999999</c:v>
                </c:pt>
                <c:pt idx="145">
                  <c:v>1.5091000000000001</c:v>
                </c:pt>
                <c:pt idx="146">
                  <c:v>1.2307999999999999</c:v>
                </c:pt>
                <c:pt idx="147">
                  <c:v>1.3909</c:v>
                </c:pt>
                <c:pt idx="148">
                  <c:v>1.6473</c:v>
                </c:pt>
                <c:pt idx="149">
                  <c:v>1.9554</c:v>
                </c:pt>
                <c:pt idx="150">
                  <c:v>1.5955999999999999</c:v>
                </c:pt>
                <c:pt idx="151">
                  <c:v>1.2674000000000001</c:v>
                </c:pt>
                <c:pt idx="152">
                  <c:v>1.4856</c:v>
                </c:pt>
                <c:pt idx="153">
                  <c:v>1.6</c:v>
                </c:pt>
                <c:pt idx="154">
                  <c:v>2</c:v>
                </c:pt>
                <c:pt idx="155">
                  <c:v>2.3013910000000002</c:v>
                </c:pt>
                <c:pt idx="156">
                  <c:v>2.3278650000000001</c:v>
                </c:pt>
                <c:pt idx="157">
                  <c:v>2.038999</c:v>
                </c:pt>
                <c:pt idx="158">
                  <c:v>1.8795029999999999</c:v>
                </c:pt>
                <c:pt idx="159">
                  <c:v>1.7651129999999999</c:v>
                </c:pt>
                <c:pt idx="160">
                  <c:v>1.3397730000000001</c:v>
                </c:pt>
                <c:pt idx="161">
                  <c:v>1.920226</c:v>
                </c:pt>
                <c:pt idx="162">
                  <c:v>2.0959469999999998</c:v>
                </c:pt>
                <c:pt idx="163">
                  <c:v>2.2522579999999999</c:v>
                </c:pt>
                <c:pt idx="164">
                  <c:v>2.0765449999999999</c:v>
                </c:pt>
                <c:pt idx="165">
                  <c:v>1.6688000000000001</c:v>
                </c:pt>
                <c:pt idx="166">
                  <c:v>0.9</c:v>
                </c:pt>
                <c:pt idx="167">
                  <c:v>1.2</c:v>
                </c:pt>
                <c:pt idx="168">
                  <c:v>1.5</c:v>
                </c:pt>
                <c:pt idx="169">
                  <c:v>1.5</c:v>
                </c:pt>
                <c:pt idx="170">
                  <c:v>1.4</c:v>
                </c:pt>
                <c:pt idx="171">
                  <c:v>1.8</c:v>
                </c:pt>
                <c:pt idx="172">
                  <c:v>1.6</c:v>
                </c:pt>
                <c:pt idx="173">
                  <c:v>1.9</c:v>
                </c:pt>
                <c:pt idx="174">
                  <c:v>1.7</c:v>
                </c:pt>
                <c:pt idx="175">
                  <c:v>1.8</c:v>
                </c:pt>
                <c:pt idx="176">
                  <c:v>2.2000000000000002</c:v>
                </c:pt>
                <c:pt idx="177">
                  <c:v>2.1</c:v>
                </c:pt>
                <c:pt idx="178">
                  <c:v>1.8</c:v>
                </c:pt>
                <c:pt idx="179">
                  <c:v>1.8</c:v>
                </c:pt>
                <c:pt idx="180">
                  <c:v>1.9</c:v>
                </c:pt>
                <c:pt idx="181">
                  <c:v>2.1</c:v>
                </c:pt>
                <c:pt idx="182">
                  <c:v>2.2999999999999998</c:v>
                </c:pt>
                <c:pt idx="183">
                  <c:v>2.5</c:v>
                </c:pt>
                <c:pt idx="184">
                  <c:v>2.5</c:v>
                </c:pt>
                <c:pt idx="185">
                  <c:v>2.2000000000000002</c:v>
                </c:pt>
                <c:pt idx="186">
                  <c:v>1.9</c:v>
                </c:pt>
                <c:pt idx="187">
                  <c:v>1.6</c:v>
                </c:pt>
                <c:pt idx="188">
                  <c:v>2.2999999999999998</c:v>
                </c:pt>
                <c:pt idx="189">
                  <c:v>2.5</c:v>
                </c:pt>
                <c:pt idx="190">
                  <c:v>2.7</c:v>
                </c:pt>
                <c:pt idx="191">
                  <c:v>2.7</c:v>
                </c:pt>
                <c:pt idx="192">
                  <c:v>2.8</c:v>
                </c:pt>
                <c:pt idx="193">
                  <c:v>2.8</c:v>
                </c:pt>
                <c:pt idx="194">
                  <c:v>3</c:v>
                </c:pt>
                <c:pt idx="195">
                  <c:v>3.8</c:v>
                </c:pt>
                <c:pt idx="196">
                  <c:v>4.5</c:v>
                </c:pt>
                <c:pt idx="197">
                  <c:v>4.5</c:v>
                </c:pt>
                <c:pt idx="198">
                  <c:v>5.3</c:v>
                </c:pt>
                <c:pt idx="199">
                  <c:v>4.3</c:v>
                </c:pt>
                <c:pt idx="200">
                  <c:v>3.3</c:v>
                </c:pt>
                <c:pt idx="201">
                  <c:v>2.4</c:v>
                </c:pt>
                <c:pt idx="202">
                  <c:v>2.5</c:v>
                </c:pt>
                <c:pt idx="203">
                  <c:v>2.7</c:v>
                </c:pt>
                <c:pt idx="204">
                  <c:v>2.4</c:v>
                </c:pt>
                <c:pt idx="205">
                  <c:v>1.7</c:v>
                </c:pt>
                <c:pt idx="206">
                  <c:v>0.5</c:v>
                </c:pt>
                <c:pt idx="207">
                  <c:v>-0.5</c:v>
                </c:pt>
                <c:pt idx="208">
                  <c:v>0.2</c:v>
                </c:pt>
                <c:pt idx="209">
                  <c:v>-0.3</c:v>
                </c:pt>
                <c:pt idx="210">
                  <c:v>0.4</c:v>
                </c:pt>
                <c:pt idx="211">
                  <c:v>0.9</c:v>
                </c:pt>
                <c:pt idx="212">
                  <c:v>1.3</c:v>
                </c:pt>
                <c:pt idx="213">
                  <c:v>1.1000000000000001</c:v>
                </c:pt>
                <c:pt idx="214">
                  <c:v>1</c:v>
                </c:pt>
                <c:pt idx="215">
                  <c:v>0.8</c:v>
                </c:pt>
                <c:pt idx="216">
                  <c:v>0.7</c:v>
                </c:pt>
                <c:pt idx="217">
                  <c:v>1.5</c:v>
                </c:pt>
                <c:pt idx="218">
                  <c:v>2.2999999999999998</c:v>
                </c:pt>
                <c:pt idx="219">
                  <c:v>1.5</c:v>
                </c:pt>
                <c:pt idx="220">
                  <c:v>0.9</c:v>
                </c:pt>
                <c:pt idx="221">
                  <c:v>1.5</c:v>
                </c:pt>
                <c:pt idx="222">
                  <c:v>2.1</c:v>
                </c:pt>
                <c:pt idx="223">
                  <c:v>2.1</c:v>
                </c:pt>
                <c:pt idx="224">
                  <c:v>2.5</c:v>
                </c:pt>
                <c:pt idx="225">
                  <c:v>2.7</c:v>
                </c:pt>
                <c:pt idx="226">
                  <c:v>2.5</c:v>
                </c:pt>
                <c:pt idx="227">
                  <c:v>2.8</c:v>
                </c:pt>
                <c:pt idx="228">
                  <c:v>2.1</c:v>
                </c:pt>
                <c:pt idx="229">
                  <c:v>1.6</c:v>
                </c:pt>
                <c:pt idx="230">
                  <c:v>1.8</c:v>
                </c:pt>
                <c:pt idx="231">
                  <c:v>1.5</c:v>
                </c:pt>
                <c:pt idx="232">
                  <c:v>0.7</c:v>
                </c:pt>
                <c:pt idx="233">
                  <c:v>0.1</c:v>
                </c:pt>
                <c:pt idx="234">
                  <c:v>0.2</c:v>
                </c:pt>
                <c:pt idx="235">
                  <c:v>0</c:v>
                </c:pt>
                <c:pt idx="236">
                  <c:v>-0.3</c:v>
                </c:pt>
                <c:pt idx="237">
                  <c:v>0.1</c:v>
                </c:pt>
                <c:pt idx="238">
                  <c:v>0</c:v>
                </c:pt>
                <c:pt idx="239">
                  <c:v>-0.2</c:v>
                </c:pt>
                <c:pt idx="240">
                  <c:v>-0.5</c:v>
                </c:pt>
                <c:pt idx="241">
                  <c:v>-0.3</c:v>
                </c:pt>
                <c:pt idx="242">
                  <c:v>0</c:v>
                </c:pt>
                <c:pt idx="243">
                  <c:v>0.1</c:v>
                </c:pt>
                <c:pt idx="244">
                  <c:v>0.3</c:v>
                </c:pt>
                <c:pt idx="245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96-4F78-A125-0EA38B3B3B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067952"/>
        <c:axId val="152139027"/>
      </c:lineChart>
      <c:catAx>
        <c:axId val="95067952"/>
        <c:scaling>
          <c:orientation val="minMax"/>
        </c:scaling>
        <c:delete val="0"/>
        <c:axPos val="b"/>
        <c:numFmt formatCode="yyyy\-mm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黑体" panose="02010609060101010101" pitchFamily="49" charset="-122"/>
                <a:ea typeface="黑体" panose="02010609060101010101" pitchFamily="49" charset="-122"/>
                <a:cs typeface="黑体" panose="02010609060101010101" pitchFamily="49" charset="-122"/>
                <a:sym typeface="黑体" panose="02010609060101010101" pitchFamily="49" charset="-122"/>
              </a:defRPr>
            </a:pPr>
            <a:endParaRPr lang="zh-CN"/>
          </a:p>
        </c:txPr>
        <c:crossAx val="152139027"/>
        <c:crosses val="autoZero"/>
        <c:auto val="0"/>
        <c:lblAlgn val="ctr"/>
        <c:lblOffset val="100"/>
        <c:noMultiLvlLbl val="0"/>
      </c:catAx>
      <c:valAx>
        <c:axId val="152139027"/>
        <c:scaling>
          <c:orientation val="minMax"/>
        </c:scaling>
        <c:delete val="0"/>
        <c:axPos val="l"/>
        <c:numFmt formatCode="0.0_ 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黑体" panose="02010609060101010101" pitchFamily="49" charset="-122"/>
                <a:ea typeface="黑体" panose="02010609060101010101" pitchFamily="49" charset="-122"/>
                <a:cs typeface="黑体" panose="02010609060101010101" pitchFamily="49" charset="-122"/>
                <a:sym typeface="黑体" panose="02010609060101010101" pitchFamily="49" charset="-122"/>
              </a:defRPr>
            </a:pPr>
            <a:endParaRPr lang="zh-CN"/>
          </a:p>
        </c:txPr>
        <c:crossAx val="95067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 wrap="square"/>
    <a:lstStyle/>
    <a:p>
      <a:pPr>
        <a:defRPr lang="zh-CN" sz="700">
          <a:latin typeface="黑体" panose="02010609060101010101" pitchFamily="49" charset="-122"/>
          <a:ea typeface="黑体" panose="02010609060101010101" pitchFamily="49" charset="-122"/>
          <a:cs typeface="黑体" panose="02010609060101010101" pitchFamily="49" charset="-122"/>
          <a:sym typeface="黑体" panose="02010609060101010101" pitchFamily="49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8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黑体" panose="02010609060101010101" pitchFamily="49" charset="-122"/>
              <a:ea typeface="黑体" panose="02010609060101010101" pitchFamily="49" charset="-122"/>
              <a:cs typeface="黑体" panose="02010609060101010101" pitchFamily="49" charset="-122"/>
              <a:sym typeface="黑体" panose="02010609060101010101" pitchFamily="49" charset="-122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美林时钟!$D$20</c:f>
              <c:strCache>
                <c:ptCount val="1"/>
                <c:pt idx="0">
                  <c:v>PPI:全部工业品:当月同比</c:v>
                </c:pt>
              </c:strCache>
            </c:strRef>
          </c:tx>
          <c:spPr>
            <a:ln w="15875" cap="rnd" cmpd="sng" algn="ctr">
              <a:solidFill>
                <a:srgbClr val="004477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美林时钟!$A$21:$A$266</c:f>
              <c:numCache>
                <c:formatCode>yyyy\-mm</c:formatCode>
                <c:ptCount val="246"/>
                <c:pt idx="0">
                  <c:v>37315</c:v>
                </c:pt>
                <c:pt idx="1">
                  <c:v>37346</c:v>
                </c:pt>
                <c:pt idx="2">
                  <c:v>37376</c:v>
                </c:pt>
                <c:pt idx="3">
                  <c:v>37407</c:v>
                </c:pt>
                <c:pt idx="4">
                  <c:v>37437</c:v>
                </c:pt>
                <c:pt idx="5">
                  <c:v>37468</c:v>
                </c:pt>
                <c:pt idx="6">
                  <c:v>37499</c:v>
                </c:pt>
                <c:pt idx="7">
                  <c:v>37529</c:v>
                </c:pt>
                <c:pt idx="8">
                  <c:v>37560</c:v>
                </c:pt>
                <c:pt idx="9">
                  <c:v>37590</c:v>
                </c:pt>
                <c:pt idx="10">
                  <c:v>37621</c:v>
                </c:pt>
                <c:pt idx="11">
                  <c:v>37680</c:v>
                </c:pt>
                <c:pt idx="12">
                  <c:v>37711</c:v>
                </c:pt>
                <c:pt idx="13">
                  <c:v>37741</c:v>
                </c:pt>
                <c:pt idx="14">
                  <c:v>37772</c:v>
                </c:pt>
                <c:pt idx="15">
                  <c:v>37802</c:v>
                </c:pt>
                <c:pt idx="16">
                  <c:v>37833</c:v>
                </c:pt>
                <c:pt idx="17">
                  <c:v>37864</c:v>
                </c:pt>
                <c:pt idx="18">
                  <c:v>37894</c:v>
                </c:pt>
                <c:pt idx="19">
                  <c:v>37925</c:v>
                </c:pt>
                <c:pt idx="20">
                  <c:v>37955</c:v>
                </c:pt>
                <c:pt idx="21">
                  <c:v>37986</c:v>
                </c:pt>
                <c:pt idx="22">
                  <c:v>38046</c:v>
                </c:pt>
                <c:pt idx="23">
                  <c:v>38077</c:v>
                </c:pt>
                <c:pt idx="24">
                  <c:v>38107</c:v>
                </c:pt>
                <c:pt idx="25">
                  <c:v>38138</c:v>
                </c:pt>
                <c:pt idx="26">
                  <c:v>38168</c:v>
                </c:pt>
                <c:pt idx="27">
                  <c:v>38199</c:v>
                </c:pt>
                <c:pt idx="28">
                  <c:v>38230</c:v>
                </c:pt>
                <c:pt idx="29">
                  <c:v>38260</c:v>
                </c:pt>
                <c:pt idx="30">
                  <c:v>38291</c:v>
                </c:pt>
                <c:pt idx="31">
                  <c:v>38321</c:v>
                </c:pt>
                <c:pt idx="32">
                  <c:v>38352</c:v>
                </c:pt>
                <c:pt idx="33">
                  <c:v>38411</c:v>
                </c:pt>
                <c:pt idx="34">
                  <c:v>38442</c:v>
                </c:pt>
                <c:pt idx="35">
                  <c:v>38472</c:v>
                </c:pt>
                <c:pt idx="36">
                  <c:v>38503</c:v>
                </c:pt>
                <c:pt idx="37">
                  <c:v>38533</c:v>
                </c:pt>
                <c:pt idx="38">
                  <c:v>38564</c:v>
                </c:pt>
                <c:pt idx="39">
                  <c:v>38595</c:v>
                </c:pt>
                <c:pt idx="40">
                  <c:v>38625</c:v>
                </c:pt>
                <c:pt idx="41">
                  <c:v>38656</c:v>
                </c:pt>
                <c:pt idx="42">
                  <c:v>38686</c:v>
                </c:pt>
                <c:pt idx="43">
                  <c:v>38717</c:v>
                </c:pt>
                <c:pt idx="44">
                  <c:v>38776</c:v>
                </c:pt>
                <c:pt idx="45">
                  <c:v>38807</c:v>
                </c:pt>
                <c:pt idx="46">
                  <c:v>38837</c:v>
                </c:pt>
                <c:pt idx="47">
                  <c:v>38868</c:v>
                </c:pt>
                <c:pt idx="48">
                  <c:v>38898</c:v>
                </c:pt>
                <c:pt idx="49">
                  <c:v>38929</c:v>
                </c:pt>
                <c:pt idx="50">
                  <c:v>38960</c:v>
                </c:pt>
                <c:pt idx="51">
                  <c:v>38990</c:v>
                </c:pt>
                <c:pt idx="52">
                  <c:v>39021</c:v>
                </c:pt>
                <c:pt idx="53">
                  <c:v>39051</c:v>
                </c:pt>
                <c:pt idx="54">
                  <c:v>39082</c:v>
                </c:pt>
                <c:pt idx="55">
                  <c:v>39141</c:v>
                </c:pt>
                <c:pt idx="56">
                  <c:v>39172</c:v>
                </c:pt>
                <c:pt idx="57">
                  <c:v>39202</c:v>
                </c:pt>
                <c:pt idx="58">
                  <c:v>39233</c:v>
                </c:pt>
                <c:pt idx="59">
                  <c:v>39263</c:v>
                </c:pt>
                <c:pt idx="60">
                  <c:v>39294</c:v>
                </c:pt>
                <c:pt idx="61">
                  <c:v>39325</c:v>
                </c:pt>
                <c:pt idx="62">
                  <c:v>39355</c:v>
                </c:pt>
                <c:pt idx="63">
                  <c:v>39386</c:v>
                </c:pt>
                <c:pt idx="64">
                  <c:v>39416</c:v>
                </c:pt>
                <c:pt idx="65">
                  <c:v>39447</c:v>
                </c:pt>
                <c:pt idx="66">
                  <c:v>39507</c:v>
                </c:pt>
                <c:pt idx="67">
                  <c:v>39538</c:v>
                </c:pt>
                <c:pt idx="68">
                  <c:v>39568</c:v>
                </c:pt>
                <c:pt idx="69">
                  <c:v>39599</c:v>
                </c:pt>
                <c:pt idx="70">
                  <c:v>39629</c:v>
                </c:pt>
                <c:pt idx="71">
                  <c:v>39660</c:v>
                </c:pt>
                <c:pt idx="72">
                  <c:v>39691</c:v>
                </c:pt>
                <c:pt idx="73">
                  <c:v>39721</c:v>
                </c:pt>
                <c:pt idx="74">
                  <c:v>39752</c:v>
                </c:pt>
                <c:pt idx="75">
                  <c:v>39782</c:v>
                </c:pt>
                <c:pt idx="76">
                  <c:v>39813</c:v>
                </c:pt>
                <c:pt idx="77">
                  <c:v>39872</c:v>
                </c:pt>
                <c:pt idx="78">
                  <c:v>39903</c:v>
                </c:pt>
                <c:pt idx="79">
                  <c:v>39933</c:v>
                </c:pt>
                <c:pt idx="80">
                  <c:v>39964</c:v>
                </c:pt>
                <c:pt idx="81">
                  <c:v>39994</c:v>
                </c:pt>
                <c:pt idx="82">
                  <c:v>40025</c:v>
                </c:pt>
                <c:pt idx="83">
                  <c:v>40056</c:v>
                </c:pt>
                <c:pt idx="84">
                  <c:v>40086</c:v>
                </c:pt>
                <c:pt idx="85">
                  <c:v>40117</c:v>
                </c:pt>
                <c:pt idx="86">
                  <c:v>40147</c:v>
                </c:pt>
                <c:pt idx="87">
                  <c:v>40178</c:v>
                </c:pt>
                <c:pt idx="88">
                  <c:v>40237</c:v>
                </c:pt>
                <c:pt idx="89">
                  <c:v>40268</c:v>
                </c:pt>
                <c:pt idx="90">
                  <c:v>40298</c:v>
                </c:pt>
                <c:pt idx="91">
                  <c:v>40329</c:v>
                </c:pt>
                <c:pt idx="92">
                  <c:v>40359</c:v>
                </c:pt>
                <c:pt idx="93">
                  <c:v>40390</c:v>
                </c:pt>
                <c:pt idx="94">
                  <c:v>40421</c:v>
                </c:pt>
                <c:pt idx="95">
                  <c:v>40451</c:v>
                </c:pt>
                <c:pt idx="96">
                  <c:v>40482</c:v>
                </c:pt>
                <c:pt idx="97">
                  <c:v>40512</c:v>
                </c:pt>
                <c:pt idx="98">
                  <c:v>40543</c:v>
                </c:pt>
                <c:pt idx="99">
                  <c:v>40602</c:v>
                </c:pt>
                <c:pt idx="100">
                  <c:v>40633</c:v>
                </c:pt>
                <c:pt idx="101">
                  <c:v>40663</c:v>
                </c:pt>
                <c:pt idx="102">
                  <c:v>40694</c:v>
                </c:pt>
                <c:pt idx="103">
                  <c:v>40724</c:v>
                </c:pt>
                <c:pt idx="104">
                  <c:v>40755</c:v>
                </c:pt>
                <c:pt idx="105">
                  <c:v>40786</c:v>
                </c:pt>
                <c:pt idx="106">
                  <c:v>40816</c:v>
                </c:pt>
                <c:pt idx="107">
                  <c:v>40847</c:v>
                </c:pt>
                <c:pt idx="108">
                  <c:v>40877</c:v>
                </c:pt>
                <c:pt idx="109">
                  <c:v>40908</c:v>
                </c:pt>
                <c:pt idx="110">
                  <c:v>40968</c:v>
                </c:pt>
                <c:pt idx="111">
                  <c:v>40999</c:v>
                </c:pt>
                <c:pt idx="112">
                  <c:v>41029</c:v>
                </c:pt>
                <c:pt idx="113">
                  <c:v>41060</c:v>
                </c:pt>
                <c:pt idx="114">
                  <c:v>41090</c:v>
                </c:pt>
                <c:pt idx="115">
                  <c:v>41121</c:v>
                </c:pt>
                <c:pt idx="116">
                  <c:v>41152</c:v>
                </c:pt>
                <c:pt idx="117">
                  <c:v>41182</c:v>
                </c:pt>
                <c:pt idx="118">
                  <c:v>41213</c:v>
                </c:pt>
                <c:pt idx="119">
                  <c:v>41243</c:v>
                </c:pt>
                <c:pt idx="120">
                  <c:v>41274</c:v>
                </c:pt>
                <c:pt idx="121">
                  <c:v>41333</c:v>
                </c:pt>
                <c:pt idx="122">
                  <c:v>41364</c:v>
                </c:pt>
                <c:pt idx="123">
                  <c:v>41394</c:v>
                </c:pt>
                <c:pt idx="124">
                  <c:v>41425</c:v>
                </c:pt>
                <c:pt idx="125">
                  <c:v>41455</c:v>
                </c:pt>
                <c:pt idx="126">
                  <c:v>41486</c:v>
                </c:pt>
                <c:pt idx="127">
                  <c:v>41517</c:v>
                </c:pt>
                <c:pt idx="128">
                  <c:v>41547</c:v>
                </c:pt>
                <c:pt idx="129">
                  <c:v>41578</c:v>
                </c:pt>
                <c:pt idx="130">
                  <c:v>41608</c:v>
                </c:pt>
                <c:pt idx="131">
                  <c:v>41639</c:v>
                </c:pt>
                <c:pt idx="132">
                  <c:v>41698</c:v>
                </c:pt>
                <c:pt idx="133">
                  <c:v>41729</c:v>
                </c:pt>
                <c:pt idx="134">
                  <c:v>41759</c:v>
                </c:pt>
                <c:pt idx="135">
                  <c:v>41790</c:v>
                </c:pt>
                <c:pt idx="136">
                  <c:v>41820</c:v>
                </c:pt>
                <c:pt idx="137">
                  <c:v>41851</c:v>
                </c:pt>
                <c:pt idx="138">
                  <c:v>41882</c:v>
                </c:pt>
                <c:pt idx="139">
                  <c:v>41912</c:v>
                </c:pt>
                <c:pt idx="140">
                  <c:v>41943</c:v>
                </c:pt>
                <c:pt idx="141">
                  <c:v>41973</c:v>
                </c:pt>
                <c:pt idx="142">
                  <c:v>42004</c:v>
                </c:pt>
                <c:pt idx="143">
                  <c:v>42063</c:v>
                </c:pt>
                <c:pt idx="144">
                  <c:v>42094</c:v>
                </c:pt>
                <c:pt idx="145">
                  <c:v>42124</c:v>
                </c:pt>
                <c:pt idx="146">
                  <c:v>42155</c:v>
                </c:pt>
                <c:pt idx="147">
                  <c:v>42185</c:v>
                </c:pt>
                <c:pt idx="148">
                  <c:v>42216</c:v>
                </c:pt>
                <c:pt idx="149">
                  <c:v>42247</c:v>
                </c:pt>
                <c:pt idx="150">
                  <c:v>42277</c:v>
                </c:pt>
                <c:pt idx="151">
                  <c:v>42308</c:v>
                </c:pt>
                <c:pt idx="152">
                  <c:v>42338</c:v>
                </c:pt>
                <c:pt idx="153">
                  <c:v>42369</c:v>
                </c:pt>
                <c:pt idx="154">
                  <c:v>42429</c:v>
                </c:pt>
                <c:pt idx="155">
                  <c:v>42460</c:v>
                </c:pt>
                <c:pt idx="156">
                  <c:v>42490</c:v>
                </c:pt>
                <c:pt idx="157">
                  <c:v>42521</c:v>
                </c:pt>
                <c:pt idx="158">
                  <c:v>42551</c:v>
                </c:pt>
                <c:pt idx="159">
                  <c:v>42582</c:v>
                </c:pt>
                <c:pt idx="160">
                  <c:v>42613</c:v>
                </c:pt>
                <c:pt idx="161">
                  <c:v>42643</c:v>
                </c:pt>
                <c:pt idx="162">
                  <c:v>42674</c:v>
                </c:pt>
                <c:pt idx="163">
                  <c:v>42704</c:v>
                </c:pt>
                <c:pt idx="164">
                  <c:v>42735</c:v>
                </c:pt>
                <c:pt idx="165">
                  <c:v>42794</c:v>
                </c:pt>
                <c:pt idx="166">
                  <c:v>42825</c:v>
                </c:pt>
                <c:pt idx="167">
                  <c:v>42855</c:v>
                </c:pt>
                <c:pt idx="168">
                  <c:v>42886</c:v>
                </c:pt>
                <c:pt idx="169">
                  <c:v>42916</c:v>
                </c:pt>
                <c:pt idx="170">
                  <c:v>42947</c:v>
                </c:pt>
                <c:pt idx="171">
                  <c:v>42978</c:v>
                </c:pt>
                <c:pt idx="172">
                  <c:v>43008</c:v>
                </c:pt>
                <c:pt idx="173">
                  <c:v>43039</c:v>
                </c:pt>
                <c:pt idx="174">
                  <c:v>43069</c:v>
                </c:pt>
                <c:pt idx="175">
                  <c:v>43100</c:v>
                </c:pt>
                <c:pt idx="176">
                  <c:v>43159</c:v>
                </c:pt>
                <c:pt idx="177">
                  <c:v>43190</c:v>
                </c:pt>
                <c:pt idx="178">
                  <c:v>43220</c:v>
                </c:pt>
                <c:pt idx="179">
                  <c:v>43251</c:v>
                </c:pt>
                <c:pt idx="180">
                  <c:v>43281</c:v>
                </c:pt>
                <c:pt idx="181">
                  <c:v>43312</c:v>
                </c:pt>
                <c:pt idx="182">
                  <c:v>43343</c:v>
                </c:pt>
                <c:pt idx="183">
                  <c:v>43373</c:v>
                </c:pt>
                <c:pt idx="184">
                  <c:v>43404</c:v>
                </c:pt>
                <c:pt idx="185">
                  <c:v>43434</c:v>
                </c:pt>
                <c:pt idx="186">
                  <c:v>43465</c:v>
                </c:pt>
                <c:pt idx="187">
                  <c:v>43524</c:v>
                </c:pt>
                <c:pt idx="188">
                  <c:v>43555</c:v>
                </c:pt>
                <c:pt idx="189">
                  <c:v>43585</c:v>
                </c:pt>
                <c:pt idx="190">
                  <c:v>43616</c:v>
                </c:pt>
                <c:pt idx="191">
                  <c:v>43646</c:v>
                </c:pt>
                <c:pt idx="192">
                  <c:v>43677</c:v>
                </c:pt>
                <c:pt idx="193">
                  <c:v>43708</c:v>
                </c:pt>
                <c:pt idx="194">
                  <c:v>43738</c:v>
                </c:pt>
                <c:pt idx="195">
                  <c:v>43769</c:v>
                </c:pt>
                <c:pt idx="196">
                  <c:v>43799</c:v>
                </c:pt>
                <c:pt idx="197">
                  <c:v>43830</c:v>
                </c:pt>
                <c:pt idx="198">
                  <c:v>43890</c:v>
                </c:pt>
                <c:pt idx="199">
                  <c:v>43921</c:v>
                </c:pt>
                <c:pt idx="200">
                  <c:v>43951</c:v>
                </c:pt>
                <c:pt idx="201">
                  <c:v>43982</c:v>
                </c:pt>
                <c:pt idx="202">
                  <c:v>44012</c:v>
                </c:pt>
                <c:pt idx="203">
                  <c:v>44043</c:v>
                </c:pt>
                <c:pt idx="204">
                  <c:v>44074</c:v>
                </c:pt>
                <c:pt idx="205">
                  <c:v>44104</c:v>
                </c:pt>
                <c:pt idx="206">
                  <c:v>44135</c:v>
                </c:pt>
                <c:pt idx="207">
                  <c:v>44165</c:v>
                </c:pt>
                <c:pt idx="208">
                  <c:v>44196</c:v>
                </c:pt>
                <c:pt idx="209">
                  <c:v>44255</c:v>
                </c:pt>
                <c:pt idx="210">
                  <c:v>44286</c:v>
                </c:pt>
                <c:pt idx="211">
                  <c:v>44316</c:v>
                </c:pt>
                <c:pt idx="212">
                  <c:v>44347</c:v>
                </c:pt>
                <c:pt idx="213">
                  <c:v>44377</c:v>
                </c:pt>
                <c:pt idx="214">
                  <c:v>44408</c:v>
                </c:pt>
                <c:pt idx="215">
                  <c:v>44439</c:v>
                </c:pt>
                <c:pt idx="216">
                  <c:v>44469</c:v>
                </c:pt>
                <c:pt idx="217">
                  <c:v>44500</c:v>
                </c:pt>
                <c:pt idx="218">
                  <c:v>44530</c:v>
                </c:pt>
                <c:pt idx="219">
                  <c:v>44561</c:v>
                </c:pt>
                <c:pt idx="220">
                  <c:v>44620</c:v>
                </c:pt>
                <c:pt idx="221">
                  <c:v>44651</c:v>
                </c:pt>
                <c:pt idx="222">
                  <c:v>44681</c:v>
                </c:pt>
                <c:pt idx="223">
                  <c:v>44712</c:v>
                </c:pt>
                <c:pt idx="224">
                  <c:v>44742</c:v>
                </c:pt>
                <c:pt idx="225">
                  <c:v>44773</c:v>
                </c:pt>
                <c:pt idx="226">
                  <c:v>44804</c:v>
                </c:pt>
                <c:pt idx="227">
                  <c:v>44834</c:v>
                </c:pt>
                <c:pt idx="228">
                  <c:v>44865</c:v>
                </c:pt>
                <c:pt idx="229">
                  <c:v>44895</c:v>
                </c:pt>
                <c:pt idx="230">
                  <c:v>44926</c:v>
                </c:pt>
                <c:pt idx="231">
                  <c:v>44985</c:v>
                </c:pt>
                <c:pt idx="232">
                  <c:v>45016</c:v>
                </c:pt>
                <c:pt idx="233">
                  <c:v>45046</c:v>
                </c:pt>
                <c:pt idx="234">
                  <c:v>45077</c:v>
                </c:pt>
                <c:pt idx="235">
                  <c:v>45107</c:v>
                </c:pt>
                <c:pt idx="236">
                  <c:v>45138</c:v>
                </c:pt>
                <c:pt idx="237">
                  <c:v>45169</c:v>
                </c:pt>
                <c:pt idx="238">
                  <c:v>45199</c:v>
                </c:pt>
                <c:pt idx="239">
                  <c:v>45230</c:v>
                </c:pt>
                <c:pt idx="240">
                  <c:v>45260</c:v>
                </c:pt>
                <c:pt idx="241">
                  <c:v>45291</c:v>
                </c:pt>
                <c:pt idx="242">
                  <c:v>45351</c:v>
                </c:pt>
                <c:pt idx="243">
                  <c:v>45382</c:v>
                </c:pt>
                <c:pt idx="244">
                  <c:v>45412</c:v>
                </c:pt>
                <c:pt idx="245">
                  <c:v>45443</c:v>
                </c:pt>
              </c:numCache>
            </c:numRef>
          </c:cat>
          <c:val>
            <c:numRef>
              <c:f>美林时钟!$D$21:$D$266</c:f>
              <c:numCache>
                <c:formatCode>0.0_ </c:formatCode>
                <c:ptCount val="246"/>
                <c:pt idx="0">
                  <c:v>-4.2</c:v>
                </c:pt>
                <c:pt idx="1">
                  <c:v>-4</c:v>
                </c:pt>
                <c:pt idx="2">
                  <c:v>-3.06</c:v>
                </c:pt>
                <c:pt idx="3">
                  <c:v>-2.63</c:v>
                </c:pt>
                <c:pt idx="4">
                  <c:v>-2.5</c:v>
                </c:pt>
                <c:pt idx="5">
                  <c:v>-2.2999999999999998</c:v>
                </c:pt>
                <c:pt idx="6">
                  <c:v>-1.7</c:v>
                </c:pt>
                <c:pt idx="7">
                  <c:v>-1.4</c:v>
                </c:pt>
                <c:pt idx="8">
                  <c:v>-1</c:v>
                </c:pt>
                <c:pt idx="9">
                  <c:v>-0.4</c:v>
                </c:pt>
                <c:pt idx="10">
                  <c:v>0.4</c:v>
                </c:pt>
                <c:pt idx="11">
                  <c:v>3.2</c:v>
                </c:pt>
                <c:pt idx="12">
                  <c:v>4.5999999999999996</c:v>
                </c:pt>
                <c:pt idx="13">
                  <c:v>3.6</c:v>
                </c:pt>
                <c:pt idx="14">
                  <c:v>2</c:v>
                </c:pt>
                <c:pt idx="15">
                  <c:v>1.3</c:v>
                </c:pt>
                <c:pt idx="16">
                  <c:v>1.4</c:v>
                </c:pt>
                <c:pt idx="17">
                  <c:v>1.4</c:v>
                </c:pt>
                <c:pt idx="18">
                  <c:v>1.4</c:v>
                </c:pt>
                <c:pt idx="19">
                  <c:v>1.2</c:v>
                </c:pt>
                <c:pt idx="20">
                  <c:v>1.9</c:v>
                </c:pt>
                <c:pt idx="21">
                  <c:v>3</c:v>
                </c:pt>
                <c:pt idx="22">
                  <c:v>3.5</c:v>
                </c:pt>
                <c:pt idx="23">
                  <c:v>4</c:v>
                </c:pt>
                <c:pt idx="24">
                  <c:v>5</c:v>
                </c:pt>
                <c:pt idx="25">
                  <c:v>5.7</c:v>
                </c:pt>
                <c:pt idx="26">
                  <c:v>6.4</c:v>
                </c:pt>
                <c:pt idx="27">
                  <c:v>6.4</c:v>
                </c:pt>
                <c:pt idx="28">
                  <c:v>6.8</c:v>
                </c:pt>
                <c:pt idx="29">
                  <c:v>7.9</c:v>
                </c:pt>
                <c:pt idx="30">
                  <c:v>8.4</c:v>
                </c:pt>
                <c:pt idx="31">
                  <c:v>8.1</c:v>
                </c:pt>
                <c:pt idx="32">
                  <c:v>7.1</c:v>
                </c:pt>
                <c:pt idx="33">
                  <c:v>5.6</c:v>
                </c:pt>
                <c:pt idx="34">
                  <c:v>5.6</c:v>
                </c:pt>
                <c:pt idx="35">
                  <c:v>5.78</c:v>
                </c:pt>
                <c:pt idx="36">
                  <c:v>5.9</c:v>
                </c:pt>
                <c:pt idx="37">
                  <c:v>5.2</c:v>
                </c:pt>
                <c:pt idx="38">
                  <c:v>5.2</c:v>
                </c:pt>
                <c:pt idx="39">
                  <c:v>5.3</c:v>
                </c:pt>
                <c:pt idx="40">
                  <c:v>4.5</c:v>
                </c:pt>
                <c:pt idx="41">
                  <c:v>4</c:v>
                </c:pt>
                <c:pt idx="42">
                  <c:v>3.2</c:v>
                </c:pt>
                <c:pt idx="43">
                  <c:v>3.2</c:v>
                </c:pt>
                <c:pt idx="44">
                  <c:v>3</c:v>
                </c:pt>
                <c:pt idx="45">
                  <c:v>2.4900000000000002</c:v>
                </c:pt>
                <c:pt idx="46">
                  <c:v>1.87</c:v>
                </c:pt>
                <c:pt idx="47">
                  <c:v>2.4300000000000002</c:v>
                </c:pt>
                <c:pt idx="48">
                  <c:v>3.52</c:v>
                </c:pt>
                <c:pt idx="49">
                  <c:v>3.58</c:v>
                </c:pt>
                <c:pt idx="50">
                  <c:v>3.4</c:v>
                </c:pt>
                <c:pt idx="51">
                  <c:v>3.5</c:v>
                </c:pt>
                <c:pt idx="52">
                  <c:v>2.9</c:v>
                </c:pt>
                <c:pt idx="53">
                  <c:v>2.78</c:v>
                </c:pt>
                <c:pt idx="54">
                  <c:v>3.1</c:v>
                </c:pt>
                <c:pt idx="55">
                  <c:v>3</c:v>
                </c:pt>
                <c:pt idx="56">
                  <c:v>2.7</c:v>
                </c:pt>
                <c:pt idx="57">
                  <c:v>2.9</c:v>
                </c:pt>
                <c:pt idx="58">
                  <c:v>2.8</c:v>
                </c:pt>
                <c:pt idx="59">
                  <c:v>2.4900000000000002</c:v>
                </c:pt>
                <c:pt idx="60">
                  <c:v>2.4</c:v>
                </c:pt>
                <c:pt idx="61">
                  <c:v>2.6</c:v>
                </c:pt>
                <c:pt idx="62">
                  <c:v>2.7</c:v>
                </c:pt>
                <c:pt idx="63">
                  <c:v>3.2</c:v>
                </c:pt>
                <c:pt idx="64">
                  <c:v>4.55</c:v>
                </c:pt>
                <c:pt idx="65">
                  <c:v>5.43</c:v>
                </c:pt>
                <c:pt idx="66">
                  <c:v>6.4</c:v>
                </c:pt>
                <c:pt idx="67">
                  <c:v>7.95</c:v>
                </c:pt>
                <c:pt idx="68">
                  <c:v>8.1199999999999992</c:v>
                </c:pt>
                <c:pt idx="69">
                  <c:v>8.2200000000000006</c:v>
                </c:pt>
                <c:pt idx="70">
                  <c:v>8.84</c:v>
                </c:pt>
                <c:pt idx="71">
                  <c:v>10.029999999999999</c:v>
                </c:pt>
                <c:pt idx="72">
                  <c:v>10.06</c:v>
                </c:pt>
                <c:pt idx="73">
                  <c:v>9.1300000000000008</c:v>
                </c:pt>
                <c:pt idx="74">
                  <c:v>6.59</c:v>
                </c:pt>
                <c:pt idx="75">
                  <c:v>1.99</c:v>
                </c:pt>
                <c:pt idx="76">
                  <c:v>-1.1399999999999999</c:v>
                </c:pt>
                <c:pt idx="77">
                  <c:v>-3.9</c:v>
                </c:pt>
                <c:pt idx="78">
                  <c:v>-6</c:v>
                </c:pt>
                <c:pt idx="79">
                  <c:v>-6.6</c:v>
                </c:pt>
                <c:pt idx="80">
                  <c:v>-7.2</c:v>
                </c:pt>
                <c:pt idx="81">
                  <c:v>-7.8</c:v>
                </c:pt>
                <c:pt idx="82">
                  <c:v>-8.1999999999999993</c:v>
                </c:pt>
                <c:pt idx="83">
                  <c:v>-7.86</c:v>
                </c:pt>
                <c:pt idx="84">
                  <c:v>-6.99</c:v>
                </c:pt>
                <c:pt idx="85">
                  <c:v>-5.85</c:v>
                </c:pt>
                <c:pt idx="86">
                  <c:v>-2.08</c:v>
                </c:pt>
                <c:pt idx="87">
                  <c:v>1.7</c:v>
                </c:pt>
                <c:pt idx="88">
                  <c:v>4.9000000000000004</c:v>
                </c:pt>
                <c:pt idx="89">
                  <c:v>5.91</c:v>
                </c:pt>
                <c:pt idx="90">
                  <c:v>6.81</c:v>
                </c:pt>
                <c:pt idx="91">
                  <c:v>7.13</c:v>
                </c:pt>
                <c:pt idx="92">
                  <c:v>6.41</c:v>
                </c:pt>
                <c:pt idx="93">
                  <c:v>4.84</c:v>
                </c:pt>
                <c:pt idx="94">
                  <c:v>4.32</c:v>
                </c:pt>
                <c:pt idx="95">
                  <c:v>4.33</c:v>
                </c:pt>
                <c:pt idx="96">
                  <c:v>5.04</c:v>
                </c:pt>
                <c:pt idx="97">
                  <c:v>6.06</c:v>
                </c:pt>
                <c:pt idx="98">
                  <c:v>5.93</c:v>
                </c:pt>
                <c:pt idx="99">
                  <c:v>6.94</c:v>
                </c:pt>
                <c:pt idx="100">
                  <c:v>7.31</c:v>
                </c:pt>
                <c:pt idx="101">
                  <c:v>6.82</c:v>
                </c:pt>
                <c:pt idx="102">
                  <c:v>6.79</c:v>
                </c:pt>
                <c:pt idx="103">
                  <c:v>7.12</c:v>
                </c:pt>
                <c:pt idx="104">
                  <c:v>7.54</c:v>
                </c:pt>
                <c:pt idx="105">
                  <c:v>7.25</c:v>
                </c:pt>
                <c:pt idx="106">
                  <c:v>6.52</c:v>
                </c:pt>
                <c:pt idx="107">
                  <c:v>5</c:v>
                </c:pt>
                <c:pt idx="108">
                  <c:v>2.72</c:v>
                </c:pt>
                <c:pt idx="109">
                  <c:v>1.69</c:v>
                </c:pt>
                <c:pt idx="110">
                  <c:v>0.38</c:v>
                </c:pt>
                <c:pt idx="111">
                  <c:v>-0.32</c:v>
                </c:pt>
                <c:pt idx="112">
                  <c:v>-0.7</c:v>
                </c:pt>
                <c:pt idx="113">
                  <c:v>-1.4</c:v>
                </c:pt>
                <c:pt idx="114">
                  <c:v>-2.08</c:v>
                </c:pt>
                <c:pt idx="115">
                  <c:v>-2.87</c:v>
                </c:pt>
                <c:pt idx="116">
                  <c:v>-3.48</c:v>
                </c:pt>
                <c:pt idx="117">
                  <c:v>-3.55</c:v>
                </c:pt>
                <c:pt idx="118">
                  <c:v>-2.76</c:v>
                </c:pt>
                <c:pt idx="119">
                  <c:v>-2.2000000000000002</c:v>
                </c:pt>
                <c:pt idx="120">
                  <c:v>-1.94</c:v>
                </c:pt>
                <c:pt idx="121">
                  <c:v>-1.63</c:v>
                </c:pt>
                <c:pt idx="122">
                  <c:v>-1.92</c:v>
                </c:pt>
                <c:pt idx="123">
                  <c:v>-2.62</c:v>
                </c:pt>
                <c:pt idx="124">
                  <c:v>-2.87</c:v>
                </c:pt>
                <c:pt idx="125">
                  <c:v>-2.7</c:v>
                </c:pt>
                <c:pt idx="126">
                  <c:v>-2.27</c:v>
                </c:pt>
                <c:pt idx="127">
                  <c:v>-1.62</c:v>
                </c:pt>
                <c:pt idx="128">
                  <c:v>-1.34</c:v>
                </c:pt>
                <c:pt idx="129">
                  <c:v>-1.51</c:v>
                </c:pt>
                <c:pt idx="130">
                  <c:v>-1.42</c:v>
                </c:pt>
                <c:pt idx="131">
                  <c:v>-1.36</c:v>
                </c:pt>
                <c:pt idx="132">
                  <c:v>-1.8</c:v>
                </c:pt>
                <c:pt idx="133">
                  <c:v>-2.3018999999999998</c:v>
                </c:pt>
                <c:pt idx="134">
                  <c:v>-2.0042</c:v>
                </c:pt>
                <c:pt idx="135">
                  <c:v>-1.4463999999999999</c:v>
                </c:pt>
                <c:pt idx="136">
                  <c:v>-1.1092</c:v>
                </c:pt>
                <c:pt idx="137">
                  <c:v>-0.86880000000000002</c:v>
                </c:pt>
                <c:pt idx="138">
                  <c:v>-1.2038</c:v>
                </c:pt>
                <c:pt idx="139">
                  <c:v>-1.7996000000000001</c:v>
                </c:pt>
                <c:pt idx="140">
                  <c:v>-2.2427999999999999</c:v>
                </c:pt>
                <c:pt idx="141">
                  <c:v>-2.6928000000000001</c:v>
                </c:pt>
                <c:pt idx="142">
                  <c:v>-3.3151999999999999</c:v>
                </c:pt>
                <c:pt idx="143">
                  <c:v>-4.5586000000000002</c:v>
                </c:pt>
                <c:pt idx="144">
                  <c:v>-4.5602999999999998</c:v>
                </c:pt>
                <c:pt idx="145">
                  <c:v>-4.5724999999999998</c:v>
                </c:pt>
                <c:pt idx="146">
                  <c:v>-4.6070000000000002</c:v>
                </c:pt>
                <c:pt idx="147">
                  <c:v>-4.8135000000000003</c:v>
                </c:pt>
                <c:pt idx="148">
                  <c:v>-5.3692000000000002</c:v>
                </c:pt>
                <c:pt idx="149">
                  <c:v>-5.9226999999999999</c:v>
                </c:pt>
                <c:pt idx="150">
                  <c:v>-5.9450000000000003</c:v>
                </c:pt>
                <c:pt idx="151">
                  <c:v>-5.9</c:v>
                </c:pt>
                <c:pt idx="152">
                  <c:v>-5.9</c:v>
                </c:pt>
                <c:pt idx="153">
                  <c:v>-5.9</c:v>
                </c:pt>
                <c:pt idx="154">
                  <c:v>-5.0999999999999996</c:v>
                </c:pt>
                <c:pt idx="155">
                  <c:v>-4.3</c:v>
                </c:pt>
                <c:pt idx="156">
                  <c:v>-3.4</c:v>
                </c:pt>
                <c:pt idx="157">
                  <c:v>-2.8</c:v>
                </c:pt>
                <c:pt idx="158">
                  <c:v>-2.6</c:v>
                </c:pt>
                <c:pt idx="159">
                  <c:v>-1.7</c:v>
                </c:pt>
                <c:pt idx="160">
                  <c:v>-0.8</c:v>
                </c:pt>
                <c:pt idx="161">
                  <c:v>0.1</c:v>
                </c:pt>
                <c:pt idx="162">
                  <c:v>1.2</c:v>
                </c:pt>
                <c:pt idx="163">
                  <c:v>3.3</c:v>
                </c:pt>
                <c:pt idx="164">
                  <c:v>5.5</c:v>
                </c:pt>
                <c:pt idx="165">
                  <c:v>7.3</c:v>
                </c:pt>
                <c:pt idx="166">
                  <c:v>7.6</c:v>
                </c:pt>
                <c:pt idx="167">
                  <c:v>6.4</c:v>
                </c:pt>
                <c:pt idx="168">
                  <c:v>5.5</c:v>
                </c:pt>
                <c:pt idx="169">
                  <c:v>5.5</c:v>
                </c:pt>
                <c:pt idx="170">
                  <c:v>5.5</c:v>
                </c:pt>
                <c:pt idx="171">
                  <c:v>6.3</c:v>
                </c:pt>
                <c:pt idx="172">
                  <c:v>6.9</c:v>
                </c:pt>
                <c:pt idx="173">
                  <c:v>6.9</c:v>
                </c:pt>
                <c:pt idx="174">
                  <c:v>5.8</c:v>
                </c:pt>
                <c:pt idx="175">
                  <c:v>4.9000000000000004</c:v>
                </c:pt>
                <c:pt idx="176">
                  <c:v>4</c:v>
                </c:pt>
                <c:pt idx="177">
                  <c:v>3.1</c:v>
                </c:pt>
                <c:pt idx="178">
                  <c:v>3.4</c:v>
                </c:pt>
                <c:pt idx="179">
                  <c:v>4.0999999999999996</c:v>
                </c:pt>
                <c:pt idx="180">
                  <c:v>4.7</c:v>
                </c:pt>
                <c:pt idx="181">
                  <c:v>4.5999999999999996</c:v>
                </c:pt>
                <c:pt idx="182">
                  <c:v>4.0999999999999996</c:v>
                </c:pt>
                <c:pt idx="183">
                  <c:v>3.6</c:v>
                </c:pt>
                <c:pt idx="184">
                  <c:v>3.3</c:v>
                </c:pt>
                <c:pt idx="185">
                  <c:v>2.7</c:v>
                </c:pt>
                <c:pt idx="186">
                  <c:v>0.9</c:v>
                </c:pt>
                <c:pt idx="187">
                  <c:v>0.1</c:v>
                </c:pt>
                <c:pt idx="188">
                  <c:v>0.4</c:v>
                </c:pt>
                <c:pt idx="189">
                  <c:v>0.9</c:v>
                </c:pt>
                <c:pt idx="190">
                  <c:v>0.6</c:v>
                </c:pt>
                <c:pt idx="191">
                  <c:v>0</c:v>
                </c:pt>
                <c:pt idx="192">
                  <c:v>-0.3</c:v>
                </c:pt>
                <c:pt idx="193">
                  <c:v>-0.8</c:v>
                </c:pt>
                <c:pt idx="194">
                  <c:v>-1.2</c:v>
                </c:pt>
                <c:pt idx="195">
                  <c:v>-1.6</c:v>
                </c:pt>
                <c:pt idx="196">
                  <c:v>-1.4</c:v>
                </c:pt>
                <c:pt idx="197">
                  <c:v>-0.5</c:v>
                </c:pt>
                <c:pt idx="198">
                  <c:v>-0.2</c:v>
                </c:pt>
                <c:pt idx="199">
                  <c:v>-1.5</c:v>
                </c:pt>
                <c:pt idx="200">
                  <c:v>-3.1</c:v>
                </c:pt>
                <c:pt idx="201">
                  <c:v>-3.7</c:v>
                </c:pt>
                <c:pt idx="202">
                  <c:v>-3</c:v>
                </c:pt>
                <c:pt idx="203">
                  <c:v>-2.4</c:v>
                </c:pt>
                <c:pt idx="204">
                  <c:v>-2</c:v>
                </c:pt>
                <c:pt idx="205">
                  <c:v>-2.1</c:v>
                </c:pt>
                <c:pt idx="206">
                  <c:v>-2.1</c:v>
                </c:pt>
                <c:pt idx="207">
                  <c:v>-1.5</c:v>
                </c:pt>
                <c:pt idx="208">
                  <c:v>-0.4</c:v>
                </c:pt>
                <c:pt idx="209">
                  <c:v>1</c:v>
                </c:pt>
                <c:pt idx="210">
                  <c:v>4.4000000000000004</c:v>
                </c:pt>
                <c:pt idx="211">
                  <c:v>6.8</c:v>
                </c:pt>
                <c:pt idx="212">
                  <c:v>9</c:v>
                </c:pt>
                <c:pt idx="213">
                  <c:v>8.8000000000000007</c:v>
                </c:pt>
                <c:pt idx="214">
                  <c:v>9</c:v>
                </c:pt>
                <c:pt idx="215">
                  <c:v>9.5</c:v>
                </c:pt>
                <c:pt idx="216">
                  <c:v>10.7</c:v>
                </c:pt>
                <c:pt idx="217">
                  <c:v>13.5</c:v>
                </c:pt>
                <c:pt idx="218">
                  <c:v>12.9</c:v>
                </c:pt>
                <c:pt idx="219">
                  <c:v>10.3</c:v>
                </c:pt>
                <c:pt idx="220">
                  <c:v>8.9</c:v>
                </c:pt>
                <c:pt idx="221">
                  <c:v>8.3000000000000007</c:v>
                </c:pt>
                <c:pt idx="222">
                  <c:v>8</c:v>
                </c:pt>
                <c:pt idx="223">
                  <c:v>6.4</c:v>
                </c:pt>
                <c:pt idx="224">
                  <c:v>6.1</c:v>
                </c:pt>
                <c:pt idx="225">
                  <c:v>4.2</c:v>
                </c:pt>
                <c:pt idx="226">
                  <c:v>2.2999999999999998</c:v>
                </c:pt>
                <c:pt idx="227">
                  <c:v>0.9</c:v>
                </c:pt>
                <c:pt idx="228">
                  <c:v>-1.3</c:v>
                </c:pt>
                <c:pt idx="229">
                  <c:v>-1.3</c:v>
                </c:pt>
                <c:pt idx="230">
                  <c:v>-0.7</c:v>
                </c:pt>
                <c:pt idx="231">
                  <c:v>-1.1000000000000001</c:v>
                </c:pt>
                <c:pt idx="232">
                  <c:v>-2.5</c:v>
                </c:pt>
                <c:pt idx="233">
                  <c:v>-3.6</c:v>
                </c:pt>
                <c:pt idx="234">
                  <c:v>-4.5999999999999996</c:v>
                </c:pt>
                <c:pt idx="235">
                  <c:v>-5.4</c:v>
                </c:pt>
                <c:pt idx="236">
                  <c:v>-4.4000000000000004</c:v>
                </c:pt>
                <c:pt idx="237">
                  <c:v>-3</c:v>
                </c:pt>
                <c:pt idx="238">
                  <c:v>-2.5</c:v>
                </c:pt>
                <c:pt idx="239">
                  <c:v>-2.6</c:v>
                </c:pt>
                <c:pt idx="240">
                  <c:v>-3</c:v>
                </c:pt>
                <c:pt idx="241">
                  <c:v>-2.7</c:v>
                </c:pt>
                <c:pt idx="242">
                  <c:v>-2.6</c:v>
                </c:pt>
                <c:pt idx="243">
                  <c:v>-2.8</c:v>
                </c:pt>
                <c:pt idx="244">
                  <c:v>-2.5</c:v>
                </c:pt>
                <c:pt idx="245">
                  <c:v>-1.4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42-4CC1-B898-6089941658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706848"/>
        <c:axId val="81616097"/>
      </c:lineChart>
      <c:catAx>
        <c:axId val="85706848"/>
        <c:scaling>
          <c:orientation val="minMax"/>
        </c:scaling>
        <c:delete val="0"/>
        <c:axPos val="b"/>
        <c:numFmt formatCode="yyyy\-mm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黑体" panose="02010609060101010101" pitchFamily="49" charset="-122"/>
                <a:ea typeface="黑体" panose="02010609060101010101" pitchFamily="49" charset="-122"/>
                <a:cs typeface="黑体" panose="02010609060101010101" pitchFamily="49" charset="-122"/>
                <a:sym typeface="黑体" panose="02010609060101010101" pitchFamily="49" charset="-122"/>
              </a:defRPr>
            </a:pPr>
            <a:endParaRPr lang="zh-CN"/>
          </a:p>
        </c:txPr>
        <c:crossAx val="81616097"/>
        <c:crosses val="autoZero"/>
        <c:auto val="0"/>
        <c:lblAlgn val="ctr"/>
        <c:lblOffset val="100"/>
        <c:noMultiLvlLbl val="0"/>
      </c:catAx>
      <c:valAx>
        <c:axId val="81616097"/>
        <c:scaling>
          <c:orientation val="minMax"/>
        </c:scaling>
        <c:delete val="0"/>
        <c:axPos val="l"/>
        <c:numFmt formatCode="0.0_ 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黑体" panose="02010609060101010101" pitchFamily="49" charset="-122"/>
                <a:ea typeface="黑体" panose="02010609060101010101" pitchFamily="49" charset="-122"/>
                <a:cs typeface="黑体" panose="02010609060101010101" pitchFamily="49" charset="-122"/>
                <a:sym typeface="黑体" panose="02010609060101010101" pitchFamily="49" charset="-122"/>
              </a:defRPr>
            </a:pPr>
            <a:endParaRPr lang="zh-CN"/>
          </a:p>
        </c:txPr>
        <c:crossAx val="85706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 wrap="square"/>
    <a:lstStyle/>
    <a:p>
      <a:pPr>
        <a:defRPr lang="zh-CN" sz="700">
          <a:latin typeface="黑体" panose="02010609060101010101" pitchFamily="49" charset="-122"/>
          <a:ea typeface="黑体" panose="02010609060101010101" pitchFamily="49" charset="-122"/>
          <a:cs typeface="黑体" panose="02010609060101010101" pitchFamily="49" charset="-122"/>
          <a:sym typeface="黑体" panose="02010609060101010101" pitchFamily="49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8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黑体" panose="02010609060101010101" pitchFamily="49" charset="-122"/>
              <a:ea typeface="黑体" panose="02010609060101010101" pitchFamily="49" charset="-122"/>
              <a:cs typeface="黑体" panose="02010609060101010101" pitchFamily="49" charset="-122"/>
              <a:sym typeface="黑体" panose="02010609060101010101" pitchFamily="49" charset="-122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美林时钟!$E$20</c:f>
              <c:strCache>
                <c:ptCount val="1"/>
                <c:pt idx="0">
                  <c:v>综合通胀</c:v>
                </c:pt>
              </c:strCache>
            </c:strRef>
          </c:tx>
          <c:spPr>
            <a:ln w="15875" cap="rnd" cmpd="sng" algn="ctr">
              <a:solidFill>
                <a:srgbClr val="004477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美林时钟!$A$21:$A$266</c:f>
              <c:numCache>
                <c:formatCode>yyyy\-mm</c:formatCode>
                <c:ptCount val="246"/>
                <c:pt idx="0">
                  <c:v>37315</c:v>
                </c:pt>
                <c:pt idx="1">
                  <c:v>37346</c:v>
                </c:pt>
                <c:pt idx="2">
                  <c:v>37376</c:v>
                </c:pt>
                <c:pt idx="3">
                  <c:v>37407</c:v>
                </c:pt>
                <c:pt idx="4">
                  <c:v>37437</c:v>
                </c:pt>
                <c:pt idx="5">
                  <c:v>37468</c:v>
                </c:pt>
                <c:pt idx="6">
                  <c:v>37499</c:v>
                </c:pt>
                <c:pt idx="7">
                  <c:v>37529</c:v>
                </c:pt>
                <c:pt idx="8">
                  <c:v>37560</c:v>
                </c:pt>
                <c:pt idx="9">
                  <c:v>37590</c:v>
                </c:pt>
                <c:pt idx="10">
                  <c:v>37621</c:v>
                </c:pt>
                <c:pt idx="11">
                  <c:v>37680</c:v>
                </c:pt>
                <c:pt idx="12">
                  <c:v>37711</c:v>
                </c:pt>
                <c:pt idx="13">
                  <c:v>37741</c:v>
                </c:pt>
                <c:pt idx="14">
                  <c:v>37772</c:v>
                </c:pt>
                <c:pt idx="15">
                  <c:v>37802</c:v>
                </c:pt>
                <c:pt idx="16">
                  <c:v>37833</c:v>
                </c:pt>
                <c:pt idx="17">
                  <c:v>37864</c:v>
                </c:pt>
                <c:pt idx="18">
                  <c:v>37894</c:v>
                </c:pt>
                <c:pt idx="19">
                  <c:v>37925</c:v>
                </c:pt>
                <c:pt idx="20">
                  <c:v>37955</c:v>
                </c:pt>
                <c:pt idx="21">
                  <c:v>37986</c:v>
                </c:pt>
                <c:pt idx="22">
                  <c:v>38046</c:v>
                </c:pt>
                <c:pt idx="23">
                  <c:v>38077</c:v>
                </c:pt>
                <c:pt idx="24">
                  <c:v>38107</c:v>
                </c:pt>
                <c:pt idx="25">
                  <c:v>38138</c:v>
                </c:pt>
                <c:pt idx="26">
                  <c:v>38168</c:v>
                </c:pt>
                <c:pt idx="27">
                  <c:v>38199</c:v>
                </c:pt>
                <c:pt idx="28">
                  <c:v>38230</c:v>
                </c:pt>
                <c:pt idx="29">
                  <c:v>38260</c:v>
                </c:pt>
                <c:pt idx="30">
                  <c:v>38291</c:v>
                </c:pt>
                <c:pt idx="31">
                  <c:v>38321</c:v>
                </c:pt>
                <c:pt idx="32">
                  <c:v>38352</c:v>
                </c:pt>
                <c:pt idx="33">
                  <c:v>38411</c:v>
                </c:pt>
                <c:pt idx="34">
                  <c:v>38442</c:v>
                </c:pt>
                <c:pt idx="35">
                  <c:v>38472</c:v>
                </c:pt>
                <c:pt idx="36">
                  <c:v>38503</c:v>
                </c:pt>
                <c:pt idx="37">
                  <c:v>38533</c:v>
                </c:pt>
                <c:pt idx="38">
                  <c:v>38564</c:v>
                </c:pt>
                <c:pt idx="39">
                  <c:v>38595</c:v>
                </c:pt>
                <c:pt idx="40">
                  <c:v>38625</c:v>
                </c:pt>
                <c:pt idx="41">
                  <c:v>38656</c:v>
                </c:pt>
                <c:pt idx="42">
                  <c:v>38686</c:v>
                </c:pt>
                <c:pt idx="43">
                  <c:v>38717</c:v>
                </c:pt>
                <c:pt idx="44">
                  <c:v>38776</c:v>
                </c:pt>
                <c:pt idx="45">
                  <c:v>38807</c:v>
                </c:pt>
                <c:pt idx="46">
                  <c:v>38837</c:v>
                </c:pt>
                <c:pt idx="47">
                  <c:v>38868</c:v>
                </c:pt>
                <c:pt idx="48">
                  <c:v>38898</c:v>
                </c:pt>
                <c:pt idx="49">
                  <c:v>38929</c:v>
                </c:pt>
                <c:pt idx="50">
                  <c:v>38960</c:v>
                </c:pt>
                <c:pt idx="51">
                  <c:v>38990</c:v>
                </c:pt>
                <c:pt idx="52">
                  <c:v>39021</c:v>
                </c:pt>
                <c:pt idx="53">
                  <c:v>39051</c:v>
                </c:pt>
                <c:pt idx="54">
                  <c:v>39082</c:v>
                </c:pt>
                <c:pt idx="55">
                  <c:v>39141</c:v>
                </c:pt>
                <c:pt idx="56">
                  <c:v>39172</c:v>
                </c:pt>
                <c:pt idx="57">
                  <c:v>39202</c:v>
                </c:pt>
                <c:pt idx="58">
                  <c:v>39233</c:v>
                </c:pt>
                <c:pt idx="59">
                  <c:v>39263</c:v>
                </c:pt>
                <c:pt idx="60">
                  <c:v>39294</c:v>
                </c:pt>
                <c:pt idx="61">
                  <c:v>39325</c:v>
                </c:pt>
                <c:pt idx="62">
                  <c:v>39355</c:v>
                </c:pt>
                <c:pt idx="63">
                  <c:v>39386</c:v>
                </c:pt>
                <c:pt idx="64">
                  <c:v>39416</c:v>
                </c:pt>
                <c:pt idx="65">
                  <c:v>39447</c:v>
                </c:pt>
                <c:pt idx="66">
                  <c:v>39507</c:v>
                </c:pt>
                <c:pt idx="67">
                  <c:v>39538</c:v>
                </c:pt>
                <c:pt idx="68">
                  <c:v>39568</c:v>
                </c:pt>
                <c:pt idx="69">
                  <c:v>39599</c:v>
                </c:pt>
                <c:pt idx="70">
                  <c:v>39629</c:v>
                </c:pt>
                <c:pt idx="71">
                  <c:v>39660</c:v>
                </c:pt>
                <c:pt idx="72">
                  <c:v>39691</c:v>
                </c:pt>
                <c:pt idx="73">
                  <c:v>39721</c:v>
                </c:pt>
                <c:pt idx="74">
                  <c:v>39752</c:v>
                </c:pt>
                <c:pt idx="75">
                  <c:v>39782</c:v>
                </c:pt>
                <c:pt idx="76">
                  <c:v>39813</c:v>
                </c:pt>
                <c:pt idx="77">
                  <c:v>39872</c:v>
                </c:pt>
                <c:pt idx="78">
                  <c:v>39903</c:v>
                </c:pt>
                <c:pt idx="79">
                  <c:v>39933</c:v>
                </c:pt>
                <c:pt idx="80">
                  <c:v>39964</c:v>
                </c:pt>
                <c:pt idx="81">
                  <c:v>39994</c:v>
                </c:pt>
                <c:pt idx="82">
                  <c:v>40025</c:v>
                </c:pt>
                <c:pt idx="83">
                  <c:v>40056</c:v>
                </c:pt>
                <c:pt idx="84">
                  <c:v>40086</c:v>
                </c:pt>
                <c:pt idx="85">
                  <c:v>40117</c:v>
                </c:pt>
                <c:pt idx="86">
                  <c:v>40147</c:v>
                </c:pt>
                <c:pt idx="87">
                  <c:v>40178</c:v>
                </c:pt>
                <c:pt idx="88">
                  <c:v>40237</c:v>
                </c:pt>
                <c:pt idx="89">
                  <c:v>40268</c:v>
                </c:pt>
                <c:pt idx="90">
                  <c:v>40298</c:v>
                </c:pt>
                <c:pt idx="91">
                  <c:v>40329</c:v>
                </c:pt>
                <c:pt idx="92">
                  <c:v>40359</c:v>
                </c:pt>
                <c:pt idx="93">
                  <c:v>40390</c:v>
                </c:pt>
                <c:pt idx="94">
                  <c:v>40421</c:v>
                </c:pt>
                <c:pt idx="95">
                  <c:v>40451</c:v>
                </c:pt>
                <c:pt idx="96">
                  <c:v>40482</c:v>
                </c:pt>
                <c:pt idx="97">
                  <c:v>40512</c:v>
                </c:pt>
                <c:pt idx="98">
                  <c:v>40543</c:v>
                </c:pt>
                <c:pt idx="99">
                  <c:v>40602</c:v>
                </c:pt>
                <c:pt idx="100">
                  <c:v>40633</c:v>
                </c:pt>
                <c:pt idx="101">
                  <c:v>40663</c:v>
                </c:pt>
                <c:pt idx="102">
                  <c:v>40694</c:v>
                </c:pt>
                <c:pt idx="103">
                  <c:v>40724</c:v>
                </c:pt>
                <c:pt idx="104">
                  <c:v>40755</c:v>
                </c:pt>
                <c:pt idx="105">
                  <c:v>40786</c:v>
                </c:pt>
                <c:pt idx="106">
                  <c:v>40816</c:v>
                </c:pt>
                <c:pt idx="107">
                  <c:v>40847</c:v>
                </c:pt>
                <c:pt idx="108">
                  <c:v>40877</c:v>
                </c:pt>
                <c:pt idx="109">
                  <c:v>40908</c:v>
                </c:pt>
                <c:pt idx="110">
                  <c:v>40968</c:v>
                </c:pt>
                <c:pt idx="111">
                  <c:v>40999</c:v>
                </c:pt>
                <c:pt idx="112">
                  <c:v>41029</c:v>
                </c:pt>
                <c:pt idx="113">
                  <c:v>41060</c:v>
                </c:pt>
                <c:pt idx="114">
                  <c:v>41090</c:v>
                </c:pt>
                <c:pt idx="115">
                  <c:v>41121</c:v>
                </c:pt>
                <c:pt idx="116">
                  <c:v>41152</c:v>
                </c:pt>
                <c:pt idx="117">
                  <c:v>41182</c:v>
                </c:pt>
                <c:pt idx="118">
                  <c:v>41213</c:v>
                </c:pt>
                <c:pt idx="119">
                  <c:v>41243</c:v>
                </c:pt>
                <c:pt idx="120">
                  <c:v>41274</c:v>
                </c:pt>
                <c:pt idx="121">
                  <c:v>41333</c:v>
                </c:pt>
                <c:pt idx="122">
                  <c:v>41364</c:v>
                </c:pt>
                <c:pt idx="123">
                  <c:v>41394</c:v>
                </c:pt>
                <c:pt idx="124">
                  <c:v>41425</c:v>
                </c:pt>
                <c:pt idx="125">
                  <c:v>41455</c:v>
                </c:pt>
                <c:pt idx="126">
                  <c:v>41486</c:v>
                </c:pt>
                <c:pt idx="127">
                  <c:v>41517</c:v>
                </c:pt>
                <c:pt idx="128">
                  <c:v>41547</c:v>
                </c:pt>
                <c:pt idx="129">
                  <c:v>41578</c:v>
                </c:pt>
                <c:pt idx="130">
                  <c:v>41608</c:v>
                </c:pt>
                <c:pt idx="131">
                  <c:v>41639</c:v>
                </c:pt>
                <c:pt idx="132">
                  <c:v>41698</c:v>
                </c:pt>
                <c:pt idx="133">
                  <c:v>41729</c:v>
                </c:pt>
                <c:pt idx="134">
                  <c:v>41759</c:v>
                </c:pt>
                <c:pt idx="135">
                  <c:v>41790</c:v>
                </c:pt>
                <c:pt idx="136">
                  <c:v>41820</c:v>
                </c:pt>
                <c:pt idx="137">
                  <c:v>41851</c:v>
                </c:pt>
                <c:pt idx="138">
                  <c:v>41882</c:v>
                </c:pt>
                <c:pt idx="139">
                  <c:v>41912</c:v>
                </c:pt>
                <c:pt idx="140">
                  <c:v>41943</c:v>
                </c:pt>
                <c:pt idx="141">
                  <c:v>41973</c:v>
                </c:pt>
                <c:pt idx="142">
                  <c:v>42004</c:v>
                </c:pt>
                <c:pt idx="143">
                  <c:v>42063</c:v>
                </c:pt>
                <c:pt idx="144">
                  <c:v>42094</c:v>
                </c:pt>
                <c:pt idx="145">
                  <c:v>42124</c:v>
                </c:pt>
                <c:pt idx="146">
                  <c:v>42155</c:v>
                </c:pt>
                <c:pt idx="147">
                  <c:v>42185</c:v>
                </c:pt>
                <c:pt idx="148">
                  <c:v>42216</c:v>
                </c:pt>
                <c:pt idx="149">
                  <c:v>42247</c:v>
                </c:pt>
                <c:pt idx="150">
                  <c:v>42277</c:v>
                </c:pt>
                <c:pt idx="151">
                  <c:v>42308</c:v>
                </c:pt>
                <c:pt idx="152">
                  <c:v>42338</c:v>
                </c:pt>
                <c:pt idx="153">
                  <c:v>42369</c:v>
                </c:pt>
                <c:pt idx="154">
                  <c:v>42429</c:v>
                </c:pt>
                <c:pt idx="155">
                  <c:v>42460</c:v>
                </c:pt>
                <c:pt idx="156">
                  <c:v>42490</c:v>
                </c:pt>
                <c:pt idx="157">
                  <c:v>42521</c:v>
                </c:pt>
                <c:pt idx="158">
                  <c:v>42551</c:v>
                </c:pt>
                <c:pt idx="159">
                  <c:v>42582</c:v>
                </c:pt>
                <c:pt idx="160">
                  <c:v>42613</c:v>
                </c:pt>
                <c:pt idx="161">
                  <c:v>42643</c:v>
                </c:pt>
                <c:pt idx="162">
                  <c:v>42674</c:v>
                </c:pt>
                <c:pt idx="163">
                  <c:v>42704</c:v>
                </c:pt>
                <c:pt idx="164">
                  <c:v>42735</c:v>
                </c:pt>
                <c:pt idx="165">
                  <c:v>42794</c:v>
                </c:pt>
                <c:pt idx="166">
                  <c:v>42825</c:v>
                </c:pt>
                <c:pt idx="167">
                  <c:v>42855</c:v>
                </c:pt>
                <c:pt idx="168">
                  <c:v>42886</c:v>
                </c:pt>
                <c:pt idx="169">
                  <c:v>42916</c:v>
                </c:pt>
                <c:pt idx="170">
                  <c:v>42947</c:v>
                </c:pt>
                <c:pt idx="171">
                  <c:v>42978</c:v>
                </c:pt>
                <c:pt idx="172">
                  <c:v>43008</c:v>
                </c:pt>
                <c:pt idx="173">
                  <c:v>43039</c:v>
                </c:pt>
                <c:pt idx="174">
                  <c:v>43069</c:v>
                </c:pt>
                <c:pt idx="175">
                  <c:v>43100</c:v>
                </c:pt>
                <c:pt idx="176">
                  <c:v>43159</c:v>
                </c:pt>
                <c:pt idx="177">
                  <c:v>43190</c:v>
                </c:pt>
                <c:pt idx="178">
                  <c:v>43220</c:v>
                </c:pt>
                <c:pt idx="179">
                  <c:v>43251</c:v>
                </c:pt>
                <c:pt idx="180">
                  <c:v>43281</c:v>
                </c:pt>
                <c:pt idx="181">
                  <c:v>43312</c:v>
                </c:pt>
                <c:pt idx="182">
                  <c:v>43343</c:v>
                </c:pt>
                <c:pt idx="183">
                  <c:v>43373</c:v>
                </c:pt>
                <c:pt idx="184">
                  <c:v>43404</c:v>
                </c:pt>
                <c:pt idx="185">
                  <c:v>43434</c:v>
                </c:pt>
                <c:pt idx="186">
                  <c:v>43465</c:v>
                </c:pt>
                <c:pt idx="187">
                  <c:v>43524</c:v>
                </c:pt>
                <c:pt idx="188">
                  <c:v>43555</c:v>
                </c:pt>
                <c:pt idx="189">
                  <c:v>43585</c:v>
                </c:pt>
                <c:pt idx="190">
                  <c:v>43616</c:v>
                </c:pt>
                <c:pt idx="191">
                  <c:v>43646</c:v>
                </c:pt>
                <c:pt idx="192">
                  <c:v>43677</c:v>
                </c:pt>
                <c:pt idx="193">
                  <c:v>43708</c:v>
                </c:pt>
                <c:pt idx="194">
                  <c:v>43738</c:v>
                </c:pt>
                <c:pt idx="195">
                  <c:v>43769</c:v>
                </c:pt>
                <c:pt idx="196">
                  <c:v>43799</c:v>
                </c:pt>
                <c:pt idx="197">
                  <c:v>43830</c:v>
                </c:pt>
                <c:pt idx="198">
                  <c:v>43890</c:v>
                </c:pt>
                <c:pt idx="199">
                  <c:v>43921</c:v>
                </c:pt>
                <c:pt idx="200">
                  <c:v>43951</c:v>
                </c:pt>
                <c:pt idx="201">
                  <c:v>43982</c:v>
                </c:pt>
                <c:pt idx="202">
                  <c:v>44012</c:v>
                </c:pt>
                <c:pt idx="203">
                  <c:v>44043</c:v>
                </c:pt>
                <c:pt idx="204">
                  <c:v>44074</c:v>
                </c:pt>
                <c:pt idx="205">
                  <c:v>44104</c:v>
                </c:pt>
                <c:pt idx="206">
                  <c:v>44135</c:v>
                </c:pt>
                <c:pt idx="207">
                  <c:v>44165</c:v>
                </c:pt>
                <c:pt idx="208">
                  <c:v>44196</c:v>
                </c:pt>
                <c:pt idx="209">
                  <c:v>44255</c:v>
                </c:pt>
                <c:pt idx="210">
                  <c:v>44286</c:v>
                </c:pt>
                <c:pt idx="211">
                  <c:v>44316</c:v>
                </c:pt>
                <c:pt idx="212">
                  <c:v>44347</c:v>
                </c:pt>
                <c:pt idx="213">
                  <c:v>44377</c:v>
                </c:pt>
                <c:pt idx="214">
                  <c:v>44408</c:v>
                </c:pt>
                <c:pt idx="215">
                  <c:v>44439</c:v>
                </c:pt>
                <c:pt idx="216">
                  <c:v>44469</c:v>
                </c:pt>
                <c:pt idx="217">
                  <c:v>44500</c:v>
                </c:pt>
                <c:pt idx="218">
                  <c:v>44530</c:v>
                </c:pt>
                <c:pt idx="219">
                  <c:v>44561</c:v>
                </c:pt>
                <c:pt idx="220">
                  <c:v>44620</c:v>
                </c:pt>
                <c:pt idx="221">
                  <c:v>44651</c:v>
                </c:pt>
                <c:pt idx="222">
                  <c:v>44681</c:v>
                </c:pt>
                <c:pt idx="223">
                  <c:v>44712</c:v>
                </c:pt>
                <c:pt idx="224">
                  <c:v>44742</c:v>
                </c:pt>
                <c:pt idx="225">
                  <c:v>44773</c:v>
                </c:pt>
                <c:pt idx="226">
                  <c:v>44804</c:v>
                </c:pt>
                <c:pt idx="227">
                  <c:v>44834</c:v>
                </c:pt>
                <c:pt idx="228">
                  <c:v>44865</c:v>
                </c:pt>
                <c:pt idx="229">
                  <c:v>44895</c:v>
                </c:pt>
                <c:pt idx="230">
                  <c:v>44926</c:v>
                </c:pt>
                <c:pt idx="231">
                  <c:v>44985</c:v>
                </c:pt>
                <c:pt idx="232">
                  <c:v>45016</c:v>
                </c:pt>
                <c:pt idx="233">
                  <c:v>45046</c:v>
                </c:pt>
                <c:pt idx="234">
                  <c:v>45077</c:v>
                </c:pt>
                <c:pt idx="235">
                  <c:v>45107</c:v>
                </c:pt>
                <c:pt idx="236">
                  <c:v>45138</c:v>
                </c:pt>
                <c:pt idx="237">
                  <c:v>45169</c:v>
                </c:pt>
                <c:pt idx="238">
                  <c:v>45199</c:v>
                </c:pt>
                <c:pt idx="239">
                  <c:v>45230</c:v>
                </c:pt>
                <c:pt idx="240">
                  <c:v>45260</c:v>
                </c:pt>
                <c:pt idx="241">
                  <c:v>45291</c:v>
                </c:pt>
                <c:pt idx="242">
                  <c:v>45351</c:v>
                </c:pt>
                <c:pt idx="243">
                  <c:v>45382</c:v>
                </c:pt>
                <c:pt idx="244">
                  <c:v>45412</c:v>
                </c:pt>
                <c:pt idx="245">
                  <c:v>45443</c:v>
                </c:pt>
              </c:numCache>
            </c:numRef>
          </c:cat>
          <c:val>
            <c:numRef>
              <c:f>美林时钟!$E$21:$E$266</c:f>
              <c:numCache>
                <c:formatCode>0.0_ </c:formatCode>
                <c:ptCount val="246"/>
                <c:pt idx="0">
                  <c:v>-1.9800000000000002</c:v>
                </c:pt>
                <c:pt idx="1">
                  <c:v>-2.08</c:v>
                </c:pt>
                <c:pt idx="2">
                  <c:v>-2.0040000000000004</c:v>
                </c:pt>
                <c:pt idx="3">
                  <c:v>-1.7120000000000002</c:v>
                </c:pt>
                <c:pt idx="4">
                  <c:v>-1.48</c:v>
                </c:pt>
                <c:pt idx="5">
                  <c:v>-1.46</c:v>
                </c:pt>
                <c:pt idx="6">
                  <c:v>-1.1000000000000001</c:v>
                </c:pt>
                <c:pt idx="7">
                  <c:v>-0.98</c:v>
                </c:pt>
                <c:pt idx="8">
                  <c:v>-0.88</c:v>
                </c:pt>
                <c:pt idx="9">
                  <c:v>-0.58000000000000007</c:v>
                </c:pt>
                <c:pt idx="10">
                  <c:v>-7.999999999999996E-2</c:v>
                </c:pt>
                <c:pt idx="11">
                  <c:v>1.4600000000000002</c:v>
                </c:pt>
                <c:pt idx="12">
                  <c:v>2.38</c:v>
                </c:pt>
                <c:pt idx="13">
                  <c:v>2.04</c:v>
                </c:pt>
                <c:pt idx="14">
                  <c:v>1.22</c:v>
                </c:pt>
                <c:pt idx="15">
                  <c:v>0.7</c:v>
                </c:pt>
                <c:pt idx="16">
                  <c:v>0.85999999999999988</c:v>
                </c:pt>
                <c:pt idx="17">
                  <c:v>1.1000000000000001</c:v>
                </c:pt>
                <c:pt idx="18">
                  <c:v>1.22</c:v>
                </c:pt>
                <c:pt idx="19">
                  <c:v>1.56</c:v>
                </c:pt>
                <c:pt idx="20">
                  <c:v>2.5599999999999996</c:v>
                </c:pt>
                <c:pt idx="21">
                  <c:v>3.12</c:v>
                </c:pt>
                <c:pt idx="22">
                  <c:v>2.96</c:v>
                </c:pt>
                <c:pt idx="23">
                  <c:v>3.4</c:v>
                </c:pt>
                <c:pt idx="24">
                  <c:v>4.2799999999999994</c:v>
                </c:pt>
                <c:pt idx="25">
                  <c:v>4.92</c:v>
                </c:pt>
                <c:pt idx="26">
                  <c:v>5.5600000000000005</c:v>
                </c:pt>
                <c:pt idx="27">
                  <c:v>5.74</c:v>
                </c:pt>
                <c:pt idx="28">
                  <c:v>5.9</c:v>
                </c:pt>
                <c:pt idx="29">
                  <c:v>6.28</c:v>
                </c:pt>
                <c:pt idx="30">
                  <c:v>5.9399999999999995</c:v>
                </c:pt>
                <c:pt idx="31">
                  <c:v>4.92</c:v>
                </c:pt>
                <c:pt idx="32">
                  <c:v>4.2799999999999994</c:v>
                </c:pt>
                <c:pt idx="33">
                  <c:v>3.9799999999999995</c:v>
                </c:pt>
                <c:pt idx="34">
                  <c:v>3.86</c:v>
                </c:pt>
                <c:pt idx="35">
                  <c:v>3.3920000000000003</c:v>
                </c:pt>
                <c:pt idx="36">
                  <c:v>3.4400000000000004</c:v>
                </c:pt>
                <c:pt idx="37">
                  <c:v>3.04</c:v>
                </c:pt>
                <c:pt idx="38">
                  <c:v>3.16</c:v>
                </c:pt>
                <c:pt idx="39">
                  <c:v>2.9000000000000004</c:v>
                </c:pt>
                <c:pt idx="40">
                  <c:v>2.34</c:v>
                </c:pt>
                <c:pt idx="41">
                  <c:v>2.3200000000000003</c:v>
                </c:pt>
                <c:pt idx="42">
                  <c:v>2.0600000000000005</c:v>
                </c:pt>
                <c:pt idx="43">
                  <c:v>2.2400000000000002</c:v>
                </c:pt>
                <c:pt idx="44">
                  <c:v>2.04</c:v>
                </c:pt>
                <c:pt idx="45">
                  <c:v>1.476</c:v>
                </c:pt>
                <c:pt idx="46">
                  <c:v>1.468</c:v>
                </c:pt>
                <c:pt idx="47">
                  <c:v>1.8120000000000001</c:v>
                </c:pt>
                <c:pt idx="48">
                  <c:v>2.3079999999999998</c:v>
                </c:pt>
                <c:pt idx="49">
                  <c:v>2.032</c:v>
                </c:pt>
                <c:pt idx="50">
                  <c:v>2.14</c:v>
                </c:pt>
                <c:pt idx="51">
                  <c:v>2.2999999999999998</c:v>
                </c:pt>
                <c:pt idx="52">
                  <c:v>2</c:v>
                </c:pt>
                <c:pt idx="53">
                  <c:v>2.2519999999999998</c:v>
                </c:pt>
                <c:pt idx="54">
                  <c:v>2.92</c:v>
                </c:pt>
                <c:pt idx="55">
                  <c:v>2.64</c:v>
                </c:pt>
                <c:pt idx="56">
                  <c:v>3.0599999999999996</c:v>
                </c:pt>
                <c:pt idx="57">
                  <c:v>2.96</c:v>
                </c:pt>
                <c:pt idx="58">
                  <c:v>3.16</c:v>
                </c:pt>
                <c:pt idx="59">
                  <c:v>3.6360000000000001</c:v>
                </c:pt>
                <c:pt idx="60">
                  <c:v>4.32</c:v>
                </c:pt>
                <c:pt idx="61">
                  <c:v>4.9399999999999995</c:v>
                </c:pt>
                <c:pt idx="62">
                  <c:v>4.8</c:v>
                </c:pt>
                <c:pt idx="63">
                  <c:v>5.18</c:v>
                </c:pt>
                <c:pt idx="64">
                  <c:v>5.96</c:v>
                </c:pt>
                <c:pt idx="65">
                  <c:v>6.0720000000000001</c:v>
                </c:pt>
                <c:pt idx="66">
                  <c:v>7.3000000000000007</c:v>
                </c:pt>
                <c:pt idx="67">
                  <c:v>8.16</c:v>
                </c:pt>
                <c:pt idx="68">
                  <c:v>8.347999999999999</c:v>
                </c:pt>
                <c:pt idx="69">
                  <c:v>7.9080000000000004</c:v>
                </c:pt>
                <c:pt idx="70">
                  <c:v>7.7959999999999994</c:v>
                </c:pt>
                <c:pt idx="71">
                  <c:v>7.7919999999999998</c:v>
                </c:pt>
                <c:pt idx="72">
                  <c:v>6.9640000000000004</c:v>
                </c:pt>
                <c:pt idx="73">
                  <c:v>6.4120000000000008</c:v>
                </c:pt>
                <c:pt idx="74">
                  <c:v>5.0359999999999996</c:v>
                </c:pt>
                <c:pt idx="75">
                  <c:v>2.2359999999999998</c:v>
                </c:pt>
                <c:pt idx="76">
                  <c:v>0.26400000000000001</c:v>
                </c:pt>
                <c:pt idx="77">
                  <c:v>-1.74</c:v>
                </c:pt>
                <c:pt idx="78">
                  <c:v>-3.12</c:v>
                </c:pt>
                <c:pt idx="79">
                  <c:v>-3.54</c:v>
                </c:pt>
                <c:pt idx="80">
                  <c:v>-3.72</c:v>
                </c:pt>
                <c:pt idx="81">
                  <c:v>-4.1400000000000006</c:v>
                </c:pt>
                <c:pt idx="82">
                  <c:v>-4.3599999999999994</c:v>
                </c:pt>
                <c:pt idx="83">
                  <c:v>-3.8639999999999999</c:v>
                </c:pt>
                <c:pt idx="84">
                  <c:v>-3.2760000000000002</c:v>
                </c:pt>
                <c:pt idx="85">
                  <c:v>-2.6399999999999997</c:v>
                </c:pt>
                <c:pt idx="86">
                  <c:v>-0.47200000000000009</c:v>
                </c:pt>
                <c:pt idx="87">
                  <c:v>1.8199999999999998</c:v>
                </c:pt>
                <c:pt idx="88">
                  <c:v>3.22</c:v>
                </c:pt>
                <c:pt idx="89">
                  <c:v>3.8040000000000003</c:v>
                </c:pt>
                <c:pt idx="90">
                  <c:v>4.4039999999999999</c:v>
                </c:pt>
                <c:pt idx="91">
                  <c:v>4.7119999999999997</c:v>
                </c:pt>
                <c:pt idx="92">
                  <c:v>4.3040000000000003</c:v>
                </c:pt>
                <c:pt idx="93">
                  <c:v>3.9159999999999995</c:v>
                </c:pt>
                <c:pt idx="94">
                  <c:v>3.8280000000000003</c:v>
                </c:pt>
                <c:pt idx="95">
                  <c:v>3.8920000000000003</c:v>
                </c:pt>
                <c:pt idx="96">
                  <c:v>4.6560000000000006</c:v>
                </c:pt>
                <c:pt idx="97">
                  <c:v>5.484</c:v>
                </c:pt>
                <c:pt idx="98">
                  <c:v>5.1319999999999997</c:v>
                </c:pt>
                <c:pt idx="99">
                  <c:v>5.7160000000000002</c:v>
                </c:pt>
                <c:pt idx="100">
                  <c:v>6.1538000000000004</c:v>
                </c:pt>
                <c:pt idx="101">
                  <c:v>5.9344000000000001</c:v>
                </c:pt>
                <c:pt idx="102">
                  <c:v>6.0250000000000004</c:v>
                </c:pt>
                <c:pt idx="103">
                  <c:v>6.6610000000000005</c:v>
                </c:pt>
                <c:pt idx="104">
                  <c:v>6.8865999999999996</c:v>
                </c:pt>
                <c:pt idx="105">
                  <c:v>6.5906000000000002</c:v>
                </c:pt>
                <c:pt idx="106">
                  <c:v>6.2482000000000006</c:v>
                </c:pt>
                <c:pt idx="107">
                  <c:v>5.2970000000000006</c:v>
                </c:pt>
                <c:pt idx="108">
                  <c:v>3.6229999999999998</c:v>
                </c:pt>
                <c:pt idx="109">
                  <c:v>3.1180000000000003</c:v>
                </c:pt>
                <c:pt idx="110">
                  <c:v>2.492</c:v>
                </c:pt>
                <c:pt idx="111">
                  <c:v>2.032</c:v>
                </c:pt>
                <c:pt idx="112">
                  <c:v>1.76</c:v>
                </c:pt>
                <c:pt idx="113">
                  <c:v>1.2399999999999998</c:v>
                </c:pt>
                <c:pt idx="114">
                  <c:v>0.48799999999999999</c:v>
                </c:pt>
                <c:pt idx="115">
                  <c:v>-6.800000000000006E-2</c:v>
                </c:pt>
                <c:pt idx="116">
                  <c:v>-0.19200000000000017</c:v>
                </c:pt>
                <c:pt idx="117">
                  <c:v>-0.28000000000000003</c:v>
                </c:pt>
                <c:pt idx="118">
                  <c:v>-8.3999999999999853E-2</c:v>
                </c:pt>
                <c:pt idx="119">
                  <c:v>0.31999999999999984</c:v>
                </c:pt>
                <c:pt idx="120">
                  <c:v>0.72399999999999998</c:v>
                </c:pt>
                <c:pt idx="121">
                  <c:v>0.92288000000000003</c:v>
                </c:pt>
                <c:pt idx="122">
                  <c:v>0.47375999999999996</c:v>
                </c:pt>
                <c:pt idx="123">
                  <c:v>0.38365999999999989</c:v>
                </c:pt>
                <c:pt idx="124">
                  <c:v>0.11085999999999996</c:v>
                </c:pt>
                <c:pt idx="125">
                  <c:v>0.52103999999999995</c:v>
                </c:pt>
                <c:pt idx="126">
                  <c:v>0.69645999999999997</c:v>
                </c:pt>
                <c:pt idx="127">
                  <c:v>0.89195999999999986</c:v>
                </c:pt>
                <c:pt idx="128">
                  <c:v>1.2951399999999997</c:v>
                </c:pt>
                <c:pt idx="129">
                  <c:v>1.3194799999999998</c:v>
                </c:pt>
                <c:pt idx="130">
                  <c:v>1.2427999999999999</c:v>
                </c:pt>
                <c:pt idx="131">
                  <c:v>0.95521999999999996</c:v>
                </c:pt>
                <c:pt idx="132">
                  <c:v>0.61031999999999986</c:v>
                </c:pt>
                <c:pt idx="133">
                  <c:v>0.51011999999999991</c:v>
                </c:pt>
                <c:pt idx="134">
                  <c:v>0.27915999999999974</c:v>
                </c:pt>
                <c:pt idx="135">
                  <c:v>0.90782000000000007</c:v>
                </c:pt>
                <c:pt idx="136">
                  <c:v>0.95797999999999983</c:v>
                </c:pt>
                <c:pt idx="137">
                  <c:v>1.0236000000000001</c:v>
                </c:pt>
                <c:pt idx="138">
                  <c:v>0.71301999999999999</c:v>
                </c:pt>
                <c:pt idx="139">
                  <c:v>0.25665999999999989</c:v>
                </c:pt>
                <c:pt idx="140">
                  <c:v>6.353999999999993E-2</c:v>
                </c:pt>
                <c:pt idx="141">
                  <c:v>-0.21354000000000006</c:v>
                </c:pt>
                <c:pt idx="142">
                  <c:v>-0.42272000000000021</c:v>
                </c:pt>
                <c:pt idx="143">
                  <c:v>-1.1644600000000001</c:v>
                </c:pt>
                <c:pt idx="144">
                  <c:v>-0.99864000000000008</c:v>
                </c:pt>
                <c:pt idx="145">
                  <c:v>-0.92353999999999992</c:v>
                </c:pt>
                <c:pt idx="146">
                  <c:v>-1.1043200000000004</c:v>
                </c:pt>
                <c:pt idx="147">
                  <c:v>-1.0908600000000002</c:v>
                </c:pt>
                <c:pt idx="148">
                  <c:v>-1.1593000000000004</c:v>
                </c:pt>
                <c:pt idx="149">
                  <c:v>-1.1958399999999998</c:v>
                </c:pt>
                <c:pt idx="150">
                  <c:v>-1.4206400000000001</c:v>
                </c:pt>
                <c:pt idx="151">
                  <c:v>-1.5995600000000003</c:v>
                </c:pt>
                <c:pt idx="152">
                  <c:v>-1.4686400000000002</c:v>
                </c:pt>
                <c:pt idx="153">
                  <c:v>-1.4000000000000004</c:v>
                </c:pt>
                <c:pt idx="154">
                  <c:v>-0.84000000000000008</c:v>
                </c:pt>
                <c:pt idx="155">
                  <c:v>-0.33916539999999995</c:v>
                </c:pt>
                <c:pt idx="156">
                  <c:v>3.6718999999999946E-2</c:v>
                </c:pt>
                <c:pt idx="157">
                  <c:v>0.10339940000000003</c:v>
                </c:pt>
                <c:pt idx="158">
                  <c:v>8.770179999999983E-2</c:v>
                </c:pt>
                <c:pt idx="159">
                  <c:v>0.37906779999999995</c:v>
                </c:pt>
                <c:pt idx="160">
                  <c:v>0.48386379999999996</c:v>
                </c:pt>
                <c:pt idx="161">
                  <c:v>1.1921356000000001</c:v>
                </c:pt>
                <c:pt idx="162">
                  <c:v>1.7375681999999999</c:v>
                </c:pt>
                <c:pt idx="163">
                  <c:v>2.6713548</c:v>
                </c:pt>
                <c:pt idx="164">
                  <c:v>3.4459270000000002</c:v>
                </c:pt>
                <c:pt idx="165">
                  <c:v>3.9212799999999999</c:v>
                </c:pt>
                <c:pt idx="166">
                  <c:v>3.58</c:v>
                </c:pt>
                <c:pt idx="167">
                  <c:v>3.2800000000000002</c:v>
                </c:pt>
                <c:pt idx="168">
                  <c:v>3.1</c:v>
                </c:pt>
                <c:pt idx="169">
                  <c:v>3.1</c:v>
                </c:pt>
                <c:pt idx="170">
                  <c:v>3.04</c:v>
                </c:pt>
                <c:pt idx="171">
                  <c:v>3.6</c:v>
                </c:pt>
                <c:pt idx="172">
                  <c:v>3.72</c:v>
                </c:pt>
                <c:pt idx="173">
                  <c:v>3.9000000000000004</c:v>
                </c:pt>
                <c:pt idx="174">
                  <c:v>3.34</c:v>
                </c:pt>
                <c:pt idx="175">
                  <c:v>3.04</c:v>
                </c:pt>
                <c:pt idx="176">
                  <c:v>2.92</c:v>
                </c:pt>
                <c:pt idx="177">
                  <c:v>2.5</c:v>
                </c:pt>
                <c:pt idx="178">
                  <c:v>2.4400000000000004</c:v>
                </c:pt>
                <c:pt idx="179">
                  <c:v>2.7199999999999998</c:v>
                </c:pt>
                <c:pt idx="180">
                  <c:v>3.02</c:v>
                </c:pt>
                <c:pt idx="181">
                  <c:v>3.0999999999999996</c:v>
                </c:pt>
                <c:pt idx="182">
                  <c:v>3.0199999999999996</c:v>
                </c:pt>
                <c:pt idx="183">
                  <c:v>2.9400000000000004</c:v>
                </c:pt>
                <c:pt idx="184">
                  <c:v>2.8200000000000003</c:v>
                </c:pt>
                <c:pt idx="185">
                  <c:v>2.4000000000000004</c:v>
                </c:pt>
                <c:pt idx="186">
                  <c:v>1.5</c:v>
                </c:pt>
                <c:pt idx="187">
                  <c:v>1</c:v>
                </c:pt>
                <c:pt idx="188">
                  <c:v>1.54</c:v>
                </c:pt>
                <c:pt idx="189">
                  <c:v>1.86</c:v>
                </c:pt>
                <c:pt idx="190">
                  <c:v>1.86</c:v>
                </c:pt>
                <c:pt idx="191">
                  <c:v>1.62</c:v>
                </c:pt>
                <c:pt idx="192">
                  <c:v>1.56</c:v>
                </c:pt>
                <c:pt idx="193">
                  <c:v>1.3599999999999999</c:v>
                </c:pt>
                <c:pt idx="194">
                  <c:v>1.3199999999999998</c:v>
                </c:pt>
                <c:pt idx="195">
                  <c:v>1.6399999999999997</c:v>
                </c:pt>
                <c:pt idx="196">
                  <c:v>2.1399999999999997</c:v>
                </c:pt>
                <c:pt idx="197">
                  <c:v>2.4999999999999996</c:v>
                </c:pt>
                <c:pt idx="198">
                  <c:v>3.0999999999999996</c:v>
                </c:pt>
                <c:pt idx="199">
                  <c:v>1.9799999999999995</c:v>
                </c:pt>
                <c:pt idx="200">
                  <c:v>0.73999999999999955</c:v>
                </c:pt>
                <c:pt idx="201">
                  <c:v>-4.0000000000000258E-2</c:v>
                </c:pt>
                <c:pt idx="202">
                  <c:v>0.29999999999999982</c:v>
                </c:pt>
                <c:pt idx="203">
                  <c:v>0.66000000000000014</c:v>
                </c:pt>
                <c:pt idx="204">
                  <c:v>0.6399999999999999</c:v>
                </c:pt>
                <c:pt idx="205">
                  <c:v>0.17999999999999994</c:v>
                </c:pt>
                <c:pt idx="206">
                  <c:v>-0.54</c:v>
                </c:pt>
                <c:pt idx="207">
                  <c:v>-0.90000000000000013</c:v>
                </c:pt>
                <c:pt idx="208">
                  <c:v>-4.0000000000000036E-2</c:v>
                </c:pt>
                <c:pt idx="209">
                  <c:v>0.22000000000000003</c:v>
                </c:pt>
                <c:pt idx="210">
                  <c:v>2</c:v>
                </c:pt>
                <c:pt idx="211">
                  <c:v>3.2600000000000002</c:v>
                </c:pt>
                <c:pt idx="212">
                  <c:v>4.38</c:v>
                </c:pt>
                <c:pt idx="213">
                  <c:v>4.1800000000000006</c:v>
                </c:pt>
                <c:pt idx="214">
                  <c:v>4.2</c:v>
                </c:pt>
                <c:pt idx="215">
                  <c:v>4.28</c:v>
                </c:pt>
                <c:pt idx="216">
                  <c:v>4.7</c:v>
                </c:pt>
                <c:pt idx="217">
                  <c:v>6.3000000000000007</c:v>
                </c:pt>
                <c:pt idx="218">
                  <c:v>6.54</c:v>
                </c:pt>
                <c:pt idx="219">
                  <c:v>5.0199999999999996</c:v>
                </c:pt>
                <c:pt idx="220">
                  <c:v>4.1000000000000005</c:v>
                </c:pt>
                <c:pt idx="221">
                  <c:v>4.2200000000000006</c:v>
                </c:pt>
                <c:pt idx="222">
                  <c:v>4.46</c:v>
                </c:pt>
                <c:pt idx="223">
                  <c:v>3.8200000000000003</c:v>
                </c:pt>
                <c:pt idx="224">
                  <c:v>3.94</c:v>
                </c:pt>
                <c:pt idx="225">
                  <c:v>3.3000000000000003</c:v>
                </c:pt>
                <c:pt idx="226">
                  <c:v>2.42</c:v>
                </c:pt>
                <c:pt idx="227">
                  <c:v>2.04</c:v>
                </c:pt>
                <c:pt idx="228">
                  <c:v>0.74</c:v>
                </c:pt>
                <c:pt idx="229">
                  <c:v>0.43999999999999995</c:v>
                </c:pt>
                <c:pt idx="230">
                  <c:v>0.8</c:v>
                </c:pt>
                <c:pt idx="231">
                  <c:v>0.45999999999999985</c:v>
                </c:pt>
                <c:pt idx="232">
                  <c:v>-0.58000000000000007</c:v>
                </c:pt>
                <c:pt idx="233">
                  <c:v>-1.3800000000000001</c:v>
                </c:pt>
                <c:pt idx="234">
                  <c:v>-1.7199999999999998</c:v>
                </c:pt>
                <c:pt idx="235">
                  <c:v>-2.16</c:v>
                </c:pt>
                <c:pt idx="236">
                  <c:v>-1.9400000000000002</c:v>
                </c:pt>
                <c:pt idx="237">
                  <c:v>-1.1400000000000001</c:v>
                </c:pt>
                <c:pt idx="238">
                  <c:v>-1</c:v>
                </c:pt>
                <c:pt idx="239">
                  <c:v>-1.1600000000000001</c:v>
                </c:pt>
                <c:pt idx="240">
                  <c:v>-1.5000000000000002</c:v>
                </c:pt>
                <c:pt idx="241">
                  <c:v>-1.26</c:v>
                </c:pt>
                <c:pt idx="242">
                  <c:v>-1.04</c:v>
                </c:pt>
                <c:pt idx="243">
                  <c:v>-1.0599999999999998</c:v>
                </c:pt>
                <c:pt idx="244">
                  <c:v>-0.82000000000000006</c:v>
                </c:pt>
                <c:pt idx="245">
                  <c:v>-0.37999999999999995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DB-458E-9A78-F6E91B07C0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3374862"/>
        <c:axId val="846989287"/>
      </c:lineChart>
      <c:catAx>
        <c:axId val="803374862"/>
        <c:scaling>
          <c:orientation val="minMax"/>
        </c:scaling>
        <c:delete val="0"/>
        <c:axPos val="b"/>
        <c:numFmt formatCode="yyyy\-mm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黑体" panose="02010609060101010101" pitchFamily="49" charset="-122"/>
                <a:ea typeface="黑体" panose="02010609060101010101" pitchFamily="49" charset="-122"/>
                <a:cs typeface="黑体" panose="02010609060101010101" pitchFamily="49" charset="-122"/>
                <a:sym typeface="黑体" panose="02010609060101010101" pitchFamily="49" charset="-122"/>
              </a:defRPr>
            </a:pPr>
            <a:endParaRPr lang="zh-CN"/>
          </a:p>
        </c:txPr>
        <c:crossAx val="846989287"/>
        <c:crosses val="autoZero"/>
        <c:auto val="0"/>
        <c:lblAlgn val="ctr"/>
        <c:lblOffset val="100"/>
        <c:noMultiLvlLbl val="0"/>
      </c:catAx>
      <c:valAx>
        <c:axId val="846989287"/>
        <c:scaling>
          <c:orientation val="minMax"/>
        </c:scaling>
        <c:delete val="0"/>
        <c:axPos val="l"/>
        <c:numFmt formatCode="0.0_ 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黑体" panose="02010609060101010101" pitchFamily="49" charset="-122"/>
                <a:ea typeface="黑体" panose="02010609060101010101" pitchFamily="49" charset="-122"/>
                <a:cs typeface="黑体" panose="02010609060101010101" pitchFamily="49" charset="-122"/>
                <a:sym typeface="黑体" panose="02010609060101010101" pitchFamily="49" charset="-122"/>
              </a:defRPr>
            </a:pPr>
            <a:endParaRPr lang="zh-CN"/>
          </a:p>
        </c:txPr>
        <c:crossAx val="80337486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 wrap="square"/>
    <a:lstStyle/>
    <a:p>
      <a:pPr>
        <a:defRPr lang="zh-CN" sz="700">
          <a:latin typeface="黑体" panose="02010609060101010101" pitchFamily="49" charset="-122"/>
          <a:ea typeface="黑体" panose="02010609060101010101" pitchFamily="49" charset="-122"/>
          <a:cs typeface="黑体" panose="02010609060101010101" pitchFamily="49" charset="-122"/>
          <a:sym typeface="黑体" panose="02010609060101010101" pitchFamily="49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库存与产能周期2!$G$3</c:f>
              <c:strCache>
                <c:ptCount val="1"/>
                <c:pt idx="0">
                  <c:v>需求上行</c:v>
                </c:pt>
              </c:strCache>
            </c:strRef>
          </c:tx>
          <c:spPr>
            <a:solidFill>
              <a:srgbClr val="EE822F"/>
            </a:solidFill>
            <a:ln w="25400">
              <a:noFill/>
            </a:ln>
          </c:spPr>
          <c:invertIfNegative val="0"/>
          <c:cat>
            <c:numRef>
              <c:f>库存与产能周期2!$A$40:$A$381</c:f>
              <c:numCache>
                <c:formatCode>yyyy\-mm</c:formatCode>
                <c:ptCount val="342"/>
                <c:pt idx="0">
                  <c:v>45473</c:v>
                </c:pt>
                <c:pt idx="1">
                  <c:v>45443</c:v>
                </c:pt>
                <c:pt idx="2">
                  <c:v>45412</c:v>
                </c:pt>
                <c:pt idx="3">
                  <c:v>45382</c:v>
                </c:pt>
                <c:pt idx="4">
                  <c:v>45351</c:v>
                </c:pt>
                <c:pt idx="5">
                  <c:v>45322</c:v>
                </c:pt>
                <c:pt idx="6">
                  <c:v>45291</c:v>
                </c:pt>
                <c:pt idx="7">
                  <c:v>45260</c:v>
                </c:pt>
                <c:pt idx="8">
                  <c:v>45230</c:v>
                </c:pt>
                <c:pt idx="9">
                  <c:v>45199</c:v>
                </c:pt>
                <c:pt idx="10">
                  <c:v>45169</c:v>
                </c:pt>
                <c:pt idx="11">
                  <c:v>45138</c:v>
                </c:pt>
                <c:pt idx="12">
                  <c:v>45107</c:v>
                </c:pt>
                <c:pt idx="13">
                  <c:v>45077</c:v>
                </c:pt>
                <c:pt idx="14">
                  <c:v>45046</c:v>
                </c:pt>
                <c:pt idx="15">
                  <c:v>45016</c:v>
                </c:pt>
                <c:pt idx="16">
                  <c:v>44985</c:v>
                </c:pt>
                <c:pt idx="17">
                  <c:v>44957</c:v>
                </c:pt>
                <c:pt idx="18">
                  <c:v>44926</c:v>
                </c:pt>
                <c:pt idx="19">
                  <c:v>44895</c:v>
                </c:pt>
                <c:pt idx="20">
                  <c:v>44865</c:v>
                </c:pt>
                <c:pt idx="21">
                  <c:v>44834</c:v>
                </c:pt>
                <c:pt idx="22">
                  <c:v>44804</c:v>
                </c:pt>
                <c:pt idx="23">
                  <c:v>44773</c:v>
                </c:pt>
                <c:pt idx="24">
                  <c:v>44742</c:v>
                </c:pt>
                <c:pt idx="25">
                  <c:v>44712</c:v>
                </c:pt>
                <c:pt idx="26">
                  <c:v>44681</c:v>
                </c:pt>
                <c:pt idx="27">
                  <c:v>44651</c:v>
                </c:pt>
                <c:pt idx="28">
                  <c:v>44620</c:v>
                </c:pt>
                <c:pt idx="29">
                  <c:v>44592</c:v>
                </c:pt>
                <c:pt idx="30">
                  <c:v>44561</c:v>
                </c:pt>
                <c:pt idx="31">
                  <c:v>44530</c:v>
                </c:pt>
                <c:pt idx="32">
                  <c:v>44500</c:v>
                </c:pt>
                <c:pt idx="33">
                  <c:v>44469</c:v>
                </c:pt>
                <c:pt idx="34">
                  <c:v>44439</c:v>
                </c:pt>
                <c:pt idx="35">
                  <c:v>44408</c:v>
                </c:pt>
                <c:pt idx="36">
                  <c:v>44377</c:v>
                </c:pt>
                <c:pt idx="37">
                  <c:v>44347</c:v>
                </c:pt>
                <c:pt idx="38">
                  <c:v>44316</c:v>
                </c:pt>
                <c:pt idx="39">
                  <c:v>44286</c:v>
                </c:pt>
                <c:pt idx="40">
                  <c:v>44255</c:v>
                </c:pt>
                <c:pt idx="41">
                  <c:v>44227</c:v>
                </c:pt>
                <c:pt idx="42">
                  <c:v>44196</c:v>
                </c:pt>
                <c:pt idx="43">
                  <c:v>44165</c:v>
                </c:pt>
                <c:pt idx="44">
                  <c:v>44135</c:v>
                </c:pt>
                <c:pt idx="45">
                  <c:v>44104</c:v>
                </c:pt>
                <c:pt idx="46">
                  <c:v>44074</c:v>
                </c:pt>
                <c:pt idx="47">
                  <c:v>44043</c:v>
                </c:pt>
                <c:pt idx="48">
                  <c:v>44012</c:v>
                </c:pt>
                <c:pt idx="49">
                  <c:v>43982</c:v>
                </c:pt>
                <c:pt idx="50">
                  <c:v>43951</c:v>
                </c:pt>
                <c:pt idx="51">
                  <c:v>43921</c:v>
                </c:pt>
                <c:pt idx="52">
                  <c:v>43890</c:v>
                </c:pt>
                <c:pt idx="53">
                  <c:v>43861</c:v>
                </c:pt>
                <c:pt idx="54">
                  <c:v>43830</c:v>
                </c:pt>
                <c:pt idx="55">
                  <c:v>43799</c:v>
                </c:pt>
                <c:pt idx="56">
                  <c:v>43769</c:v>
                </c:pt>
                <c:pt idx="57">
                  <c:v>43738</c:v>
                </c:pt>
                <c:pt idx="58">
                  <c:v>43708</c:v>
                </c:pt>
                <c:pt idx="59">
                  <c:v>43677</c:v>
                </c:pt>
                <c:pt idx="60">
                  <c:v>43646</c:v>
                </c:pt>
                <c:pt idx="61">
                  <c:v>43616</c:v>
                </c:pt>
                <c:pt idx="62">
                  <c:v>43585</c:v>
                </c:pt>
                <c:pt idx="63">
                  <c:v>43555</c:v>
                </c:pt>
                <c:pt idx="64">
                  <c:v>43524</c:v>
                </c:pt>
                <c:pt idx="65">
                  <c:v>43496</c:v>
                </c:pt>
                <c:pt idx="66">
                  <c:v>43465</c:v>
                </c:pt>
                <c:pt idx="67">
                  <c:v>43434</c:v>
                </c:pt>
                <c:pt idx="68">
                  <c:v>43404</c:v>
                </c:pt>
                <c:pt idx="69">
                  <c:v>43373</c:v>
                </c:pt>
                <c:pt idx="70">
                  <c:v>43343</c:v>
                </c:pt>
                <c:pt idx="71">
                  <c:v>43312</c:v>
                </c:pt>
                <c:pt idx="72">
                  <c:v>43281</c:v>
                </c:pt>
                <c:pt idx="73">
                  <c:v>43251</c:v>
                </c:pt>
                <c:pt idx="74">
                  <c:v>43220</c:v>
                </c:pt>
                <c:pt idx="75">
                  <c:v>43190</c:v>
                </c:pt>
                <c:pt idx="76">
                  <c:v>43159</c:v>
                </c:pt>
                <c:pt idx="77">
                  <c:v>43131</c:v>
                </c:pt>
                <c:pt idx="78">
                  <c:v>43100</c:v>
                </c:pt>
                <c:pt idx="79">
                  <c:v>43069</c:v>
                </c:pt>
                <c:pt idx="80">
                  <c:v>43039</c:v>
                </c:pt>
                <c:pt idx="81">
                  <c:v>43008</c:v>
                </c:pt>
                <c:pt idx="82">
                  <c:v>42978</c:v>
                </c:pt>
                <c:pt idx="83">
                  <c:v>42947</c:v>
                </c:pt>
                <c:pt idx="84">
                  <c:v>42916</c:v>
                </c:pt>
                <c:pt idx="85">
                  <c:v>42886</c:v>
                </c:pt>
                <c:pt idx="86">
                  <c:v>42855</c:v>
                </c:pt>
                <c:pt idx="87">
                  <c:v>42825</c:v>
                </c:pt>
                <c:pt idx="88">
                  <c:v>42794</c:v>
                </c:pt>
                <c:pt idx="89">
                  <c:v>42766</c:v>
                </c:pt>
                <c:pt idx="90">
                  <c:v>42735</c:v>
                </c:pt>
                <c:pt idx="91">
                  <c:v>42704</c:v>
                </c:pt>
                <c:pt idx="92">
                  <c:v>42674</c:v>
                </c:pt>
                <c:pt idx="93">
                  <c:v>42643</c:v>
                </c:pt>
                <c:pt idx="94">
                  <c:v>42613</c:v>
                </c:pt>
                <c:pt idx="95">
                  <c:v>42582</c:v>
                </c:pt>
                <c:pt idx="96">
                  <c:v>42551</c:v>
                </c:pt>
                <c:pt idx="97">
                  <c:v>42521</c:v>
                </c:pt>
                <c:pt idx="98">
                  <c:v>42490</c:v>
                </c:pt>
                <c:pt idx="99">
                  <c:v>42460</c:v>
                </c:pt>
                <c:pt idx="100">
                  <c:v>42429</c:v>
                </c:pt>
                <c:pt idx="101">
                  <c:v>42400</c:v>
                </c:pt>
                <c:pt idx="102">
                  <c:v>42369</c:v>
                </c:pt>
                <c:pt idx="103">
                  <c:v>42338</c:v>
                </c:pt>
                <c:pt idx="104">
                  <c:v>42308</c:v>
                </c:pt>
                <c:pt idx="105">
                  <c:v>42277</c:v>
                </c:pt>
                <c:pt idx="106">
                  <c:v>42247</c:v>
                </c:pt>
                <c:pt idx="107">
                  <c:v>42216</c:v>
                </c:pt>
                <c:pt idx="108">
                  <c:v>42185</c:v>
                </c:pt>
                <c:pt idx="109">
                  <c:v>42155</c:v>
                </c:pt>
                <c:pt idx="110">
                  <c:v>42124</c:v>
                </c:pt>
                <c:pt idx="111">
                  <c:v>42094</c:v>
                </c:pt>
                <c:pt idx="112">
                  <c:v>42063</c:v>
                </c:pt>
                <c:pt idx="113">
                  <c:v>42035</c:v>
                </c:pt>
                <c:pt idx="114">
                  <c:v>42004</c:v>
                </c:pt>
                <c:pt idx="115">
                  <c:v>41973</c:v>
                </c:pt>
                <c:pt idx="116">
                  <c:v>41943</c:v>
                </c:pt>
                <c:pt idx="117">
                  <c:v>41912</c:v>
                </c:pt>
                <c:pt idx="118">
                  <c:v>41882</c:v>
                </c:pt>
                <c:pt idx="119">
                  <c:v>41851</c:v>
                </c:pt>
                <c:pt idx="120">
                  <c:v>41820</c:v>
                </c:pt>
                <c:pt idx="121">
                  <c:v>41790</c:v>
                </c:pt>
                <c:pt idx="122">
                  <c:v>41759</c:v>
                </c:pt>
                <c:pt idx="123">
                  <c:v>41729</c:v>
                </c:pt>
                <c:pt idx="124">
                  <c:v>41698</c:v>
                </c:pt>
                <c:pt idx="125">
                  <c:v>41670</c:v>
                </c:pt>
                <c:pt idx="126">
                  <c:v>41639</c:v>
                </c:pt>
                <c:pt idx="127">
                  <c:v>41608</c:v>
                </c:pt>
                <c:pt idx="128">
                  <c:v>41578</c:v>
                </c:pt>
                <c:pt idx="129">
                  <c:v>41547</c:v>
                </c:pt>
                <c:pt idx="130">
                  <c:v>41517</c:v>
                </c:pt>
                <c:pt idx="131">
                  <c:v>41486</c:v>
                </c:pt>
                <c:pt idx="132">
                  <c:v>41455</c:v>
                </c:pt>
                <c:pt idx="133">
                  <c:v>41425</c:v>
                </c:pt>
                <c:pt idx="134">
                  <c:v>41394</c:v>
                </c:pt>
                <c:pt idx="135">
                  <c:v>41364</c:v>
                </c:pt>
                <c:pt idx="136">
                  <c:v>41333</c:v>
                </c:pt>
                <c:pt idx="137">
                  <c:v>41305</c:v>
                </c:pt>
                <c:pt idx="138">
                  <c:v>41274</c:v>
                </c:pt>
                <c:pt idx="139">
                  <c:v>41243</c:v>
                </c:pt>
                <c:pt idx="140">
                  <c:v>41213</c:v>
                </c:pt>
                <c:pt idx="141">
                  <c:v>41182</c:v>
                </c:pt>
                <c:pt idx="142">
                  <c:v>41152</c:v>
                </c:pt>
                <c:pt idx="143">
                  <c:v>41121</c:v>
                </c:pt>
                <c:pt idx="144">
                  <c:v>41090</c:v>
                </c:pt>
                <c:pt idx="145">
                  <c:v>41060</c:v>
                </c:pt>
                <c:pt idx="146">
                  <c:v>41029</c:v>
                </c:pt>
                <c:pt idx="147">
                  <c:v>40999</c:v>
                </c:pt>
                <c:pt idx="148">
                  <c:v>40968</c:v>
                </c:pt>
                <c:pt idx="149">
                  <c:v>40939</c:v>
                </c:pt>
                <c:pt idx="150">
                  <c:v>40908</c:v>
                </c:pt>
                <c:pt idx="151">
                  <c:v>40877</c:v>
                </c:pt>
                <c:pt idx="152">
                  <c:v>40847</c:v>
                </c:pt>
                <c:pt idx="153">
                  <c:v>40816</c:v>
                </c:pt>
                <c:pt idx="154">
                  <c:v>40786</c:v>
                </c:pt>
                <c:pt idx="155">
                  <c:v>40755</c:v>
                </c:pt>
                <c:pt idx="156">
                  <c:v>40724</c:v>
                </c:pt>
                <c:pt idx="157">
                  <c:v>40694</c:v>
                </c:pt>
                <c:pt idx="158">
                  <c:v>40663</c:v>
                </c:pt>
                <c:pt idx="159">
                  <c:v>40633</c:v>
                </c:pt>
                <c:pt idx="160">
                  <c:v>40602</c:v>
                </c:pt>
                <c:pt idx="161">
                  <c:v>40574</c:v>
                </c:pt>
                <c:pt idx="162">
                  <c:v>40543</c:v>
                </c:pt>
                <c:pt idx="163">
                  <c:v>40512</c:v>
                </c:pt>
                <c:pt idx="164">
                  <c:v>40482</c:v>
                </c:pt>
                <c:pt idx="165">
                  <c:v>40451</c:v>
                </c:pt>
                <c:pt idx="166">
                  <c:v>40421</c:v>
                </c:pt>
                <c:pt idx="167">
                  <c:v>40390</c:v>
                </c:pt>
                <c:pt idx="168">
                  <c:v>40359</c:v>
                </c:pt>
                <c:pt idx="169">
                  <c:v>40329</c:v>
                </c:pt>
                <c:pt idx="170">
                  <c:v>40298</c:v>
                </c:pt>
                <c:pt idx="171">
                  <c:v>40268</c:v>
                </c:pt>
                <c:pt idx="172">
                  <c:v>40237</c:v>
                </c:pt>
                <c:pt idx="173">
                  <c:v>40209</c:v>
                </c:pt>
                <c:pt idx="174">
                  <c:v>40178</c:v>
                </c:pt>
                <c:pt idx="175">
                  <c:v>40147</c:v>
                </c:pt>
                <c:pt idx="176">
                  <c:v>40117</c:v>
                </c:pt>
                <c:pt idx="177">
                  <c:v>40086</c:v>
                </c:pt>
                <c:pt idx="178">
                  <c:v>40056</c:v>
                </c:pt>
                <c:pt idx="179">
                  <c:v>40025</c:v>
                </c:pt>
                <c:pt idx="180">
                  <c:v>39994</c:v>
                </c:pt>
                <c:pt idx="181">
                  <c:v>39964</c:v>
                </c:pt>
                <c:pt idx="182">
                  <c:v>39933</c:v>
                </c:pt>
                <c:pt idx="183">
                  <c:v>39903</c:v>
                </c:pt>
                <c:pt idx="184">
                  <c:v>39872</c:v>
                </c:pt>
                <c:pt idx="185">
                  <c:v>39844</c:v>
                </c:pt>
                <c:pt idx="186">
                  <c:v>39813</c:v>
                </c:pt>
                <c:pt idx="187">
                  <c:v>39782</c:v>
                </c:pt>
                <c:pt idx="188">
                  <c:v>39752</c:v>
                </c:pt>
                <c:pt idx="189">
                  <c:v>39721</c:v>
                </c:pt>
                <c:pt idx="190">
                  <c:v>39691</c:v>
                </c:pt>
                <c:pt idx="191">
                  <c:v>39660</c:v>
                </c:pt>
                <c:pt idx="192">
                  <c:v>39629</c:v>
                </c:pt>
                <c:pt idx="193">
                  <c:v>39599</c:v>
                </c:pt>
                <c:pt idx="194">
                  <c:v>39568</c:v>
                </c:pt>
                <c:pt idx="195">
                  <c:v>39538</c:v>
                </c:pt>
                <c:pt idx="196">
                  <c:v>39507</c:v>
                </c:pt>
                <c:pt idx="197">
                  <c:v>39478</c:v>
                </c:pt>
                <c:pt idx="198">
                  <c:v>39447</c:v>
                </c:pt>
                <c:pt idx="199">
                  <c:v>39416</c:v>
                </c:pt>
                <c:pt idx="200">
                  <c:v>39386</c:v>
                </c:pt>
                <c:pt idx="201">
                  <c:v>39355</c:v>
                </c:pt>
                <c:pt idx="202">
                  <c:v>39325</c:v>
                </c:pt>
                <c:pt idx="203">
                  <c:v>39294</c:v>
                </c:pt>
                <c:pt idx="204">
                  <c:v>39263</c:v>
                </c:pt>
                <c:pt idx="205">
                  <c:v>39233</c:v>
                </c:pt>
                <c:pt idx="206">
                  <c:v>39202</c:v>
                </c:pt>
                <c:pt idx="207">
                  <c:v>39172</c:v>
                </c:pt>
                <c:pt idx="208">
                  <c:v>39141</c:v>
                </c:pt>
                <c:pt idx="209">
                  <c:v>39113</c:v>
                </c:pt>
                <c:pt idx="210">
                  <c:v>39082</c:v>
                </c:pt>
                <c:pt idx="211">
                  <c:v>39051</c:v>
                </c:pt>
                <c:pt idx="212">
                  <c:v>39021</c:v>
                </c:pt>
                <c:pt idx="213">
                  <c:v>38990</c:v>
                </c:pt>
                <c:pt idx="214">
                  <c:v>38960</c:v>
                </c:pt>
                <c:pt idx="215">
                  <c:v>38929</c:v>
                </c:pt>
                <c:pt idx="216">
                  <c:v>38898</c:v>
                </c:pt>
                <c:pt idx="217">
                  <c:v>38868</c:v>
                </c:pt>
                <c:pt idx="218">
                  <c:v>38837</c:v>
                </c:pt>
                <c:pt idx="219">
                  <c:v>38807</c:v>
                </c:pt>
                <c:pt idx="220">
                  <c:v>38776</c:v>
                </c:pt>
                <c:pt idx="221">
                  <c:v>38748</c:v>
                </c:pt>
                <c:pt idx="222">
                  <c:v>38717</c:v>
                </c:pt>
                <c:pt idx="223">
                  <c:v>38686</c:v>
                </c:pt>
                <c:pt idx="224">
                  <c:v>38656</c:v>
                </c:pt>
                <c:pt idx="225">
                  <c:v>38625</c:v>
                </c:pt>
                <c:pt idx="226">
                  <c:v>38595</c:v>
                </c:pt>
                <c:pt idx="227">
                  <c:v>38564</c:v>
                </c:pt>
                <c:pt idx="228">
                  <c:v>38533</c:v>
                </c:pt>
                <c:pt idx="229">
                  <c:v>38503</c:v>
                </c:pt>
                <c:pt idx="230">
                  <c:v>38472</c:v>
                </c:pt>
                <c:pt idx="231">
                  <c:v>38442</c:v>
                </c:pt>
                <c:pt idx="232">
                  <c:v>38411</c:v>
                </c:pt>
                <c:pt idx="233">
                  <c:v>38383</c:v>
                </c:pt>
                <c:pt idx="234">
                  <c:v>38352</c:v>
                </c:pt>
                <c:pt idx="235">
                  <c:v>38321</c:v>
                </c:pt>
                <c:pt idx="236">
                  <c:v>38291</c:v>
                </c:pt>
                <c:pt idx="237">
                  <c:v>38260</c:v>
                </c:pt>
                <c:pt idx="238">
                  <c:v>38230</c:v>
                </c:pt>
                <c:pt idx="239">
                  <c:v>38199</c:v>
                </c:pt>
                <c:pt idx="240">
                  <c:v>38168</c:v>
                </c:pt>
                <c:pt idx="241">
                  <c:v>38138</c:v>
                </c:pt>
                <c:pt idx="242">
                  <c:v>38107</c:v>
                </c:pt>
                <c:pt idx="243">
                  <c:v>38077</c:v>
                </c:pt>
                <c:pt idx="244">
                  <c:v>38046</c:v>
                </c:pt>
                <c:pt idx="245">
                  <c:v>38017</c:v>
                </c:pt>
                <c:pt idx="246">
                  <c:v>37986</c:v>
                </c:pt>
                <c:pt idx="247">
                  <c:v>37955</c:v>
                </c:pt>
                <c:pt idx="248">
                  <c:v>37925</c:v>
                </c:pt>
                <c:pt idx="249">
                  <c:v>37894</c:v>
                </c:pt>
                <c:pt idx="250">
                  <c:v>37864</c:v>
                </c:pt>
                <c:pt idx="251">
                  <c:v>37833</c:v>
                </c:pt>
                <c:pt idx="252">
                  <c:v>37802</c:v>
                </c:pt>
                <c:pt idx="253">
                  <c:v>37772</c:v>
                </c:pt>
                <c:pt idx="254">
                  <c:v>37741</c:v>
                </c:pt>
                <c:pt idx="255">
                  <c:v>37711</c:v>
                </c:pt>
                <c:pt idx="256">
                  <c:v>37680</c:v>
                </c:pt>
                <c:pt idx="257">
                  <c:v>37652</c:v>
                </c:pt>
                <c:pt idx="258">
                  <c:v>37621</c:v>
                </c:pt>
                <c:pt idx="259">
                  <c:v>37590</c:v>
                </c:pt>
                <c:pt idx="260">
                  <c:v>37560</c:v>
                </c:pt>
                <c:pt idx="261">
                  <c:v>37529</c:v>
                </c:pt>
                <c:pt idx="262">
                  <c:v>37499</c:v>
                </c:pt>
                <c:pt idx="263">
                  <c:v>37468</c:v>
                </c:pt>
                <c:pt idx="264">
                  <c:v>37437</c:v>
                </c:pt>
                <c:pt idx="265">
                  <c:v>37407</c:v>
                </c:pt>
                <c:pt idx="266">
                  <c:v>37376</c:v>
                </c:pt>
                <c:pt idx="267">
                  <c:v>37346</c:v>
                </c:pt>
                <c:pt idx="268">
                  <c:v>37315</c:v>
                </c:pt>
                <c:pt idx="269">
                  <c:v>37287</c:v>
                </c:pt>
                <c:pt idx="270">
                  <c:v>37256</c:v>
                </c:pt>
                <c:pt idx="271">
                  <c:v>37225</c:v>
                </c:pt>
                <c:pt idx="272">
                  <c:v>37195</c:v>
                </c:pt>
                <c:pt idx="273">
                  <c:v>37164</c:v>
                </c:pt>
                <c:pt idx="274">
                  <c:v>37134</c:v>
                </c:pt>
                <c:pt idx="275">
                  <c:v>37103</c:v>
                </c:pt>
                <c:pt idx="276">
                  <c:v>37072</c:v>
                </c:pt>
                <c:pt idx="277">
                  <c:v>37042</c:v>
                </c:pt>
                <c:pt idx="278">
                  <c:v>37011</c:v>
                </c:pt>
                <c:pt idx="279">
                  <c:v>36981</c:v>
                </c:pt>
                <c:pt idx="280">
                  <c:v>36950</c:v>
                </c:pt>
                <c:pt idx="281">
                  <c:v>36922</c:v>
                </c:pt>
                <c:pt idx="282">
                  <c:v>36891</c:v>
                </c:pt>
                <c:pt idx="283">
                  <c:v>36860</c:v>
                </c:pt>
                <c:pt idx="284">
                  <c:v>36830</c:v>
                </c:pt>
                <c:pt idx="285">
                  <c:v>36799</c:v>
                </c:pt>
                <c:pt idx="286">
                  <c:v>36769</c:v>
                </c:pt>
                <c:pt idx="287">
                  <c:v>36738</c:v>
                </c:pt>
                <c:pt idx="288">
                  <c:v>36707</c:v>
                </c:pt>
                <c:pt idx="289">
                  <c:v>36677</c:v>
                </c:pt>
                <c:pt idx="290">
                  <c:v>36646</c:v>
                </c:pt>
                <c:pt idx="291">
                  <c:v>36616</c:v>
                </c:pt>
                <c:pt idx="292">
                  <c:v>36585</c:v>
                </c:pt>
                <c:pt idx="293">
                  <c:v>36556</c:v>
                </c:pt>
                <c:pt idx="294">
                  <c:v>36525</c:v>
                </c:pt>
                <c:pt idx="295">
                  <c:v>36494</c:v>
                </c:pt>
                <c:pt idx="296">
                  <c:v>36464</c:v>
                </c:pt>
                <c:pt idx="297">
                  <c:v>36433</c:v>
                </c:pt>
                <c:pt idx="298">
                  <c:v>36403</c:v>
                </c:pt>
                <c:pt idx="299">
                  <c:v>36372</c:v>
                </c:pt>
                <c:pt idx="300">
                  <c:v>36341</c:v>
                </c:pt>
                <c:pt idx="301">
                  <c:v>36311</c:v>
                </c:pt>
                <c:pt idx="302">
                  <c:v>36280</c:v>
                </c:pt>
                <c:pt idx="303">
                  <c:v>36250</c:v>
                </c:pt>
                <c:pt idx="304">
                  <c:v>36219</c:v>
                </c:pt>
                <c:pt idx="305">
                  <c:v>36191</c:v>
                </c:pt>
                <c:pt idx="306">
                  <c:v>36160</c:v>
                </c:pt>
                <c:pt idx="307">
                  <c:v>36129</c:v>
                </c:pt>
                <c:pt idx="308">
                  <c:v>36099</c:v>
                </c:pt>
                <c:pt idx="309">
                  <c:v>36068</c:v>
                </c:pt>
                <c:pt idx="310">
                  <c:v>36038</c:v>
                </c:pt>
                <c:pt idx="311">
                  <c:v>36007</c:v>
                </c:pt>
                <c:pt idx="312">
                  <c:v>35976</c:v>
                </c:pt>
                <c:pt idx="313">
                  <c:v>35946</c:v>
                </c:pt>
                <c:pt idx="314">
                  <c:v>35915</c:v>
                </c:pt>
                <c:pt idx="315">
                  <c:v>35885</c:v>
                </c:pt>
                <c:pt idx="316">
                  <c:v>35854</c:v>
                </c:pt>
                <c:pt idx="317">
                  <c:v>35826</c:v>
                </c:pt>
                <c:pt idx="318">
                  <c:v>35795</c:v>
                </c:pt>
                <c:pt idx="319">
                  <c:v>35764</c:v>
                </c:pt>
                <c:pt idx="320">
                  <c:v>35734</c:v>
                </c:pt>
                <c:pt idx="321">
                  <c:v>35703</c:v>
                </c:pt>
                <c:pt idx="322">
                  <c:v>35673</c:v>
                </c:pt>
                <c:pt idx="323">
                  <c:v>35642</c:v>
                </c:pt>
                <c:pt idx="324">
                  <c:v>35611</c:v>
                </c:pt>
                <c:pt idx="325">
                  <c:v>35581</c:v>
                </c:pt>
                <c:pt idx="326">
                  <c:v>35550</c:v>
                </c:pt>
                <c:pt idx="327">
                  <c:v>35520</c:v>
                </c:pt>
                <c:pt idx="328">
                  <c:v>35489</c:v>
                </c:pt>
                <c:pt idx="329">
                  <c:v>35461</c:v>
                </c:pt>
                <c:pt idx="330">
                  <c:v>35430</c:v>
                </c:pt>
                <c:pt idx="331">
                  <c:v>35399</c:v>
                </c:pt>
                <c:pt idx="332">
                  <c:v>35369</c:v>
                </c:pt>
                <c:pt idx="333">
                  <c:v>35338</c:v>
                </c:pt>
                <c:pt idx="334">
                  <c:v>35308</c:v>
                </c:pt>
                <c:pt idx="335">
                  <c:v>35277</c:v>
                </c:pt>
                <c:pt idx="336">
                  <c:v>35246</c:v>
                </c:pt>
                <c:pt idx="337">
                  <c:v>35216</c:v>
                </c:pt>
                <c:pt idx="338">
                  <c:v>35185</c:v>
                </c:pt>
                <c:pt idx="339">
                  <c:v>35155</c:v>
                </c:pt>
                <c:pt idx="340">
                  <c:v>35124</c:v>
                </c:pt>
                <c:pt idx="341">
                  <c:v>35095</c:v>
                </c:pt>
              </c:numCache>
            </c:numRef>
          </c:cat>
          <c:val>
            <c:numRef>
              <c:f>库存与产能周期2!$G$40:$G$381</c:f>
              <c:numCache>
                <c:formatCode>General</c:formatCode>
                <c:ptCount val="34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93-4B93-8863-688C2BAEA2D2}"/>
            </c:ext>
          </c:extLst>
        </c:ser>
        <c:ser>
          <c:idx val="2"/>
          <c:order val="2"/>
          <c:tx>
            <c:strRef>
              <c:f>库存与产能周期2!$H$3</c:f>
              <c:strCache>
                <c:ptCount val="1"/>
                <c:pt idx="0">
                  <c:v>需求下行</c:v>
                </c:pt>
              </c:strCache>
            </c:strRef>
          </c:tx>
          <c:spPr>
            <a:solidFill>
              <a:srgbClr val="F2BA02"/>
            </a:solidFill>
            <a:ln w="25400">
              <a:noFill/>
            </a:ln>
          </c:spPr>
          <c:invertIfNegative val="0"/>
          <c:cat>
            <c:numRef>
              <c:f>库存与产能周期2!$A$40:$A$381</c:f>
              <c:numCache>
                <c:formatCode>yyyy\-mm</c:formatCode>
                <c:ptCount val="342"/>
                <c:pt idx="0">
                  <c:v>45473</c:v>
                </c:pt>
                <c:pt idx="1">
                  <c:v>45443</c:v>
                </c:pt>
                <c:pt idx="2">
                  <c:v>45412</c:v>
                </c:pt>
                <c:pt idx="3">
                  <c:v>45382</c:v>
                </c:pt>
                <c:pt idx="4">
                  <c:v>45351</c:v>
                </c:pt>
                <c:pt idx="5">
                  <c:v>45322</c:v>
                </c:pt>
                <c:pt idx="6">
                  <c:v>45291</c:v>
                </c:pt>
                <c:pt idx="7">
                  <c:v>45260</c:v>
                </c:pt>
                <c:pt idx="8">
                  <c:v>45230</c:v>
                </c:pt>
                <c:pt idx="9">
                  <c:v>45199</c:v>
                </c:pt>
                <c:pt idx="10">
                  <c:v>45169</c:v>
                </c:pt>
                <c:pt idx="11">
                  <c:v>45138</c:v>
                </c:pt>
                <c:pt idx="12">
                  <c:v>45107</c:v>
                </c:pt>
                <c:pt idx="13">
                  <c:v>45077</c:v>
                </c:pt>
                <c:pt idx="14">
                  <c:v>45046</c:v>
                </c:pt>
                <c:pt idx="15">
                  <c:v>45016</c:v>
                </c:pt>
                <c:pt idx="16">
                  <c:v>44985</c:v>
                </c:pt>
                <c:pt idx="17">
                  <c:v>44957</c:v>
                </c:pt>
                <c:pt idx="18">
                  <c:v>44926</c:v>
                </c:pt>
                <c:pt idx="19">
                  <c:v>44895</c:v>
                </c:pt>
                <c:pt idx="20">
                  <c:v>44865</c:v>
                </c:pt>
                <c:pt idx="21">
                  <c:v>44834</c:v>
                </c:pt>
                <c:pt idx="22">
                  <c:v>44804</c:v>
                </c:pt>
                <c:pt idx="23">
                  <c:v>44773</c:v>
                </c:pt>
                <c:pt idx="24">
                  <c:v>44742</c:v>
                </c:pt>
                <c:pt idx="25">
                  <c:v>44712</c:v>
                </c:pt>
                <c:pt idx="26">
                  <c:v>44681</c:v>
                </c:pt>
                <c:pt idx="27">
                  <c:v>44651</c:v>
                </c:pt>
                <c:pt idx="28">
                  <c:v>44620</c:v>
                </c:pt>
                <c:pt idx="29">
                  <c:v>44592</c:v>
                </c:pt>
                <c:pt idx="30">
                  <c:v>44561</c:v>
                </c:pt>
                <c:pt idx="31">
                  <c:v>44530</c:v>
                </c:pt>
                <c:pt idx="32">
                  <c:v>44500</c:v>
                </c:pt>
                <c:pt idx="33">
                  <c:v>44469</c:v>
                </c:pt>
                <c:pt idx="34">
                  <c:v>44439</c:v>
                </c:pt>
                <c:pt idx="35">
                  <c:v>44408</c:v>
                </c:pt>
                <c:pt idx="36">
                  <c:v>44377</c:v>
                </c:pt>
                <c:pt idx="37">
                  <c:v>44347</c:v>
                </c:pt>
                <c:pt idx="38">
                  <c:v>44316</c:v>
                </c:pt>
                <c:pt idx="39">
                  <c:v>44286</c:v>
                </c:pt>
                <c:pt idx="40">
                  <c:v>44255</c:v>
                </c:pt>
                <c:pt idx="41">
                  <c:v>44227</c:v>
                </c:pt>
                <c:pt idx="42">
                  <c:v>44196</c:v>
                </c:pt>
                <c:pt idx="43">
                  <c:v>44165</c:v>
                </c:pt>
                <c:pt idx="44">
                  <c:v>44135</c:v>
                </c:pt>
                <c:pt idx="45">
                  <c:v>44104</c:v>
                </c:pt>
                <c:pt idx="46">
                  <c:v>44074</c:v>
                </c:pt>
                <c:pt idx="47">
                  <c:v>44043</c:v>
                </c:pt>
                <c:pt idx="48">
                  <c:v>44012</c:v>
                </c:pt>
                <c:pt idx="49">
                  <c:v>43982</c:v>
                </c:pt>
                <c:pt idx="50">
                  <c:v>43951</c:v>
                </c:pt>
                <c:pt idx="51">
                  <c:v>43921</c:v>
                </c:pt>
                <c:pt idx="52">
                  <c:v>43890</c:v>
                </c:pt>
                <c:pt idx="53">
                  <c:v>43861</c:v>
                </c:pt>
                <c:pt idx="54">
                  <c:v>43830</c:v>
                </c:pt>
                <c:pt idx="55">
                  <c:v>43799</c:v>
                </c:pt>
                <c:pt idx="56">
                  <c:v>43769</c:v>
                </c:pt>
                <c:pt idx="57">
                  <c:v>43738</c:v>
                </c:pt>
                <c:pt idx="58">
                  <c:v>43708</c:v>
                </c:pt>
                <c:pt idx="59">
                  <c:v>43677</c:v>
                </c:pt>
                <c:pt idx="60">
                  <c:v>43646</c:v>
                </c:pt>
                <c:pt idx="61">
                  <c:v>43616</c:v>
                </c:pt>
                <c:pt idx="62">
                  <c:v>43585</c:v>
                </c:pt>
                <c:pt idx="63">
                  <c:v>43555</c:v>
                </c:pt>
                <c:pt idx="64">
                  <c:v>43524</c:v>
                </c:pt>
                <c:pt idx="65">
                  <c:v>43496</c:v>
                </c:pt>
                <c:pt idx="66">
                  <c:v>43465</c:v>
                </c:pt>
                <c:pt idx="67">
                  <c:v>43434</c:v>
                </c:pt>
                <c:pt idx="68">
                  <c:v>43404</c:v>
                </c:pt>
                <c:pt idx="69">
                  <c:v>43373</c:v>
                </c:pt>
                <c:pt idx="70">
                  <c:v>43343</c:v>
                </c:pt>
                <c:pt idx="71">
                  <c:v>43312</c:v>
                </c:pt>
                <c:pt idx="72">
                  <c:v>43281</c:v>
                </c:pt>
                <c:pt idx="73">
                  <c:v>43251</c:v>
                </c:pt>
                <c:pt idx="74">
                  <c:v>43220</c:v>
                </c:pt>
                <c:pt idx="75">
                  <c:v>43190</c:v>
                </c:pt>
                <c:pt idx="76">
                  <c:v>43159</c:v>
                </c:pt>
                <c:pt idx="77">
                  <c:v>43131</c:v>
                </c:pt>
                <c:pt idx="78">
                  <c:v>43100</c:v>
                </c:pt>
                <c:pt idx="79">
                  <c:v>43069</c:v>
                </c:pt>
                <c:pt idx="80">
                  <c:v>43039</c:v>
                </c:pt>
                <c:pt idx="81">
                  <c:v>43008</c:v>
                </c:pt>
                <c:pt idx="82">
                  <c:v>42978</c:v>
                </c:pt>
                <c:pt idx="83">
                  <c:v>42947</c:v>
                </c:pt>
                <c:pt idx="84">
                  <c:v>42916</c:v>
                </c:pt>
                <c:pt idx="85">
                  <c:v>42886</c:v>
                </c:pt>
                <c:pt idx="86">
                  <c:v>42855</c:v>
                </c:pt>
                <c:pt idx="87">
                  <c:v>42825</c:v>
                </c:pt>
                <c:pt idx="88">
                  <c:v>42794</c:v>
                </c:pt>
                <c:pt idx="89">
                  <c:v>42766</c:v>
                </c:pt>
                <c:pt idx="90">
                  <c:v>42735</c:v>
                </c:pt>
                <c:pt idx="91">
                  <c:v>42704</c:v>
                </c:pt>
                <c:pt idx="92">
                  <c:v>42674</c:v>
                </c:pt>
                <c:pt idx="93">
                  <c:v>42643</c:v>
                </c:pt>
                <c:pt idx="94">
                  <c:v>42613</c:v>
                </c:pt>
                <c:pt idx="95">
                  <c:v>42582</c:v>
                </c:pt>
                <c:pt idx="96">
                  <c:v>42551</c:v>
                </c:pt>
                <c:pt idx="97">
                  <c:v>42521</c:v>
                </c:pt>
                <c:pt idx="98">
                  <c:v>42490</c:v>
                </c:pt>
                <c:pt idx="99">
                  <c:v>42460</c:v>
                </c:pt>
                <c:pt idx="100">
                  <c:v>42429</c:v>
                </c:pt>
                <c:pt idx="101">
                  <c:v>42400</c:v>
                </c:pt>
                <c:pt idx="102">
                  <c:v>42369</c:v>
                </c:pt>
                <c:pt idx="103">
                  <c:v>42338</c:v>
                </c:pt>
                <c:pt idx="104">
                  <c:v>42308</c:v>
                </c:pt>
                <c:pt idx="105">
                  <c:v>42277</c:v>
                </c:pt>
                <c:pt idx="106">
                  <c:v>42247</c:v>
                </c:pt>
                <c:pt idx="107">
                  <c:v>42216</c:v>
                </c:pt>
                <c:pt idx="108">
                  <c:v>42185</c:v>
                </c:pt>
                <c:pt idx="109">
                  <c:v>42155</c:v>
                </c:pt>
                <c:pt idx="110">
                  <c:v>42124</c:v>
                </c:pt>
                <c:pt idx="111">
                  <c:v>42094</c:v>
                </c:pt>
                <c:pt idx="112">
                  <c:v>42063</c:v>
                </c:pt>
                <c:pt idx="113">
                  <c:v>42035</c:v>
                </c:pt>
                <c:pt idx="114">
                  <c:v>42004</c:v>
                </c:pt>
                <c:pt idx="115">
                  <c:v>41973</c:v>
                </c:pt>
                <c:pt idx="116">
                  <c:v>41943</c:v>
                </c:pt>
                <c:pt idx="117">
                  <c:v>41912</c:v>
                </c:pt>
                <c:pt idx="118">
                  <c:v>41882</c:v>
                </c:pt>
                <c:pt idx="119">
                  <c:v>41851</c:v>
                </c:pt>
                <c:pt idx="120">
                  <c:v>41820</c:v>
                </c:pt>
                <c:pt idx="121">
                  <c:v>41790</c:v>
                </c:pt>
                <c:pt idx="122">
                  <c:v>41759</c:v>
                </c:pt>
                <c:pt idx="123">
                  <c:v>41729</c:v>
                </c:pt>
                <c:pt idx="124">
                  <c:v>41698</c:v>
                </c:pt>
                <c:pt idx="125">
                  <c:v>41670</c:v>
                </c:pt>
                <c:pt idx="126">
                  <c:v>41639</c:v>
                </c:pt>
                <c:pt idx="127">
                  <c:v>41608</c:v>
                </c:pt>
                <c:pt idx="128">
                  <c:v>41578</c:v>
                </c:pt>
                <c:pt idx="129">
                  <c:v>41547</c:v>
                </c:pt>
                <c:pt idx="130">
                  <c:v>41517</c:v>
                </c:pt>
                <c:pt idx="131">
                  <c:v>41486</c:v>
                </c:pt>
                <c:pt idx="132">
                  <c:v>41455</c:v>
                </c:pt>
                <c:pt idx="133">
                  <c:v>41425</c:v>
                </c:pt>
                <c:pt idx="134">
                  <c:v>41394</c:v>
                </c:pt>
                <c:pt idx="135">
                  <c:v>41364</c:v>
                </c:pt>
                <c:pt idx="136">
                  <c:v>41333</c:v>
                </c:pt>
                <c:pt idx="137">
                  <c:v>41305</c:v>
                </c:pt>
                <c:pt idx="138">
                  <c:v>41274</c:v>
                </c:pt>
                <c:pt idx="139">
                  <c:v>41243</c:v>
                </c:pt>
                <c:pt idx="140">
                  <c:v>41213</c:v>
                </c:pt>
                <c:pt idx="141">
                  <c:v>41182</c:v>
                </c:pt>
                <c:pt idx="142">
                  <c:v>41152</c:v>
                </c:pt>
                <c:pt idx="143">
                  <c:v>41121</c:v>
                </c:pt>
                <c:pt idx="144">
                  <c:v>41090</c:v>
                </c:pt>
                <c:pt idx="145">
                  <c:v>41060</c:v>
                </c:pt>
                <c:pt idx="146">
                  <c:v>41029</c:v>
                </c:pt>
                <c:pt idx="147">
                  <c:v>40999</c:v>
                </c:pt>
                <c:pt idx="148">
                  <c:v>40968</c:v>
                </c:pt>
                <c:pt idx="149">
                  <c:v>40939</c:v>
                </c:pt>
                <c:pt idx="150">
                  <c:v>40908</c:v>
                </c:pt>
                <c:pt idx="151">
                  <c:v>40877</c:v>
                </c:pt>
                <c:pt idx="152">
                  <c:v>40847</c:v>
                </c:pt>
                <c:pt idx="153">
                  <c:v>40816</c:v>
                </c:pt>
                <c:pt idx="154">
                  <c:v>40786</c:v>
                </c:pt>
                <c:pt idx="155">
                  <c:v>40755</c:v>
                </c:pt>
                <c:pt idx="156">
                  <c:v>40724</c:v>
                </c:pt>
                <c:pt idx="157">
                  <c:v>40694</c:v>
                </c:pt>
                <c:pt idx="158">
                  <c:v>40663</c:v>
                </c:pt>
                <c:pt idx="159">
                  <c:v>40633</c:v>
                </c:pt>
                <c:pt idx="160">
                  <c:v>40602</c:v>
                </c:pt>
                <c:pt idx="161">
                  <c:v>40574</c:v>
                </c:pt>
                <c:pt idx="162">
                  <c:v>40543</c:v>
                </c:pt>
                <c:pt idx="163">
                  <c:v>40512</c:v>
                </c:pt>
                <c:pt idx="164">
                  <c:v>40482</c:v>
                </c:pt>
                <c:pt idx="165">
                  <c:v>40451</c:v>
                </c:pt>
                <c:pt idx="166">
                  <c:v>40421</c:v>
                </c:pt>
                <c:pt idx="167">
                  <c:v>40390</c:v>
                </c:pt>
                <c:pt idx="168">
                  <c:v>40359</c:v>
                </c:pt>
                <c:pt idx="169">
                  <c:v>40329</c:v>
                </c:pt>
                <c:pt idx="170">
                  <c:v>40298</c:v>
                </c:pt>
                <c:pt idx="171">
                  <c:v>40268</c:v>
                </c:pt>
                <c:pt idx="172">
                  <c:v>40237</c:v>
                </c:pt>
                <c:pt idx="173">
                  <c:v>40209</c:v>
                </c:pt>
                <c:pt idx="174">
                  <c:v>40178</c:v>
                </c:pt>
                <c:pt idx="175">
                  <c:v>40147</c:v>
                </c:pt>
                <c:pt idx="176">
                  <c:v>40117</c:v>
                </c:pt>
                <c:pt idx="177">
                  <c:v>40086</c:v>
                </c:pt>
                <c:pt idx="178">
                  <c:v>40056</c:v>
                </c:pt>
                <c:pt idx="179">
                  <c:v>40025</c:v>
                </c:pt>
                <c:pt idx="180">
                  <c:v>39994</c:v>
                </c:pt>
                <c:pt idx="181">
                  <c:v>39964</c:v>
                </c:pt>
                <c:pt idx="182">
                  <c:v>39933</c:v>
                </c:pt>
                <c:pt idx="183">
                  <c:v>39903</c:v>
                </c:pt>
                <c:pt idx="184">
                  <c:v>39872</c:v>
                </c:pt>
                <c:pt idx="185">
                  <c:v>39844</c:v>
                </c:pt>
                <c:pt idx="186">
                  <c:v>39813</c:v>
                </c:pt>
                <c:pt idx="187">
                  <c:v>39782</c:v>
                </c:pt>
                <c:pt idx="188">
                  <c:v>39752</c:v>
                </c:pt>
                <c:pt idx="189">
                  <c:v>39721</c:v>
                </c:pt>
                <c:pt idx="190">
                  <c:v>39691</c:v>
                </c:pt>
                <c:pt idx="191">
                  <c:v>39660</c:v>
                </c:pt>
                <c:pt idx="192">
                  <c:v>39629</c:v>
                </c:pt>
                <c:pt idx="193">
                  <c:v>39599</c:v>
                </c:pt>
                <c:pt idx="194">
                  <c:v>39568</c:v>
                </c:pt>
                <c:pt idx="195">
                  <c:v>39538</c:v>
                </c:pt>
                <c:pt idx="196">
                  <c:v>39507</c:v>
                </c:pt>
                <c:pt idx="197">
                  <c:v>39478</c:v>
                </c:pt>
                <c:pt idx="198">
                  <c:v>39447</c:v>
                </c:pt>
                <c:pt idx="199">
                  <c:v>39416</c:v>
                </c:pt>
                <c:pt idx="200">
                  <c:v>39386</c:v>
                </c:pt>
                <c:pt idx="201">
                  <c:v>39355</c:v>
                </c:pt>
                <c:pt idx="202">
                  <c:v>39325</c:v>
                </c:pt>
                <c:pt idx="203">
                  <c:v>39294</c:v>
                </c:pt>
                <c:pt idx="204">
                  <c:v>39263</c:v>
                </c:pt>
                <c:pt idx="205">
                  <c:v>39233</c:v>
                </c:pt>
                <c:pt idx="206">
                  <c:v>39202</c:v>
                </c:pt>
                <c:pt idx="207">
                  <c:v>39172</c:v>
                </c:pt>
                <c:pt idx="208">
                  <c:v>39141</c:v>
                </c:pt>
                <c:pt idx="209">
                  <c:v>39113</c:v>
                </c:pt>
                <c:pt idx="210">
                  <c:v>39082</c:v>
                </c:pt>
                <c:pt idx="211">
                  <c:v>39051</c:v>
                </c:pt>
                <c:pt idx="212">
                  <c:v>39021</c:v>
                </c:pt>
                <c:pt idx="213">
                  <c:v>38990</c:v>
                </c:pt>
                <c:pt idx="214">
                  <c:v>38960</c:v>
                </c:pt>
                <c:pt idx="215">
                  <c:v>38929</c:v>
                </c:pt>
                <c:pt idx="216">
                  <c:v>38898</c:v>
                </c:pt>
                <c:pt idx="217">
                  <c:v>38868</c:v>
                </c:pt>
                <c:pt idx="218">
                  <c:v>38837</c:v>
                </c:pt>
                <c:pt idx="219">
                  <c:v>38807</c:v>
                </c:pt>
                <c:pt idx="220">
                  <c:v>38776</c:v>
                </c:pt>
                <c:pt idx="221">
                  <c:v>38748</c:v>
                </c:pt>
                <c:pt idx="222">
                  <c:v>38717</c:v>
                </c:pt>
                <c:pt idx="223">
                  <c:v>38686</c:v>
                </c:pt>
                <c:pt idx="224">
                  <c:v>38656</c:v>
                </c:pt>
                <c:pt idx="225">
                  <c:v>38625</c:v>
                </c:pt>
                <c:pt idx="226">
                  <c:v>38595</c:v>
                </c:pt>
                <c:pt idx="227">
                  <c:v>38564</c:v>
                </c:pt>
                <c:pt idx="228">
                  <c:v>38533</c:v>
                </c:pt>
                <c:pt idx="229">
                  <c:v>38503</c:v>
                </c:pt>
                <c:pt idx="230">
                  <c:v>38472</c:v>
                </c:pt>
                <c:pt idx="231">
                  <c:v>38442</c:v>
                </c:pt>
                <c:pt idx="232">
                  <c:v>38411</c:v>
                </c:pt>
                <c:pt idx="233">
                  <c:v>38383</c:v>
                </c:pt>
                <c:pt idx="234">
                  <c:v>38352</c:v>
                </c:pt>
                <c:pt idx="235">
                  <c:v>38321</c:v>
                </c:pt>
                <c:pt idx="236">
                  <c:v>38291</c:v>
                </c:pt>
                <c:pt idx="237">
                  <c:v>38260</c:v>
                </c:pt>
                <c:pt idx="238">
                  <c:v>38230</c:v>
                </c:pt>
                <c:pt idx="239">
                  <c:v>38199</c:v>
                </c:pt>
                <c:pt idx="240">
                  <c:v>38168</c:v>
                </c:pt>
                <c:pt idx="241">
                  <c:v>38138</c:v>
                </c:pt>
                <c:pt idx="242">
                  <c:v>38107</c:v>
                </c:pt>
                <c:pt idx="243">
                  <c:v>38077</c:v>
                </c:pt>
                <c:pt idx="244">
                  <c:v>38046</c:v>
                </c:pt>
                <c:pt idx="245">
                  <c:v>38017</c:v>
                </c:pt>
                <c:pt idx="246">
                  <c:v>37986</c:v>
                </c:pt>
                <c:pt idx="247">
                  <c:v>37955</c:v>
                </c:pt>
                <c:pt idx="248">
                  <c:v>37925</c:v>
                </c:pt>
                <c:pt idx="249">
                  <c:v>37894</c:v>
                </c:pt>
                <c:pt idx="250">
                  <c:v>37864</c:v>
                </c:pt>
                <c:pt idx="251">
                  <c:v>37833</c:v>
                </c:pt>
                <c:pt idx="252">
                  <c:v>37802</c:v>
                </c:pt>
                <c:pt idx="253">
                  <c:v>37772</c:v>
                </c:pt>
                <c:pt idx="254">
                  <c:v>37741</c:v>
                </c:pt>
                <c:pt idx="255">
                  <c:v>37711</c:v>
                </c:pt>
                <c:pt idx="256">
                  <c:v>37680</c:v>
                </c:pt>
                <c:pt idx="257">
                  <c:v>37652</c:v>
                </c:pt>
                <c:pt idx="258">
                  <c:v>37621</c:v>
                </c:pt>
                <c:pt idx="259">
                  <c:v>37590</c:v>
                </c:pt>
                <c:pt idx="260">
                  <c:v>37560</c:v>
                </c:pt>
                <c:pt idx="261">
                  <c:v>37529</c:v>
                </c:pt>
                <c:pt idx="262">
                  <c:v>37499</c:v>
                </c:pt>
                <c:pt idx="263">
                  <c:v>37468</c:v>
                </c:pt>
                <c:pt idx="264">
                  <c:v>37437</c:v>
                </c:pt>
                <c:pt idx="265">
                  <c:v>37407</c:v>
                </c:pt>
                <c:pt idx="266">
                  <c:v>37376</c:v>
                </c:pt>
                <c:pt idx="267">
                  <c:v>37346</c:v>
                </c:pt>
                <c:pt idx="268">
                  <c:v>37315</c:v>
                </c:pt>
                <c:pt idx="269">
                  <c:v>37287</c:v>
                </c:pt>
                <c:pt idx="270">
                  <c:v>37256</c:v>
                </c:pt>
                <c:pt idx="271">
                  <c:v>37225</c:v>
                </c:pt>
                <c:pt idx="272">
                  <c:v>37195</c:v>
                </c:pt>
                <c:pt idx="273">
                  <c:v>37164</c:v>
                </c:pt>
                <c:pt idx="274">
                  <c:v>37134</c:v>
                </c:pt>
                <c:pt idx="275">
                  <c:v>37103</c:v>
                </c:pt>
                <c:pt idx="276">
                  <c:v>37072</c:v>
                </c:pt>
                <c:pt idx="277">
                  <c:v>37042</c:v>
                </c:pt>
                <c:pt idx="278">
                  <c:v>37011</c:v>
                </c:pt>
                <c:pt idx="279">
                  <c:v>36981</c:v>
                </c:pt>
                <c:pt idx="280">
                  <c:v>36950</c:v>
                </c:pt>
                <c:pt idx="281">
                  <c:v>36922</c:v>
                </c:pt>
                <c:pt idx="282">
                  <c:v>36891</c:v>
                </c:pt>
                <c:pt idx="283">
                  <c:v>36860</c:v>
                </c:pt>
                <c:pt idx="284">
                  <c:v>36830</c:v>
                </c:pt>
                <c:pt idx="285">
                  <c:v>36799</c:v>
                </c:pt>
                <c:pt idx="286">
                  <c:v>36769</c:v>
                </c:pt>
                <c:pt idx="287">
                  <c:v>36738</c:v>
                </c:pt>
                <c:pt idx="288">
                  <c:v>36707</c:v>
                </c:pt>
                <c:pt idx="289">
                  <c:v>36677</c:v>
                </c:pt>
                <c:pt idx="290">
                  <c:v>36646</c:v>
                </c:pt>
                <c:pt idx="291">
                  <c:v>36616</c:v>
                </c:pt>
                <c:pt idx="292">
                  <c:v>36585</c:v>
                </c:pt>
                <c:pt idx="293">
                  <c:v>36556</c:v>
                </c:pt>
                <c:pt idx="294">
                  <c:v>36525</c:v>
                </c:pt>
                <c:pt idx="295">
                  <c:v>36494</c:v>
                </c:pt>
                <c:pt idx="296">
                  <c:v>36464</c:v>
                </c:pt>
                <c:pt idx="297">
                  <c:v>36433</c:v>
                </c:pt>
                <c:pt idx="298">
                  <c:v>36403</c:v>
                </c:pt>
                <c:pt idx="299">
                  <c:v>36372</c:v>
                </c:pt>
                <c:pt idx="300">
                  <c:v>36341</c:v>
                </c:pt>
                <c:pt idx="301">
                  <c:v>36311</c:v>
                </c:pt>
                <c:pt idx="302">
                  <c:v>36280</c:v>
                </c:pt>
                <c:pt idx="303">
                  <c:v>36250</c:v>
                </c:pt>
                <c:pt idx="304">
                  <c:v>36219</c:v>
                </c:pt>
                <c:pt idx="305">
                  <c:v>36191</c:v>
                </c:pt>
                <c:pt idx="306">
                  <c:v>36160</c:v>
                </c:pt>
                <c:pt idx="307">
                  <c:v>36129</c:v>
                </c:pt>
                <c:pt idx="308">
                  <c:v>36099</c:v>
                </c:pt>
                <c:pt idx="309">
                  <c:v>36068</c:v>
                </c:pt>
                <c:pt idx="310">
                  <c:v>36038</c:v>
                </c:pt>
                <c:pt idx="311">
                  <c:v>36007</c:v>
                </c:pt>
                <c:pt idx="312">
                  <c:v>35976</c:v>
                </c:pt>
                <c:pt idx="313">
                  <c:v>35946</c:v>
                </c:pt>
                <c:pt idx="314">
                  <c:v>35915</c:v>
                </c:pt>
                <c:pt idx="315">
                  <c:v>35885</c:v>
                </c:pt>
                <c:pt idx="316">
                  <c:v>35854</c:v>
                </c:pt>
                <c:pt idx="317">
                  <c:v>35826</c:v>
                </c:pt>
                <c:pt idx="318">
                  <c:v>35795</c:v>
                </c:pt>
                <c:pt idx="319">
                  <c:v>35764</c:v>
                </c:pt>
                <c:pt idx="320">
                  <c:v>35734</c:v>
                </c:pt>
                <c:pt idx="321">
                  <c:v>35703</c:v>
                </c:pt>
                <c:pt idx="322">
                  <c:v>35673</c:v>
                </c:pt>
                <c:pt idx="323">
                  <c:v>35642</c:v>
                </c:pt>
                <c:pt idx="324">
                  <c:v>35611</c:v>
                </c:pt>
                <c:pt idx="325">
                  <c:v>35581</c:v>
                </c:pt>
                <c:pt idx="326">
                  <c:v>35550</c:v>
                </c:pt>
                <c:pt idx="327">
                  <c:v>35520</c:v>
                </c:pt>
                <c:pt idx="328">
                  <c:v>35489</c:v>
                </c:pt>
                <c:pt idx="329">
                  <c:v>35461</c:v>
                </c:pt>
                <c:pt idx="330">
                  <c:v>35430</c:v>
                </c:pt>
                <c:pt idx="331">
                  <c:v>35399</c:v>
                </c:pt>
                <c:pt idx="332">
                  <c:v>35369</c:v>
                </c:pt>
                <c:pt idx="333">
                  <c:v>35338</c:v>
                </c:pt>
                <c:pt idx="334">
                  <c:v>35308</c:v>
                </c:pt>
                <c:pt idx="335">
                  <c:v>35277</c:v>
                </c:pt>
                <c:pt idx="336">
                  <c:v>35246</c:v>
                </c:pt>
                <c:pt idx="337">
                  <c:v>35216</c:v>
                </c:pt>
                <c:pt idx="338">
                  <c:v>35185</c:v>
                </c:pt>
                <c:pt idx="339">
                  <c:v>35155</c:v>
                </c:pt>
                <c:pt idx="340">
                  <c:v>35124</c:v>
                </c:pt>
                <c:pt idx="341">
                  <c:v>35095</c:v>
                </c:pt>
              </c:numCache>
            </c:numRef>
          </c:cat>
          <c:val>
            <c:numRef>
              <c:f>库存与产能周期2!$H$40:$H$381</c:f>
              <c:numCache>
                <c:formatCode>General</c:formatCode>
                <c:ptCount val="34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93-4B93-8863-688C2BAEA2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88936533"/>
        <c:axId val="496781421"/>
      </c:barChart>
      <c:lineChart>
        <c:grouping val="standard"/>
        <c:varyColors val="0"/>
        <c:ser>
          <c:idx val="0"/>
          <c:order val="0"/>
          <c:tx>
            <c:strRef>
              <c:f>库存与产能周期2!$B$3</c:f>
              <c:strCache>
                <c:ptCount val="1"/>
                <c:pt idx="0">
                  <c:v>需求PMI</c:v>
                </c:pt>
              </c:strCache>
            </c:strRef>
          </c:tx>
          <c:spPr>
            <a:ln w="15875" cap="rnd" cmpd="sng" algn="ctr">
              <a:solidFill>
                <a:srgbClr val="004477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库存与产能周期2!$A$40:$A$381</c:f>
              <c:numCache>
                <c:formatCode>yyyy\-mm</c:formatCode>
                <c:ptCount val="342"/>
                <c:pt idx="0">
                  <c:v>45473</c:v>
                </c:pt>
                <c:pt idx="1">
                  <c:v>45443</c:v>
                </c:pt>
                <c:pt idx="2">
                  <c:v>45412</c:v>
                </c:pt>
                <c:pt idx="3">
                  <c:v>45382</c:v>
                </c:pt>
                <c:pt idx="4">
                  <c:v>45351</c:v>
                </c:pt>
                <c:pt idx="5">
                  <c:v>45322</c:v>
                </c:pt>
                <c:pt idx="6">
                  <c:v>45291</c:v>
                </c:pt>
                <c:pt idx="7">
                  <c:v>45260</c:v>
                </c:pt>
                <c:pt idx="8">
                  <c:v>45230</c:v>
                </c:pt>
                <c:pt idx="9">
                  <c:v>45199</c:v>
                </c:pt>
                <c:pt idx="10">
                  <c:v>45169</c:v>
                </c:pt>
                <c:pt idx="11">
                  <c:v>45138</c:v>
                </c:pt>
                <c:pt idx="12">
                  <c:v>45107</c:v>
                </c:pt>
                <c:pt idx="13">
                  <c:v>45077</c:v>
                </c:pt>
                <c:pt idx="14">
                  <c:v>45046</c:v>
                </c:pt>
                <c:pt idx="15">
                  <c:v>45016</c:v>
                </c:pt>
                <c:pt idx="16">
                  <c:v>44985</c:v>
                </c:pt>
                <c:pt idx="17">
                  <c:v>44957</c:v>
                </c:pt>
                <c:pt idx="18">
                  <c:v>44926</c:v>
                </c:pt>
                <c:pt idx="19">
                  <c:v>44895</c:v>
                </c:pt>
                <c:pt idx="20">
                  <c:v>44865</c:v>
                </c:pt>
                <c:pt idx="21">
                  <c:v>44834</c:v>
                </c:pt>
                <c:pt idx="22">
                  <c:v>44804</c:v>
                </c:pt>
                <c:pt idx="23">
                  <c:v>44773</c:v>
                </c:pt>
                <c:pt idx="24">
                  <c:v>44742</c:v>
                </c:pt>
                <c:pt idx="25">
                  <c:v>44712</c:v>
                </c:pt>
                <c:pt idx="26">
                  <c:v>44681</c:v>
                </c:pt>
                <c:pt idx="27">
                  <c:v>44651</c:v>
                </c:pt>
                <c:pt idx="28">
                  <c:v>44620</c:v>
                </c:pt>
                <c:pt idx="29">
                  <c:v>44592</c:v>
                </c:pt>
                <c:pt idx="30">
                  <c:v>44561</c:v>
                </c:pt>
                <c:pt idx="31">
                  <c:v>44530</c:v>
                </c:pt>
                <c:pt idx="32">
                  <c:v>44500</c:v>
                </c:pt>
                <c:pt idx="33">
                  <c:v>44469</c:v>
                </c:pt>
                <c:pt idx="34">
                  <c:v>44439</c:v>
                </c:pt>
                <c:pt idx="35">
                  <c:v>44408</c:v>
                </c:pt>
                <c:pt idx="36">
                  <c:v>44377</c:v>
                </c:pt>
                <c:pt idx="37">
                  <c:v>44347</c:v>
                </c:pt>
                <c:pt idx="38">
                  <c:v>44316</c:v>
                </c:pt>
                <c:pt idx="39">
                  <c:v>44286</c:v>
                </c:pt>
                <c:pt idx="40">
                  <c:v>44255</c:v>
                </c:pt>
                <c:pt idx="41">
                  <c:v>44227</c:v>
                </c:pt>
                <c:pt idx="42">
                  <c:v>44196</c:v>
                </c:pt>
                <c:pt idx="43">
                  <c:v>44165</c:v>
                </c:pt>
                <c:pt idx="44">
                  <c:v>44135</c:v>
                </c:pt>
                <c:pt idx="45">
                  <c:v>44104</c:v>
                </c:pt>
                <c:pt idx="46">
                  <c:v>44074</c:v>
                </c:pt>
                <c:pt idx="47">
                  <c:v>44043</c:v>
                </c:pt>
                <c:pt idx="48">
                  <c:v>44012</c:v>
                </c:pt>
                <c:pt idx="49">
                  <c:v>43982</c:v>
                </c:pt>
                <c:pt idx="50">
                  <c:v>43951</c:v>
                </c:pt>
                <c:pt idx="51">
                  <c:v>43921</c:v>
                </c:pt>
                <c:pt idx="52">
                  <c:v>43890</c:v>
                </c:pt>
                <c:pt idx="53">
                  <c:v>43861</c:v>
                </c:pt>
                <c:pt idx="54">
                  <c:v>43830</c:v>
                </c:pt>
                <c:pt idx="55">
                  <c:v>43799</c:v>
                </c:pt>
                <c:pt idx="56">
                  <c:v>43769</c:v>
                </c:pt>
                <c:pt idx="57">
                  <c:v>43738</c:v>
                </c:pt>
                <c:pt idx="58">
                  <c:v>43708</c:v>
                </c:pt>
                <c:pt idx="59">
                  <c:v>43677</c:v>
                </c:pt>
                <c:pt idx="60">
                  <c:v>43646</c:v>
                </c:pt>
                <c:pt idx="61">
                  <c:v>43616</c:v>
                </c:pt>
                <c:pt idx="62">
                  <c:v>43585</c:v>
                </c:pt>
                <c:pt idx="63">
                  <c:v>43555</c:v>
                </c:pt>
                <c:pt idx="64">
                  <c:v>43524</c:v>
                </c:pt>
                <c:pt idx="65">
                  <c:v>43496</c:v>
                </c:pt>
                <c:pt idx="66">
                  <c:v>43465</c:v>
                </c:pt>
                <c:pt idx="67">
                  <c:v>43434</c:v>
                </c:pt>
                <c:pt idx="68">
                  <c:v>43404</c:v>
                </c:pt>
                <c:pt idx="69">
                  <c:v>43373</c:v>
                </c:pt>
                <c:pt idx="70">
                  <c:v>43343</c:v>
                </c:pt>
                <c:pt idx="71">
                  <c:v>43312</c:v>
                </c:pt>
                <c:pt idx="72">
                  <c:v>43281</c:v>
                </c:pt>
                <c:pt idx="73">
                  <c:v>43251</c:v>
                </c:pt>
                <c:pt idx="74">
                  <c:v>43220</c:v>
                </c:pt>
                <c:pt idx="75">
                  <c:v>43190</c:v>
                </c:pt>
                <c:pt idx="76">
                  <c:v>43159</c:v>
                </c:pt>
                <c:pt idx="77">
                  <c:v>43131</c:v>
                </c:pt>
                <c:pt idx="78">
                  <c:v>43100</c:v>
                </c:pt>
                <c:pt idx="79">
                  <c:v>43069</c:v>
                </c:pt>
                <c:pt idx="80">
                  <c:v>43039</c:v>
                </c:pt>
                <c:pt idx="81">
                  <c:v>43008</c:v>
                </c:pt>
                <c:pt idx="82">
                  <c:v>42978</c:v>
                </c:pt>
                <c:pt idx="83">
                  <c:v>42947</c:v>
                </c:pt>
                <c:pt idx="84">
                  <c:v>42916</c:v>
                </c:pt>
                <c:pt idx="85">
                  <c:v>42886</c:v>
                </c:pt>
                <c:pt idx="86">
                  <c:v>42855</c:v>
                </c:pt>
                <c:pt idx="87">
                  <c:v>42825</c:v>
                </c:pt>
                <c:pt idx="88">
                  <c:v>42794</c:v>
                </c:pt>
                <c:pt idx="89">
                  <c:v>42766</c:v>
                </c:pt>
                <c:pt idx="90">
                  <c:v>42735</c:v>
                </c:pt>
                <c:pt idx="91">
                  <c:v>42704</c:v>
                </c:pt>
                <c:pt idx="92">
                  <c:v>42674</c:v>
                </c:pt>
                <c:pt idx="93">
                  <c:v>42643</c:v>
                </c:pt>
                <c:pt idx="94">
                  <c:v>42613</c:v>
                </c:pt>
                <c:pt idx="95">
                  <c:v>42582</c:v>
                </c:pt>
                <c:pt idx="96">
                  <c:v>42551</c:v>
                </c:pt>
                <c:pt idx="97">
                  <c:v>42521</c:v>
                </c:pt>
                <c:pt idx="98">
                  <c:v>42490</c:v>
                </c:pt>
                <c:pt idx="99">
                  <c:v>42460</c:v>
                </c:pt>
                <c:pt idx="100">
                  <c:v>42429</c:v>
                </c:pt>
                <c:pt idx="101">
                  <c:v>42400</c:v>
                </c:pt>
                <c:pt idx="102">
                  <c:v>42369</c:v>
                </c:pt>
                <c:pt idx="103">
                  <c:v>42338</c:v>
                </c:pt>
                <c:pt idx="104">
                  <c:v>42308</c:v>
                </c:pt>
                <c:pt idx="105">
                  <c:v>42277</c:v>
                </c:pt>
                <c:pt idx="106">
                  <c:v>42247</c:v>
                </c:pt>
                <c:pt idx="107">
                  <c:v>42216</c:v>
                </c:pt>
                <c:pt idx="108">
                  <c:v>42185</c:v>
                </c:pt>
                <c:pt idx="109">
                  <c:v>42155</c:v>
                </c:pt>
                <c:pt idx="110">
                  <c:v>42124</c:v>
                </c:pt>
                <c:pt idx="111">
                  <c:v>42094</c:v>
                </c:pt>
                <c:pt idx="112">
                  <c:v>42063</c:v>
                </c:pt>
                <c:pt idx="113">
                  <c:v>42035</c:v>
                </c:pt>
                <c:pt idx="114">
                  <c:v>42004</c:v>
                </c:pt>
                <c:pt idx="115">
                  <c:v>41973</c:v>
                </c:pt>
                <c:pt idx="116">
                  <c:v>41943</c:v>
                </c:pt>
                <c:pt idx="117">
                  <c:v>41912</c:v>
                </c:pt>
                <c:pt idx="118">
                  <c:v>41882</c:v>
                </c:pt>
                <c:pt idx="119">
                  <c:v>41851</c:v>
                </c:pt>
                <c:pt idx="120">
                  <c:v>41820</c:v>
                </c:pt>
                <c:pt idx="121">
                  <c:v>41790</c:v>
                </c:pt>
                <c:pt idx="122">
                  <c:v>41759</c:v>
                </c:pt>
                <c:pt idx="123">
                  <c:v>41729</c:v>
                </c:pt>
                <c:pt idx="124">
                  <c:v>41698</c:v>
                </c:pt>
                <c:pt idx="125">
                  <c:v>41670</c:v>
                </c:pt>
                <c:pt idx="126">
                  <c:v>41639</c:v>
                </c:pt>
                <c:pt idx="127">
                  <c:v>41608</c:v>
                </c:pt>
                <c:pt idx="128">
                  <c:v>41578</c:v>
                </c:pt>
                <c:pt idx="129">
                  <c:v>41547</c:v>
                </c:pt>
                <c:pt idx="130">
                  <c:v>41517</c:v>
                </c:pt>
                <c:pt idx="131">
                  <c:v>41486</c:v>
                </c:pt>
                <c:pt idx="132">
                  <c:v>41455</c:v>
                </c:pt>
                <c:pt idx="133">
                  <c:v>41425</c:v>
                </c:pt>
                <c:pt idx="134">
                  <c:v>41394</c:v>
                </c:pt>
                <c:pt idx="135">
                  <c:v>41364</c:v>
                </c:pt>
                <c:pt idx="136">
                  <c:v>41333</c:v>
                </c:pt>
                <c:pt idx="137">
                  <c:v>41305</c:v>
                </c:pt>
                <c:pt idx="138">
                  <c:v>41274</c:v>
                </c:pt>
                <c:pt idx="139">
                  <c:v>41243</c:v>
                </c:pt>
                <c:pt idx="140">
                  <c:v>41213</c:v>
                </c:pt>
                <c:pt idx="141">
                  <c:v>41182</c:v>
                </c:pt>
                <c:pt idx="142">
                  <c:v>41152</c:v>
                </c:pt>
                <c:pt idx="143">
                  <c:v>41121</c:v>
                </c:pt>
                <c:pt idx="144">
                  <c:v>41090</c:v>
                </c:pt>
                <c:pt idx="145">
                  <c:v>41060</c:v>
                </c:pt>
                <c:pt idx="146">
                  <c:v>41029</c:v>
                </c:pt>
                <c:pt idx="147">
                  <c:v>40999</c:v>
                </c:pt>
                <c:pt idx="148">
                  <c:v>40968</c:v>
                </c:pt>
                <c:pt idx="149">
                  <c:v>40939</c:v>
                </c:pt>
                <c:pt idx="150">
                  <c:v>40908</c:v>
                </c:pt>
                <c:pt idx="151">
                  <c:v>40877</c:v>
                </c:pt>
                <c:pt idx="152">
                  <c:v>40847</c:v>
                </c:pt>
                <c:pt idx="153">
                  <c:v>40816</c:v>
                </c:pt>
                <c:pt idx="154">
                  <c:v>40786</c:v>
                </c:pt>
                <c:pt idx="155">
                  <c:v>40755</c:v>
                </c:pt>
                <c:pt idx="156">
                  <c:v>40724</c:v>
                </c:pt>
                <c:pt idx="157">
                  <c:v>40694</c:v>
                </c:pt>
                <c:pt idx="158">
                  <c:v>40663</c:v>
                </c:pt>
                <c:pt idx="159">
                  <c:v>40633</c:v>
                </c:pt>
                <c:pt idx="160">
                  <c:v>40602</c:v>
                </c:pt>
                <c:pt idx="161">
                  <c:v>40574</c:v>
                </c:pt>
                <c:pt idx="162">
                  <c:v>40543</c:v>
                </c:pt>
                <c:pt idx="163">
                  <c:v>40512</c:v>
                </c:pt>
                <c:pt idx="164">
                  <c:v>40482</c:v>
                </c:pt>
                <c:pt idx="165">
                  <c:v>40451</c:v>
                </c:pt>
                <c:pt idx="166">
                  <c:v>40421</c:v>
                </c:pt>
                <c:pt idx="167">
                  <c:v>40390</c:v>
                </c:pt>
                <c:pt idx="168">
                  <c:v>40359</c:v>
                </c:pt>
                <c:pt idx="169">
                  <c:v>40329</c:v>
                </c:pt>
                <c:pt idx="170">
                  <c:v>40298</c:v>
                </c:pt>
                <c:pt idx="171">
                  <c:v>40268</c:v>
                </c:pt>
                <c:pt idx="172">
                  <c:v>40237</c:v>
                </c:pt>
                <c:pt idx="173">
                  <c:v>40209</c:v>
                </c:pt>
                <c:pt idx="174">
                  <c:v>40178</c:v>
                </c:pt>
                <c:pt idx="175">
                  <c:v>40147</c:v>
                </c:pt>
                <c:pt idx="176">
                  <c:v>40117</c:v>
                </c:pt>
                <c:pt idx="177">
                  <c:v>40086</c:v>
                </c:pt>
                <c:pt idx="178">
                  <c:v>40056</c:v>
                </c:pt>
                <c:pt idx="179">
                  <c:v>40025</c:v>
                </c:pt>
                <c:pt idx="180">
                  <c:v>39994</c:v>
                </c:pt>
                <c:pt idx="181">
                  <c:v>39964</c:v>
                </c:pt>
                <c:pt idx="182">
                  <c:v>39933</c:v>
                </c:pt>
                <c:pt idx="183">
                  <c:v>39903</c:v>
                </c:pt>
                <c:pt idx="184">
                  <c:v>39872</c:v>
                </c:pt>
                <c:pt idx="185">
                  <c:v>39844</c:v>
                </c:pt>
                <c:pt idx="186">
                  <c:v>39813</c:v>
                </c:pt>
                <c:pt idx="187">
                  <c:v>39782</c:v>
                </c:pt>
                <c:pt idx="188">
                  <c:v>39752</c:v>
                </c:pt>
                <c:pt idx="189">
                  <c:v>39721</c:v>
                </c:pt>
                <c:pt idx="190">
                  <c:v>39691</c:v>
                </c:pt>
                <c:pt idx="191">
                  <c:v>39660</c:v>
                </c:pt>
                <c:pt idx="192">
                  <c:v>39629</c:v>
                </c:pt>
                <c:pt idx="193">
                  <c:v>39599</c:v>
                </c:pt>
                <c:pt idx="194">
                  <c:v>39568</c:v>
                </c:pt>
                <c:pt idx="195">
                  <c:v>39538</c:v>
                </c:pt>
                <c:pt idx="196">
                  <c:v>39507</c:v>
                </c:pt>
                <c:pt idx="197">
                  <c:v>39478</c:v>
                </c:pt>
                <c:pt idx="198">
                  <c:v>39447</c:v>
                </c:pt>
                <c:pt idx="199">
                  <c:v>39416</c:v>
                </c:pt>
                <c:pt idx="200">
                  <c:v>39386</c:v>
                </c:pt>
                <c:pt idx="201">
                  <c:v>39355</c:v>
                </c:pt>
                <c:pt idx="202">
                  <c:v>39325</c:v>
                </c:pt>
                <c:pt idx="203">
                  <c:v>39294</c:v>
                </c:pt>
                <c:pt idx="204">
                  <c:v>39263</c:v>
                </c:pt>
                <c:pt idx="205">
                  <c:v>39233</c:v>
                </c:pt>
                <c:pt idx="206">
                  <c:v>39202</c:v>
                </c:pt>
                <c:pt idx="207">
                  <c:v>39172</c:v>
                </c:pt>
                <c:pt idx="208">
                  <c:v>39141</c:v>
                </c:pt>
                <c:pt idx="209">
                  <c:v>39113</c:v>
                </c:pt>
                <c:pt idx="210">
                  <c:v>39082</c:v>
                </c:pt>
                <c:pt idx="211">
                  <c:v>39051</c:v>
                </c:pt>
                <c:pt idx="212">
                  <c:v>39021</c:v>
                </c:pt>
                <c:pt idx="213">
                  <c:v>38990</c:v>
                </c:pt>
                <c:pt idx="214">
                  <c:v>38960</c:v>
                </c:pt>
                <c:pt idx="215">
                  <c:v>38929</c:v>
                </c:pt>
                <c:pt idx="216">
                  <c:v>38898</c:v>
                </c:pt>
                <c:pt idx="217">
                  <c:v>38868</c:v>
                </c:pt>
                <c:pt idx="218">
                  <c:v>38837</c:v>
                </c:pt>
                <c:pt idx="219">
                  <c:v>38807</c:v>
                </c:pt>
                <c:pt idx="220">
                  <c:v>38776</c:v>
                </c:pt>
                <c:pt idx="221">
                  <c:v>38748</c:v>
                </c:pt>
                <c:pt idx="222">
                  <c:v>38717</c:v>
                </c:pt>
                <c:pt idx="223">
                  <c:v>38686</c:v>
                </c:pt>
                <c:pt idx="224">
                  <c:v>38656</c:v>
                </c:pt>
                <c:pt idx="225">
                  <c:v>38625</c:v>
                </c:pt>
                <c:pt idx="226">
                  <c:v>38595</c:v>
                </c:pt>
                <c:pt idx="227">
                  <c:v>38564</c:v>
                </c:pt>
                <c:pt idx="228">
                  <c:v>38533</c:v>
                </c:pt>
                <c:pt idx="229">
                  <c:v>38503</c:v>
                </c:pt>
                <c:pt idx="230">
                  <c:v>38472</c:v>
                </c:pt>
                <c:pt idx="231">
                  <c:v>38442</c:v>
                </c:pt>
                <c:pt idx="232">
                  <c:v>38411</c:v>
                </c:pt>
                <c:pt idx="233">
                  <c:v>38383</c:v>
                </c:pt>
                <c:pt idx="234">
                  <c:v>38352</c:v>
                </c:pt>
                <c:pt idx="235">
                  <c:v>38321</c:v>
                </c:pt>
                <c:pt idx="236">
                  <c:v>38291</c:v>
                </c:pt>
                <c:pt idx="237">
                  <c:v>38260</c:v>
                </c:pt>
                <c:pt idx="238">
                  <c:v>38230</c:v>
                </c:pt>
                <c:pt idx="239">
                  <c:v>38199</c:v>
                </c:pt>
                <c:pt idx="240">
                  <c:v>38168</c:v>
                </c:pt>
                <c:pt idx="241">
                  <c:v>38138</c:v>
                </c:pt>
                <c:pt idx="242">
                  <c:v>38107</c:v>
                </c:pt>
                <c:pt idx="243">
                  <c:v>38077</c:v>
                </c:pt>
                <c:pt idx="244">
                  <c:v>38046</c:v>
                </c:pt>
                <c:pt idx="245">
                  <c:v>38017</c:v>
                </c:pt>
                <c:pt idx="246">
                  <c:v>37986</c:v>
                </c:pt>
                <c:pt idx="247">
                  <c:v>37955</c:v>
                </c:pt>
                <c:pt idx="248">
                  <c:v>37925</c:v>
                </c:pt>
                <c:pt idx="249">
                  <c:v>37894</c:v>
                </c:pt>
                <c:pt idx="250">
                  <c:v>37864</c:v>
                </c:pt>
                <c:pt idx="251">
                  <c:v>37833</c:v>
                </c:pt>
                <c:pt idx="252">
                  <c:v>37802</c:v>
                </c:pt>
                <c:pt idx="253">
                  <c:v>37772</c:v>
                </c:pt>
                <c:pt idx="254">
                  <c:v>37741</c:v>
                </c:pt>
                <c:pt idx="255">
                  <c:v>37711</c:v>
                </c:pt>
                <c:pt idx="256">
                  <c:v>37680</c:v>
                </c:pt>
                <c:pt idx="257">
                  <c:v>37652</c:v>
                </c:pt>
                <c:pt idx="258">
                  <c:v>37621</c:v>
                </c:pt>
                <c:pt idx="259">
                  <c:v>37590</c:v>
                </c:pt>
                <c:pt idx="260">
                  <c:v>37560</c:v>
                </c:pt>
                <c:pt idx="261">
                  <c:v>37529</c:v>
                </c:pt>
                <c:pt idx="262">
                  <c:v>37499</c:v>
                </c:pt>
                <c:pt idx="263">
                  <c:v>37468</c:v>
                </c:pt>
                <c:pt idx="264">
                  <c:v>37437</c:v>
                </c:pt>
                <c:pt idx="265">
                  <c:v>37407</c:v>
                </c:pt>
                <c:pt idx="266">
                  <c:v>37376</c:v>
                </c:pt>
                <c:pt idx="267">
                  <c:v>37346</c:v>
                </c:pt>
                <c:pt idx="268">
                  <c:v>37315</c:v>
                </c:pt>
                <c:pt idx="269">
                  <c:v>37287</c:v>
                </c:pt>
                <c:pt idx="270">
                  <c:v>37256</c:v>
                </c:pt>
                <c:pt idx="271">
                  <c:v>37225</c:v>
                </c:pt>
                <c:pt idx="272">
                  <c:v>37195</c:v>
                </c:pt>
                <c:pt idx="273">
                  <c:v>37164</c:v>
                </c:pt>
                <c:pt idx="274">
                  <c:v>37134</c:v>
                </c:pt>
                <c:pt idx="275">
                  <c:v>37103</c:v>
                </c:pt>
                <c:pt idx="276">
                  <c:v>37072</c:v>
                </c:pt>
                <c:pt idx="277">
                  <c:v>37042</c:v>
                </c:pt>
                <c:pt idx="278">
                  <c:v>37011</c:v>
                </c:pt>
                <c:pt idx="279">
                  <c:v>36981</c:v>
                </c:pt>
                <c:pt idx="280">
                  <c:v>36950</c:v>
                </c:pt>
                <c:pt idx="281">
                  <c:v>36922</c:v>
                </c:pt>
                <c:pt idx="282">
                  <c:v>36891</c:v>
                </c:pt>
                <c:pt idx="283">
                  <c:v>36860</c:v>
                </c:pt>
                <c:pt idx="284">
                  <c:v>36830</c:v>
                </c:pt>
                <c:pt idx="285">
                  <c:v>36799</c:v>
                </c:pt>
                <c:pt idx="286">
                  <c:v>36769</c:v>
                </c:pt>
                <c:pt idx="287">
                  <c:v>36738</c:v>
                </c:pt>
                <c:pt idx="288">
                  <c:v>36707</c:v>
                </c:pt>
                <c:pt idx="289">
                  <c:v>36677</c:v>
                </c:pt>
                <c:pt idx="290">
                  <c:v>36646</c:v>
                </c:pt>
                <c:pt idx="291">
                  <c:v>36616</c:v>
                </c:pt>
                <c:pt idx="292">
                  <c:v>36585</c:v>
                </c:pt>
                <c:pt idx="293">
                  <c:v>36556</c:v>
                </c:pt>
                <c:pt idx="294">
                  <c:v>36525</c:v>
                </c:pt>
                <c:pt idx="295">
                  <c:v>36494</c:v>
                </c:pt>
                <c:pt idx="296">
                  <c:v>36464</c:v>
                </c:pt>
                <c:pt idx="297">
                  <c:v>36433</c:v>
                </c:pt>
                <c:pt idx="298">
                  <c:v>36403</c:v>
                </c:pt>
                <c:pt idx="299">
                  <c:v>36372</c:v>
                </c:pt>
                <c:pt idx="300">
                  <c:v>36341</c:v>
                </c:pt>
                <c:pt idx="301">
                  <c:v>36311</c:v>
                </c:pt>
                <c:pt idx="302">
                  <c:v>36280</c:v>
                </c:pt>
                <c:pt idx="303">
                  <c:v>36250</c:v>
                </c:pt>
                <c:pt idx="304">
                  <c:v>36219</c:v>
                </c:pt>
                <c:pt idx="305">
                  <c:v>36191</c:v>
                </c:pt>
                <c:pt idx="306">
                  <c:v>36160</c:v>
                </c:pt>
                <c:pt idx="307">
                  <c:v>36129</c:v>
                </c:pt>
                <c:pt idx="308">
                  <c:v>36099</c:v>
                </c:pt>
                <c:pt idx="309">
                  <c:v>36068</c:v>
                </c:pt>
                <c:pt idx="310">
                  <c:v>36038</c:v>
                </c:pt>
                <c:pt idx="311">
                  <c:v>36007</c:v>
                </c:pt>
                <c:pt idx="312">
                  <c:v>35976</c:v>
                </c:pt>
                <c:pt idx="313">
                  <c:v>35946</c:v>
                </c:pt>
                <c:pt idx="314">
                  <c:v>35915</c:v>
                </c:pt>
                <c:pt idx="315">
                  <c:v>35885</c:v>
                </c:pt>
                <c:pt idx="316">
                  <c:v>35854</c:v>
                </c:pt>
                <c:pt idx="317">
                  <c:v>35826</c:v>
                </c:pt>
                <c:pt idx="318">
                  <c:v>35795</c:v>
                </c:pt>
                <c:pt idx="319">
                  <c:v>35764</c:v>
                </c:pt>
                <c:pt idx="320">
                  <c:v>35734</c:v>
                </c:pt>
                <c:pt idx="321">
                  <c:v>35703</c:v>
                </c:pt>
                <c:pt idx="322">
                  <c:v>35673</c:v>
                </c:pt>
                <c:pt idx="323">
                  <c:v>35642</c:v>
                </c:pt>
                <c:pt idx="324">
                  <c:v>35611</c:v>
                </c:pt>
                <c:pt idx="325">
                  <c:v>35581</c:v>
                </c:pt>
                <c:pt idx="326">
                  <c:v>35550</c:v>
                </c:pt>
                <c:pt idx="327">
                  <c:v>35520</c:v>
                </c:pt>
                <c:pt idx="328">
                  <c:v>35489</c:v>
                </c:pt>
                <c:pt idx="329">
                  <c:v>35461</c:v>
                </c:pt>
                <c:pt idx="330">
                  <c:v>35430</c:v>
                </c:pt>
                <c:pt idx="331">
                  <c:v>35399</c:v>
                </c:pt>
                <c:pt idx="332">
                  <c:v>35369</c:v>
                </c:pt>
                <c:pt idx="333">
                  <c:v>35338</c:v>
                </c:pt>
                <c:pt idx="334">
                  <c:v>35308</c:v>
                </c:pt>
                <c:pt idx="335">
                  <c:v>35277</c:v>
                </c:pt>
                <c:pt idx="336">
                  <c:v>35246</c:v>
                </c:pt>
                <c:pt idx="337">
                  <c:v>35216</c:v>
                </c:pt>
                <c:pt idx="338">
                  <c:v>35185</c:v>
                </c:pt>
                <c:pt idx="339">
                  <c:v>35155</c:v>
                </c:pt>
                <c:pt idx="340">
                  <c:v>35124</c:v>
                </c:pt>
                <c:pt idx="341">
                  <c:v>35095</c:v>
                </c:pt>
              </c:numCache>
            </c:numRef>
          </c:cat>
          <c:val>
            <c:numRef>
              <c:f>库存与产能周期2!$B$40:$B$381</c:f>
              <c:numCache>
                <c:formatCode>0.00</c:formatCode>
                <c:ptCount val="342"/>
                <c:pt idx="0">
                  <c:v>49.5</c:v>
                </c:pt>
                <c:pt idx="1">
                  <c:v>49.5</c:v>
                </c:pt>
                <c:pt idx="2">
                  <c:v>50.4</c:v>
                </c:pt>
                <c:pt idx="3">
                  <c:v>50.8</c:v>
                </c:pt>
                <c:pt idx="4">
                  <c:v>49.1</c:v>
                </c:pt>
                <c:pt idx="5">
                  <c:v>49.2</c:v>
                </c:pt>
                <c:pt idx="6">
                  <c:v>49</c:v>
                </c:pt>
                <c:pt idx="7">
                  <c:v>49.4</c:v>
                </c:pt>
                <c:pt idx="8">
                  <c:v>49.5</c:v>
                </c:pt>
                <c:pt idx="9">
                  <c:v>50.2</c:v>
                </c:pt>
                <c:pt idx="10">
                  <c:v>49.7</c:v>
                </c:pt>
                <c:pt idx="11">
                  <c:v>49.3</c:v>
                </c:pt>
                <c:pt idx="12">
                  <c:v>49</c:v>
                </c:pt>
                <c:pt idx="13">
                  <c:v>48.8</c:v>
                </c:pt>
                <c:pt idx="14">
                  <c:v>49.2</c:v>
                </c:pt>
                <c:pt idx="15">
                  <c:v>51.9</c:v>
                </c:pt>
                <c:pt idx="16">
                  <c:v>52.6</c:v>
                </c:pt>
                <c:pt idx="17">
                  <c:v>50.1</c:v>
                </c:pt>
                <c:pt idx="18">
                  <c:v>47</c:v>
                </c:pt>
                <c:pt idx="19">
                  <c:v>48</c:v>
                </c:pt>
                <c:pt idx="20">
                  <c:v>49.2</c:v>
                </c:pt>
                <c:pt idx="21">
                  <c:v>50.1</c:v>
                </c:pt>
                <c:pt idx="22">
                  <c:v>49.4</c:v>
                </c:pt>
                <c:pt idx="23">
                  <c:v>49</c:v>
                </c:pt>
                <c:pt idx="24">
                  <c:v>50.2</c:v>
                </c:pt>
                <c:pt idx="25">
                  <c:v>49.6</c:v>
                </c:pt>
                <c:pt idx="26">
                  <c:v>47.4</c:v>
                </c:pt>
                <c:pt idx="27">
                  <c:v>49.5</c:v>
                </c:pt>
                <c:pt idx="28">
                  <c:v>50.2</c:v>
                </c:pt>
                <c:pt idx="29">
                  <c:v>50.1</c:v>
                </c:pt>
                <c:pt idx="30">
                  <c:v>50.3</c:v>
                </c:pt>
                <c:pt idx="31">
                  <c:v>50.1</c:v>
                </c:pt>
                <c:pt idx="32">
                  <c:v>49.2</c:v>
                </c:pt>
                <c:pt idx="33">
                  <c:v>49.6</c:v>
                </c:pt>
                <c:pt idx="34">
                  <c:v>50.1</c:v>
                </c:pt>
                <c:pt idx="35">
                  <c:v>50.4</c:v>
                </c:pt>
                <c:pt idx="36">
                  <c:v>50.9</c:v>
                </c:pt>
                <c:pt idx="37">
                  <c:v>51</c:v>
                </c:pt>
                <c:pt idx="38">
                  <c:v>51.1</c:v>
                </c:pt>
                <c:pt idx="39">
                  <c:v>51.9</c:v>
                </c:pt>
                <c:pt idx="40">
                  <c:v>50.6</c:v>
                </c:pt>
                <c:pt idx="41">
                  <c:v>51.3</c:v>
                </c:pt>
                <c:pt idx="42">
                  <c:v>51.9</c:v>
                </c:pt>
                <c:pt idx="43">
                  <c:v>52.1</c:v>
                </c:pt>
                <c:pt idx="44">
                  <c:v>51.4</c:v>
                </c:pt>
                <c:pt idx="45">
                  <c:v>51.5</c:v>
                </c:pt>
                <c:pt idx="46">
                  <c:v>51</c:v>
                </c:pt>
                <c:pt idx="47">
                  <c:v>51.1</c:v>
                </c:pt>
                <c:pt idx="48">
                  <c:v>50.9</c:v>
                </c:pt>
                <c:pt idx="49">
                  <c:v>50.6</c:v>
                </c:pt>
                <c:pt idx="50">
                  <c:v>50.8</c:v>
                </c:pt>
                <c:pt idx="51">
                  <c:v>52</c:v>
                </c:pt>
                <c:pt idx="52">
                  <c:v>35.700000000000003</c:v>
                </c:pt>
                <c:pt idx="53">
                  <c:v>50</c:v>
                </c:pt>
                <c:pt idx="54">
                  <c:v>50.2</c:v>
                </c:pt>
                <c:pt idx="55">
                  <c:v>50.2</c:v>
                </c:pt>
                <c:pt idx="56">
                  <c:v>49.3</c:v>
                </c:pt>
                <c:pt idx="57">
                  <c:v>49.8</c:v>
                </c:pt>
                <c:pt idx="58">
                  <c:v>49.5</c:v>
                </c:pt>
                <c:pt idx="59">
                  <c:v>49.7</c:v>
                </c:pt>
                <c:pt idx="60">
                  <c:v>49.4</c:v>
                </c:pt>
                <c:pt idx="61">
                  <c:v>49.4</c:v>
                </c:pt>
                <c:pt idx="62">
                  <c:v>50.1</c:v>
                </c:pt>
                <c:pt idx="63">
                  <c:v>50.5</c:v>
                </c:pt>
                <c:pt idx="64">
                  <c:v>49.2</c:v>
                </c:pt>
                <c:pt idx="65">
                  <c:v>49.5</c:v>
                </c:pt>
                <c:pt idx="66">
                  <c:v>49.4</c:v>
                </c:pt>
                <c:pt idx="67">
                  <c:v>50</c:v>
                </c:pt>
                <c:pt idx="68">
                  <c:v>50.2</c:v>
                </c:pt>
                <c:pt idx="69">
                  <c:v>50.8</c:v>
                </c:pt>
                <c:pt idx="70">
                  <c:v>51.3</c:v>
                </c:pt>
                <c:pt idx="71">
                  <c:v>51.2</c:v>
                </c:pt>
                <c:pt idx="72">
                  <c:v>51.5</c:v>
                </c:pt>
                <c:pt idx="73">
                  <c:v>51.9</c:v>
                </c:pt>
                <c:pt idx="74">
                  <c:v>51.4</c:v>
                </c:pt>
                <c:pt idx="75">
                  <c:v>51.5</c:v>
                </c:pt>
                <c:pt idx="76">
                  <c:v>50.3</c:v>
                </c:pt>
                <c:pt idx="77">
                  <c:v>51.3</c:v>
                </c:pt>
                <c:pt idx="78">
                  <c:v>51.6</c:v>
                </c:pt>
                <c:pt idx="79">
                  <c:v>51.8</c:v>
                </c:pt>
                <c:pt idx="80">
                  <c:v>51.6</c:v>
                </c:pt>
                <c:pt idx="81">
                  <c:v>52.4</c:v>
                </c:pt>
                <c:pt idx="82">
                  <c:v>51.7</c:v>
                </c:pt>
                <c:pt idx="83">
                  <c:v>51.4</c:v>
                </c:pt>
                <c:pt idx="84">
                  <c:v>51.7</c:v>
                </c:pt>
                <c:pt idx="85">
                  <c:v>51.2</c:v>
                </c:pt>
                <c:pt idx="86">
                  <c:v>51.2</c:v>
                </c:pt>
                <c:pt idx="87">
                  <c:v>51.8</c:v>
                </c:pt>
                <c:pt idx="88">
                  <c:v>51.6</c:v>
                </c:pt>
                <c:pt idx="89">
                  <c:v>51.3</c:v>
                </c:pt>
                <c:pt idx="90">
                  <c:v>51.4</c:v>
                </c:pt>
                <c:pt idx="91">
                  <c:v>51.7</c:v>
                </c:pt>
                <c:pt idx="92">
                  <c:v>51.2</c:v>
                </c:pt>
                <c:pt idx="93">
                  <c:v>50.4</c:v>
                </c:pt>
                <c:pt idx="94">
                  <c:v>50.4</c:v>
                </c:pt>
                <c:pt idx="95">
                  <c:v>49.9</c:v>
                </c:pt>
                <c:pt idx="96">
                  <c:v>50</c:v>
                </c:pt>
                <c:pt idx="97">
                  <c:v>50.1</c:v>
                </c:pt>
                <c:pt idx="98">
                  <c:v>50.1</c:v>
                </c:pt>
                <c:pt idx="99">
                  <c:v>50.2</c:v>
                </c:pt>
                <c:pt idx="100">
                  <c:v>49</c:v>
                </c:pt>
                <c:pt idx="101">
                  <c:v>49.4</c:v>
                </c:pt>
                <c:pt idx="102">
                  <c:v>49.7</c:v>
                </c:pt>
                <c:pt idx="103">
                  <c:v>49.6</c:v>
                </c:pt>
                <c:pt idx="104">
                  <c:v>49.8</c:v>
                </c:pt>
                <c:pt idx="105">
                  <c:v>49.8</c:v>
                </c:pt>
                <c:pt idx="106">
                  <c:v>49.7</c:v>
                </c:pt>
                <c:pt idx="107">
                  <c:v>50</c:v>
                </c:pt>
                <c:pt idx="108">
                  <c:v>50.2</c:v>
                </c:pt>
                <c:pt idx="109">
                  <c:v>50.2</c:v>
                </c:pt>
                <c:pt idx="110">
                  <c:v>50.1</c:v>
                </c:pt>
                <c:pt idx="111">
                  <c:v>50.1</c:v>
                </c:pt>
                <c:pt idx="112">
                  <c:v>49.9</c:v>
                </c:pt>
                <c:pt idx="113">
                  <c:v>49.8</c:v>
                </c:pt>
                <c:pt idx="114">
                  <c:v>50.1</c:v>
                </c:pt>
                <c:pt idx="115">
                  <c:v>50.3</c:v>
                </c:pt>
                <c:pt idx="116">
                  <c:v>50.8</c:v>
                </c:pt>
                <c:pt idx="117">
                  <c:v>51.1</c:v>
                </c:pt>
                <c:pt idx="118">
                  <c:v>51.1</c:v>
                </c:pt>
                <c:pt idx="119">
                  <c:v>51.7</c:v>
                </c:pt>
                <c:pt idx="120">
                  <c:v>51</c:v>
                </c:pt>
                <c:pt idx="121">
                  <c:v>50.8</c:v>
                </c:pt>
                <c:pt idx="122">
                  <c:v>50.4</c:v>
                </c:pt>
                <c:pt idx="123">
                  <c:v>50.3</c:v>
                </c:pt>
                <c:pt idx="124">
                  <c:v>50.2</c:v>
                </c:pt>
                <c:pt idx="125">
                  <c:v>50.5</c:v>
                </c:pt>
                <c:pt idx="126">
                  <c:v>51</c:v>
                </c:pt>
                <c:pt idx="127">
                  <c:v>51.4</c:v>
                </c:pt>
                <c:pt idx="128">
                  <c:v>51.4</c:v>
                </c:pt>
                <c:pt idx="129">
                  <c:v>51.1</c:v>
                </c:pt>
                <c:pt idx="130">
                  <c:v>51</c:v>
                </c:pt>
                <c:pt idx="131">
                  <c:v>50.3</c:v>
                </c:pt>
                <c:pt idx="132">
                  <c:v>50.1</c:v>
                </c:pt>
                <c:pt idx="133">
                  <c:v>50.8</c:v>
                </c:pt>
                <c:pt idx="134">
                  <c:v>50.6</c:v>
                </c:pt>
                <c:pt idx="135">
                  <c:v>50.9</c:v>
                </c:pt>
                <c:pt idx="136">
                  <c:v>50.1</c:v>
                </c:pt>
                <c:pt idx="137">
                  <c:v>50.4</c:v>
                </c:pt>
                <c:pt idx="138">
                  <c:v>50.6</c:v>
                </c:pt>
                <c:pt idx="139">
                  <c:v>50.6</c:v>
                </c:pt>
                <c:pt idx="140">
                  <c:v>50.2</c:v>
                </c:pt>
                <c:pt idx="141">
                  <c:v>49.8</c:v>
                </c:pt>
                <c:pt idx="142">
                  <c:v>49.2</c:v>
                </c:pt>
                <c:pt idx="143">
                  <c:v>50.1</c:v>
                </c:pt>
                <c:pt idx="144">
                  <c:v>50.2</c:v>
                </c:pt>
                <c:pt idx="145">
                  <c:v>50.4</c:v>
                </c:pt>
                <c:pt idx="146">
                  <c:v>53.3</c:v>
                </c:pt>
                <c:pt idx="147">
                  <c:v>53.1</c:v>
                </c:pt>
                <c:pt idx="148">
                  <c:v>51</c:v>
                </c:pt>
                <c:pt idx="149">
                  <c:v>50.5</c:v>
                </c:pt>
                <c:pt idx="150">
                  <c:v>50.3</c:v>
                </c:pt>
                <c:pt idx="151">
                  <c:v>49</c:v>
                </c:pt>
                <c:pt idx="152">
                  <c:v>50.4</c:v>
                </c:pt>
                <c:pt idx="153">
                  <c:v>51.2</c:v>
                </c:pt>
                <c:pt idx="154">
                  <c:v>50.9</c:v>
                </c:pt>
                <c:pt idx="155">
                  <c:v>50.7</c:v>
                </c:pt>
                <c:pt idx="156">
                  <c:v>50.9</c:v>
                </c:pt>
                <c:pt idx="157">
                  <c:v>52</c:v>
                </c:pt>
                <c:pt idx="158">
                  <c:v>52.9</c:v>
                </c:pt>
                <c:pt idx="159">
                  <c:v>53.4</c:v>
                </c:pt>
                <c:pt idx="160">
                  <c:v>52.2</c:v>
                </c:pt>
                <c:pt idx="161">
                  <c:v>52.9</c:v>
                </c:pt>
                <c:pt idx="162">
                  <c:v>53.9</c:v>
                </c:pt>
                <c:pt idx="163">
                  <c:v>55.2</c:v>
                </c:pt>
                <c:pt idx="164">
                  <c:v>54.7</c:v>
                </c:pt>
                <c:pt idx="165">
                  <c:v>53.8</c:v>
                </c:pt>
                <c:pt idx="166">
                  <c:v>51.7</c:v>
                </c:pt>
                <c:pt idx="167">
                  <c:v>51.2</c:v>
                </c:pt>
                <c:pt idx="168">
                  <c:v>52.1</c:v>
                </c:pt>
                <c:pt idx="169">
                  <c:v>53.9</c:v>
                </c:pt>
                <c:pt idx="170">
                  <c:v>55.7</c:v>
                </c:pt>
                <c:pt idx="171">
                  <c:v>55.1</c:v>
                </c:pt>
                <c:pt idx="172">
                  <c:v>52</c:v>
                </c:pt>
                <c:pt idx="173">
                  <c:v>55.8</c:v>
                </c:pt>
                <c:pt idx="174">
                  <c:v>56.6</c:v>
                </c:pt>
                <c:pt idx="175">
                  <c:v>55.2</c:v>
                </c:pt>
                <c:pt idx="176">
                  <c:v>55.2</c:v>
                </c:pt>
                <c:pt idx="177">
                  <c:v>54.3</c:v>
                </c:pt>
                <c:pt idx="178">
                  <c:v>54</c:v>
                </c:pt>
                <c:pt idx="179">
                  <c:v>53.3</c:v>
                </c:pt>
                <c:pt idx="180">
                  <c:v>53.2</c:v>
                </c:pt>
                <c:pt idx="181">
                  <c:v>53.1</c:v>
                </c:pt>
                <c:pt idx="182">
                  <c:v>53.5</c:v>
                </c:pt>
                <c:pt idx="183">
                  <c:v>52.4</c:v>
                </c:pt>
                <c:pt idx="184">
                  <c:v>49</c:v>
                </c:pt>
                <c:pt idx="185">
                  <c:v>45.3</c:v>
                </c:pt>
                <c:pt idx="186">
                  <c:v>41.2</c:v>
                </c:pt>
                <c:pt idx="187">
                  <c:v>38.799999999999997</c:v>
                </c:pt>
                <c:pt idx="188">
                  <c:v>44.6</c:v>
                </c:pt>
                <c:pt idx="189">
                  <c:v>51.2</c:v>
                </c:pt>
                <c:pt idx="190">
                  <c:v>48.4</c:v>
                </c:pt>
                <c:pt idx="191">
                  <c:v>48.4</c:v>
                </c:pt>
                <c:pt idx="192">
                  <c:v>52</c:v>
                </c:pt>
                <c:pt idx="193">
                  <c:v>53.3</c:v>
                </c:pt>
                <c:pt idx="194">
                  <c:v>59.2</c:v>
                </c:pt>
                <c:pt idx="195">
                  <c:v>58.4</c:v>
                </c:pt>
                <c:pt idx="196">
                  <c:v>53.4</c:v>
                </c:pt>
                <c:pt idx="197">
                  <c:v>53</c:v>
                </c:pt>
                <c:pt idx="198">
                  <c:v>55.3</c:v>
                </c:pt>
                <c:pt idx="199">
                  <c:v>55.4</c:v>
                </c:pt>
                <c:pt idx="200">
                  <c:v>53.2</c:v>
                </c:pt>
                <c:pt idx="201">
                  <c:v>56.1</c:v>
                </c:pt>
                <c:pt idx="202">
                  <c:v>54</c:v>
                </c:pt>
                <c:pt idx="203">
                  <c:v>53.3</c:v>
                </c:pt>
                <c:pt idx="204">
                  <c:v>54.5</c:v>
                </c:pt>
                <c:pt idx="205">
                  <c:v>55.7</c:v>
                </c:pt>
                <c:pt idx="206">
                  <c:v>58.6</c:v>
                </c:pt>
                <c:pt idx="207">
                  <c:v>56.1</c:v>
                </c:pt>
                <c:pt idx="208">
                  <c:v>53.1</c:v>
                </c:pt>
                <c:pt idx="209">
                  <c:v>55.1</c:v>
                </c:pt>
                <c:pt idx="210">
                  <c:v>54.8</c:v>
                </c:pt>
                <c:pt idx="211">
                  <c:v>55.3</c:v>
                </c:pt>
                <c:pt idx="212">
                  <c:v>54.7</c:v>
                </c:pt>
                <c:pt idx="213">
                  <c:v>57</c:v>
                </c:pt>
                <c:pt idx="214">
                  <c:v>53.1</c:v>
                </c:pt>
                <c:pt idx="215">
                  <c:v>52.4</c:v>
                </c:pt>
                <c:pt idx="216">
                  <c:v>54.1</c:v>
                </c:pt>
                <c:pt idx="217">
                  <c:v>54.8</c:v>
                </c:pt>
                <c:pt idx="218">
                  <c:v>58.1</c:v>
                </c:pt>
                <c:pt idx="219">
                  <c:v>55.3</c:v>
                </c:pt>
                <c:pt idx="220">
                  <c:v>52.1</c:v>
                </c:pt>
                <c:pt idx="221">
                  <c:v>52.1</c:v>
                </c:pt>
                <c:pt idx="222">
                  <c:v>54.3</c:v>
                </c:pt>
                <c:pt idx="223">
                  <c:v>54.1</c:v>
                </c:pt>
                <c:pt idx="224">
                  <c:v>54.1</c:v>
                </c:pt>
                <c:pt idx="225">
                  <c:v>55.1</c:v>
                </c:pt>
                <c:pt idx="226">
                  <c:v>52.6</c:v>
                </c:pt>
                <c:pt idx="227">
                  <c:v>51.1</c:v>
                </c:pt>
                <c:pt idx="228">
                  <c:v>51.7</c:v>
                </c:pt>
                <c:pt idx="229">
                  <c:v>52.9</c:v>
                </c:pt>
                <c:pt idx="230">
                  <c:v>56.7</c:v>
                </c:pt>
                <c:pt idx="231">
                  <c:v>57.9</c:v>
                </c:pt>
                <c:pt idx="232">
                  <c:v>54.5</c:v>
                </c:pt>
                <c:pt idx="233">
                  <c:v>54.7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693-4B93-8863-688C2BAEA2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5330503"/>
        <c:axId val="723874015"/>
      </c:lineChart>
      <c:dateAx>
        <c:axId val="395330503"/>
        <c:scaling>
          <c:orientation val="minMax"/>
        </c:scaling>
        <c:delete val="0"/>
        <c:axPos val="b"/>
        <c:numFmt formatCode="yyyy\-mm" sourceLinked="0"/>
        <c:majorTickMark val="out"/>
        <c:minorTickMark val="none"/>
        <c:tickLblPos val="nextTo"/>
        <c:spPr>
          <a:noFill/>
          <a:ln w="6350" cap="flat" cmpd="sng" algn="ctr">
            <a:solidFill>
              <a:sysClr val="windowText" lastClr="000000">
                <a:lumMod val="100000"/>
              </a:sysClr>
            </a:solidFill>
            <a:prstDash val="solid"/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333333">
                    <a:alpha val="100000"/>
                  </a:srgbClr>
                </a:solidFill>
                <a:latin typeface="黑体" panose="02010609060101010101" pitchFamily="49" charset="-122"/>
                <a:ea typeface="黑体" panose="02010609060101010101" pitchFamily="49" charset="-122"/>
                <a:cs typeface="黑体" panose="02010609060101010101" pitchFamily="49" charset="-122"/>
              </a:defRPr>
            </a:pPr>
            <a:endParaRPr lang="zh-CN"/>
          </a:p>
        </c:txPr>
        <c:crossAx val="723874015"/>
        <c:crosses val="autoZero"/>
        <c:auto val="1"/>
        <c:lblOffset val="100"/>
        <c:baseTimeUnit val="months"/>
      </c:dateAx>
      <c:valAx>
        <c:axId val="723874015"/>
        <c:scaling>
          <c:orientation val="minMax"/>
          <c:min val="35"/>
        </c:scaling>
        <c:delete val="0"/>
        <c:axPos val="l"/>
        <c:numFmt formatCode="0.00" sourceLinked="1"/>
        <c:majorTickMark val="out"/>
        <c:minorTickMark val="none"/>
        <c:tickLblPos val="nextTo"/>
        <c:spPr>
          <a:noFill/>
          <a:ln w="6350" cap="flat" cmpd="sng" algn="ctr">
            <a:solidFill>
              <a:sysClr val="windowText" lastClr="000000">
                <a:lumMod val="100000"/>
              </a:sysClr>
            </a:solidFill>
            <a:prstDash val="solid"/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333333">
                    <a:alpha val="100000"/>
                  </a:srgbClr>
                </a:solidFill>
                <a:latin typeface="黑体" panose="02010609060101010101" pitchFamily="49" charset="-122"/>
                <a:ea typeface="黑体" panose="02010609060101010101" pitchFamily="49" charset="-122"/>
                <a:cs typeface="黑体" panose="02010609060101010101" pitchFamily="49" charset="-122"/>
              </a:defRPr>
            </a:pPr>
            <a:endParaRPr lang="zh-CN"/>
          </a:p>
        </c:txPr>
        <c:crossAx val="395330503"/>
        <c:crosses val="autoZero"/>
        <c:crossBetween val="between"/>
      </c:valAx>
      <c:dateAx>
        <c:axId val="88936533"/>
        <c:scaling>
          <c:orientation val="minMax"/>
        </c:scaling>
        <c:delete val="1"/>
        <c:axPos val="b"/>
        <c:numFmt formatCode="yyyy\-mm" sourceLinked="0"/>
        <c:majorTickMark val="out"/>
        <c:minorTickMark val="none"/>
        <c:tickLblPos val="nextTo"/>
        <c:crossAx val="496781421"/>
        <c:crosses val="autoZero"/>
        <c:auto val="1"/>
        <c:lblOffset val="100"/>
        <c:baseTimeUnit val="months"/>
      </c:dateAx>
      <c:valAx>
        <c:axId val="496781421"/>
        <c:scaling>
          <c:orientation val="minMax"/>
          <c:max val="1"/>
        </c:scaling>
        <c:delete val="0"/>
        <c:axPos val="r"/>
        <c:numFmt formatCode="General" sourceLinked="1"/>
        <c:majorTickMark val="none"/>
        <c:minorTickMark val="none"/>
        <c:tickLblPos val="none"/>
        <c:spPr>
          <a:ln w="1270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黑体" panose="02010609060101010101" pitchFamily="49" charset="-122"/>
                <a:ea typeface="黑体" panose="02010609060101010101" pitchFamily="49" charset="-122"/>
                <a:cs typeface="黑体" panose="02010609060101010101" pitchFamily="49" charset="-122"/>
              </a:defRPr>
            </a:pPr>
            <a:endParaRPr lang="zh-CN"/>
          </a:p>
        </c:txPr>
        <c:crossAx val="88936533"/>
        <c:crosses val="max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7.5749999999999998E-2"/>
          <c:y val="3.5000000000000003E-2"/>
          <c:w val="0.8359375"/>
          <c:h val="7.7881623639810799E-2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755" b="0" i="0" u="none" strike="noStrike" kern="1200" baseline="0">
              <a:solidFill>
                <a:srgbClr val="333333"/>
              </a:solidFill>
              <a:latin typeface="黑体" panose="02010609060101010101" pitchFamily="49" charset="-122"/>
              <a:ea typeface="黑体" panose="02010609060101010101" pitchFamily="49" charset="-122"/>
              <a:cs typeface="黑体" panose="02010609060101010101" pitchFamily="49" charset="-122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ysClr val="window" lastClr="FFFFFF">
        <a:lumMod val="100000"/>
      </a:sysClr>
    </a:solidFill>
    <a:ln w="25400" cap="flat" cmpd="sng" algn="ctr">
      <a:noFill/>
      <a:prstDash val="solid"/>
      <a:round/>
    </a:ln>
    <a:effectLst/>
  </c:spPr>
  <c:txPr>
    <a:bodyPr rot="0" wrap="square" anchor="ctr" anchorCtr="1"/>
    <a:lstStyle/>
    <a:p>
      <a:pPr>
        <a:defRPr lang="zh-CN" sz="900" b="0" i="0" u="none" strike="noStrike" baseline="0">
          <a:solidFill>
            <a:srgbClr val="000000">
              <a:alpha val="100000"/>
            </a:srgbClr>
          </a:solidFill>
          <a:latin typeface="黑体" panose="02010609060101010101" pitchFamily="49" charset="-122"/>
          <a:ea typeface="黑体" panose="02010609060101010101" pitchFamily="49" charset="-122"/>
          <a:cs typeface="黑体" panose="02010609060101010101" pitchFamily="49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库存与产能周期2!$E$3</c:f>
              <c:strCache>
                <c:ptCount val="1"/>
                <c:pt idx="0">
                  <c:v>库存上行</c:v>
                </c:pt>
              </c:strCache>
            </c:strRef>
          </c:tx>
          <c:spPr>
            <a:solidFill>
              <a:srgbClr val="EE822F"/>
            </a:solidFill>
            <a:ln w="25400">
              <a:noFill/>
            </a:ln>
          </c:spPr>
          <c:invertIfNegative val="0"/>
          <c:cat>
            <c:numRef>
              <c:f>库存与产能周期2!$A$40:$A$329</c:f>
              <c:numCache>
                <c:formatCode>yyyy\-mm</c:formatCode>
                <c:ptCount val="290"/>
                <c:pt idx="0">
                  <c:v>45473</c:v>
                </c:pt>
                <c:pt idx="1">
                  <c:v>45443</c:v>
                </c:pt>
                <c:pt idx="2">
                  <c:v>45412</c:v>
                </c:pt>
                <c:pt idx="3">
                  <c:v>45382</c:v>
                </c:pt>
                <c:pt idx="4">
                  <c:v>45351</c:v>
                </c:pt>
                <c:pt idx="5">
                  <c:v>45322</c:v>
                </c:pt>
                <c:pt idx="6">
                  <c:v>45291</c:v>
                </c:pt>
                <c:pt idx="7">
                  <c:v>45260</c:v>
                </c:pt>
                <c:pt idx="8">
                  <c:v>45230</c:v>
                </c:pt>
                <c:pt idx="9">
                  <c:v>45199</c:v>
                </c:pt>
                <c:pt idx="10">
                  <c:v>45169</c:v>
                </c:pt>
                <c:pt idx="11">
                  <c:v>45138</c:v>
                </c:pt>
                <c:pt idx="12">
                  <c:v>45107</c:v>
                </c:pt>
                <c:pt idx="13">
                  <c:v>45077</c:v>
                </c:pt>
                <c:pt idx="14">
                  <c:v>45046</c:v>
                </c:pt>
                <c:pt idx="15">
                  <c:v>45016</c:v>
                </c:pt>
                <c:pt idx="16">
                  <c:v>44985</c:v>
                </c:pt>
                <c:pt idx="17">
                  <c:v>44957</c:v>
                </c:pt>
                <c:pt idx="18">
                  <c:v>44926</c:v>
                </c:pt>
                <c:pt idx="19">
                  <c:v>44895</c:v>
                </c:pt>
                <c:pt idx="20">
                  <c:v>44865</c:v>
                </c:pt>
                <c:pt idx="21">
                  <c:v>44834</c:v>
                </c:pt>
                <c:pt idx="22">
                  <c:v>44804</c:v>
                </c:pt>
                <c:pt idx="23">
                  <c:v>44773</c:v>
                </c:pt>
                <c:pt idx="24">
                  <c:v>44742</c:v>
                </c:pt>
                <c:pt idx="25">
                  <c:v>44712</c:v>
                </c:pt>
                <c:pt idx="26">
                  <c:v>44681</c:v>
                </c:pt>
                <c:pt idx="27">
                  <c:v>44651</c:v>
                </c:pt>
                <c:pt idx="28">
                  <c:v>44620</c:v>
                </c:pt>
                <c:pt idx="29">
                  <c:v>44592</c:v>
                </c:pt>
                <c:pt idx="30">
                  <c:v>44561</c:v>
                </c:pt>
                <c:pt idx="31">
                  <c:v>44530</c:v>
                </c:pt>
                <c:pt idx="32">
                  <c:v>44500</c:v>
                </c:pt>
                <c:pt idx="33">
                  <c:v>44469</c:v>
                </c:pt>
                <c:pt idx="34">
                  <c:v>44439</c:v>
                </c:pt>
                <c:pt idx="35">
                  <c:v>44408</c:v>
                </c:pt>
                <c:pt idx="36">
                  <c:v>44377</c:v>
                </c:pt>
                <c:pt idx="37">
                  <c:v>44347</c:v>
                </c:pt>
                <c:pt idx="38">
                  <c:v>44316</c:v>
                </c:pt>
                <c:pt idx="39">
                  <c:v>44286</c:v>
                </c:pt>
                <c:pt idx="40">
                  <c:v>44255</c:v>
                </c:pt>
                <c:pt idx="41">
                  <c:v>44227</c:v>
                </c:pt>
                <c:pt idx="42">
                  <c:v>44196</c:v>
                </c:pt>
                <c:pt idx="43">
                  <c:v>44165</c:v>
                </c:pt>
                <c:pt idx="44">
                  <c:v>44135</c:v>
                </c:pt>
                <c:pt idx="45">
                  <c:v>44104</c:v>
                </c:pt>
                <c:pt idx="46">
                  <c:v>44074</c:v>
                </c:pt>
                <c:pt idx="47">
                  <c:v>44043</c:v>
                </c:pt>
                <c:pt idx="48">
                  <c:v>44012</c:v>
                </c:pt>
                <c:pt idx="49">
                  <c:v>43982</c:v>
                </c:pt>
                <c:pt idx="50">
                  <c:v>43951</c:v>
                </c:pt>
                <c:pt idx="51">
                  <c:v>43921</c:v>
                </c:pt>
                <c:pt idx="52">
                  <c:v>43890</c:v>
                </c:pt>
                <c:pt idx="53">
                  <c:v>43861</c:v>
                </c:pt>
                <c:pt idx="54">
                  <c:v>43830</c:v>
                </c:pt>
                <c:pt idx="55">
                  <c:v>43799</c:v>
                </c:pt>
                <c:pt idx="56">
                  <c:v>43769</c:v>
                </c:pt>
                <c:pt idx="57">
                  <c:v>43738</c:v>
                </c:pt>
                <c:pt idx="58">
                  <c:v>43708</c:v>
                </c:pt>
                <c:pt idx="59">
                  <c:v>43677</c:v>
                </c:pt>
                <c:pt idx="60">
                  <c:v>43646</c:v>
                </c:pt>
                <c:pt idx="61">
                  <c:v>43616</c:v>
                </c:pt>
                <c:pt idx="62">
                  <c:v>43585</c:v>
                </c:pt>
                <c:pt idx="63">
                  <c:v>43555</c:v>
                </c:pt>
                <c:pt idx="64">
                  <c:v>43524</c:v>
                </c:pt>
                <c:pt idx="65">
                  <c:v>43496</c:v>
                </c:pt>
                <c:pt idx="66">
                  <c:v>43465</c:v>
                </c:pt>
                <c:pt idx="67">
                  <c:v>43434</c:v>
                </c:pt>
                <c:pt idx="68">
                  <c:v>43404</c:v>
                </c:pt>
                <c:pt idx="69">
                  <c:v>43373</c:v>
                </c:pt>
                <c:pt idx="70">
                  <c:v>43343</c:v>
                </c:pt>
                <c:pt idx="71">
                  <c:v>43312</c:v>
                </c:pt>
                <c:pt idx="72">
                  <c:v>43281</c:v>
                </c:pt>
                <c:pt idx="73">
                  <c:v>43251</c:v>
                </c:pt>
                <c:pt idx="74">
                  <c:v>43220</c:v>
                </c:pt>
                <c:pt idx="75">
                  <c:v>43190</c:v>
                </c:pt>
                <c:pt idx="76">
                  <c:v>43159</c:v>
                </c:pt>
                <c:pt idx="77">
                  <c:v>43131</c:v>
                </c:pt>
                <c:pt idx="78">
                  <c:v>43100</c:v>
                </c:pt>
                <c:pt idx="79">
                  <c:v>43069</c:v>
                </c:pt>
                <c:pt idx="80">
                  <c:v>43039</c:v>
                </c:pt>
                <c:pt idx="81">
                  <c:v>43008</c:v>
                </c:pt>
                <c:pt idx="82">
                  <c:v>42978</c:v>
                </c:pt>
                <c:pt idx="83">
                  <c:v>42947</c:v>
                </c:pt>
                <c:pt idx="84">
                  <c:v>42916</c:v>
                </c:pt>
                <c:pt idx="85">
                  <c:v>42886</c:v>
                </c:pt>
                <c:pt idx="86">
                  <c:v>42855</c:v>
                </c:pt>
                <c:pt idx="87">
                  <c:v>42825</c:v>
                </c:pt>
                <c:pt idx="88">
                  <c:v>42794</c:v>
                </c:pt>
                <c:pt idx="89">
                  <c:v>42766</c:v>
                </c:pt>
                <c:pt idx="90">
                  <c:v>42735</c:v>
                </c:pt>
                <c:pt idx="91">
                  <c:v>42704</c:v>
                </c:pt>
                <c:pt idx="92">
                  <c:v>42674</c:v>
                </c:pt>
                <c:pt idx="93">
                  <c:v>42643</c:v>
                </c:pt>
                <c:pt idx="94">
                  <c:v>42613</c:v>
                </c:pt>
                <c:pt idx="95">
                  <c:v>42582</c:v>
                </c:pt>
                <c:pt idx="96">
                  <c:v>42551</c:v>
                </c:pt>
                <c:pt idx="97">
                  <c:v>42521</c:v>
                </c:pt>
                <c:pt idx="98">
                  <c:v>42490</c:v>
                </c:pt>
                <c:pt idx="99">
                  <c:v>42460</c:v>
                </c:pt>
                <c:pt idx="100">
                  <c:v>42429</c:v>
                </c:pt>
                <c:pt idx="101">
                  <c:v>42400</c:v>
                </c:pt>
                <c:pt idx="102">
                  <c:v>42369</c:v>
                </c:pt>
                <c:pt idx="103">
                  <c:v>42338</c:v>
                </c:pt>
                <c:pt idx="104">
                  <c:v>42308</c:v>
                </c:pt>
                <c:pt idx="105">
                  <c:v>42277</c:v>
                </c:pt>
                <c:pt idx="106">
                  <c:v>42247</c:v>
                </c:pt>
                <c:pt idx="107">
                  <c:v>42216</c:v>
                </c:pt>
                <c:pt idx="108">
                  <c:v>42185</c:v>
                </c:pt>
                <c:pt idx="109">
                  <c:v>42155</c:v>
                </c:pt>
                <c:pt idx="110">
                  <c:v>42124</c:v>
                </c:pt>
                <c:pt idx="111">
                  <c:v>42094</c:v>
                </c:pt>
                <c:pt idx="112">
                  <c:v>42063</c:v>
                </c:pt>
                <c:pt idx="113">
                  <c:v>42035</c:v>
                </c:pt>
                <c:pt idx="114">
                  <c:v>42004</c:v>
                </c:pt>
                <c:pt idx="115">
                  <c:v>41973</c:v>
                </c:pt>
                <c:pt idx="116">
                  <c:v>41943</c:v>
                </c:pt>
                <c:pt idx="117">
                  <c:v>41912</c:v>
                </c:pt>
                <c:pt idx="118">
                  <c:v>41882</c:v>
                </c:pt>
                <c:pt idx="119">
                  <c:v>41851</c:v>
                </c:pt>
                <c:pt idx="120">
                  <c:v>41820</c:v>
                </c:pt>
                <c:pt idx="121">
                  <c:v>41790</c:v>
                </c:pt>
                <c:pt idx="122">
                  <c:v>41759</c:v>
                </c:pt>
                <c:pt idx="123">
                  <c:v>41729</c:v>
                </c:pt>
                <c:pt idx="124">
                  <c:v>41698</c:v>
                </c:pt>
                <c:pt idx="125">
                  <c:v>41670</c:v>
                </c:pt>
                <c:pt idx="126">
                  <c:v>41639</c:v>
                </c:pt>
                <c:pt idx="127">
                  <c:v>41608</c:v>
                </c:pt>
                <c:pt idx="128">
                  <c:v>41578</c:v>
                </c:pt>
                <c:pt idx="129">
                  <c:v>41547</c:v>
                </c:pt>
                <c:pt idx="130">
                  <c:v>41517</c:v>
                </c:pt>
                <c:pt idx="131">
                  <c:v>41486</c:v>
                </c:pt>
                <c:pt idx="132">
                  <c:v>41455</c:v>
                </c:pt>
                <c:pt idx="133">
                  <c:v>41425</c:v>
                </c:pt>
                <c:pt idx="134">
                  <c:v>41394</c:v>
                </c:pt>
                <c:pt idx="135">
                  <c:v>41364</c:v>
                </c:pt>
                <c:pt idx="136">
                  <c:v>41333</c:v>
                </c:pt>
                <c:pt idx="137">
                  <c:v>41305</c:v>
                </c:pt>
                <c:pt idx="138">
                  <c:v>41274</c:v>
                </c:pt>
                <c:pt idx="139">
                  <c:v>41243</c:v>
                </c:pt>
                <c:pt idx="140">
                  <c:v>41213</c:v>
                </c:pt>
                <c:pt idx="141">
                  <c:v>41182</c:v>
                </c:pt>
                <c:pt idx="142">
                  <c:v>41152</c:v>
                </c:pt>
                <c:pt idx="143">
                  <c:v>41121</c:v>
                </c:pt>
                <c:pt idx="144">
                  <c:v>41090</c:v>
                </c:pt>
                <c:pt idx="145">
                  <c:v>41060</c:v>
                </c:pt>
                <c:pt idx="146">
                  <c:v>41029</c:v>
                </c:pt>
                <c:pt idx="147">
                  <c:v>40999</c:v>
                </c:pt>
                <c:pt idx="148">
                  <c:v>40968</c:v>
                </c:pt>
                <c:pt idx="149">
                  <c:v>40939</c:v>
                </c:pt>
                <c:pt idx="150">
                  <c:v>40908</c:v>
                </c:pt>
                <c:pt idx="151">
                  <c:v>40877</c:v>
                </c:pt>
                <c:pt idx="152">
                  <c:v>40847</c:v>
                </c:pt>
                <c:pt idx="153">
                  <c:v>40816</c:v>
                </c:pt>
                <c:pt idx="154">
                  <c:v>40786</c:v>
                </c:pt>
                <c:pt idx="155">
                  <c:v>40755</c:v>
                </c:pt>
                <c:pt idx="156">
                  <c:v>40724</c:v>
                </c:pt>
                <c:pt idx="157">
                  <c:v>40694</c:v>
                </c:pt>
                <c:pt idx="158">
                  <c:v>40663</c:v>
                </c:pt>
                <c:pt idx="159">
                  <c:v>40633</c:v>
                </c:pt>
                <c:pt idx="160">
                  <c:v>40602</c:v>
                </c:pt>
                <c:pt idx="161">
                  <c:v>40574</c:v>
                </c:pt>
                <c:pt idx="162">
                  <c:v>40543</c:v>
                </c:pt>
                <c:pt idx="163">
                  <c:v>40512</c:v>
                </c:pt>
                <c:pt idx="164">
                  <c:v>40482</c:v>
                </c:pt>
                <c:pt idx="165">
                  <c:v>40451</c:v>
                </c:pt>
                <c:pt idx="166">
                  <c:v>40421</c:v>
                </c:pt>
                <c:pt idx="167">
                  <c:v>40390</c:v>
                </c:pt>
                <c:pt idx="168">
                  <c:v>40359</c:v>
                </c:pt>
                <c:pt idx="169">
                  <c:v>40329</c:v>
                </c:pt>
                <c:pt idx="170">
                  <c:v>40298</c:v>
                </c:pt>
                <c:pt idx="171">
                  <c:v>40268</c:v>
                </c:pt>
                <c:pt idx="172">
                  <c:v>40237</c:v>
                </c:pt>
                <c:pt idx="173">
                  <c:v>40209</c:v>
                </c:pt>
                <c:pt idx="174">
                  <c:v>40178</c:v>
                </c:pt>
                <c:pt idx="175">
                  <c:v>40147</c:v>
                </c:pt>
                <c:pt idx="176">
                  <c:v>40117</c:v>
                </c:pt>
                <c:pt idx="177">
                  <c:v>40086</c:v>
                </c:pt>
                <c:pt idx="178">
                  <c:v>40056</c:v>
                </c:pt>
                <c:pt idx="179">
                  <c:v>40025</c:v>
                </c:pt>
                <c:pt idx="180">
                  <c:v>39994</c:v>
                </c:pt>
                <c:pt idx="181">
                  <c:v>39964</c:v>
                </c:pt>
                <c:pt idx="182">
                  <c:v>39933</c:v>
                </c:pt>
                <c:pt idx="183">
                  <c:v>39903</c:v>
                </c:pt>
                <c:pt idx="184">
                  <c:v>39872</c:v>
                </c:pt>
                <c:pt idx="185">
                  <c:v>39844</c:v>
                </c:pt>
                <c:pt idx="186">
                  <c:v>39813</c:v>
                </c:pt>
                <c:pt idx="187">
                  <c:v>39782</c:v>
                </c:pt>
                <c:pt idx="188">
                  <c:v>39752</c:v>
                </c:pt>
                <c:pt idx="189">
                  <c:v>39721</c:v>
                </c:pt>
                <c:pt idx="190">
                  <c:v>39691</c:v>
                </c:pt>
                <c:pt idx="191">
                  <c:v>39660</c:v>
                </c:pt>
                <c:pt idx="192">
                  <c:v>39629</c:v>
                </c:pt>
                <c:pt idx="193">
                  <c:v>39599</c:v>
                </c:pt>
                <c:pt idx="194">
                  <c:v>39568</c:v>
                </c:pt>
                <c:pt idx="195">
                  <c:v>39538</c:v>
                </c:pt>
                <c:pt idx="196">
                  <c:v>39507</c:v>
                </c:pt>
                <c:pt idx="197">
                  <c:v>39478</c:v>
                </c:pt>
                <c:pt idx="198">
                  <c:v>39447</c:v>
                </c:pt>
                <c:pt idx="199">
                  <c:v>39416</c:v>
                </c:pt>
                <c:pt idx="200">
                  <c:v>39386</c:v>
                </c:pt>
                <c:pt idx="201">
                  <c:v>39355</c:v>
                </c:pt>
                <c:pt idx="202">
                  <c:v>39325</c:v>
                </c:pt>
                <c:pt idx="203">
                  <c:v>39294</c:v>
                </c:pt>
                <c:pt idx="204">
                  <c:v>39263</c:v>
                </c:pt>
                <c:pt idx="205">
                  <c:v>39233</c:v>
                </c:pt>
                <c:pt idx="206">
                  <c:v>39202</c:v>
                </c:pt>
                <c:pt idx="207">
                  <c:v>39172</c:v>
                </c:pt>
                <c:pt idx="208">
                  <c:v>39141</c:v>
                </c:pt>
                <c:pt idx="209">
                  <c:v>39113</c:v>
                </c:pt>
                <c:pt idx="210">
                  <c:v>39082</c:v>
                </c:pt>
                <c:pt idx="211">
                  <c:v>39051</c:v>
                </c:pt>
                <c:pt idx="212">
                  <c:v>39021</c:v>
                </c:pt>
                <c:pt idx="213">
                  <c:v>38990</c:v>
                </c:pt>
                <c:pt idx="214">
                  <c:v>38960</c:v>
                </c:pt>
                <c:pt idx="215">
                  <c:v>38929</c:v>
                </c:pt>
                <c:pt idx="216">
                  <c:v>38898</c:v>
                </c:pt>
                <c:pt idx="217">
                  <c:v>38868</c:v>
                </c:pt>
                <c:pt idx="218">
                  <c:v>38837</c:v>
                </c:pt>
                <c:pt idx="219">
                  <c:v>38807</c:v>
                </c:pt>
                <c:pt idx="220">
                  <c:v>38776</c:v>
                </c:pt>
                <c:pt idx="221">
                  <c:v>38748</c:v>
                </c:pt>
                <c:pt idx="222">
                  <c:v>38717</c:v>
                </c:pt>
                <c:pt idx="223">
                  <c:v>38686</c:v>
                </c:pt>
                <c:pt idx="224">
                  <c:v>38656</c:v>
                </c:pt>
                <c:pt idx="225">
                  <c:v>38625</c:v>
                </c:pt>
                <c:pt idx="226">
                  <c:v>38595</c:v>
                </c:pt>
                <c:pt idx="227">
                  <c:v>38564</c:v>
                </c:pt>
                <c:pt idx="228">
                  <c:v>38533</c:v>
                </c:pt>
                <c:pt idx="229">
                  <c:v>38503</c:v>
                </c:pt>
                <c:pt idx="230">
                  <c:v>38472</c:v>
                </c:pt>
                <c:pt idx="231">
                  <c:v>38442</c:v>
                </c:pt>
                <c:pt idx="232">
                  <c:v>38411</c:v>
                </c:pt>
                <c:pt idx="233">
                  <c:v>38383</c:v>
                </c:pt>
                <c:pt idx="234">
                  <c:v>38352</c:v>
                </c:pt>
                <c:pt idx="235">
                  <c:v>38321</c:v>
                </c:pt>
                <c:pt idx="236">
                  <c:v>38291</c:v>
                </c:pt>
                <c:pt idx="237">
                  <c:v>38260</c:v>
                </c:pt>
                <c:pt idx="238">
                  <c:v>38230</c:v>
                </c:pt>
                <c:pt idx="239">
                  <c:v>38199</c:v>
                </c:pt>
                <c:pt idx="240">
                  <c:v>38168</c:v>
                </c:pt>
                <c:pt idx="241">
                  <c:v>38138</c:v>
                </c:pt>
                <c:pt idx="242">
                  <c:v>38107</c:v>
                </c:pt>
                <c:pt idx="243">
                  <c:v>38077</c:v>
                </c:pt>
                <c:pt idx="244">
                  <c:v>38046</c:v>
                </c:pt>
                <c:pt idx="245">
                  <c:v>38017</c:v>
                </c:pt>
                <c:pt idx="246">
                  <c:v>37986</c:v>
                </c:pt>
                <c:pt idx="247">
                  <c:v>37955</c:v>
                </c:pt>
                <c:pt idx="248">
                  <c:v>37925</c:v>
                </c:pt>
                <c:pt idx="249">
                  <c:v>37894</c:v>
                </c:pt>
                <c:pt idx="250">
                  <c:v>37864</c:v>
                </c:pt>
                <c:pt idx="251">
                  <c:v>37833</c:v>
                </c:pt>
                <c:pt idx="252">
                  <c:v>37802</c:v>
                </c:pt>
                <c:pt idx="253">
                  <c:v>37772</c:v>
                </c:pt>
                <c:pt idx="254">
                  <c:v>37741</c:v>
                </c:pt>
                <c:pt idx="255">
                  <c:v>37711</c:v>
                </c:pt>
                <c:pt idx="256">
                  <c:v>37680</c:v>
                </c:pt>
                <c:pt idx="257">
                  <c:v>37652</c:v>
                </c:pt>
                <c:pt idx="258">
                  <c:v>37621</c:v>
                </c:pt>
                <c:pt idx="259">
                  <c:v>37590</c:v>
                </c:pt>
                <c:pt idx="260">
                  <c:v>37560</c:v>
                </c:pt>
                <c:pt idx="261">
                  <c:v>37529</c:v>
                </c:pt>
                <c:pt idx="262">
                  <c:v>37499</c:v>
                </c:pt>
                <c:pt idx="263">
                  <c:v>37468</c:v>
                </c:pt>
                <c:pt idx="264">
                  <c:v>37437</c:v>
                </c:pt>
                <c:pt idx="265">
                  <c:v>37407</c:v>
                </c:pt>
                <c:pt idx="266">
                  <c:v>37376</c:v>
                </c:pt>
                <c:pt idx="267">
                  <c:v>37346</c:v>
                </c:pt>
                <c:pt idx="268">
                  <c:v>37315</c:v>
                </c:pt>
                <c:pt idx="269">
                  <c:v>37287</c:v>
                </c:pt>
                <c:pt idx="270">
                  <c:v>37256</c:v>
                </c:pt>
                <c:pt idx="271">
                  <c:v>37225</c:v>
                </c:pt>
                <c:pt idx="272">
                  <c:v>37195</c:v>
                </c:pt>
                <c:pt idx="273">
                  <c:v>37164</c:v>
                </c:pt>
                <c:pt idx="274">
                  <c:v>37134</c:v>
                </c:pt>
                <c:pt idx="275">
                  <c:v>37103</c:v>
                </c:pt>
                <c:pt idx="276">
                  <c:v>37072</c:v>
                </c:pt>
                <c:pt idx="277">
                  <c:v>37042</c:v>
                </c:pt>
                <c:pt idx="278">
                  <c:v>37011</c:v>
                </c:pt>
                <c:pt idx="279">
                  <c:v>36981</c:v>
                </c:pt>
                <c:pt idx="280">
                  <c:v>36950</c:v>
                </c:pt>
                <c:pt idx="281">
                  <c:v>36922</c:v>
                </c:pt>
                <c:pt idx="282">
                  <c:v>36891</c:v>
                </c:pt>
                <c:pt idx="283">
                  <c:v>36860</c:v>
                </c:pt>
                <c:pt idx="284">
                  <c:v>36830</c:v>
                </c:pt>
                <c:pt idx="285">
                  <c:v>36799</c:v>
                </c:pt>
                <c:pt idx="286">
                  <c:v>36769</c:v>
                </c:pt>
                <c:pt idx="287">
                  <c:v>36738</c:v>
                </c:pt>
                <c:pt idx="288">
                  <c:v>36707</c:v>
                </c:pt>
                <c:pt idx="289">
                  <c:v>36677</c:v>
                </c:pt>
              </c:numCache>
            </c:numRef>
          </c:cat>
          <c:val>
            <c:numRef>
              <c:f>库存与产能周期2!$E$40:$E$329</c:f>
              <c:numCache>
                <c:formatCode>General</c:formatCode>
                <c:ptCount val="29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68-4933-B2F0-51F70BBA20DA}"/>
            </c:ext>
          </c:extLst>
        </c:ser>
        <c:ser>
          <c:idx val="2"/>
          <c:order val="2"/>
          <c:tx>
            <c:strRef>
              <c:f>库存与产能周期2!$F$3</c:f>
              <c:strCache>
                <c:ptCount val="1"/>
                <c:pt idx="0">
                  <c:v>库存下行</c:v>
                </c:pt>
              </c:strCache>
            </c:strRef>
          </c:tx>
          <c:spPr>
            <a:solidFill>
              <a:srgbClr val="F2BA02"/>
            </a:solidFill>
            <a:ln w="25400">
              <a:noFill/>
            </a:ln>
          </c:spPr>
          <c:invertIfNegative val="0"/>
          <c:cat>
            <c:numRef>
              <c:f>库存与产能周期2!$A$40:$A$329</c:f>
              <c:numCache>
                <c:formatCode>yyyy\-mm</c:formatCode>
                <c:ptCount val="290"/>
                <c:pt idx="0">
                  <c:v>45473</c:v>
                </c:pt>
                <c:pt idx="1">
                  <c:v>45443</c:v>
                </c:pt>
                <c:pt idx="2">
                  <c:v>45412</c:v>
                </c:pt>
                <c:pt idx="3">
                  <c:v>45382</c:v>
                </c:pt>
                <c:pt idx="4">
                  <c:v>45351</c:v>
                </c:pt>
                <c:pt idx="5">
                  <c:v>45322</c:v>
                </c:pt>
                <c:pt idx="6">
                  <c:v>45291</c:v>
                </c:pt>
                <c:pt idx="7">
                  <c:v>45260</c:v>
                </c:pt>
                <c:pt idx="8">
                  <c:v>45230</c:v>
                </c:pt>
                <c:pt idx="9">
                  <c:v>45199</c:v>
                </c:pt>
                <c:pt idx="10">
                  <c:v>45169</c:v>
                </c:pt>
                <c:pt idx="11">
                  <c:v>45138</c:v>
                </c:pt>
                <c:pt idx="12">
                  <c:v>45107</c:v>
                </c:pt>
                <c:pt idx="13">
                  <c:v>45077</c:v>
                </c:pt>
                <c:pt idx="14">
                  <c:v>45046</c:v>
                </c:pt>
                <c:pt idx="15">
                  <c:v>45016</c:v>
                </c:pt>
                <c:pt idx="16">
                  <c:v>44985</c:v>
                </c:pt>
                <c:pt idx="17">
                  <c:v>44957</c:v>
                </c:pt>
                <c:pt idx="18">
                  <c:v>44926</c:v>
                </c:pt>
                <c:pt idx="19">
                  <c:v>44895</c:v>
                </c:pt>
                <c:pt idx="20">
                  <c:v>44865</c:v>
                </c:pt>
                <c:pt idx="21">
                  <c:v>44834</c:v>
                </c:pt>
                <c:pt idx="22">
                  <c:v>44804</c:v>
                </c:pt>
                <c:pt idx="23">
                  <c:v>44773</c:v>
                </c:pt>
                <c:pt idx="24">
                  <c:v>44742</c:v>
                </c:pt>
                <c:pt idx="25">
                  <c:v>44712</c:v>
                </c:pt>
                <c:pt idx="26">
                  <c:v>44681</c:v>
                </c:pt>
                <c:pt idx="27">
                  <c:v>44651</c:v>
                </c:pt>
                <c:pt idx="28">
                  <c:v>44620</c:v>
                </c:pt>
                <c:pt idx="29">
                  <c:v>44592</c:v>
                </c:pt>
                <c:pt idx="30">
                  <c:v>44561</c:v>
                </c:pt>
                <c:pt idx="31">
                  <c:v>44530</c:v>
                </c:pt>
                <c:pt idx="32">
                  <c:v>44500</c:v>
                </c:pt>
                <c:pt idx="33">
                  <c:v>44469</c:v>
                </c:pt>
                <c:pt idx="34">
                  <c:v>44439</c:v>
                </c:pt>
                <c:pt idx="35">
                  <c:v>44408</c:v>
                </c:pt>
                <c:pt idx="36">
                  <c:v>44377</c:v>
                </c:pt>
                <c:pt idx="37">
                  <c:v>44347</c:v>
                </c:pt>
                <c:pt idx="38">
                  <c:v>44316</c:v>
                </c:pt>
                <c:pt idx="39">
                  <c:v>44286</c:v>
                </c:pt>
                <c:pt idx="40">
                  <c:v>44255</c:v>
                </c:pt>
                <c:pt idx="41">
                  <c:v>44227</c:v>
                </c:pt>
                <c:pt idx="42">
                  <c:v>44196</c:v>
                </c:pt>
                <c:pt idx="43">
                  <c:v>44165</c:v>
                </c:pt>
                <c:pt idx="44">
                  <c:v>44135</c:v>
                </c:pt>
                <c:pt idx="45">
                  <c:v>44104</c:v>
                </c:pt>
                <c:pt idx="46">
                  <c:v>44074</c:v>
                </c:pt>
                <c:pt idx="47">
                  <c:v>44043</c:v>
                </c:pt>
                <c:pt idx="48">
                  <c:v>44012</c:v>
                </c:pt>
                <c:pt idx="49">
                  <c:v>43982</c:v>
                </c:pt>
                <c:pt idx="50">
                  <c:v>43951</c:v>
                </c:pt>
                <c:pt idx="51">
                  <c:v>43921</c:v>
                </c:pt>
                <c:pt idx="52">
                  <c:v>43890</c:v>
                </c:pt>
                <c:pt idx="53">
                  <c:v>43861</c:v>
                </c:pt>
                <c:pt idx="54">
                  <c:v>43830</c:v>
                </c:pt>
                <c:pt idx="55">
                  <c:v>43799</c:v>
                </c:pt>
                <c:pt idx="56">
                  <c:v>43769</c:v>
                </c:pt>
                <c:pt idx="57">
                  <c:v>43738</c:v>
                </c:pt>
                <c:pt idx="58">
                  <c:v>43708</c:v>
                </c:pt>
                <c:pt idx="59">
                  <c:v>43677</c:v>
                </c:pt>
                <c:pt idx="60">
                  <c:v>43646</c:v>
                </c:pt>
                <c:pt idx="61">
                  <c:v>43616</c:v>
                </c:pt>
                <c:pt idx="62">
                  <c:v>43585</c:v>
                </c:pt>
                <c:pt idx="63">
                  <c:v>43555</c:v>
                </c:pt>
                <c:pt idx="64">
                  <c:v>43524</c:v>
                </c:pt>
                <c:pt idx="65">
                  <c:v>43496</c:v>
                </c:pt>
                <c:pt idx="66">
                  <c:v>43465</c:v>
                </c:pt>
                <c:pt idx="67">
                  <c:v>43434</c:v>
                </c:pt>
                <c:pt idx="68">
                  <c:v>43404</c:v>
                </c:pt>
                <c:pt idx="69">
                  <c:v>43373</c:v>
                </c:pt>
                <c:pt idx="70">
                  <c:v>43343</c:v>
                </c:pt>
                <c:pt idx="71">
                  <c:v>43312</c:v>
                </c:pt>
                <c:pt idx="72">
                  <c:v>43281</c:v>
                </c:pt>
                <c:pt idx="73">
                  <c:v>43251</c:v>
                </c:pt>
                <c:pt idx="74">
                  <c:v>43220</c:v>
                </c:pt>
                <c:pt idx="75">
                  <c:v>43190</c:v>
                </c:pt>
                <c:pt idx="76">
                  <c:v>43159</c:v>
                </c:pt>
                <c:pt idx="77">
                  <c:v>43131</c:v>
                </c:pt>
                <c:pt idx="78">
                  <c:v>43100</c:v>
                </c:pt>
                <c:pt idx="79">
                  <c:v>43069</c:v>
                </c:pt>
                <c:pt idx="80">
                  <c:v>43039</c:v>
                </c:pt>
                <c:pt idx="81">
                  <c:v>43008</c:v>
                </c:pt>
                <c:pt idx="82">
                  <c:v>42978</c:v>
                </c:pt>
                <c:pt idx="83">
                  <c:v>42947</c:v>
                </c:pt>
                <c:pt idx="84">
                  <c:v>42916</c:v>
                </c:pt>
                <c:pt idx="85">
                  <c:v>42886</c:v>
                </c:pt>
                <c:pt idx="86">
                  <c:v>42855</c:v>
                </c:pt>
                <c:pt idx="87">
                  <c:v>42825</c:v>
                </c:pt>
                <c:pt idx="88">
                  <c:v>42794</c:v>
                </c:pt>
                <c:pt idx="89">
                  <c:v>42766</c:v>
                </c:pt>
                <c:pt idx="90">
                  <c:v>42735</c:v>
                </c:pt>
                <c:pt idx="91">
                  <c:v>42704</c:v>
                </c:pt>
                <c:pt idx="92">
                  <c:v>42674</c:v>
                </c:pt>
                <c:pt idx="93">
                  <c:v>42643</c:v>
                </c:pt>
                <c:pt idx="94">
                  <c:v>42613</c:v>
                </c:pt>
                <c:pt idx="95">
                  <c:v>42582</c:v>
                </c:pt>
                <c:pt idx="96">
                  <c:v>42551</c:v>
                </c:pt>
                <c:pt idx="97">
                  <c:v>42521</c:v>
                </c:pt>
                <c:pt idx="98">
                  <c:v>42490</c:v>
                </c:pt>
                <c:pt idx="99">
                  <c:v>42460</c:v>
                </c:pt>
                <c:pt idx="100">
                  <c:v>42429</c:v>
                </c:pt>
                <c:pt idx="101">
                  <c:v>42400</c:v>
                </c:pt>
                <c:pt idx="102">
                  <c:v>42369</c:v>
                </c:pt>
                <c:pt idx="103">
                  <c:v>42338</c:v>
                </c:pt>
                <c:pt idx="104">
                  <c:v>42308</c:v>
                </c:pt>
                <c:pt idx="105">
                  <c:v>42277</c:v>
                </c:pt>
                <c:pt idx="106">
                  <c:v>42247</c:v>
                </c:pt>
                <c:pt idx="107">
                  <c:v>42216</c:v>
                </c:pt>
                <c:pt idx="108">
                  <c:v>42185</c:v>
                </c:pt>
                <c:pt idx="109">
                  <c:v>42155</c:v>
                </c:pt>
                <c:pt idx="110">
                  <c:v>42124</c:v>
                </c:pt>
                <c:pt idx="111">
                  <c:v>42094</c:v>
                </c:pt>
                <c:pt idx="112">
                  <c:v>42063</c:v>
                </c:pt>
                <c:pt idx="113">
                  <c:v>42035</c:v>
                </c:pt>
                <c:pt idx="114">
                  <c:v>42004</c:v>
                </c:pt>
                <c:pt idx="115">
                  <c:v>41973</c:v>
                </c:pt>
                <c:pt idx="116">
                  <c:v>41943</c:v>
                </c:pt>
                <c:pt idx="117">
                  <c:v>41912</c:v>
                </c:pt>
                <c:pt idx="118">
                  <c:v>41882</c:v>
                </c:pt>
                <c:pt idx="119">
                  <c:v>41851</c:v>
                </c:pt>
                <c:pt idx="120">
                  <c:v>41820</c:v>
                </c:pt>
                <c:pt idx="121">
                  <c:v>41790</c:v>
                </c:pt>
                <c:pt idx="122">
                  <c:v>41759</c:v>
                </c:pt>
                <c:pt idx="123">
                  <c:v>41729</c:v>
                </c:pt>
                <c:pt idx="124">
                  <c:v>41698</c:v>
                </c:pt>
                <c:pt idx="125">
                  <c:v>41670</c:v>
                </c:pt>
                <c:pt idx="126">
                  <c:v>41639</c:v>
                </c:pt>
                <c:pt idx="127">
                  <c:v>41608</c:v>
                </c:pt>
                <c:pt idx="128">
                  <c:v>41578</c:v>
                </c:pt>
                <c:pt idx="129">
                  <c:v>41547</c:v>
                </c:pt>
                <c:pt idx="130">
                  <c:v>41517</c:v>
                </c:pt>
                <c:pt idx="131">
                  <c:v>41486</c:v>
                </c:pt>
                <c:pt idx="132">
                  <c:v>41455</c:v>
                </c:pt>
                <c:pt idx="133">
                  <c:v>41425</c:v>
                </c:pt>
                <c:pt idx="134">
                  <c:v>41394</c:v>
                </c:pt>
                <c:pt idx="135">
                  <c:v>41364</c:v>
                </c:pt>
                <c:pt idx="136">
                  <c:v>41333</c:v>
                </c:pt>
                <c:pt idx="137">
                  <c:v>41305</c:v>
                </c:pt>
                <c:pt idx="138">
                  <c:v>41274</c:v>
                </c:pt>
                <c:pt idx="139">
                  <c:v>41243</c:v>
                </c:pt>
                <c:pt idx="140">
                  <c:v>41213</c:v>
                </c:pt>
                <c:pt idx="141">
                  <c:v>41182</c:v>
                </c:pt>
                <c:pt idx="142">
                  <c:v>41152</c:v>
                </c:pt>
                <c:pt idx="143">
                  <c:v>41121</c:v>
                </c:pt>
                <c:pt idx="144">
                  <c:v>41090</c:v>
                </c:pt>
                <c:pt idx="145">
                  <c:v>41060</c:v>
                </c:pt>
                <c:pt idx="146">
                  <c:v>41029</c:v>
                </c:pt>
                <c:pt idx="147">
                  <c:v>40999</c:v>
                </c:pt>
                <c:pt idx="148">
                  <c:v>40968</c:v>
                </c:pt>
                <c:pt idx="149">
                  <c:v>40939</c:v>
                </c:pt>
                <c:pt idx="150">
                  <c:v>40908</c:v>
                </c:pt>
                <c:pt idx="151">
                  <c:v>40877</c:v>
                </c:pt>
                <c:pt idx="152">
                  <c:v>40847</c:v>
                </c:pt>
                <c:pt idx="153">
                  <c:v>40816</c:v>
                </c:pt>
                <c:pt idx="154">
                  <c:v>40786</c:v>
                </c:pt>
                <c:pt idx="155">
                  <c:v>40755</c:v>
                </c:pt>
                <c:pt idx="156">
                  <c:v>40724</c:v>
                </c:pt>
                <c:pt idx="157">
                  <c:v>40694</c:v>
                </c:pt>
                <c:pt idx="158">
                  <c:v>40663</c:v>
                </c:pt>
                <c:pt idx="159">
                  <c:v>40633</c:v>
                </c:pt>
                <c:pt idx="160">
                  <c:v>40602</c:v>
                </c:pt>
                <c:pt idx="161">
                  <c:v>40574</c:v>
                </c:pt>
                <c:pt idx="162">
                  <c:v>40543</c:v>
                </c:pt>
                <c:pt idx="163">
                  <c:v>40512</c:v>
                </c:pt>
                <c:pt idx="164">
                  <c:v>40482</c:v>
                </c:pt>
                <c:pt idx="165">
                  <c:v>40451</c:v>
                </c:pt>
                <c:pt idx="166">
                  <c:v>40421</c:v>
                </c:pt>
                <c:pt idx="167">
                  <c:v>40390</c:v>
                </c:pt>
                <c:pt idx="168">
                  <c:v>40359</c:v>
                </c:pt>
                <c:pt idx="169">
                  <c:v>40329</c:v>
                </c:pt>
                <c:pt idx="170">
                  <c:v>40298</c:v>
                </c:pt>
                <c:pt idx="171">
                  <c:v>40268</c:v>
                </c:pt>
                <c:pt idx="172">
                  <c:v>40237</c:v>
                </c:pt>
                <c:pt idx="173">
                  <c:v>40209</c:v>
                </c:pt>
                <c:pt idx="174">
                  <c:v>40178</c:v>
                </c:pt>
                <c:pt idx="175">
                  <c:v>40147</c:v>
                </c:pt>
                <c:pt idx="176">
                  <c:v>40117</c:v>
                </c:pt>
                <c:pt idx="177">
                  <c:v>40086</c:v>
                </c:pt>
                <c:pt idx="178">
                  <c:v>40056</c:v>
                </c:pt>
                <c:pt idx="179">
                  <c:v>40025</c:v>
                </c:pt>
                <c:pt idx="180">
                  <c:v>39994</c:v>
                </c:pt>
                <c:pt idx="181">
                  <c:v>39964</c:v>
                </c:pt>
                <c:pt idx="182">
                  <c:v>39933</c:v>
                </c:pt>
                <c:pt idx="183">
                  <c:v>39903</c:v>
                </c:pt>
                <c:pt idx="184">
                  <c:v>39872</c:v>
                </c:pt>
                <c:pt idx="185">
                  <c:v>39844</c:v>
                </c:pt>
                <c:pt idx="186">
                  <c:v>39813</c:v>
                </c:pt>
                <c:pt idx="187">
                  <c:v>39782</c:v>
                </c:pt>
                <c:pt idx="188">
                  <c:v>39752</c:v>
                </c:pt>
                <c:pt idx="189">
                  <c:v>39721</c:v>
                </c:pt>
                <c:pt idx="190">
                  <c:v>39691</c:v>
                </c:pt>
                <c:pt idx="191">
                  <c:v>39660</c:v>
                </c:pt>
                <c:pt idx="192">
                  <c:v>39629</c:v>
                </c:pt>
                <c:pt idx="193">
                  <c:v>39599</c:v>
                </c:pt>
                <c:pt idx="194">
                  <c:v>39568</c:v>
                </c:pt>
                <c:pt idx="195">
                  <c:v>39538</c:v>
                </c:pt>
                <c:pt idx="196">
                  <c:v>39507</c:v>
                </c:pt>
                <c:pt idx="197">
                  <c:v>39478</c:v>
                </c:pt>
                <c:pt idx="198">
                  <c:v>39447</c:v>
                </c:pt>
                <c:pt idx="199">
                  <c:v>39416</c:v>
                </c:pt>
                <c:pt idx="200">
                  <c:v>39386</c:v>
                </c:pt>
                <c:pt idx="201">
                  <c:v>39355</c:v>
                </c:pt>
                <c:pt idx="202">
                  <c:v>39325</c:v>
                </c:pt>
                <c:pt idx="203">
                  <c:v>39294</c:v>
                </c:pt>
                <c:pt idx="204">
                  <c:v>39263</c:v>
                </c:pt>
                <c:pt idx="205">
                  <c:v>39233</c:v>
                </c:pt>
                <c:pt idx="206">
                  <c:v>39202</c:v>
                </c:pt>
                <c:pt idx="207">
                  <c:v>39172</c:v>
                </c:pt>
                <c:pt idx="208">
                  <c:v>39141</c:v>
                </c:pt>
                <c:pt idx="209">
                  <c:v>39113</c:v>
                </c:pt>
                <c:pt idx="210">
                  <c:v>39082</c:v>
                </c:pt>
                <c:pt idx="211">
                  <c:v>39051</c:v>
                </c:pt>
                <c:pt idx="212">
                  <c:v>39021</c:v>
                </c:pt>
                <c:pt idx="213">
                  <c:v>38990</c:v>
                </c:pt>
                <c:pt idx="214">
                  <c:v>38960</c:v>
                </c:pt>
                <c:pt idx="215">
                  <c:v>38929</c:v>
                </c:pt>
                <c:pt idx="216">
                  <c:v>38898</c:v>
                </c:pt>
                <c:pt idx="217">
                  <c:v>38868</c:v>
                </c:pt>
                <c:pt idx="218">
                  <c:v>38837</c:v>
                </c:pt>
                <c:pt idx="219">
                  <c:v>38807</c:v>
                </c:pt>
                <c:pt idx="220">
                  <c:v>38776</c:v>
                </c:pt>
                <c:pt idx="221">
                  <c:v>38748</c:v>
                </c:pt>
                <c:pt idx="222">
                  <c:v>38717</c:v>
                </c:pt>
                <c:pt idx="223">
                  <c:v>38686</c:v>
                </c:pt>
                <c:pt idx="224">
                  <c:v>38656</c:v>
                </c:pt>
                <c:pt idx="225">
                  <c:v>38625</c:v>
                </c:pt>
                <c:pt idx="226">
                  <c:v>38595</c:v>
                </c:pt>
                <c:pt idx="227">
                  <c:v>38564</c:v>
                </c:pt>
                <c:pt idx="228">
                  <c:v>38533</c:v>
                </c:pt>
                <c:pt idx="229">
                  <c:v>38503</c:v>
                </c:pt>
                <c:pt idx="230">
                  <c:v>38472</c:v>
                </c:pt>
                <c:pt idx="231">
                  <c:v>38442</c:v>
                </c:pt>
                <c:pt idx="232">
                  <c:v>38411</c:v>
                </c:pt>
                <c:pt idx="233">
                  <c:v>38383</c:v>
                </c:pt>
                <c:pt idx="234">
                  <c:v>38352</c:v>
                </c:pt>
                <c:pt idx="235">
                  <c:v>38321</c:v>
                </c:pt>
                <c:pt idx="236">
                  <c:v>38291</c:v>
                </c:pt>
                <c:pt idx="237">
                  <c:v>38260</c:v>
                </c:pt>
                <c:pt idx="238">
                  <c:v>38230</c:v>
                </c:pt>
                <c:pt idx="239">
                  <c:v>38199</c:v>
                </c:pt>
                <c:pt idx="240">
                  <c:v>38168</c:v>
                </c:pt>
                <c:pt idx="241">
                  <c:v>38138</c:v>
                </c:pt>
                <c:pt idx="242">
                  <c:v>38107</c:v>
                </c:pt>
                <c:pt idx="243">
                  <c:v>38077</c:v>
                </c:pt>
                <c:pt idx="244">
                  <c:v>38046</c:v>
                </c:pt>
                <c:pt idx="245">
                  <c:v>38017</c:v>
                </c:pt>
                <c:pt idx="246">
                  <c:v>37986</c:v>
                </c:pt>
                <c:pt idx="247">
                  <c:v>37955</c:v>
                </c:pt>
                <c:pt idx="248">
                  <c:v>37925</c:v>
                </c:pt>
                <c:pt idx="249">
                  <c:v>37894</c:v>
                </c:pt>
                <c:pt idx="250">
                  <c:v>37864</c:v>
                </c:pt>
                <c:pt idx="251">
                  <c:v>37833</c:v>
                </c:pt>
                <c:pt idx="252">
                  <c:v>37802</c:v>
                </c:pt>
                <c:pt idx="253">
                  <c:v>37772</c:v>
                </c:pt>
                <c:pt idx="254">
                  <c:v>37741</c:v>
                </c:pt>
                <c:pt idx="255">
                  <c:v>37711</c:v>
                </c:pt>
                <c:pt idx="256">
                  <c:v>37680</c:v>
                </c:pt>
                <c:pt idx="257">
                  <c:v>37652</c:v>
                </c:pt>
                <c:pt idx="258">
                  <c:v>37621</c:v>
                </c:pt>
                <c:pt idx="259">
                  <c:v>37590</c:v>
                </c:pt>
                <c:pt idx="260">
                  <c:v>37560</c:v>
                </c:pt>
                <c:pt idx="261">
                  <c:v>37529</c:v>
                </c:pt>
                <c:pt idx="262">
                  <c:v>37499</c:v>
                </c:pt>
                <c:pt idx="263">
                  <c:v>37468</c:v>
                </c:pt>
                <c:pt idx="264">
                  <c:v>37437</c:v>
                </c:pt>
                <c:pt idx="265">
                  <c:v>37407</c:v>
                </c:pt>
                <c:pt idx="266">
                  <c:v>37376</c:v>
                </c:pt>
                <c:pt idx="267">
                  <c:v>37346</c:v>
                </c:pt>
                <c:pt idx="268">
                  <c:v>37315</c:v>
                </c:pt>
                <c:pt idx="269">
                  <c:v>37287</c:v>
                </c:pt>
                <c:pt idx="270">
                  <c:v>37256</c:v>
                </c:pt>
                <c:pt idx="271">
                  <c:v>37225</c:v>
                </c:pt>
                <c:pt idx="272">
                  <c:v>37195</c:v>
                </c:pt>
                <c:pt idx="273">
                  <c:v>37164</c:v>
                </c:pt>
                <c:pt idx="274">
                  <c:v>37134</c:v>
                </c:pt>
                <c:pt idx="275">
                  <c:v>37103</c:v>
                </c:pt>
                <c:pt idx="276">
                  <c:v>37072</c:v>
                </c:pt>
                <c:pt idx="277">
                  <c:v>37042</c:v>
                </c:pt>
                <c:pt idx="278">
                  <c:v>37011</c:v>
                </c:pt>
                <c:pt idx="279">
                  <c:v>36981</c:v>
                </c:pt>
                <c:pt idx="280">
                  <c:v>36950</c:v>
                </c:pt>
                <c:pt idx="281">
                  <c:v>36922</c:v>
                </c:pt>
                <c:pt idx="282">
                  <c:v>36891</c:v>
                </c:pt>
                <c:pt idx="283">
                  <c:v>36860</c:v>
                </c:pt>
                <c:pt idx="284">
                  <c:v>36830</c:v>
                </c:pt>
                <c:pt idx="285">
                  <c:v>36799</c:v>
                </c:pt>
                <c:pt idx="286">
                  <c:v>36769</c:v>
                </c:pt>
                <c:pt idx="287">
                  <c:v>36738</c:v>
                </c:pt>
                <c:pt idx="288">
                  <c:v>36707</c:v>
                </c:pt>
                <c:pt idx="289">
                  <c:v>36677</c:v>
                </c:pt>
              </c:numCache>
            </c:numRef>
          </c:cat>
          <c:val>
            <c:numRef>
              <c:f>库存与产能周期2!$F$40:$F$329</c:f>
              <c:numCache>
                <c:formatCode>General</c:formatCode>
                <c:ptCount val="29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68-4933-B2F0-51F70BBA20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82116365"/>
        <c:axId val="850613214"/>
      </c:barChart>
      <c:lineChart>
        <c:grouping val="standard"/>
        <c:varyColors val="0"/>
        <c:ser>
          <c:idx val="0"/>
          <c:order val="0"/>
          <c:tx>
            <c:strRef>
              <c:f>库存与产能周期2!$C$3</c:f>
              <c:strCache>
                <c:ptCount val="1"/>
                <c:pt idx="0">
                  <c:v>库存</c:v>
                </c:pt>
              </c:strCache>
            </c:strRef>
          </c:tx>
          <c:spPr>
            <a:ln w="15875" cap="rnd" cmpd="sng" algn="ctr">
              <a:solidFill>
                <a:srgbClr val="004477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库存与产能周期2!$A$40:$A$329</c:f>
              <c:numCache>
                <c:formatCode>yyyy\-mm</c:formatCode>
                <c:ptCount val="290"/>
                <c:pt idx="0">
                  <c:v>45473</c:v>
                </c:pt>
                <c:pt idx="1">
                  <c:v>45443</c:v>
                </c:pt>
                <c:pt idx="2">
                  <c:v>45412</c:v>
                </c:pt>
                <c:pt idx="3">
                  <c:v>45382</c:v>
                </c:pt>
                <c:pt idx="4">
                  <c:v>45351</c:v>
                </c:pt>
                <c:pt idx="5">
                  <c:v>45322</c:v>
                </c:pt>
                <c:pt idx="6">
                  <c:v>45291</c:v>
                </c:pt>
                <c:pt idx="7">
                  <c:v>45260</c:v>
                </c:pt>
                <c:pt idx="8">
                  <c:v>45230</c:v>
                </c:pt>
                <c:pt idx="9">
                  <c:v>45199</c:v>
                </c:pt>
                <c:pt idx="10">
                  <c:v>45169</c:v>
                </c:pt>
                <c:pt idx="11">
                  <c:v>45138</c:v>
                </c:pt>
                <c:pt idx="12">
                  <c:v>45107</c:v>
                </c:pt>
                <c:pt idx="13">
                  <c:v>45077</c:v>
                </c:pt>
                <c:pt idx="14">
                  <c:v>45046</c:v>
                </c:pt>
                <c:pt idx="15">
                  <c:v>45016</c:v>
                </c:pt>
                <c:pt idx="16">
                  <c:v>44985</c:v>
                </c:pt>
                <c:pt idx="17">
                  <c:v>44957</c:v>
                </c:pt>
                <c:pt idx="18">
                  <c:v>44926</c:v>
                </c:pt>
                <c:pt idx="19">
                  <c:v>44895</c:v>
                </c:pt>
                <c:pt idx="20">
                  <c:v>44865</c:v>
                </c:pt>
                <c:pt idx="21">
                  <c:v>44834</c:v>
                </c:pt>
                <c:pt idx="22">
                  <c:v>44804</c:v>
                </c:pt>
                <c:pt idx="23">
                  <c:v>44773</c:v>
                </c:pt>
                <c:pt idx="24">
                  <c:v>44742</c:v>
                </c:pt>
                <c:pt idx="25">
                  <c:v>44712</c:v>
                </c:pt>
                <c:pt idx="26">
                  <c:v>44681</c:v>
                </c:pt>
                <c:pt idx="27">
                  <c:v>44651</c:v>
                </c:pt>
                <c:pt idx="28">
                  <c:v>44620</c:v>
                </c:pt>
                <c:pt idx="29">
                  <c:v>44592</c:v>
                </c:pt>
                <c:pt idx="30">
                  <c:v>44561</c:v>
                </c:pt>
                <c:pt idx="31">
                  <c:v>44530</c:v>
                </c:pt>
                <c:pt idx="32">
                  <c:v>44500</c:v>
                </c:pt>
                <c:pt idx="33">
                  <c:v>44469</c:v>
                </c:pt>
                <c:pt idx="34">
                  <c:v>44439</c:v>
                </c:pt>
                <c:pt idx="35">
                  <c:v>44408</c:v>
                </c:pt>
                <c:pt idx="36">
                  <c:v>44377</c:v>
                </c:pt>
                <c:pt idx="37">
                  <c:v>44347</c:v>
                </c:pt>
                <c:pt idx="38">
                  <c:v>44316</c:v>
                </c:pt>
                <c:pt idx="39">
                  <c:v>44286</c:v>
                </c:pt>
                <c:pt idx="40">
                  <c:v>44255</c:v>
                </c:pt>
                <c:pt idx="41">
                  <c:v>44227</c:v>
                </c:pt>
                <c:pt idx="42">
                  <c:v>44196</c:v>
                </c:pt>
                <c:pt idx="43">
                  <c:v>44165</c:v>
                </c:pt>
                <c:pt idx="44">
                  <c:v>44135</c:v>
                </c:pt>
                <c:pt idx="45">
                  <c:v>44104</c:v>
                </c:pt>
                <c:pt idx="46">
                  <c:v>44074</c:v>
                </c:pt>
                <c:pt idx="47">
                  <c:v>44043</c:v>
                </c:pt>
                <c:pt idx="48">
                  <c:v>44012</c:v>
                </c:pt>
                <c:pt idx="49">
                  <c:v>43982</c:v>
                </c:pt>
                <c:pt idx="50">
                  <c:v>43951</c:v>
                </c:pt>
                <c:pt idx="51">
                  <c:v>43921</c:v>
                </c:pt>
                <c:pt idx="52">
                  <c:v>43890</c:v>
                </c:pt>
                <c:pt idx="53">
                  <c:v>43861</c:v>
                </c:pt>
                <c:pt idx="54">
                  <c:v>43830</c:v>
                </c:pt>
                <c:pt idx="55">
                  <c:v>43799</c:v>
                </c:pt>
                <c:pt idx="56">
                  <c:v>43769</c:v>
                </c:pt>
                <c:pt idx="57">
                  <c:v>43738</c:v>
                </c:pt>
                <c:pt idx="58">
                  <c:v>43708</c:v>
                </c:pt>
                <c:pt idx="59">
                  <c:v>43677</c:v>
                </c:pt>
                <c:pt idx="60">
                  <c:v>43646</c:v>
                </c:pt>
                <c:pt idx="61">
                  <c:v>43616</c:v>
                </c:pt>
                <c:pt idx="62">
                  <c:v>43585</c:v>
                </c:pt>
                <c:pt idx="63">
                  <c:v>43555</c:v>
                </c:pt>
                <c:pt idx="64">
                  <c:v>43524</c:v>
                </c:pt>
                <c:pt idx="65">
                  <c:v>43496</c:v>
                </c:pt>
                <c:pt idx="66">
                  <c:v>43465</c:v>
                </c:pt>
                <c:pt idx="67">
                  <c:v>43434</c:v>
                </c:pt>
                <c:pt idx="68">
                  <c:v>43404</c:v>
                </c:pt>
                <c:pt idx="69">
                  <c:v>43373</c:v>
                </c:pt>
                <c:pt idx="70">
                  <c:v>43343</c:v>
                </c:pt>
                <c:pt idx="71">
                  <c:v>43312</c:v>
                </c:pt>
                <c:pt idx="72">
                  <c:v>43281</c:v>
                </c:pt>
                <c:pt idx="73">
                  <c:v>43251</c:v>
                </c:pt>
                <c:pt idx="74">
                  <c:v>43220</c:v>
                </c:pt>
                <c:pt idx="75">
                  <c:v>43190</c:v>
                </c:pt>
                <c:pt idx="76">
                  <c:v>43159</c:v>
                </c:pt>
                <c:pt idx="77">
                  <c:v>43131</c:v>
                </c:pt>
                <c:pt idx="78">
                  <c:v>43100</c:v>
                </c:pt>
                <c:pt idx="79">
                  <c:v>43069</c:v>
                </c:pt>
                <c:pt idx="80">
                  <c:v>43039</c:v>
                </c:pt>
                <c:pt idx="81">
                  <c:v>43008</c:v>
                </c:pt>
                <c:pt idx="82">
                  <c:v>42978</c:v>
                </c:pt>
                <c:pt idx="83">
                  <c:v>42947</c:v>
                </c:pt>
                <c:pt idx="84">
                  <c:v>42916</c:v>
                </c:pt>
                <c:pt idx="85">
                  <c:v>42886</c:v>
                </c:pt>
                <c:pt idx="86">
                  <c:v>42855</c:v>
                </c:pt>
                <c:pt idx="87">
                  <c:v>42825</c:v>
                </c:pt>
                <c:pt idx="88">
                  <c:v>42794</c:v>
                </c:pt>
                <c:pt idx="89">
                  <c:v>42766</c:v>
                </c:pt>
                <c:pt idx="90">
                  <c:v>42735</c:v>
                </c:pt>
                <c:pt idx="91">
                  <c:v>42704</c:v>
                </c:pt>
                <c:pt idx="92">
                  <c:v>42674</c:v>
                </c:pt>
                <c:pt idx="93">
                  <c:v>42643</c:v>
                </c:pt>
                <c:pt idx="94">
                  <c:v>42613</c:v>
                </c:pt>
                <c:pt idx="95">
                  <c:v>42582</c:v>
                </c:pt>
                <c:pt idx="96">
                  <c:v>42551</c:v>
                </c:pt>
                <c:pt idx="97">
                  <c:v>42521</c:v>
                </c:pt>
                <c:pt idx="98">
                  <c:v>42490</c:v>
                </c:pt>
                <c:pt idx="99">
                  <c:v>42460</c:v>
                </c:pt>
                <c:pt idx="100">
                  <c:v>42429</c:v>
                </c:pt>
                <c:pt idx="101">
                  <c:v>42400</c:v>
                </c:pt>
                <c:pt idx="102">
                  <c:v>42369</c:v>
                </c:pt>
                <c:pt idx="103">
                  <c:v>42338</c:v>
                </c:pt>
                <c:pt idx="104">
                  <c:v>42308</c:v>
                </c:pt>
                <c:pt idx="105">
                  <c:v>42277</c:v>
                </c:pt>
                <c:pt idx="106">
                  <c:v>42247</c:v>
                </c:pt>
                <c:pt idx="107">
                  <c:v>42216</c:v>
                </c:pt>
                <c:pt idx="108">
                  <c:v>42185</c:v>
                </c:pt>
                <c:pt idx="109">
                  <c:v>42155</c:v>
                </c:pt>
                <c:pt idx="110">
                  <c:v>42124</c:v>
                </c:pt>
                <c:pt idx="111">
                  <c:v>42094</c:v>
                </c:pt>
                <c:pt idx="112">
                  <c:v>42063</c:v>
                </c:pt>
                <c:pt idx="113">
                  <c:v>42035</c:v>
                </c:pt>
                <c:pt idx="114">
                  <c:v>42004</c:v>
                </c:pt>
                <c:pt idx="115">
                  <c:v>41973</c:v>
                </c:pt>
                <c:pt idx="116">
                  <c:v>41943</c:v>
                </c:pt>
                <c:pt idx="117">
                  <c:v>41912</c:v>
                </c:pt>
                <c:pt idx="118">
                  <c:v>41882</c:v>
                </c:pt>
                <c:pt idx="119">
                  <c:v>41851</c:v>
                </c:pt>
                <c:pt idx="120">
                  <c:v>41820</c:v>
                </c:pt>
                <c:pt idx="121">
                  <c:v>41790</c:v>
                </c:pt>
                <c:pt idx="122">
                  <c:v>41759</c:v>
                </c:pt>
                <c:pt idx="123">
                  <c:v>41729</c:v>
                </c:pt>
                <c:pt idx="124">
                  <c:v>41698</c:v>
                </c:pt>
                <c:pt idx="125">
                  <c:v>41670</c:v>
                </c:pt>
                <c:pt idx="126">
                  <c:v>41639</c:v>
                </c:pt>
                <c:pt idx="127">
                  <c:v>41608</c:v>
                </c:pt>
                <c:pt idx="128">
                  <c:v>41578</c:v>
                </c:pt>
                <c:pt idx="129">
                  <c:v>41547</c:v>
                </c:pt>
                <c:pt idx="130">
                  <c:v>41517</c:v>
                </c:pt>
                <c:pt idx="131">
                  <c:v>41486</c:v>
                </c:pt>
                <c:pt idx="132">
                  <c:v>41455</c:v>
                </c:pt>
                <c:pt idx="133">
                  <c:v>41425</c:v>
                </c:pt>
                <c:pt idx="134">
                  <c:v>41394</c:v>
                </c:pt>
                <c:pt idx="135">
                  <c:v>41364</c:v>
                </c:pt>
                <c:pt idx="136">
                  <c:v>41333</c:v>
                </c:pt>
                <c:pt idx="137">
                  <c:v>41305</c:v>
                </c:pt>
                <c:pt idx="138">
                  <c:v>41274</c:v>
                </c:pt>
                <c:pt idx="139">
                  <c:v>41243</c:v>
                </c:pt>
                <c:pt idx="140">
                  <c:v>41213</c:v>
                </c:pt>
                <c:pt idx="141">
                  <c:v>41182</c:v>
                </c:pt>
                <c:pt idx="142">
                  <c:v>41152</c:v>
                </c:pt>
                <c:pt idx="143">
                  <c:v>41121</c:v>
                </c:pt>
                <c:pt idx="144">
                  <c:v>41090</c:v>
                </c:pt>
                <c:pt idx="145">
                  <c:v>41060</c:v>
                </c:pt>
                <c:pt idx="146">
                  <c:v>41029</c:v>
                </c:pt>
                <c:pt idx="147">
                  <c:v>40999</c:v>
                </c:pt>
                <c:pt idx="148">
                  <c:v>40968</c:v>
                </c:pt>
                <c:pt idx="149">
                  <c:v>40939</c:v>
                </c:pt>
                <c:pt idx="150">
                  <c:v>40908</c:v>
                </c:pt>
                <c:pt idx="151">
                  <c:v>40877</c:v>
                </c:pt>
                <c:pt idx="152">
                  <c:v>40847</c:v>
                </c:pt>
                <c:pt idx="153">
                  <c:v>40816</c:v>
                </c:pt>
                <c:pt idx="154">
                  <c:v>40786</c:v>
                </c:pt>
                <c:pt idx="155">
                  <c:v>40755</c:v>
                </c:pt>
                <c:pt idx="156">
                  <c:v>40724</c:v>
                </c:pt>
                <c:pt idx="157">
                  <c:v>40694</c:v>
                </c:pt>
                <c:pt idx="158">
                  <c:v>40663</c:v>
                </c:pt>
                <c:pt idx="159">
                  <c:v>40633</c:v>
                </c:pt>
                <c:pt idx="160">
                  <c:v>40602</c:v>
                </c:pt>
                <c:pt idx="161">
                  <c:v>40574</c:v>
                </c:pt>
                <c:pt idx="162">
                  <c:v>40543</c:v>
                </c:pt>
                <c:pt idx="163">
                  <c:v>40512</c:v>
                </c:pt>
                <c:pt idx="164">
                  <c:v>40482</c:v>
                </c:pt>
                <c:pt idx="165">
                  <c:v>40451</c:v>
                </c:pt>
                <c:pt idx="166">
                  <c:v>40421</c:v>
                </c:pt>
                <c:pt idx="167">
                  <c:v>40390</c:v>
                </c:pt>
                <c:pt idx="168">
                  <c:v>40359</c:v>
                </c:pt>
                <c:pt idx="169">
                  <c:v>40329</c:v>
                </c:pt>
                <c:pt idx="170">
                  <c:v>40298</c:v>
                </c:pt>
                <c:pt idx="171">
                  <c:v>40268</c:v>
                </c:pt>
                <c:pt idx="172">
                  <c:v>40237</c:v>
                </c:pt>
                <c:pt idx="173">
                  <c:v>40209</c:v>
                </c:pt>
                <c:pt idx="174">
                  <c:v>40178</c:v>
                </c:pt>
                <c:pt idx="175">
                  <c:v>40147</c:v>
                </c:pt>
                <c:pt idx="176">
                  <c:v>40117</c:v>
                </c:pt>
                <c:pt idx="177">
                  <c:v>40086</c:v>
                </c:pt>
                <c:pt idx="178">
                  <c:v>40056</c:v>
                </c:pt>
                <c:pt idx="179">
                  <c:v>40025</c:v>
                </c:pt>
                <c:pt idx="180">
                  <c:v>39994</c:v>
                </c:pt>
                <c:pt idx="181">
                  <c:v>39964</c:v>
                </c:pt>
                <c:pt idx="182">
                  <c:v>39933</c:v>
                </c:pt>
                <c:pt idx="183">
                  <c:v>39903</c:v>
                </c:pt>
                <c:pt idx="184">
                  <c:v>39872</c:v>
                </c:pt>
                <c:pt idx="185">
                  <c:v>39844</c:v>
                </c:pt>
                <c:pt idx="186">
                  <c:v>39813</c:v>
                </c:pt>
                <c:pt idx="187">
                  <c:v>39782</c:v>
                </c:pt>
                <c:pt idx="188">
                  <c:v>39752</c:v>
                </c:pt>
                <c:pt idx="189">
                  <c:v>39721</c:v>
                </c:pt>
                <c:pt idx="190">
                  <c:v>39691</c:v>
                </c:pt>
                <c:pt idx="191">
                  <c:v>39660</c:v>
                </c:pt>
                <c:pt idx="192">
                  <c:v>39629</c:v>
                </c:pt>
                <c:pt idx="193">
                  <c:v>39599</c:v>
                </c:pt>
                <c:pt idx="194">
                  <c:v>39568</c:v>
                </c:pt>
                <c:pt idx="195">
                  <c:v>39538</c:v>
                </c:pt>
                <c:pt idx="196">
                  <c:v>39507</c:v>
                </c:pt>
                <c:pt idx="197">
                  <c:v>39478</c:v>
                </c:pt>
                <c:pt idx="198">
                  <c:v>39447</c:v>
                </c:pt>
                <c:pt idx="199">
                  <c:v>39416</c:v>
                </c:pt>
                <c:pt idx="200">
                  <c:v>39386</c:v>
                </c:pt>
                <c:pt idx="201">
                  <c:v>39355</c:v>
                </c:pt>
                <c:pt idx="202">
                  <c:v>39325</c:v>
                </c:pt>
                <c:pt idx="203">
                  <c:v>39294</c:v>
                </c:pt>
                <c:pt idx="204">
                  <c:v>39263</c:v>
                </c:pt>
                <c:pt idx="205">
                  <c:v>39233</c:v>
                </c:pt>
                <c:pt idx="206">
                  <c:v>39202</c:v>
                </c:pt>
                <c:pt idx="207">
                  <c:v>39172</c:v>
                </c:pt>
                <c:pt idx="208">
                  <c:v>39141</c:v>
                </c:pt>
                <c:pt idx="209">
                  <c:v>39113</c:v>
                </c:pt>
                <c:pt idx="210">
                  <c:v>39082</c:v>
                </c:pt>
                <c:pt idx="211">
                  <c:v>39051</c:v>
                </c:pt>
                <c:pt idx="212">
                  <c:v>39021</c:v>
                </c:pt>
                <c:pt idx="213">
                  <c:v>38990</c:v>
                </c:pt>
                <c:pt idx="214">
                  <c:v>38960</c:v>
                </c:pt>
                <c:pt idx="215">
                  <c:v>38929</c:v>
                </c:pt>
                <c:pt idx="216">
                  <c:v>38898</c:v>
                </c:pt>
                <c:pt idx="217">
                  <c:v>38868</c:v>
                </c:pt>
                <c:pt idx="218">
                  <c:v>38837</c:v>
                </c:pt>
                <c:pt idx="219">
                  <c:v>38807</c:v>
                </c:pt>
                <c:pt idx="220">
                  <c:v>38776</c:v>
                </c:pt>
                <c:pt idx="221">
                  <c:v>38748</c:v>
                </c:pt>
                <c:pt idx="222">
                  <c:v>38717</c:v>
                </c:pt>
                <c:pt idx="223">
                  <c:v>38686</c:v>
                </c:pt>
                <c:pt idx="224">
                  <c:v>38656</c:v>
                </c:pt>
                <c:pt idx="225">
                  <c:v>38625</c:v>
                </c:pt>
                <c:pt idx="226">
                  <c:v>38595</c:v>
                </c:pt>
                <c:pt idx="227">
                  <c:v>38564</c:v>
                </c:pt>
                <c:pt idx="228">
                  <c:v>38533</c:v>
                </c:pt>
                <c:pt idx="229">
                  <c:v>38503</c:v>
                </c:pt>
                <c:pt idx="230">
                  <c:v>38472</c:v>
                </c:pt>
                <c:pt idx="231">
                  <c:v>38442</c:v>
                </c:pt>
                <c:pt idx="232">
                  <c:v>38411</c:v>
                </c:pt>
                <c:pt idx="233">
                  <c:v>38383</c:v>
                </c:pt>
                <c:pt idx="234">
                  <c:v>38352</c:v>
                </c:pt>
                <c:pt idx="235">
                  <c:v>38321</c:v>
                </c:pt>
                <c:pt idx="236">
                  <c:v>38291</c:v>
                </c:pt>
                <c:pt idx="237">
                  <c:v>38260</c:v>
                </c:pt>
                <c:pt idx="238">
                  <c:v>38230</c:v>
                </c:pt>
                <c:pt idx="239">
                  <c:v>38199</c:v>
                </c:pt>
                <c:pt idx="240">
                  <c:v>38168</c:v>
                </c:pt>
                <c:pt idx="241">
                  <c:v>38138</c:v>
                </c:pt>
                <c:pt idx="242">
                  <c:v>38107</c:v>
                </c:pt>
                <c:pt idx="243">
                  <c:v>38077</c:v>
                </c:pt>
                <c:pt idx="244">
                  <c:v>38046</c:v>
                </c:pt>
                <c:pt idx="245">
                  <c:v>38017</c:v>
                </c:pt>
                <c:pt idx="246">
                  <c:v>37986</c:v>
                </c:pt>
                <c:pt idx="247">
                  <c:v>37955</c:v>
                </c:pt>
                <c:pt idx="248">
                  <c:v>37925</c:v>
                </c:pt>
                <c:pt idx="249">
                  <c:v>37894</c:v>
                </c:pt>
                <c:pt idx="250">
                  <c:v>37864</c:v>
                </c:pt>
                <c:pt idx="251">
                  <c:v>37833</c:v>
                </c:pt>
                <c:pt idx="252">
                  <c:v>37802</c:v>
                </c:pt>
                <c:pt idx="253">
                  <c:v>37772</c:v>
                </c:pt>
                <c:pt idx="254">
                  <c:v>37741</c:v>
                </c:pt>
                <c:pt idx="255">
                  <c:v>37711</c:v>
                </c:pt>
                <c:pt idx="256">
                  <c:v>37680</c:v>
                </c:pt>
                <c:pt idx="257">
                  <c:v>37652</c:v>
                </c:pt>
                <c:pt idx="258">
                  <c:v>37621</c:v>
                </c:pt>
                <c:pt idx="259">
                  <c:v>37590</c:v>
                </c:pt>
                <c:pt idx="260">
                  <c:v>37560</c:v>
                </c:pt>
                <c:pt idx="261">
                  <c:v>37529</c:v>
                </c:pt>
                <c:pt idx="262">
                  <c:v>37499</c:v>
                </c:pt>
                <c:pt idx="263">
                  <c:v>37468</c:v>
                </c:pt>
                <c:pt idx="264">
                  <c:v>37437</c:v>
                </c:pt>
                <c:pt idx="265">
                  <c:v>37407</c:v>
                </c:pt>
                <c:pt idx="266">
                  <c:v>37376</c:v>
                </c:pt>
                <c:pt idx="267">
                  <c:v>37346</c:v>
                </c:pt>
                <c:pt idx="268">
                  <c:v>37315</c:v>
                </c:pt>
                <c:pt idx="269">
                  <c:v>37287</c:v>
                </c:pt>
                <c:pt idx="270">
                  <c:v>37256</c:v>
                </c:pt>
                <c:pt idx="271">
                  <c:v>37225</c:v>
                </c:pt>
                <c:pt idx="272">
                  <c:v>37195</c:v>
                </c:pt>
                <c:pt idx="273">
                  <c:v>37164</c:v>
                </c:pt>
                <c:pt idx="274">
                  <c:v>37134</c:v>
                </c:pt>
                <c:pt idx="275">
                  <c:v>37103</c:v>
                </c:pt>
                <c:pt idx="276">
                  <c:v>37072</c:v>
                </c:pt>
                <c:pt idx="277">
                  <c:v>37042</c:v>
                </c:pt>
                <c:pt idx="278">
                  <c:v>37011</c:v>
                </c:pt>
                <c:pt idx="279">
                  <c:v>36981</c:v>
                </c:pt>
                <c:pt idx="280">
                  <c:v>36950</c:v>
                </c:pt>
                <c:pt idx="281">
                  <c:v>36922</c:v>
                </c:pt>
                <c:pt idx="282">
                  <c:v>36891</c:v>
                </c:pt>
                <c:pt idx="283">
                  <c:v>36860</c:v>
                </c:pt>
                <c:pt idx="284">
                  <c:v>36830</c:v>
                </c:pt>
                <c:pt idx="285">
                  <c:v>36799</c:v>
                </c:pt>
                <c:pt idx="286">
                  <c:v>36769</c:v>
                </c:pt>
                <c:pt idx="287">
                  <c:v>36738</c:v>
                </c:pt>
                <c:pt idx="288">
                  <c:v>36707</c:v>
                </c:pt>
                <c:pt idx="289">
                  <c:v>36677</c:v>
                </c:pt>
              </c:numCache>
            </c:numRef>
          </c:cat>
          <c:val>
            <c:numRef>
              <c:f>库存与产能周期2!$C$40:$C$329</c:f>
              <c:numCache>
                <c:formatCode>0.00</c:formatCode>
                <c:ptCount val="290"/>
                <c:pt idx="0">
                  <c:v>4.7</c:v>
                </c:pt>
                <c:pt idx="1">
                  <c:v>3.6</c:v>
                </c:pt>
                <c:pt idx="2">
                  <c:v>3.1</c:v>
                </c:pt>
                <c:pt idx="3">
                  <c:v>2.5</c:v>
                </c:pt>
                <c:pt idx="4">
                  <c:v>2.4</c:v>
                </c:pt>
                <c:pt idx="5">
                  <c:v>#N/A</c:v>
                </c:pt>
                <c:pt idx="6">
                  <c:v>2.1</c:v>
                </c:pt>
                <c:pt idx="7">
                  <c:v>1.7</c:v>
                </c:pt>
                <c:pt idx="8">
                  <c:v>2</c:v>
                </c:pt>
                <c:pt idx="9">
                  <c:v>3.1</c:v>
                </c:pt>
                <c:pt idx="10">
                  <c:v>2.4</c:v>
                </c:pt>
                <c:pt idx="11">
                  <c:v>1.6</c:v>
                </c:pt>
                <c:pt idx="12">
                  <c:v>2.2000000000000002</c:v>
                </c:pt>
                <c:pt idx="13">
                  <c:v>3.2</c:v>
                </c:pt>
                <c:pt idx="14">
                  <c:v>5.9</c:v>
                </c:pt>
                <c:pt idx="15">
                  <c:v>9.1</c:v>
                </c:pt>
                <c:pt idx="16">
                  <c:v>10.7</c:v>
                </c:pt>
                <c:pt idx="17">
                  <c:v>#N/A</c:v>
                </c:pt>
                <c:pt idx="18">
                  <c:v>9.9</c:v>
                </c:pt>
                <c:pt idx="19">
                  <c:v>11.4</c:v>
                </c:pt>
                <c:pt idx="20">
                  <c:v>12.6</c:v>
                </c:pt>
                <c:pt idx="21">
                  <c:v>13.8</c:v>
                </c:pt>
                <c:pt idx="22">
                  <c:v>14.1</c:v>
                </c:pt>
                <c:pt idx="23">
                  <c:v>16.8</c:v>
                </c:pt>
                <c:pt idx="24">
                  <c:v>18.899999999999999</c:v>
                </c:pt>
                <c:pt idx="25">
                  <c:v>19.7</c:v>
                </c:pt>
                <c:pt idx="26">
                  <c:v>20</c:v>
                </c:pt>
                <c:pt idx="27">
                  <c:v>18.100000000000001</c:v>
                </c:pt>
                <c:pt idx="28">
                  <c:v>16.8</c:v>
                </c:pt>
                <c:pt idx="29">
                  <c:v>#N/A</c:v>
                </c:pt>
                <c:pt idx="30">
                  <c:v>17.100000000000001</c:v>
                </c:pt>
                <c:pt idx="31">
                  <c:v>17.899999999999999</c:v>
                </c:pt>
                <c:pt idx="32">
                  <c:v>16.3</c:v>
                </c:pt>
                <c:pt idx="33">
                  <c:v>13.7</c:v>
                </c:pt>
                <c:pt idx="34">
                  <c:v>14.2</c:v>
                </c:pt>
                <c:pt idx="35">
                  <c:v>13</c:v>
                </c:pt>
                <c:pt idx="36">
                  <c:v>11.3</c:v>
                </c:pt>
                <c:pt idx="37">
                  <c:v>10.199999999999999</c:v>
                </c:pt>
                <c:pt idx="38">
                  <c:v>8.1999999999999993</c:v>
                </c:pt>
                <c:pt idx="39">
                  <c:v>8.5</c:v>
                </c:pt>
                <c:pt idx="40">
                  <c:v>8.6</c:v>
                </c:pt>
                <c:pt idx="41">
                  <c:v>#N/A</c:v>
                </c:pt>
                <c:pt idx="42">
                  <c:v>7.5</c:v>
                </c:pt>
                <c:pt idx="43">
                  <c:v>7.3</c:v>
                </c:pt>
                <c:pt idx="44">
                  <c:v>6.9</c:v>
                </c:pt>
                <c:pt idx="45">
                  <c:v>8.1999999999999993</c:v>
                </c:pt>
                <c:pt idx="46">
                  <c:v>7.9</c:v>
                </c:pt>
                <c:pt idx="47">
                  <c:v>7.4</c:v>
                </c:pt>
                <c:pt idx="48">
                  <c:v>8.3000000000000007</c:v>
                </c:pt>
                <c:pt idx="49">
                  <c:v>9</c:v>
                </c:pt>
                <c:pt idx="50">
                  <c:v>10.6</c:v>
                </c:pt>
                <c:pt idx="51">
                  <c:v>14.9</c:v>
                </c:pt>
                <c:pt idx="52">
                  <c:v>8.6999999999999993</c:v>
                </c:pt>
                <c:pt idx="53">
                  <c:v>#N/A</c:v>
                </c:pt>
                <c:pt idx="54">
                  <c:v>2</c:v>
                </c:pt>
                <c:pt idx="55">
                  <c:v>0.3</c:v>
                </c:pt>
                <c:pt idx="56">
                  <c:v>0.4</c:v>
                </c:pt>
                <c:pt idx="57">
                  <c:v>1</c:v>
                </c:pt>
                <c:pt idx="58">
                  <c:v>2.2000000000000002</c:v>
                </c:pt>
                <c:pt idx="59">
                  <c:v>2.2999999999999998</c:v>
                </c:pt>
                <c:pt idx="60">
                  <c:v>3.5</c:v>
                </c:pt>
                <c:pt idx="61">
                  <c:v>4.0999999999999996</c:v>
                </c:pt>
                <c:pt idx="62">
                  <c:v>4.9000000000000004</c:v>
                </c:pt>
                <c:pt idx="63">
                  <c:v>0.3</c:v>
                </c:pt>
                <c:pt idx="64">
                  <c:v>6.2</c:v>
                </c:pt>
                <c:pt idx="65">
                  <c:v>#N/A</c:v>
                </c:pt>
                <c:pt idx="66">
                  <c:v>7.4</c:v>
                </c:pt>
                <c:pt idx="67">
                  <c:v>8.6</c:v>
                </c:pt>
                <c:pt idx="68">
                  <c:v>9.5</c:v>
                </c:pt>
                <c:pt idx="69">
                  <c:v>9.4</c:v>
                </c:pt>
                <c:pt idx="70">
                  <c:v>9.8000000000000007</c:v>
                </c:pt>
                <c:pt idx="71">
                  <c:v>9.5</c:v>
                </c:pt>
                <c:pt idx="72">
                  <c:v>8.3000000000000007</c:v>
                </c:pt>
                <c:pt idx="73">
                  <c:v>7.3</c:v>
                </c:pt>
                <c:pt idx="74">
                  <c:v>5.5</c:v>
                </c:pt>
                <c:pt idx="75">
                  <c:v>8.6999999999999993</c:v>
                </c:pt>
                <c:pt idx="76">
                  <c:v>8.6</c:v>
                </c:pt>
                <c:pt idx="77">
                  <c:v>#N/A</c:v>
                </c:pt>
                <c:pt idx="78">
                  <c:v>8.5</c:v>
                </c:pt>
                <c:pt idx="79">
                  <c:v>9</c:v>
                </c:pt>
                <c:pt idx="80">
                  <c:v>9</c:v>
                </c:pt>
                <c:pt idx="81">
                  <c:v>7.8</c:v>
                </c:pt>
                <c:pt idx="82">
                  <c:v>7.9</c:v>
                </c:pt>
                <c:pt idx="83">
                  <c:v>8</c:v>
                </c:pt>
                <c:pt idx="84">
                  <c:v>8.6</c:v>
                </c:pt>
                <c:pt idx="85">
                  <c:v>9.3000000000000007</c:v>
                </c:pt>
                <c:pt idx="86">
                  <c:v>10.4</c:v>
                </c:pt>
                <c:pt idx="87">
                  <c:v>8.1999999999999993</c:v>
                </c:pt>
                <c:pt idx="88">
                  <c:v>6.1</c:v>
                </c:pt>
                <c:pt idx="89">
                  <c:v>#N/A</c:v>
                </c:pt>
                <c:pt idx="90">
                  <c:v>3.2</c:v>
                </c:pt>
                <c:pt idx="91">
                  <c:v>0.5</c:v>
                </c:pt>
                <c:pt idx="92">
                  <c:v>-0.3</c:v>
                </c:pt>
                <c:pt idx="93">
                  <c:v>-0.8</c:v>
                </c:pt>
                <c:pt idx="94">
                  <c:v>-1.6</c:v>
                </c:pt>
                <c:pt idx="95">
                  <c:v>-1.8</c:v>
                </c:pt>
                <c:pt idx="96">
                  <c:v>-1.9</c:v>
                </c:pt>
                <c:pt idx="97">
                  <c:v>-1.1000000000000001</c:v>
                </c:pt>
                <c:pt idx="98">
                  <c:v>-1.2</c:v>
                </c:pt>
                <c:pt idx="99">
                  <c:v>0</c:v>
                </c:pt>
                <c:pt idx="100">
                  <c:v>0.7</c:v>
                </c:pt>
                <c:pt idx="101">
                  <c:v>#N/A</c:v>
                </c:pt>
                <c:pt idx="102">
                  <c:v>3.3</c:v>
                </c:pt>
                <c:pt idx="103">
                  <c:v>4.5999999999999996</c:v>
                </c:pt>
                <c:pt idx="104">
                  <c:v>4.5</c:v>
                </c:pt>
                <c:pt idx="105">
                  <c:v>4.9000000000000004</c:v>
                </c:pt>
                <c:pt idx="106">
                  <c:v>5.7</c:v>
                </c:pt>
                <c:pt idx="107">
                  <c:v>6.8</c:v>
                </c:pt>
                <c:pt idx="108">
                  <c:v>7.4</c:v>
                </c:pt>
                <c:pt idx="109">
                  <c:v>7.1</c:v>
                </c:pt>
                <c:pt idx="110">
                  <c:v>7</c:v>
                </c:pt>
                <c:pt idx="111">
                  <c:v>7.7</c:v>
                </c:pt>
                <c:pt idx="112">
                  <c:v>8.5</c:v>
                </c:pt>
                <c:pt idx="113">
                  <c:v>#N/A</c:v>
                </c:pt>
                <c:pt idx="114">
                  <c:v>12.6</c:v>
                </c:pt>
                <c:pt idx="115">
                  <c:v>13.6</c:v>
                </c:pt>
                <c:pt idx="116">
                  <c:v>14.4</c:v>
                </c:pt>
                <c:pt idx="117">
                  <c:v>15.1</c:v>
                </c:pt>
                <c:pt idx="118">
                  <c:v>15.6</c:v>
                </c:pt>
                <c:pt idx="119">
                  <c:v>14.6</c:v>
                </c:pt>
                <c:pt idx="120">
                  <c:v>12.6</c:v>
                </c:pt>
                <c:pt idx="121">
                  <c:v>12.5</c:v>
                </c:pt>
                <c:pt idx="122">
                  <c:v>12</c:v>
                </c:pt>
                <c:pt idx="123">
                  <c:v>10.7</c:v>
                </c:pt>
                <c:pt idx="124">
                  <c:v>10.19</c:v>
                </c:pt>
                <c:pt idx="125">
                  <c:v>#N/A</c:v>
                </c:pt>
                <c:pt idx="126">
                  <c:v>6.83</c:v>
                </c:pt>
                <c:pt idx="127">
                  <c:v>6.56</c:v>
                </c:pt>
                <c:pt idx="128">
                  <c:v>6.23</c:v>
                </c:pt>
                <c:pt idx="129">
                  <c:v>6.03</c:v>
                </c:pt>
                <c:pt idx="130">
                  <c:v>5.73</c:v>
                </c:pt>
                <c:pt idx="131">
                  <c:v>6.1</c:v>
                </c:pt>
                <c:pt idx="132">
                  <c:v>7.2</c:v>
                </c:pt>
                <c:pt idx="133">
                  <c:v>7.1</c:v>
                </c:pt>
                <c:pt idx="134">
                  <c:v>8</c:v>
                </c:pt>
                <c:pt idx="135">
                  <c:v>8.82</c:v>
                </c:pt>
                <c:pt idx="136">
                  <c:v>7.51</c:v>
                </c:pt>
                <c:pt idx="137">
                  <c:v>#N/A</c:v>
                </c:pt>
                <c:pt idx="138">
                  <c:v>7.19</c:v>
                </c:pt>
                <c:pt idx="139">
                  <c:v>7.86</c:v>
                </c:pt>
                <c:pt idx="140">
                  <c:v>8.32</c:v>
                </c:pt>
                <c:pt idx="141">
                  <c:v>10.050000000000001</c:v>
                </c:pt>
                <c:pt idx="142">
                  <c:v>11.26</c:v>
                </c:pt>
                <c:pt idx="143">
                  <c:v>12.5</c:v>
                </c:pt>
                <c:pt idx="144">
                  <c:v>12.9</c:v>
                </c:pt>
                <c:pt idx="145">
                  <c:v>14.3</c:v>
                </c:pt>
                <c:pt idx="146">
                  <c:v>15.8</c:v>
                </c:pt>
                <c:pt idx="147">
                  <c:v>16.420000000000002</c:v>
                </c:pt>
                <c:pt idx="148">
                  <c:v>18.3</c:v>
                </c:pt>
                <c:pt idx="149">
                  <c:v>#N/A</c:v>
                </c:pt>
                <c:pt idx="150">
                  <c:v>20.78</c:v>
                </c:pt>
                <c:pt idx="151">
                  <c:v>22.79</c:v>
                </c:pt>
                <c:pt idx="152">
                  <c:v>24.17</c:v>
                </c:pt>
                <c:pt idx="153">
                  <c:v>24.15</c:v>
                </c:pt>
                <c:pt idx="154">
                  <c:v>23.38</c:v>
                </c:pt>
                <c:pt idx="155">
                  <c:v>22.51</c:v>
                </c:pt>
                <c:pt idx="156">
                  <c:v>21.74</c:v>
                </c:pt>
                <c:pt idx="157">
                  <c:v>22.62</c:v>
                </c:pt>
                <c:pt idx="158">
                  <c:v>23.16</c:v>
                </c:pt>
                <c:pt idx="159">
                  <c:v>23.15</c:v>
                </c:pt>
                <c:pt idx="160">
                  <c:v>22.04</c:v>
                </c:pt>
                <c:pt idx="161">
                  <c:v>#N/A</c:v>
                </c:pt>
                <c:pt idx="162">
                  <c:v>#N/A</c:v>
                </c:pt>
                <c:pt idx="163">
                  <c:v>11.22</c:v>
                </c:pt>
                <c:pt idx="164">
                  <c:v>#N/A</c:v>
                </c:pt>
                <c:pt idx="165">
                  <c:v>#N/A</c:v>
                </c:pt>
                <c:pt idx="166">
                  <c:v>9.0299999999999994</c:v>
                </c:pt>
                <c:pt idx="167">
                  <c:v>#N/A</c:v>
                </c:pt>
                <c:pt idx="168">
                  <c:v>#N/A</c:v>
                </c:pt>
                <c:pt idx="169">
                  <c:v>9.49</c:v>
                </c:pt>
                <c:pt idx="170">
                  <c:v>#N/A</c:v>
                </c:pt>
                <c:pt idx="171">
                  <c:v>#N/A</c:v>
                </c:pt>
                <c:pt idx="172">
                  <c:v>5.19</c:v>
                </c:pt>
                <c:pt idx="173">
                  <c:v>#N/A</c:v>
                </c:pt>
                <c:pt idx="174">
                  <c:v>#N/A</c:v>
                </c:pt>
                <c:pt idx="175">
                  <c:v>0.24</c:v>
                </c:pt>
                <c:pt idx="176">
                  <c:v>#N/A</c:v>
                </c:pt>
                <c:pt idx="177">
                  <c:v>#N/A</c:v>
                </c:pt>
                <c:pt idx="178">
                  <c:v>-0.76</c:v>
                </c:pt>
                <c:pt idx="179">
                  <c:v>#N/A</c:v>
                </c:pt>
                <c:pt idx="180">
                  <c:v>#N/A</c:v>
                </c:pt>
                <c:pt idx="181">
                  <c:v>4.24</c:v>
                </c:pt>
                <c:pt idx="182">
                  <c:v>#N/A</c:v>
                </c:pt>
                <c:pt idx="183">
                  <c:v>#N/A</c:v>
                </c:pt>
                <c:pt idx="184">
                  <c:v>11.7</c:v>
                </c:pt>
                <c:pt idx="185">
                  <c:v>#N/A</c:v>
                </c:pt>
                <c:pt idx="186">
                  <c:v>#N/A</c:v>
                </c:pt>
                <c:pt idx="187">
                  <c:v>25.01</c:v>
                </c:pt>
                <c:pt idx="188">
                  <c:v>#N/A</c:v>
                </c:pt>
                <c:pt idx="189">
                  <c:v>#N/A</c:v>
                </c:pt>
                <c:pt idx="190">
                  <c:v>28.54</c:v>
                </c:pt>
                <c:pt idx="191">
                  <c:v>#N/A</c:v>
                </c:pt>
                <c:pt idx="192">
                  <c:v>#N/A</c:v>
                </c:pt>
                <c:pt idx="193">
                  <c:v>26.07</c:v>
                </c:pt>
                <c:pt idx="194">
                  <c:v>#N/A</c:v>
                </c:pt>
                <c:pt idx="195">
                  <c:v>#N/A</c:v>
                </c:pt>
                <c:pt idx="196">
                  <c:v>21.18</c:v>
                </c:pt>
                <c:pt idx="197">
                  <c:v>#N/A</c:v>
                </c:pt>
                <c:pt idx="198">
                  <c:v>#N/A</c:v>
                </c:pt>
                <c:pt idx="199">
                  <c:v>21.8</c:v>
                </c:pt>
                <c:pt idx="200">
                  <c:v>#N/A</c:v>
                </c:pt>
                <c:pt idx="201">
                  <c:v>#N/A</c:v>
                </c:pt>
                <c:pt idx="202">
                  <c:v>20.079999999999998</c:v>
                </c:pt>
                <c:pt idx="203">
                  <c:v>#N/A</c:v>
                </c:pt>
                <c:pt idx="204">
                  <c:v>#N/A</c:v>
                </c:pt>
                <c:pt idx="205">
                  <c:v>20.09</c:v>
                </c:pt>
                <c:pt idx="206">
                  <c:v>#N/A</c:v>
                </c:pt>
                <c:pt idx="207">
                  <c:v>#N/A</c:v>
                </c:pt>
                <c:pt idx="208">
                  <c:v>18.440000000000001</c:v>
                </c:pt>
                <c:pt idx="209">
                  <c:v>#N/A</c:v>
                </c:pt>
                <c:pt idx="210">
                  <c:v>18.34</c:v>
                </c:pt>
                <c:pt idx="211">
                  <c:v>18.079999999999998</c:v>
                </c:pt>
                <c:pt idx="212">
                  <c:v>17.25</c:v>
                </c:pt>
                <c:pt idx="213">
                  <c:v>17.62</c:v>
                </c:pt>
                <c:pt idx="214">
                  <c:v>17.34</c:v>
                </c:pt>
                <c:pt idx="215">
                  <c:v>17</c:v>
                </c:pt>
                <c:pt idx="216">
                  <c:v>16.02</c:v>
                </c:pt>
                <c:pt idx="217">
                  <c:v>15.64</c:v>
                </c:pt>
                <c:pt idx="218">
                  <c:v>17.170000000000002</c:v>
                </c:pt>
                <c:pt idx="219">
                  <c:v>17.71</c:v>
                </c:pt>
                <c:pt idx="220">
                  <c:v>17.39</c:v>
                </c:pt>
                <c:pt idx="221">
                  <c:v>#N/A</c:v>
                </c:pt>
                <c:pt idx="222">
                  <c:v>17.940000000000001</c:v>
                </c:pt>
                <c:pt idx="223">
                  <c:v>17.8</c:v>
                </c:pt>
                <c:pt idx="224">
                  <c:v>19.32</c:v>
                </c:pt>
                <c:pt idx="225">
                  <c:v>18.78</c:v>
                </c:pt>
                <c:pt idx="226">
                  <c:v>18.940000000000001</c:v>
                </c:pt>
                <c:pt idx="227">
                  <c:v>19.09</c:v>
                </c:pt>
                <c:pt idx="228">
                  <c:v>19.47</c:v>
                </c:pt>
                <c:pt idx="229">
                  <c:v>19.36</c:v>
                </c:pt>
                <c:pt idx="230">
                  <c:v>19.5</c:v>
                </c:pt>
                <c:pt idx="231">
                  <c:v>20.34</c:v>
                </c:pt>
                <c:pt idx="232">
                  <c:v>22.22</c:v>
                </c:pt>
                <c:pt idx="233">
                  <c:v>#N/A</c:v>
                </c:pt>
                <c:pt idx="234">
                  <c:v>24.65</c:v>
                </c:pt>
                <c:pt idx="235">
                  <c:v>23.03</c:v>
                </c:pt>
                <c:pt idx="236">
                  <c:v>22.22</c:v>
                </c:pt>
                <c:pt idx="237">
                  <c:v>21.53</c:v>
                </c:pt>
                <c:pt idx="238">
                  <c:v>20.46</c:v>
                </c:pt>
                <c:pt idx="239">
                  <c:v>19.78</c:v>
                </c:pt>
                <c:pt idx="240">
                  <c:v>19.86</c:v>
                </c:pt>
                <c:pt idx="241">
                  <c:v>19.77</c:v>
                </c:pt>
                <c:pt idx="242">
                  <c:v>18.87</c:v>
                </c:pt>
                <c:pt idx="243">
                  <c:v>17.829999999999998</c:v>
                </c:pt>
                <c:pt idx="244">
                  <c:v>15.73</c:v>
                </c:pt>
                <c:pt idx="245">
                  <c:v>#N/A</c:v>
                </c:pt>
                <c:pt idx="246">
                  <c:v>11.74</c:v>
                </c:pt>
                <c:pt idx="247">
                  <c:v>11.82</c:v>
                </c:pt>
                <c:pt idx="248">
                  <c:v>11.5</c:v>
                </c:pt>
                <c:pt idx="249">
                  <c:v>11.65</c:v>
                </c:pt>
                <c:pt idx="250">
                  <c:v>11.37</c:v>
                </c:pt>
                <c:pt idx="251">
                  <c:v>11.18</c:v>
                </c:pt>
                <c:pt idx="252">
                  <c:v>10.35</c:v>
                </c:pt>
                <c:pt idx="253">
                  <c:v>10.34</c:v>
                </c:pt>
                <c:pt idx="254">
                  <c:v>9.92</c:v>
                </c:pt>
                <c:pt idx="255">
                  <c:v>8.27</c:v>
                </c:pt>
                <c:pt idx="256">
                  <c:v>7.59</c:v>
                </c:pt>
                <c:pt idx="257">
                  <c:v>#N/A</c:v>
                </c:pt>
                <c:pt idx="258">
                  <c:v>5.24</c:v>
                </c:pt>
                <c:pt idx="259">
                  <c:v>2.82</c:v>
                </c:pt>
                <c:pt idx="260">
                  <c:v>2.21</c:v>
                </c:pt>
                <c:pt idx="261">
                  <c:v>2.42</c:v>
                </c:pt>
                <c:pt idx="262">
                  <c:v>2.9</c:v>
                </c:pt>
                <c:pt idx="263">
                  <c:v>2.27</c:v>
                </c:pt>
                <c:pt idx="264">
                  <c:v>4.0999999999999996</c:v>
                </c:pt>
                <c:pt idx="265">
                  <c:v>4.1900000000000004</c:v>
                </c:pt>
                <c:pt idx="266">
                  <c:v>3.43</c:v>
                </c:pt>
                <c:pt idx="267">
                  <c:v>3.5</c:v>
                </c:pt>
                <c:pt idx="268">
                  <c:v>3.7</c:v>
                </c:pt>
                <c:pt idx="269">
                  <c:v>#N/A</c:v>
                </c:pt>
                <c:pt idx="270">
                  <c:v>6.64</c:v>
                </c:pt>
                <c:pt idx="271">
                  <c:v>5.44</c:v>
                </c:pt>
                <c:pt idx="272">
                  <c:v>6.53</c:v>
                </c:pt>
                <c:pt idx="273">
                  <c:v>6.67</c:v>
                </c:pt>
                <c:pt idx="274">
                  <c:v>7.7</c:v>
                </c:pt>
                <c:pt idx="275">
                  <c:v>8.59</c:v>
                </c:pt>
                <c:pt idx="276">
                  <c:v>8.7200000000000006</c:v>
                </c:pt>
                <c:pt idx="277">
                  <c:v>7.6</c:v>
                </c:pt>
                <c:pt idx="278">
                  <c:v>7.56</c:v>
                </c:pt>
                <c:pt idx="279">
                  <c:v>7.73</c:v>
                </c:pt>
                <c:pt idx="280">
                  <c:v>5.9</c:v>
                </c:pt>
                <c:pt idx="281">
                  <c:v>#N/A</c:v>
                </c:pt>
                <c:pt idx="282">
                  <c:v>6.85</c:v>
                </c:pt>
                <c:pt idx="283">
                  <c:v>4.6399999999999997</c:v>
                </c:pt>
                <c:pt idx="284">
                  <c:v>3.8</c:v>
                </c:pt>
                <c:pt idx="285">
                  <c:v>3.64</c:v>
                </c:pt>
                <c:pt idx="286">
                  <c:v>3.34</c:v>
                </c:pt>
                <c:pt idx="287">
                  <c:v>2.42</c:v>
                </c:pt>
                <c:pt idx="288">
                  <c:v>2.0699999999999998</c:v>
                </c:pt>
                <c:pt idx="289">
                  <c:v>1.39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168-4933-B2F0-51F70BBA20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5382852"/>
        <c:axId val="724874727"/>
      </c:lineChart>
      <c:dateAx>
        <c:axId val="845382852"/>
        <c:scaling>
          <c:orientation val="minMax"/>
        </c:scaling>
        <c:delete val="0"/>
        <c:axPos val="b"/>
        <c:numFmt formatCode="yyyy\-mm" sourceLinked="0"/>
        <c:majorTickMark val="out"/>
        <c:minorTickMark val="none"/>
        <c:tickLblPos val="nextTo"/>
        <c:spPr>
          <a:noFill/>
          <a:ln w="6350" cap="flat" cmpd="sng" algn="ctr">
            <a:solidFill>
              <a:sysClr val="windowText" lastClr="000000">
                <a:lumMod val="100000"/>
              </a:sysClr>
            </a:solidFill>
            <a:prstDash val="solid"/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333333">
                    <a:alpha val="100000"/>
                  </a:srgbClr>
                </a:solidFill>
                <a:latin typeface="黑体" panose="02010609060101010101" pitchFamily="49" charset="-122"/>
                <a:ea typeface="黑体" panose="02010609060101010101" pitchFamily="49" charset="-122"/>
                <a:cs typeface="黑体" panose="02010609060101010101" pitchFamily="49" charset="-122"/>
              </a:defRPr>
            </a:pPr>
            <a:endParaRPr lang="zh-CN"/>
          </a:p>
        </c:txPr>
        <c:crossAx val="724874727"/>
        <c:crosses val="autoZero"/>
        <c:auto val="1"/>
        <c:lblOffset val="100"/>
        <c:baseTimeUnit val="months"/>
      </c:dateAx>
      <c:valAx>
        <c:axId val="724874727"/>
        <c:scaling>
          <c:orientation val="minMax"/>
          <c:max val="30"/>
          <c:min val="-2"/>
        </c:scaling>
        <c:delete val="0"/>
        <c:axPos val="l"/>
        <c:numFmt formatCode="0.00" sourceLinked="1"/>
        <c:majorTickMark val="out"/>
        <c:minorTickMark val="none"/>
        <c:tickLblPos val="nextTo"/>
        <c:spPr>
          <a:noFill/>
          <a:ln w="6350" cap="flat" cmpd="sng" algn="ctr">
            <a:solidFill>
              <a:sysClr val="windowText" lastClr="000000">
                <a:lumMod val="100000"/>
              </a:sysClr>
            </a:solidFill>
            <a:prstDash val="solid"/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333333">
                    <a:alpha val="100000"/>
                  </a:srgbClr>
                </a:solidFill>
                <a:latin typeface="黑体" panose="02010609060101010101" pitchFamily="49" charset="-122"/>
                <a:ea typeface="黑体" panose="02010609060101010101" pitchFamily="49" charset="-122"/>
                <a:cs typeface="黑体" panose="02010609060101010101" pitchFamily="49" charset="-122"/>
              </a:defRPr>
            </a:pPr>
            <a:endParaRPr lang="zh-CN"/>
          </a:p>
        </c:txPr>
        <c:crossAx val="845382852"/>
        <c:crosses val="autoZero"/>
        <c:crossBetween val="between"/>
      </c:valAx>
      <c:dateAx>
        <c:axId val="182116365"/>
        <c:scaling>
          <c:orientation val="minMax"/>
        </c:scaling>
        <c:delete val="1"/>
        <c:axPos val="b"/>
        <c:numFmt formatCode="yyyy\-mm" sourceLinked="0"/>
        <c:majorTickMark val="out"/>
        <c:minorTickMark val="none"/>
        <c:tickLblPos val="nextTo"/>
        <c:crossAx val="850613214"/>
        <c:crosses val="autoZero"/>
        <c:auto val="1"/>
        <c:lblOffset val="100"/>
        <c:baseTimeUnit val="months"/>
      </c:dateAx>
      <c:valAx>
        <c:axId val="850613214"/>
        <c:scaling>
          <c:orientation val="minMax"/>
          <c:max val="1"/>
        </c:scaling>
        <c:delete val="0"/>
        <c:axPos val="r"/>
        <c:numFmt formatCode="General" sourceLinked="1"/>
        <c:majorTickMark val="none"/>
        <c:minorTickMark val="none"/>
        <c:tickLblPos val="none"/>
        <c:spPr>
          <a:ln w="1270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黑体" panose="02010609060101010101" pitchFamily="49" charset="-122"/>
                <a:ea typeface="黑体" panose="02010609060101010101" pitchFamily="49" charset="-122"/>
                <a:cs typeface="黑体" panose="02010609060101010101" pitchFamily="49" charset="-122"/>
              </a:defRPr>
            </a:pPr>
            <a:endParaRPr lang="zh-CN"/>
          </a:p>
        </c:txPr>
        <c:crossAx val="182116365"/>
        <c:crosses val="max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8.1250000000000003E-2"/>
          <c:y val="3.0499999999999999E-2"/>
          <c:w val="0.83768115942028998"/>
          <c:h val="7.1770338421462396E-2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755" b="0" i="0" u="none" strike="noStrike" kern="1200" baseline="0">
              <a:solidFill>
                <a:srgbClr val="333333"/>
              </a:solidFill>
              <a:latin typeface="黑体" panose="02010609060101010101" pitchFamily="49" charset="-122"/>
              <a:ea typeface="黑体" panose="02010609060101010101" pitchFamily="49" charset="-122"/>
              <a:cs typeface="黑体" panose="02010609060101010101" pitchFamily="49" charset="-122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ysClr val="window" lastClr="FFFFFF">
        <a:lumMod val="100000"/>
      </a:sysClr>
    </a:solidFill>
    <a:ln w="25400" cap="flat" cmpd="sng" algn="ctr">
      <a:noFill/>
      <a:prstDash val="solid"/>
      <a:round/>
    </a:ln>
    <a:effectLst/>
  </c:spPr>
  <c:txPr>
    <a:bodyPr rot="0" wrap="square" anchor="ctr" anchorCtr="1"/>
    <a:lstStyle/>
    <a:p>
      <a:pPr>
        <a:defRPr lang="zh-CN" sz="900" b="0" i="0" u="none" strike="noStrike" baseline="0">
          <a:solidFill>
            <a:srgbClr val="000000">
              <a:alpha val="100000"/>
            </a:srgbClr>
          </a:solidFill>
          <a:latin typeface="黑体" panose="02010609060101010101" pitchFamily="49" charset="-122"/>
          <a:ea typeface="黑体" panose="02010609060101010101" pitchFamily="49" charset="-122"/>
          <a:cs typeface="黑体" panose="02010609060101010101" pitchFamily="49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库存与产能周期2!$M$3</c:f>
              <c:strCache>
                <c:ptCount val="1"/>
                <c:pt idx="0">
                  <c:v>产能周期上行</c:v>
                </c:pt>
              </c:strCache>
            </c:strRef>
          </c:tx>
          <c:spPr>
            <a:solidFill>
              <a:srgbClr val="EE822F"/>
            </a:solidFill>
            <a:ln w="25400">
              <a:noFill/>
            </a:ln>
          </c:spPr>
          <c:invertIfNegative val="0"/>
          <c:cat>
            <c:numRef>
              <c:f>库存与产能周期2!$A$40:$A$329</c:f>
              <c:numCache>
                <c:formatCode>yyyy\-mm</c:formatCode>
                <c:ptCount val="290"/>
                <c:pt idx="0">
                  <c:v>45473</c:v>
                </c:pt>
                <c:pt idx="1">
                  <c:v>45443</c:v>
                </c:pt>
                <c:pt idx="2">
                  <c:v>45412</c:v>
                </c:pt>
                <c:pt idx="3">
                  <c:v>45382</c:v>
                </c:pt>
                <c:pt idx="4">
                  <c:v>45351</c:v>
                </c:pt>
                <c:pt idx="5">
                  <c:v>45322</c:v>
                </c:pt>
                <c:pt idx="6">
                  <c:v>45291</c:v>
                </c:pt>
                <c:pt idx="7">
                  <c:v>45260</c:v>
                </c:pt>
                <c:pt idx="8">
                  <c:v>45230</c:v>
                </c:pt>
                <c:pt idx="9">
                  <c:v>45199</c:v>
                </c:pt>
                <c:pt idx="10">
                  <c:v>45169</c:v>
                </c:pt>
                <c:pt idx="11">
                  <c:v>45138</c:v>
                </c:pt>
                <c:pt idx="12">
                  <c:v>45107</c:v>
                </c:pt>
                <c:pt idx="13">
                  <c:v>45077</c:v>
                </c:pt>
                <c:pt idx="14">
                  <c:v>45046</c:v>
                </c:pt>
                <c:pt idx="15">
                  <c:v>45016</c:v>
                </c:pt>
                <c:pt idx="16">
                  <c:v>44985</c:v>
                </c:pt>
                <c:pt idx="17">
                  <c:v>44957</c:v>
                </c:pt>
                <c:pt idx="18">
                  <c:v>44926</c:v>
                </c:pt>
                <c:pt idx="19">
                  <c:v>44895</c:v>
                </c:pt>
                <c:pt idx="20">
                  <c:v>44865</c:v>
                </c:pt>
                <c:pt idx="21">
                  <c:v>44834</c:v>
                </c:pt>
                <c:pt idx="22">
                  <c:v>44804</c:v>
                </c:pt>
                <c:pt idx="23">
                  <c:v>44773</c:v>
                </c:pt>
                <c:pt idx="24">
                  <c:v>44742</c:v>
                </c:pt>
                <c:pt idx="25">
                  <c:v>44712</c:v>
                </c:pt>
                <c:pt idx="26">
                  <c:v>44681</c:v>
                </c:pt>
                <c:pt idx="27">
                  <c:v>44651</c:v>
                </c:pt>
                <c:pt idx="28">
                  <c:v>44620</c:v>
                </c:pt>
                <c:pt idx="29">
                  <c:v>44592</c:v>
                </c:pt>
                <c:pt idx="30">
                  <c:v>44561</c:v>
                </c:pt>
                <c:pt idx="31">
                  <c:v>44530</c:v>
                </c:pt>
                <c:pt idx="32">
                  <c:v>44500</c:v>
                </c:pt>
                <c:pt idx="33">
                  <c:v>44469</c:v>
                </c:pt>
                <c:pt idx="34">
                  <c:v>44439</c:v>
                </c:pt>
                <c:pt idx="35">
                  <c:v>44408</c:v>
                </c:pt>
                <c:pt idx="36">
                  <c:v>44377</c:v>
                </c:pt>
                <c:pt idx="37">
                  <c:v>44347</c:v>
                </c:pt>
                <c:pt idx="38">
                  <c:v>44316</c:v>
                </c:pt>
                <c:pt idx="39">
                  <c:v>44286</c:v>
                </c:pt>
                <c:pt idx="40">
                  <c:v>44255</c:v>
                </c:pt>
                <c:pt idx="41">
                  <c:v>44227</c:v>
                </c:pt>
                <c:pt idx="42">
                  <c:v>44196</c:v>
                </c:pt>
                <c:pt idx="43">
                  <c:v>44165</c:v>
                </c:pt>
                <c:pt idx="44">
                  <c:v>44135</c:v>
                </c:pt>
                <c:pt idx="45">
                  <c:v>44104</c:v>
                </c:pt>
                <c:pt idx="46">
                  <c:v>44074</c:v>
                </c:pt>
                <c:pt idx="47">
                  <c:v>44043</c:v>
                </c:pt>
                <c:pt idx="48">
                  <c:v>44012</c:v>
                </c:pt>
                <c:pt idx="49">
                  <c:v>43982</c:v>
                </c:pt>
                <c:pt idx="50">
                  <c:v>43951</c:v>
                </c:pt>
                <c:pt idx="51">
                  <c:v>43921</c:v>
                </c:pt>
                <c:pt idx="52">
                  <c:v>43890</c:v>
                </c:pt>
                <c:pt idx="53">
                  <c:v>43861</c:v>
                </c:pt>
                <c:pt idx="54">
                  <c:v>43830</c:v>
                </c:pt>
                <c:pt idx="55">
                  <c:v>43799</c:v>
                </c:pt>
                <c:pt idx="56">
                  <c:v>43769</c:v>
                </c:pt>
                <c:pt idx="57">
                  <c:v>43738</c:v>
                </c:pt>
                <c:pt idx="58">
                  <c:v>43708</c:v>
                </c:pt>
                <c:pt idx="59">
                  <c:v>43677</c:v>
                </c:pt>
                <c:pt idx="60">
                  <c:v>43646</c:v>
                </c:pt>
                <c:pt idx="61">
                  <c:v>43616</c:v>
                </c:pt>
                <c:pt idx="62">
                  <c:v>43585</c:v>
                </c:pt>
                <c:pt idx="63">
                  <c:v>43555</c:v>
                </c:pt>
                <c:pt idx="64">
                  <c:v>43524</c:v>
                </c:pt>
                <c:pt idx="65">
                  <c:v>43496</c:v>
                </c:pt>
                <c:pt idx="66">
                  <c:v>43465</c:v>
                </c:pt>
                <c:pt idx="67">
                  <c:v>43434</c:v>
                </c:pt>
                <c:pt idx="68">
                  <c:v>43404</c:v>
                </c:pt>
                <c:pt idx="69">
                  <c:v>43373</c:v>
                </c:pt>
                <c:pt idx="70">
                  <c:v>43343</c:v>
                </c:pt>
                <c:pt idx="71">
                  <c:v>43312</c:v>
                </c:pt>
                <c:pt idx="72">
                  <c:v>43281</c:v>
                </c:pt>
                <c:pt idx="73">
                  <c:v>43251</c:v>
                </c:pt>
                <c:pt idx="74">
                  <c:v>43220</c:v>
                </c:pt>
                <c:pt idx="75">
                  <c:v>43190</c:v>
                </c:pt>
                <c:pt idx="76">
                  <c:v>43159</c:v>
                </c:pt>
                <c:pt idx="77">
                  <c:v>43131</c:v>
                </c:pt>
                <c:pt idx="78">
                  <c:v>43100</c:v>
                </c:pt>
                <c:pt idx="79">
                  <c:v>43069</c:v>
                </c:pt>
                <c:pt idx="80">
                  <c:v>43039</c:v>
                </c:pt>
                <c:pt idx="81">
                  <c:v>43008</c:v>
                </c:pt>
                <c:pt idx="82">
                  <c:v>42978</c:v>
                </c:pt>
                <c:pt idx="83">
                  <c:v>42947</c:v>
                </c:pt>
                <c:pt idx="84">
                  <c:v>42916</c:v>
                </c:pt>
                <c:pt idx="85">
                  <c:v>42886</c:v>
                </c:pt>
                <c:pt idx="86">
                  <c:v>42855</c:v>
                </c:pt>
                <c:pt idx="87">
                  <c:v>42825</c:v>
                </c:pt>
                <c:pt idx="88">
                  <c:v>42794</c:v>
                </c:pt>
                <c:pt idx="89">
                  <c:v>42766</c:v>
                </c:pt>
                <c:pt idx="90">
                  <c:v>42735</c:v>
                </c:pt>
                <c:pt idx="91">
                  <c:v>42704</c:v>
                </c:pt>
                <c:pt idx="92">
                  <c:v>42674</c:v>
                </c:pt>
                <c:pt idx="93">
                  <c:v>42643</c:v>
                </c:pt>
                <c:pt idx="94">
                  <c:v>42613</c:v>
                </c:pt>
                <c:pt idx="95">
                  <c:v>42582</c:v>
                </c:pt>
                <c:pt idx="96">
                  <c:v>42551</c:v>
                </c:pt>
                <c:pt idx="97">
                  <c:v>42521</c:v>
                </c:pt>
                <c:pt idx="98">
                  <c:v>42490</c:v>
                </c:pt>
                <c:pt idx="99">
                  <c:v>42460</c:v>
                </c:pt>
                <c:pt idx="100">
                  <c:v>42429</c:v>
                </c:pt>
                <c:pt idx="101">
                  <c:v>42400</c:v>
                </c:pt>
                <c:pt idx="102">
                  <c:v>42369</c:v>
                </c:pt>
                <c:pt idx="103">
                  <c:v>42338</c:v>
                </c:pt>
                <c:pt idx="104">
                  <c:v>42308</c:v>
                </c:pt>
                <c:pt idx="105">
                  <c:v>42277</c:v>
                </c:pt>
                <c:pt idx="106">
                  <c:v>42247</c:v>
                </c:pt>
                <c:pt idx="107">
                  <c:v>42216</c:v>
                </c:pt>
                <c:pt idx="108">
                  <c:v>42185</c:v>
                </c:pt>
                <c:pt idx="109">
                  <c:v>42155</c:v>
                </c:pt>
                <c:pt idx="110">
                  <c:v>42124</c:v>
                </c:pt>
                <c:pt idx="111">
                  <c:v>42094</c:v>
                </c:pt>
                <c:pt idx="112">
                  <c:v>42063</c:v>
                </c:pt>
                <c:pt idx="113">
                  <c:v>42035</c:v>
                </c:pt>
                <c:pt idx="114">
                  <c:v>42004</c:v>
                </c:pt>
                <c:pt idx="115">
                  <c:v>41973</c:v>
                </c:pt>
                <c:pt idx="116">
                  <c:v>41943</c:v>
                </c:pt>
                <c:pt idx="117">
                  <c:v>41912</c:v>
                </c:pt>
                <c:pt idx="118">
                  <c:v>41882</c:v>
                </c:pt>
                <c:pt idx="119">
                  <c:v>41851</c:v>
                </c:pt>
                <c:pt idx="120">
                  <c:v>41820</c:v>
                </c:pt>
                <c:pt idx="121">
                  <c:v>41790</c:v>
                </c:pt>
                <c:pt idx="122">
                  <c:v>41759</c:v>
                </c:pt>
                <c:pt idx="123">
                  <c:v>41729</c:v>
                </c:pt>
                <c:pt idx="124">
                  <c:v>41698</c:v>
                </c:pt>
                <c:pt idx="125">
                  <c:v>41670</c:v>
                </c:pt>
                <c:pt idx="126">
                  <c:v>41639</c:v>
                </c:pt>
                <c:pt idx="127">
                  <c:v>41608</c:v>
                </c:pt>
                <c:pt idx="128">
                  <c:v>41578</c:v>
                </c:pt>
                <c:pt idx="129">
                  <c:v>41547</c:v>
                </c:pt>
                <c:pt idx="130">
                  <c:v>41517</c:v>
                </c:pt>
                <c:pt idx="131">
                  <c:v>41486</c:v>
                </c:pt>
                <c:pt idx="132">
                  <c:v>41455</c:v>
                </c:pt>
                <c:pt idx="133">
                  <c:v>41425</c:v>
                </c:pt>
                <c:pt idx="134">
                  <c:v>41394</c:v>
                </c:pt>
                <c:pt idx="135">
                  <c:v>41364</c:v>
                </c:pt>
                <c:pt idx="136">
                  <c:v>41333</c:v>
                </c:pt>
                <c:pt idx="137">
                  <c:v>41305</c:v>
                </c:pt>
                <c:pt idx="138">
                  <c:v>41274</c:v>
                </c:pt>
                <c:pt idx="139">
                  <c:v>41243</c:v>
                </c:pt>
                <c:pt idx="140">
                  <c:v>41213</c:v>
                </c:pt>
                <c:pt idx="141">
                  <c:v>41182</c:v>
                </c:pt>
                <c:pt idx="142">
                  <c:v>41152</c:v>
                </c:pt>
                <c:pt idx="143">
                  <c:v>41121</c:v>
                </c:pt>
                <c:pt idx="144">
                  <c:v>41090</c:v>
                </c:pt>
                <c:pt idx="145">
                  <c:v>41060</c:v>
                </c:pt>
                <c:pt idx="146">
                  <c:v>41029</c:v>
                </c:pt>
                <c:pt idx="147">
                  <c:v>40999</c:v>
                </c:pt>
                <c:pt idx="148">
                  <c:v>40968</c:v>
                </c:pt>
                <c:pt idx="149">
                  <c:v>40939</c:v>
                </c:pt>
                <c:pt idx="150">
                  <c:v>40908</c:v>
                </c:pt>
                <c:pt idx="151">
                  <c:v>40877</c:v>
                </c:pt>
                <c:pt idx="152">
                  <c:v>40847</c:v>
                </c:pt>
                <c:pt idx="153">
                  <c:v>40816</c:v>
                </c:pt>
                <c:pt idx="154">
                  <c:v>40786</c:v>
                </c:pt>
                <c:pt idx="155">
                  <c:v>40755</c:v>
                </c:pt>
                <c:pt idx="156">
                  <c:v>40724</c:v>
                </c:pt>
                <c:pt idx="157">
                  <c:v>40694</c:v>
                </c:pt>
                <c:pt idx="158">
                  <c:v>40663</c:v>
                </c:pt>
                <c:pt idx="159">
                  <c:v>40633</c:v>
                </c:pt>
                <c:pt idx="160">
                  <c:v>40602</c:v>
                </c:pt>
                <c:pt idx="161">
                  <c:v>40574</c:v>
                </c:pt>
                <c:pt idx="162">
                  <c:v>40543</c:v>
                </c:pt>
                <c:pt idx="163">
                  <c:v>40512</c:v>
                </c:pt>
                <c:pt idx="164">
                  <c:v>40482</c:v>
                </c:pt>
                <c:pt idx="165">
                  <c:v>40451</c:v>
                </c:pt>
                <c:pt idx="166">
                  <c:v>40421</c:v>
                </c:pt>
                <c:pt idx="167">
                  <c:v>40390</c:v>
                </c:pt>
                <c:pt idx="168">
                  <c:v>40359</c:v>
                </c:pt>
                <c:pt idx="169">
                  <c:v>40329</c:v>
                </c:pt>
                <c:pt idx="170">
                  <c:v>40298</c:v>
                </c:pt>
                <c:pt idx="171">
                  <c:v>40268</c:v>
                </c:pt>
                <c:pt idx="172">
                  <c:v>40237</c:v>
                </c:pt>
                <c:pt idx="173">
                  <c:v>40209</c:v>
                </c:pt>
                <c:pt idx="174">
                  <c:v>40178</c:v>
                </c:pt>
                <c:pt idx="175">
                  <c:v>40147</c:v>
                </c:pt>
                <c:pt idx="176">
                  <c:v>40117</c:v>
                </c:pt>
                <c:pt idx="177">
                  <c:v>40086</c:v>
                </c:pt>
                <c:pt idx="178">
                  <c:v>40056</c:v>
                </c:pt>
                <c:pt idx="179">
                  <c:v>40025</c:v>
                </c:pt>
                <c:pt idx="180">
                  <c:v>39994</c:v>
                </c:pt>
                <c:pt idx="181">
                  <c:v>39964</c:v>
                </c:pt>
                <c:pt idx="182">
                  <c:v>39933</c:v>
                </c:pt>
                <c:pt idx="183">
                  <c:v>39903</c:v>
                </c:pt>
                <c:pt idx="184">
                  <c:v>39872</c:v>
                </c:pt>
                <c:pt idx="185">
                  <c:v>39844</c:v>
                </c:pt>
                <c:pt idx="186">
                  <c:v>39813</c:v>
                </c:pt>
                <c:pt idx="187">
                  <c:v>39782</c:v>
                </c:pt>
                <c:pt idx="188">
                  <c:v>39752</c:v>
                </c:pt>
                <c:pt idx="189">
                  <c:v>39721</c:v>
                </c:pt>
                <c:pt idx="190">
                  <c:v>39691</c:v>
                </c:pt>
                <c:pt idx="191">
                  <c:v>39660</c:v>
                </c:pt>
                <c:pt idx="192">
                  <c:v>39629</c:v>
                </c:pt>
                <c:pt idx="193">
                  <c:v>39599</c:v>
                </c:pt>
                <c:pt idx="194">
                  <c:v>39568</c:v>
                </c:pt>
                <c:pt idx="195">
                  <c:v>39538</c:v>
                </c:pt>
                <c:pt idx="196">
                  <c:v>39507</c:v>
                </c:pt>
                <c:pt idx="197">
                  <c:v>39478</c:v>
                </c:pt>
                <c:pt idx="198">
                  <c:v>39447</c:v>
                </c:pt>
                <c:pt idx="199">
                  <c:v>39416</c:v>
                </c:pt>
                <c:pt idx="200">
                  <c:v>39386</c:v>
                </c:pt>
                <c:pt idx="201">
                  <c:v>39355</c:v>
                </c:pt>
                <c:pt idx="202">
                  <c:v>39325</c:v>
                </c:pt>
                <c:pt idx="203">
                  <c:v>39294</c:v>
                </c:pt>
                <c:pt idx="204">
                  <c:v>39263</c:v>
                </c:pt>
                <c:pt idx="205">
                  <c:v>39233</c:v>
                </c:pt>
                <c:pt idx="206">
                  <c:v>39202</c:v>
                </c:pt>
                <c:pt idx="207">
                  <c:v>39172</c:v>
                </c:pt>
                <c:pt idx="208">
                  <c:v>39141</c:v>
                </c:pt>
                <c:pt idx="209">
                  <c:v>39113</c:v>
                </c:pt>
                <c:pt idx="210">
                  <c:v>39082</c:v>
                </c:pt>
                <c:pt idx="211">
                  <c:v>39051</c:v>
                </c:pt>
                <c:pt idx="212">
                  <c:v>39021</c:v>
                </c:pt>
                <c:pt idx="213">
                  <c:v>38990</c:v>
                </c:pt>
                <c:pt idx="214">
                  <c:v>38960</c:v>
                </c:pt>
                <c:pt idx="215">
                  <c:v>38929</c:v>
                </c:pt>
                <c:pt idx="216">
                  <c:v>38898</c:v>
                </c:pt>
                <c:pt idx="217">
                  <c:v>38868</c:v>
                </c:pt>
                <c:pt idx="218">
                  <c:v>38837</c:v>
                </c:pt>
                <c:pt idx="219">
                  <c:v>38807</c:v>
                </c:pt>
                <c:pt idx="220">
                  <c:v>38776</c:v>
                </c:pt>
                <c:pt idx="221">
                  <c:v>38748</c:v>
                </c:pt>
                <c:pt idx="222">
                  <c:v>38717</c:v>
                </c:pt>
                <c:pt idx="223">
                  <c:v>38686</c:v>
                </c:pt>
                <c:pt idx="224">
                  <c:v>38656</c:v>
                </c:pt>
                <c:pt idx="225">
                  <c:v>38625</c:v>
                </c:pt>
                <c:pt idx="226">
                  <c:v>38595</c:v>
                </c:pt>
                <c:pt idx="227">
                  <c:v>38564</c:v>
                </c:pt>
                <c:pt idx="228">
                  <c:v>38533</c:v>
                </c:pt>
                <c:pt idx="229">
                  <c:v>38503</c:v>
                </c:pt>
                <c:pt idx="230">
                  <c:v>38472</c:v>
                </c:pt>
                <c:pt idx="231">
                  <c:v>38442</c:v>
                </c:pt>
                <c:pt idx="232">
                  <c:v>38411</c:v>
                </c:pt>
                <c:pt idx="233">
                  <c:v>38383</c:v>
                </c:pt>
                <c:pt idx="234">
                  <c:v>38352</c:v>
                </c:pt>
                <c:pt idx="235">
                  <c:v>38321</c:v>
                </c:pt>
                <c:pt idx="236">
                  <c:v>38291</c:v>
                </c:pt>
                <c:pt idx="237">
                  <c:v>38260</c:v>
                </c:pt>
                <c:pt idx="238">
                  <c:v>38230</c:v>
                </c:pt>
                <c:pt idx="239">
                  <c:v>38199</c:v>
                </c:pt>
                <c:pt idx="240">
                  <c:v>38168</c:v>
                </c:pt>
                <c:pt idx="241">
                  <c:v>38138</c:v>
                </c:pt>
                <c:pt idx="242">
                  <c:v>38107</c:v>
                </c:pt>
                <c:pt idx="243">
                  <c:v>38077</c:v>
                </c:pt>
                <c:pt idx="244">
                  <c:v>38046</c:v>
                </c:pt>
                <c:pt idx="245">
                  <c:v>38017</c:v>
                </c:pt>
                <c:pt idx="246">
                  <c:v>37986</c:v>
                </c:pt>
                <c:pt idx="247">
                  <c:v>37955</c:v>
                </c:pt>
                <c:pt idx="248">
                  <c:v>37925</c:v>
                </c:pt>
                <c:pt idx="249">
                  <c:v>37894</c:v>
                </c:pt>
                <c:pt idx="250">
                  <c:v>37864</c:v>
                </c:pt>
                <c:pt idx="251">
                  <c:v>37833</c:v>
                </c:pt>
                <c:pt idx="252">
                  <c:v>37802</c:v>
                </c:pt>
                <c:pt idx="253">
                  <c:v>37772</c:v>
                </c:pt>
                <c:pt idx="254">
                  <c:v>37741</c:v>
                </c:pt>
                <c:pt idx="255">
                  <c:v>37711</c:v>
                </c:pt>
                <c:pt idx="256">
                  <c:v>37680</c:v>
                </c:pt>
                <c:pt idx="257">
                  <c:v>37652</c:v>
                </c:pt>
                <c:pt idx="258">
                  <c:v>37621</c:v>
                </c:pt>
                <c:pt idx="259">
                  <c:v>37590</c:v>
                </c:pt>
                <c:pt idx="260">
                  <c:v>37560</c:v>
                </c:pt>
                <c:pt idx="261">
                  <c:v>37529</c:v>
                </c:pt>
                <c:pt idx="262">
                  <c:v>37499</c:v>
                </c:pt>
                <c:pt idx="263">
                  <c:v>37468</c:v>
                </c:pt>
                <c:pt idx="264">
                  <c:v>37437</c:v>
                </c:pt>
                <c:pt idx="265">
                  <c:v>37407</c:v>
                </c:pt>
                <c:pt idx="266">
                  <c:v>37376</c:v>
                </c:pt>
                <c:pt idx="267">
                  <c:v>37346</c:v>
                </c:pt>
                <c:pt idx="268">
                  <c:v>37315</c:v>
                </c:pt>
                <c:pt idx="269">
                  <c:v>37287</c:v>
                </c:pt>
                <c:pt idx="270">
                  <c:v>37256</c:v>
                </c:pt>
                <c:pt idx="271">
                  <c:v>37225</c:v>
                </c:pt>
                <c:pt idx="272">
                  <c:v>37195</c:v>
                </c:pt>
                <c:pt idx="273">
                  <c:v>37164</c:v>
                </c:pt>
                <c:pt idx="274">
                  <c:v>37134</c:v>
                </c:pt>
                <c:pt idx="275">
                  <c:v>37103</c:v>
                </c:pt>
                <c:pt idx="276">
                  <c:v>37072</c:v>
                </c:pt>
                <c:pt idx="277">
                  <c:v>37042</c:v>
                </c:pt>
                <c:pt idx="278">
                  <c:v>37011</c:v>
                </c:pt>
                <c:pt idx="279">
                  <c:v>36981</c:v>
                </c:pt>
                <c:pt idx="280">
                  <c:v>36950</c:v>
                </c:pt>
                <c:pt idx="281">
                  <c:v>36922</c:v>
                </c:pt>
                <c:pt idx="282">
                  <c:v>36891</c:v>
                </c:pt>
                <c:pt idx="283">
                  <c:v>36860</c:v>
                </c:pt>
                <c:pt idx="284">
                  <c:v>36830</c:v>
                </c:pt>
                <c:pt idx="285">
                  <c:v>36799</c:v>
                </c:pt>
                <c:pt idx="286">
                  <c:v>36769</c:v>
                </c:pt>
                <c:pt idx="287">
                  <c:v>36738</c:v>
                </c:pt>
                <c:pt idx="288">
                  <c:v>36707</c:v>
                </c:pt>
                <c:pt idx="289">
                  <c:v>36677</c:v>
                </c:pt>
              </c:numCache>
            </c:numRef>
          </c:cat>
          <c:val>
            <c:numRef>
              <c:f>库存与产能周期2!$M$40:$M$329</c:f>
              <c:numCache>
                <c:formatCode>General</c:formatCode>
                <c:ptCount val="29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A1-4E69-8B6E-7C450F91BC53}"/>
            </c:ext>
          </c:extLst>
        </c:ser>
        <c:ser>
          <c:idx val="2"/>
          <c:order val="2"/>
          <c:tx>
            <c:strRef>
              <c:f>库存与产能周期2!$N$3</c:f>
              <c:strCache>
                <c:ptCount val="1"/>
                <c:pt idx="0">
                  <c:v>产能周期下行</c:v>
                </c:pt>
              </c:strCache>
            </c:strRef>
          </c:tx>
          <c:spPr>
            <a:solidFill>
              <a:srgbClr val="F2BA02"/>
            </a:solidFill>
            <a:ln w="25400">
              <a:noFill/>
            </a:ln>
          </c:spPr>
          <c:invertIfNegative val="0"/>
          <c:cat>
            <c:numRef>
              <c:f>库存与产能周期2!$A$40:$A$329</c:f>
              <c:numCache>
                <c:formatCode>yyyy\-mm</c:formatCode>
                <c:ptCount val="290"/>
                <c:pt idx="0">
                  <c:v>45473</c:v>
                </c:pt>
                <c:pt idx="1">
                  <c:v>45443</c:v>
                </c:pt>
                <c:pt idx="2">
                  <c:v>45412</c:v>
                </c:pt>
                <c:pt idx="3">
                  <c:v>45382</c:v>
                </c:pt>
                <c:pt idx="4">
                  <c:v>45351</c:v>
                </c:pt>
                <c:pt idx="5">
                  <c:v>45322</c:v>
                </c:pt>
                <c:pt idx="6">
                  <c:v>45291</c:v>
                </c:pt>
                <c:pt idx="7">
                  <c:v>45260</c:v>
                </c:pt>
                <c:pt idx="8">
                  <c:v>45230</c:v>
                </c:pt>
                <c:pt idx="9">
                  <c:v>45199</c:v>
                </c:pt>
                <c:pt idx="10">
                  <c:v>45169</c:v>
                </c:pt>
                <c:pt idx="11">
                  <c:v>45138</c:v>
                </c:pt>
                <c:pt idx="12">
                  <c:v>45107</c:v>
                </c:pt>
                <c:pt idx="13">
                  <c:v>45077</c:v>
                </c:pt>
                <c:pt idx="14">
                  <c:v>45046</c:v>
                </c:pt>
                <c:pt idx="15">
                  <c:v>45016</c:v>
                </c:pt>
                <c:pt idx="16">
                  <c:v>44985</c:v>
                </c:pt>
                <c:pt idx="17">
                  <c:v>44957</c:v>
                </c:pt>
                <c:pt idx="18">
                  <c:v>44926</c:v>
                </c:pt>
                <c:pt idx="19">
                  <c:v>44895</c:v>
                </c:pt>
                <c:pt idx="20">
                  <c:v>44865</c:v>
                </c:pt>
                <c:pt idx="21">
                  <c:v>44834</c:v>
                </c:pt>
                <c:pt idx="22">
                  <c:v>44804</c:v>
                </c:pt>
                <c:pt idx="23">
                  <c:v>44773</c:v>
                </c:pt>
                <c:pt idx="24">
                  <c:v>44742</c:v>
                </c:pt>
                <c:pt idx="25">
                  <c:v>44712</c:v>
                </c:pt>
                <c:pt idx="26">
                  <c:v>44681</c:v>
                </c:pt>
                <c:pt idx="27">
                  <c:v>44651</c:v>
                </c:pt>
                <c:pt idx="28">
                  <c:v>44620</c:v>
                </c:pt>
                <c:pt idx="29">
                  <c:v>44592</c:v>
                </c:pt>
                <c:pt idx="30">
                  <c:v>44561</c:v>
                </c:pt>
                <c:pt idx="31">
                  <c:v>44530</c:v>
                </c:pt>
                <c:pt idx="32">
                  <c:v>44500</c:v>
                </c:pt>
                <c:pt idx="33">
                  <c:v>44469</c:v>
                </c:pt>
                <c:pt idx="34">
                  <c:v>44439</c:v>
                </c:pt>
                <c:pt idx="35">
                  <c:v>44408</c:v>
                </c:pt>
                <c:pt idx="36">
                  <c:v>44377</c:v>
                </c:pt>
                <c:pt idx="37">
                  <c:v>44347</c:v>
                </c:pt>
                <c:pt idx="38">
                  <c:v>44316</c:v>
                </c:pt>
                <c:pt idx="39">
                  <c:v>44286</c:v>
                </c:pt>
                <c:pt idx="40">
                  <c:v>44255</c:v>
                </c:pt>
                <c:pt idx="41">
                  <c:v>44227</c:v>
                </c:pt>
                <c:pt idx="42">
                  <c:v>44196</c:v>
                </c:pt>
                <c:pt idx="43">
                  <c:v>44165</c:v>
                </c:pt>
                <c:pt idx="44">
                  <c:v>44135</c:v>
                </c:pt>
                <c:pt idx="45">
                  <c:v>44104</c:v>
                </c:pt>
                <c:pt idx="46">
                  <c:v>44074</c:v>
                </c:pt>
                <c:pt idx="47">
                  <c:v>44043</c:v>
                </c:pt>
                <c:pt idx="48">
                  <c:v>44012</c:v>
                </c:pt>
                <c:pt idx="49">
                  <c:v>43982</c:v>
                </c:pt>
                <c:pt idx="50">
                  <c:v>43951</c:v>
                </c:pt>
                <c:pt idx="51">
                  <c:v>43921</c:v>
                </c:pt>
                <c:pt idx="52">
                  <c:v>43890</c:v>
                </c:pt>
                <c:pt idx="53">
                  <c:v>43861</c:v>
                </c:pt>
                <c:pt idx="54">
                  <c:v>43830</c:v>
                </c:pt>
                <c:pt idx="55">
                  <c:v>43799</c:v>
                </c:pt>
                <c:pt idx="56">
                  <c:v>43769</c:v>
                </c:pt>
                <c:pt idx="57">
                  <c:v>43738</c:v>
                </c:pt>
                <c:pt idx="58">
                  <c:v>43708</c:v>
                </c:pt>
                <c:pt idx="59">
                  <c:v>43677</c:v>
                </c:pt>
                <c:pt idx="60">
                  <c:v>43646</c:v>
                </c:pt>
                <c:pt idx="61">
                  <c:v>43616</c:v>
                </c:pt>
                <c:pt idx="62">
                  <c:v>43585</c:v>
                </c:pt>
                <c:pt idx="63">
                  <c:v>43555</c:v>
                </c:pt>
                <c:pt idx="64">
                  <c:v>43524</c:v>
                </c:pt>
                <c:pt idx="65">
                  <c:v>43496</c:v>
                </c:pt>
                <c:pt idx="66">
                  <c:v>43465</c:v>
                </c:pt>
                <c:pt idx="67">
                  <c:v>43434</c:v>
                </c:pt>
                <c:pt idx="68">
                  <c:v>43404</c:v>
                </c:pt>
                <c:pt idx="69">
                  <c:v>43373</c:v>
                </c:pt>
                <c:pt idx="70">
                  <c:v>43343</c:v>
                </c:pt>
                <c:pt idx="71">
                  <c:v>43312</c:v>
                </c:pt>
                <c:pt idx="72">
                  <c:v>43281</c:v>
                </c:pt>
                <c:pt idx="73">
                  <c:v>43251</c:v>
                </c:pt>
                <c:pt idx="74">
                  <c:v>43220</c:v>
                </c:pt>
                <c:pt idx="75">
                  <c:v>43190</c:v>
                </c:pt>
                <c:pt idx="76">
                  <c:v>43159</c:v>
                </c:pt>
                <c:pt idx="77">
                  <c:v>43131</c:v>
                </c:pt>
                <c:pt idx="78">
                  <c:v>43100</c:v>
                </c:pt>
                <c:pt idx="79">
                  <c:v>43069</c:v>
                </c:pt>
                <c:pt idx="80">
                  <c:v>43039</c:v>
                </c:pt>
                <c:pt idx="81">
                  <c:v>43008</c:v>
                </c:pt>
                <c:pt idx="82">
                  <c:v>42978</c:v>
                </c:pt>
                <c:pt idx="83">
                  <c:v>42947</c:v>
                </c:pt>
                <c:pt idx="84">
                  <c:v>42916</c:v>
                </c:pt>
                <c:pt idx="85">
                  <c:v>42886</c:v>
                </c:pt>
                <c:pt idx="86">
                  <c:v>42855</c:v>
                </c:pt>
                <c:pt idx="87">
                  <c:v>42825</c:v>
                </c:pt>
                <c:pt idx="88">
                  <c:v>42794</c:v>
                </c:pt>
                <c:pt idx="89">
                  <c:v>42766</c:v>
                </c:pt>
                <c:pt idx="90">
                  <c:v>42735</c:v>
                </c:pt>
                <c:pt idx="91">
                  <c:v>42704</c:v>
                </c:pt>
                <c:pt idx="92">
                  <c:v>42674</c:v>
                </c:pt>
                <c:pt idx="93">
                  <c:v>42643</c:v>
                </c:pt>
                <c:pt idx="94">
                  <c:v>42613</c:v>
                </c:pt>
                <c:pt idx="95">
                  <c:v>42582</c:v>
                </c:pt>
                <c:pt idx="96">
                  <c:v>42551</c:v>
                </c:pt>
                <c:pt idx="97">
                  <c:v>42521</c:v>
                </c:pt>
                <c:pt idx="98">
                  <c:v>42490</c:v>
                </c:pt>
                <c:pt idx="99">
                  <c:v>42460</c:v>
                </c:pt>
                <c:pt idx="100">
                  <c:v>42429</c:v>
                </c:pt>
                <c:pt idx="101">
                  <c:v>42400</c:v>
                </c:pt>
                <c:pt idx="102">
                  <c:v>42369</c:v>
                </c:pt>
                <c:pt idx="103">
                  <c:v>42338</c:v>
                </c:pt>
                <c:pt idx="104">
                  <c:v>42308</c:v>
                </c:pt>
                <c:pt idx="105">
                  <c:v>42277</c:v>
                </c:pt>
                <c:pt idx="106">
                  <c:v>42247</c:v>
                </c:pt>
                <c:pt idx="107">
                  <c:v>42216</c:v>
                </c:pt>
                <c:pt idx="108">
                  <c:v>42185</c:v>
                </c:pt>
                <c:pt idx="109">
                  <c:v>42155</c:v>
                </c:pt>
                <c:pt idx="110">
                  <c:v>42124</c:v>
                </c:pt>
                <c:pt idx="111">
                  <c:v>42094</c:v>
                </c:pt>
                <c:pt idx="112">
                  <c:v>42063</c:v>
                </c:pt>
                <c:pt idx="113">
                  <c:v>42035</c:v>
                </c:pt>
                <c:pt idx="114">
                  <c:v>42004</c:v>
                </c:pt>
                <c:pt idx="115">
                  <c:v>41973</c:v>
                </c:pt>
                <c:pt idx="116">
                  <c:v>41943</c:v>
                </c:pt>
                <c:pt idx="117">
                  <c:v>41912</c:v>
                </c:pt>
                <c:pt idx="118">
                  <c:v>41882</c:v>
                </c:pt>
                <c:pt idx="119">
                  <c:v>41851</c:v>
                </c:pt>
                <c:pt idx="120">
                  <c:v>41820</c:v>
                </c:pt>
                <c:pt idx="121">
                  <c:v>41790</c:v>
                </c:pt>
                <c:pt idx="122">
                  <c:v>41759</c:v>
                </c:pt>
                <c:pt idx="123">
                  <c:v>41729</c:v>
                </c:pt>
                <c:pt idx="124">
                  <c:v>41698</c:v>
                </c:pt>
                <c:pt idx="125">
                  <c:v>41670</c:v>
                </c:pt>
                <c:pt idx="126">
                  <c:v>41639</c:v>
                </c:pt>
                <c:pt idx="127">
                  <c:v>41608</c:v>
                </c:pt>
                <c:pt idx="128">
                  <c:v>41578</c:v>
                </c:pt>
                <c:pt idx="129">
                  <c:v>41547</c:v>
                </c:pt>
                <c:pt idx="130">
                  <c:v>41517</c:v>
                </c:pt>
                <c:pt idx="131">
                  <c:v>41486</c:v>
                </c:pt>
                <c:pt idx="132">
                  <c:v>41455</c:v>
                </c:pt>
                <c:pt idx="133">
                  <c:v>41425</c:v>
                </c:pt>
                <c:pt idx="134">
                  <c:v>41394</c:v>
                </c:pt>
                <c:pt idx="135">
                  <c:v>41364</c:v>
                </c:pt>
                <c:pt idx="136">
                  <c:v>41333</c:v>
                </c:pt>
                <c:pt idx="137">
                  <c:v>41305</c:v>
                </c:pt>
                <c:pt idx="138">
                  <c:v>41274</c:v>
                </c:pt>
                <c:pt idx="139">
                  <c:v>41243</c:v>
                </c:pt>
                <c:pt idx="140">
                  <c:v>41213</c:v>
                </c:pt>
                <c:pt idx="141">
                  <c:v>41182</c:v>
                </c:pt>
                <c:pt idx="142">
                  <c:v>41152</c:v>
                </c:pt>
                <c:pt idx="143">
                  <c:v>41121</c:v>
                </c:pt>
                <c:pt idx="144">
                  <c:v>41090</c:v>
                </c:pt>
                <c:pt idx="145">
                  <c:v>41060</c:v>
                </c:pt>
                <c:pt idx="146">
                  <c:v>41029</c:v>
                </c:pt>
                <c:pt idx="147">
                  <c:v>40999</c:v>
                </c:pt>
                <c:pt idx="148">
                  <c:v>40968</c:v>
                </c:pt>
                <c:pt idx="149">
                  <c:v>40939</c:v>
                </c:pt>
                <c:pt idx="150">
                  <c:v>40908</c:v>
                </c:pt>
                <c:pt idx="151">
                  <c:v>40877</c:v>
                </c:pt>
                <c:pt idx="152">
                  <c:v>40847</c:v>
                </c:pt>
                <c:pt idx="153">
                  <c:v>40816</c:v>
                </c:pt>
                <c:pt idx="154">
                  <c:v>40786</c:v>
                </c:pt>
                <c:pt idx="155">
                  <c:v>40755</c:v>
                </c:pt>
                <c:pt idx="156">
                  <c:v>40724</c:v>
                </c:pt>
                <c:pt idx="157">
                  <c:v>40694</c:v>
                </c:pt>
                <c:pt idx="158">
                  <c:v>40663</c:v>
                </c:pt>
                <c:pt idx="159">
                  <c:v>40633</c:v>
                </c:pt>
                <c:pt idx="160">
                  <c:v>40602</c:v>
                </c:pt>
                <c:pt idx="161">
                  <c:v>40574</c:v>
                </c:pt>
                <c:pt idx="162">
                  <c:v>40543</c:v>
                </c:pt>
                <c:pt idx="163">
                  <c:v>40512</c:v>
                </c:pt>
                <c:pt idx="164">
                  <c:v>40482</c:v>
                </c:pt>
                <c:pt idx="165">
                  <c:v>40451</c:v>
                </c:pt>
                <c:pt idx="166">
                  <c:v>40421</c:v>
                </c:pt>
                <c:pt idx="167">
                  <c:v>40390</c:v>
                </c:pt>
                <c:pt idx="168">
                  <c:v>40359</c:v>
                </c:pt>
                <c:pt idx="169">
                  <c:v>40329</c:v>
                </c:pt>
                <c:pt idx="170">
                  <c:v>40298</c:v>
                </c:pt>
                <c:pt idx="171">
                  <c:v>40268</c:v>
                </c:pt>
                <c:pt idx="172">
                  <c:v>40237</c:v>
                </c:pt>
                <c:pt idx="173">
                  <c:v>40209</c:v>
                </c:pt>
                <c:pt idx="174">
                  <c:v>40178</c:v>
                </c:pt>
                <c:pt idx="175">
                  <c:v>40147</c:v>
                </c:pt>
                <c:pt idx="176">
                  <c:v>40117</c:v>
                </c:pt>
                <c:pt idx="177">
                  <c:v>40086</c:v>
                </c:pt>
                <c:pt idx="178">
                  <c:v>40056</c:v>
                </c:pt>
                <c:pt idx="179">
                  <c:v>40025</c:v>
                </c:pt>
                <c:pt idx="180">
                  <c:v>39994</c:v>
                </c:pt>
                <c:pt idx="181">
                  <c:v>39964</c:v>
                </c:pt>
                <c:pt idx="182">
                  <c:v>39933</c:v>
                </c:pt>
                <c:pt idx="183">
                  <c:v>39903</c:v>
                </c:pt>
                <c:pt idx="184">
                  <c:v>39872</c:v>
                </c:pt>
                <c:pt idx="185">
                  <c:v>39844</c:v>
                </c:pt>
                <c:pt idx="186">
                  <c:v>39813</c:v>
                </c:pt>
                <c:pt idx="187">
                  <c:v>39782</c:v>
                </c:pt>
                <c:pt idx="188">
                  <c:v>39752</c:v>
                </c:pt>
                <c:pt idx="189">
                  <c:v>39721</c:v>
                </c:pt>
                <c:pt idx="190">
                  <c:v>39691</c:v>
                </c:pt>
                <c:pt idx="191">
                  <c:v>39660</c:v>
                </c:pt>
                <c:pt idx="192">
                  <c:v>39629</c:v>
                </c:pt>
                <c:pt idx="193">
                  <c:v>39599</c:v>
                </c:pt>
                <c:pt idx="194">
                  <c:v>39568</c:v>
                </c:pt>
                <c:pt idx="195">
                  <c:v>39538</c:v>
                </c:pt>
                <c:pt idx="196">
                  <c:v>39507</c:v>
                </c:pt>
                <c:pt idx="197">
                  <c:v>39478</c:v>
                </c:pt>
                <c:pt idx="198">
                  <c:v>39447</c:v>
                </c:pt>
                <c:pt idx="199">
                  <c:v>39416</c:v>
                </c:pt>
                <c:pt idx="200">
                  <c:v>39386</c:v>
                </c:pt>
                <c:pt idx="201">
                  <c:v>39355</c:v>
                </c:pt>
                <c:pt idx="202">
                  <c:v>39325</c:v>
                </c:pt>
                <c:pt idx="203">
                  <c:v>39294</c:v>
                </c:pt>
                <c:pt idx="204">
                  <c:v>39263</c:v>
                </c:pt>
                <c:pt idx="205">
                  <c:v>39233</c:v>
                </c:pt>
                <c:pt idx="206">
                  <c:v>39202</c:v>
                </c:pt>
                <c:pt idx="207">
                  <c:v>39172</c:v>
                </c:pt>
                <c:pt idx="208">
                  <c:v>39141</c:v>
                </c:pt>
                <c:pt idx="209">
                  <c:v>39113</c:v>
                </c:pt>
                <c:pt idx="210">
                  <c:v>39082</c:v>
                </c:pt>
                <c:pt idx="211">
                  <c:v>39051</c:v>
                </c:pt>
                <c:pt idx="212">
                  <c:v>39021</c:v>
                </c:pt>
                <c:pt idx="213">
                  <c:v>38990</c:v>
                </c:pt>
                <c:pt idx="214">
                  <c:v>38960</c:v>
                </c:pt>
                <c:pt idx="215">
                  <c:v>38929</c:v>
                </c:pt>
                <c:pt idx="216">
                  <c:v>38898</c:v>
                </c:pt>
                <c:pt idx="217">
                  <c:v>38868</c:v>
                </c:pt>
                <c:pt idx="218">
                  <c:v>38837</c:v>
                </c:pt>
                <c:pt idx="219">
                  <c:v>38807</c:v>
                </c:pt>
                <c:pt idx="220">
                  <c:v>38776</c:v>
                </c:pt>
                <c:pt idx="221">
                  <c:v>38748</c:v>
                </c:pt>
                <c:pt idx="222">
                  <c:v>38717</c:v>
                </c:pt>
                <c:pt idx="223">
                  <c:v>38686</c:v>
                </c:pt>
                <c:pt idx="224">
                  <c:v>38656</c:v>
                </c:pt>
                <c:pt idx="225">
                  <c:v>38625</c:v>
                </c:pt>
                <c:pt idx="226">
                  <c:v>38595</c:v>
                </c:pt>
                <c:pt idx="227">
                  <c:v>38564</c:v>
                </c:pt>
                <c:pt idx="228">
                  <c:v>38533</c:v>
                </c:pt>
                <c:pt idx="229">
                  <c:v>38503</c:v>
                </c:pt>
                <c:pt idx="230">
                  <c:v>38472</c:v>
                </c:pt>
                <c:pt idx="231">
                  <c:v>38442</c:v>
                </c:pt>
                <c:pt idx="232">
                  <c:v>38411</c:v>
                </c:pt>
                <c:pt idx="233">
                  <c:v>38383</c:v>
                </c:pt>
                <c:pt idx="234">
                  <c:v>38352</c:v>
                </c:pt>
                <c:pt idx="235">
                  <c:v>38321</c:v>
                </c:pt>
                <c:pt idx="236">
                  <c:v>38291</c:v>
                </c:pt>
                <c:pt idx="237">
                  <c:v>38260</c:v>
                </c:pt>
                <c:pt idx="238">
                  <c:v>38230</c:v>
                </c:pt>
                <c:pt idx="239">
                  <c:v>38199</c:v>
                </c:pt>
                <c:pt idx="240">
                  <c:v>38168</c:v>
                </c:pt>
                <c:pt idx="241">
                  <c:v>38138</c:v>
                </c:pt>
                <c:pt idx="242">
                  <c:v>38107</c:v>
                </c:pt>
                <c:pt idx="243">
                  <c:v>38077</c:v>
                </c:pt>
                <c:pt idx="244">
                  <c:v>38046</c:v>
                </c:pt>
                <c:pt idx="245">
                  <c:v>38017</c:v>
                </c:pt>
                <c:pt idx="246">
                  <c:v>37986</c:v>
                </c:pt>
                <c:pt idx="247">
                  <c:v>37955</c:v>
                </c:pt>
                <c:pt idx="248">
                  <c:v>37925</c:v>
                </c:pt>
                <c:pt idx="249">
                  <c:v>37894</c:v>
                </c:pt>
                <c:pt idx="250">
                  <c:v>37864</c:v>
                </c:pt>
                <c:pt idx="251">
                  <c:v>37833</c:v>
                </c:pt>
                <c:pt idx="252">
                  <c:v>37802</c:v>
                </c:pt>
                <c:pt idx="253">
                  <c:v>37772</c:v>
                </c:pt>
                <c:pt idx="254">
                  <c:v>37741</c:v>
                </c:pt>
                <c:pt idx="255">
                  <c:v>37711</c:v>
                </c:pt>
                <c:pt idx="256">
                  <c:v>37680</c:v>
                </c:pt>
                <c:pt idx="257">
                  <c:v>37652</c:v>
                </c:pt>
                <c:pt idx="258">
                  <c:v>37621</c:v>
                </c:pt>
                <c:pt idx="259">
                  <c:v>37590</c:v>
                </c:pt>
                <c:pt idx="260">
                  <c:v>37560</c:v>
                </c:pt>
                <c:pt idx="261">
                  <c:v>37529</c:v>
                </c:pt>
                <c:pt idx="262">
                  <c:v>37499</c:v>
                </c:pt>
                <c:pt idx="263">
                  <c:v>37468</c:v>
                </c:pt>
                <c:pt idx="264">
                  <c:v>37437</c:v>
                </c:pt>
                <c:pt idx="265">
                  <c:v>37407</c:v>
                </c:pt>
                <c:pt idx="266">
                  <c:v>37376</c:v>
                </c:pt>
                <c:pt idx="267">
                  <c:v>37346</c:v>
                </c:pt>
                <c:pt idx="268">
                  <c:v>37315</c:v>
                </c:pt>
                <c:pt idx="269">
                  <c:v>37287</c:v>
                </c:pt>
                <c:pt idx="270">
                  <c:v>37256</c:v>
                </c:pt>
                <c:pt idx="271">
                  <c:v>37225</c:v>
                </c:pt>
                <c:pt idx="272">
                  <c:v>37195</c:v>
                </c:pt>
                <c:pt idx="273">
                  <c:v>37164</c:v>
                </c:pt>
                <c:pt idx="274">
                  <c:v>37134</c:v>
                </c:pt>
                <c:pt idx="275">
                  <c:v>37103</c:v>
                </c:pt>
                <c:pt idx="276">
                  <c:v>37072</c:v>
                </c:pt>
                <c:pt idx="277">
                  <c:v>37042</c:v>
                </c:pt>
                <c:pt idx="278">
                  <c:v>37011</c:v>
                </c:pt>
                <c:pt idx="279">
                  <c:v>36981</c:v>
                </c:pt>
                <c:pt idx="280">
                  <c:v>36950</c:v>
                </c:pt>
                <c:pt idx="281">
                  <c:v>36922</c:v>
                </c:pt>
                <c:pt idx="282">
                  <c:v>36891</c:v>
                </c:pt>
                <c:pt idx="283">
                  <c:v>36860</c:v>
                </c:pt>
                <c:pt idx="284">
                  <c:v>36830</c:v>
                </c:pt>
                <c:pt idx="285">
                  <c:v>36799</c:v>
                </c:pt>
                <c:pt idx="286">
                  <c:v>36769</c:v>
                </c:pt>
                <c:pt idx="287">
                  <c:v>36738</c:v>
                </c:pt>
                <c:pt idx="288">
                  <c:v>36707</c:v>
                </c:pt>
                <c:pt idx="289">
                  <c:v>36677</c:v>
                </c:pt>
              </c:numCache>
            </c:numRef>
          </c:cat>
          <c:val>
            <c:numRef>
              <c:f>库存与产能周期2!$N$40:$N$329</c:f>
              <c:numCache>
                <c:formatCode>General</c:formatCode>
                <c:ptCount val="29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A1-4E69-8B6E-7C450F91BC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66354246"/>
        <c:axId val="113572970"/>
      </c:barChart>
      <c:lineChart>
        <c:grouping val="standard"/>
        <c:varyColors val="0"/>
        <c:ser>
          <c:idx val="0"/>
          <c:order val="0"/>
          <c:tx>
            <c:strRef>
              <c:f>库存与产能周期2!$D$3</c:f>
              <c:strCache>
                <c:ptCount val="1"/>
                <c:pt idx="0">
                  <c:v>朱格拉周期</c:v>
                </c:pt>
              </c:strCache>
            </c:strRef>
          </c:tx>
          <c:spPr>
            <a:ln w="15875" cap="rnd" cmpd="sng" algn="ctr">
              <a:solidFill>
                <a:srgbClr val="004477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库存与产能周期2!$A$40:$A$329</c:f>
              <c:numCache>
                <c:formatCode>yyyy\-mm</c:formatCode>
                <c:ptCount val="290"/>
                <c:pt idx="0">
                  <c:v>45473</c:v>
                </c:pt>
                <c:pt idx="1">
                  <c:v>45443</c:v>
                </c:pt>
                <c:pt idx="2">
                  <c:v>45412</c:v>
                </c:pt>
                <c:pt idx="3">
                  <c:v>45382</c:v>
                </c:pt>
                <c:pt idx="4">
                  <c:v>45351</c:v>
                </c:pt>
                <c:pt idx="5">
                  <c:v>45322</c:v>
                </c:pt>
                <c:pt idx="6">
                  <c:v>45291</c:v>
                </c:pt>
                <c:pt idx="7">
                  <c:v>45260</c:v>
                </c:pt>
                <c:pt idx="8">
                  <c:v>45230</c:v>
                </c:pt>
                <c:pt idx="9">
                  <c:v>45199</c:v>
                </c:pt>
                <c:pt idx="10">
                  <c:v>45169</c:v>
                </c:pt>
                <c:pt idx="11">
                  <c:v>45138</c:v>
                </c:pt>
                <c:pt idx="12">
                  <c:v>45107</c:v>
                </c:pt>
                <c:pt idx="13">
                  <c:v>45077</c:v>
                </c:pt>
                <c:pt idx="14">
                  <c:v>45046</c:v>
                </c:pt>
                <c:pt idx="15">
                  <c:v>45016</c:v>
                </c:pt>
                <c:pt idx="16">
                  <c:v>44985</c:v>
                </c:pt>
                <c:pt idx="17">
                  <c:v>44957</c:v>
                </c:pt>
                <c:pt idx="18">
                  <c:v>44926</c:v>
                </c:pt>
                <c:pt idx="19">
                  <c:v>44895</c:v>
                </c:pt>
                <c:pt idx="20">
                  <c:v>44865</c:v>
                </c:pt>
                <c:pt idx="21">
                  <c:v>44834</c:v>
                </c:pt>
                <c:pt idx="22">
                  <c:v>44804</c:v>
                </c:pt>
                <c:pt idx="23">
                  <c:v>44773</c:v>
                </c:pt>
                <c:pt idx="24">
                  <c:v>44742</c:v>
                </c:pt>
                <c:pt idx="25">
                  <c:v>44712</c:v>
                </c:pt>
                <c:pt idx="26">
                  <c:v>44681</c:v>
                </c:pt>
                <c:pt idx="27">
                  <c:v>44651</c:v>
                </c:pt>
                <c:pt idx="28">
                  <c:v>44620</c:v>
                </c:pt>
                <c:pt idx="29">
                  <c:v>44592</c:v>
                </c:pt>
                <c:pt idx="30">
                  <c:v>44561</c:v>
                </c:pt>
                <c:pt idx="31">
                  <c:v>44530</c:v>
                </c:pt>
                <c:pt idx="32">
                  <c:v>44500</c:v>
                </c:pt>
                <c:pt idx="33">
                  <c:v>44469</c:v>
                </c:pt>
                <c:pt idx="34">
                  <c:v>44439</c:v>
                </c:pt>
                <c:pt idx="35">
                  <c:v>44408</c:v>
                </c:pt>
                <c:pt idx="36">
                  <c:v>44377</c:v>
                </c:pt>
                <c:pt idx="37">
                  <c:v>44347</c:v>
                </c:pt>
                <c:pt idx="38">
                  <c:v>44316</c:v>
                </c:pt>
                <c:pt idx="39">
                  <c:v>44286</c:v>
                </c:pt>
                <c:pt idx="40">
                  <c:v>44255</c:v>
                </c:pt>
                <c:pt idx="41">
                  <c:v>44227</c:v>
                </c:pt>
                <c:pt idx="42">
                  <c:v>44196</c:v>
                </c:pt>
                <c:pt idx="43">
                  <c:v>44165</c:v>
                </c:pt>
                <c:pt idx="44">
                  <c:v>44135</c:v>
                </c:pt>
                <c:pt idx="45">
                  <c:v>44104</c:v>
                </c:pt>
                <c:pt idx="46">
                  <c:v>44074</c:v>
                </c:pt>
                <c:pt idx="47">
                  <c:v>44043</c:v>
                </c:pt>
                <c:pt idx="48">
                  <c:v>44012</c:v>
                </c:pt>
                <c:pt idx="49">
                  <c:v>43982</c:v>
                </c:pt>
                <c:pt idx="50">
                  <c:v>43951</c:v>
                </c:pt>
                <c:pt idx="51">
                  <c:v>43921</c:v>
                </c:pt>
                <c:pt idx="52">
                  <c:v>43890</c:v>
                </c:pt>
                <c:pt idx="53">
                  <c:v>43861</c:v>
                </c:pt>
                <c:pt idx="54">
                  <c:v>43830</c:v>
                </c:pt>
                <c:pt idx="55">
                  <c:v>43799</c:v>
                </c:pt>
                <c:pt idx="56">
                  <c:v>43769</c:v>
                </c:pt>
                <c:pt idx="57">
                  <c:v>43738</c:v>
                </c:pt>
                <c:pt idx="58">
                  <c:v>43708</c:v>
                </c:pt>
                <c:pt idx="59">
                  <c:v>43677</c:v>
                </c:pt>
                <c:pt idx="60">
                  <c:v>43646</c:v>
                </c:pt>
                <c:pt idx="61">
                  <c:v>43616</c:v>
                </c:pt>
                <c:pt idx="62">
                  <c:v>43585</c:v>
                </c:pt>
                <c:pt idx="63">
                  <c:v>43555</c:v>
                </c:pt>
                <c:pt idx="64">
                  <c:v>43524</c:v>
                </c:pt>
                <c:pt idx="65">
                  <c:v>43496</c:v>
                </c:pt>
                <c:pt idx="66">
                  <c:v>43465</c:v>
                </c:pt>
                <c:pt idx="67">
                  <c:v>43434</c:v>
                </c:pt>
                <c:pt idx="68">
                  <c:v>43404</c:v>
                </c:pt>
                <c:pt idx="69">
                  <c:v>43373</c:v>
                </c:pt>
                <c:pt idx="70">
                  <c:v>43343</c:v>
                </c:pt>
                <c:pt idx="71">
                  <c:v>43312</c:v>
                </c:pt>
                <c:pt idx="72">
                  <c:v>43281</c:v>
                </c:pt>
                <c:pt idx="73">
                  <c:v>43251</c:v>
                </c:pt>
                <c:pt idx="74">
                  <c:v>43220</c:v>
                </c:pt>
                <c:pt idx="75">
                  <c:v>43190</c:v>
                </c:pt>
                <c:pt idx="76">
                  <c:v>43159</c:v>
                </c:pt>
                <c:pt idx="77">
                  <c:v>43131</c:v>
                </c:pt>
                <c:pt idx="78">
                  <c:v>43100</c:v>
                </c:pt>
                <c:pt idx="79">
                  <c:v>43069</c:v>
                </c:pt>
                <c:pt idx="80">
                  <c:v>43039</c:v>
                </c:pt>
                <c:pt idx="81">
                  <c:v>43008</c:v>
                </c:pt>
                <c:pt idx="82">
                  <c:v>42978</c:v>
                </c:pt>
                <c:pt idx="83">
                  <c:v>42947</c:v>
                </c:pt>
                <c:pt idx="84">
                  <c:v>42916</c:v>
                </c:pt>
                <c:pt idx="85">
                  <c:v>42886</c:v>
                </c:pt>
                <c:pt idx="86">
                  <c:v>42855</c:v>
                </c:pt>
                <c:pt idx="87">
                  <c:v>42825</c:v>
                </c:pt>
                <c:pt idx="88">
                  <c:v>42794</c:v>
                </c:pt>
                <c:pt idx="89">
                  <c:v>42766</c:v>
                </c:pt>
                <c:pt idx="90">
                  <c:v>42735</c:v>
                </c:pt>
                <c:pt idx="91">
                  <c:v>42704</c:v>
                </c:pt>
                <c:pt idx="92">
                  <c:v>42674</c:v>
                </c:pt>
                <c:pt idx="93">
                  <c:v>42643</c:v>
                </c:pt>
                <c:pt idx="94">
                  <c:v>42613</c:v>
                </c:pt>
                <c:pt idx="95">
                  <c:v>42582</c:v>
                </c:pt>
                <c:pt idx="96">
                  <c:v>42551</c:v>
                </c:pt>
                <c:pt idx="97">
                  <c:v>42521</c:v>
                </c:pt>
                <c:pt idx="98">
                  <c:v>42490</c:v>
                </c:pt>
                <c:pt idx="99">
                  <c:v>42460</c:v>
                </c:pt>
                <c:pt idx="100">
                  <c:v>42429</c:v>
                </c:pt>
                <c:pt idx="101">
                  <c:v>42400</c:v>
                </c:pt>
                <c:pt idx="102">
                  <c:v>42369</c:v>
                </c:pt>
                <c:pt idx="103">
                  <c:v>42338</c:v>
                </c:pt>
                <c:pt idx="104">
                  <c:v>42308</c:v>
                </c:pt>
                <c:pt idx="105">
                  <c:v>42277</c:v>
                </c:pt>
                <c:pt idx="106">
                  <c:v>42247</c:v>
                </c:pt>
                <c:pt idx="107">
                  <c:v>42216</c:v>
                </c:pt>
                <c:pt idx="108">
                  <c:v>42185</c:v>
                </c:pt>
                <c:pt idx="109">
                  <c:v>42155</c:v>
                </c:pt>
                <c:pt idx="110">
                  <c:v>42124</c:v>
                </c:pt>
                <c:pt idx="111">
                  <c:v>42094</c:v>
                </c:pt>
                <c:pt idx="112">
                  <c:v>42063</c:v>
                </c:pt>
                <c:pt idx="113">
                  <c:v>42035</c:v>
                </c:pt>
                <c:pt idx="114">
                  <c:v>42004</c:v>
                </c:pt>
                <c:pt idx="115">
                  <c:v>41973</c:v>
                </c:pt>
                <c:pt idx="116">
                  <c:v>41943</c:v>
                </c:pt>
                <c:pt idx="117">
                  <c:v>41912</c:v>
                </c:pt>
                <c:pt idx="118">
                  <c:v>41882</c:v>
                </c:pt>
                <c:pt idx="119">
                  <c:v>41851</c:v>
                </c:pt>
                <c:pt idx="120">
                  <c:v>41820</c:v>
                </c:pt>
                <c:pt idx="121">
                  <c:v>41790</c:v>
                </c:pt>
                <c:pt idx="122">
                  <c:v>41759</c:v>
                </c:pt>
                <c:pt idx="123">
                  <c:v>41729</c:v>
                </c:pt>
                <c:pt idx="124">
                  <c:v>41698</c:v>
                </c:pt>
                <c:pt idx="125">
                  <c:v>41670</c:v>
                </c:pt>
                <c:pt idx="126">
                  <c:v>41639</c:v>
                </c:pt>
                <c:pt idx="127">
                  <c:v>41608</c:v>
                </c:pt>
                <c:pt idx="128">
                  <c:v>41578</c:v>
                </c:pt>
                <c:pt idx="129">
                  <c:v>41547</c:v>
                </c:pt>
                <c:pt idx="130">
                  <c:v>41517</c:v>
                </c:pt>
                <c:pt idx="131">
                  <c:v>41486</c:v>
                </c:pt>
                <c:pt idx="132">
                  <c:v>41455</c:v>
                </c:pt>
                <c:pt idx="133">
                  <c:v>41425</c:v>
                </c:pt>
                <c:pt idx="134">
                  <c:v>41394</c:v>
                </c:pt>
                <c:pt idx="135">
                  <c:v>41364</c:v>
                </c:pt>
                <c:pt idx="136">
                  <c:v>41333</c:v>
                </c:pt>
                <c:pt idx="137">
                  <c:v>41305</c:v>
                </c:pt>
                <c:pt idx="138">
                  <c:v>41274</c:v>
                </c:pt>
                <c:pt idx="139">
                  <c:v>41243</c:v>
                </c:pt>
                <c:pt idx="140">
                  <c:v>41213</c:v>
                </c:pt>
                <c:pt idx="141">
                  <c:v>41182</c:v>
                </c:pt>
                <c:pt idx="142">
                  <c:v>41152</c:v>
                </c:pt>
                <c:pt idx="143">
                  <c:v>41121</c:v>
                </c:pt>
                <c:pt idx="144">
                  <c:v>41090</c:v>
                </c:pt>
                <c:pt idx="145">
                  <c:v>41060</c:v>
                </c:pt>
                <c:pt idx="146">
                  <c:v>41029</c:v>
                </c:pt>
                <c:pt idx="147">
                  <c:v>40999</c:v>
                </c:pt>
                <c:pt idx="148">
                  <c:v>40968</c:v>
                </c:pt>
                <c:pt idx="149">
                  <c:v>40939</c:v>
                </c:pt>
                <c:pt idx="150">
                  <c:v>40908</c:v>
                </c:pt>
                <c:pt idx="151">
                  <c:v>40877</c:v>
                </c:pt>
                <c:pt idx="152">
                  <c:v>40847</c:v>
                </c:pt>
                <c:pt idx="153">
                  <c:v>40816</c:v>
                </c:pt>
                <c:pt idx="154">
                  <c:v>40786</c:v>
                </c:pt>
                <c:pt idx="155">
                  <c:v>40755</c:v>
                </c:pt>
                <c:pt idx="156">
                  <c:v>40724</c:v>
                </c:pt>
                <c:pt idx="157">
                  <c:v>40694</c:v>
                </c:pt>
                <c:pt idx="158">
                  <c:v>40663</c:v>
                </c:pt>
                <c:pt idx="159">
                  <c:v>40633</c:v>
                </c:pt>
                <c:pt idx="160">
                  <c:v>40602</c:v>
                </c:pt>
                <c:pt idx="161">
                  <c:v>40574</c:v>
                </c:pt>
                <c:pt idx="162">
                  <c:v>40543</c:v>
                </c:pt>
                <c:pt idx="163">
                  <c:v>40512</c:v>
                </c:pt>
                <c:pt idx="164">
                  <c:v>40482</c:v>
                </c:pt>
                <c:pt idx="165">
                  <c:v>40451</c:v>
                </c:pt>
                <c:pt idx="166">
                  <c:v>40421</c:v>
                </c:pt>
                <c:pt idx="167">
                  <c:v>40390</c:v>
                </c:pt>
                <c:pt idx="168">
                  <c:v>40359</c:v>
                </c:pt>
                <c:pt idx="169">
                  <c:v>40329</c:v>
                </c:pt>
                <c:pt idx="170">
                  <c:v>40298</c:v>
                </c:pt>
                <c:pt idx="171">
                  <c:v>40268</c:v>
                </c:pt>
                <c:pt idx="172">
                  <c:v>40237</c:v>
                </c:pt>
                <c:pt idx="173">
                  <c:v>40209</c:v>
                </c:pt>
                <c:pt idx="174">
                  <c:v>40178</c:v>
                </c:pt>
                <c:pt idx="175">
                  <c:v>40147</c:v>
                </c:pt>
                <c:pt idx="176">
                  <c:v>40117</c:v>
                </c:pt>
                <c:pt idx="177">
                  <c:v>40086</c:v>
                </c:pt>
                <c:pt idx="178">
                  <c:v>40056</c:v>
                </c:pt>
                <c:pt idx="179">
                  <c:v>40025</c:v>
                </c:pt>
                <c:pt idx="180">
                  <c:v>39994</c:v>
                </c:pt>
                <c:pt idx="181">
                  <c:v>39964</c:v>
                </c:pt>
                <c:pt idx="182">
                  <c:v>39933</c:v>
                </c:pt>
                <c:pt idx="183">
                  <c:v>39903</c:v>
                </c:pt>
                <c:pt idx="184">
                  <c:v>39872</c:v>
                </c:pt>
                <c:pt idx="185">
                  <c:v>39844</c:v>
                </c:pt>
                <c:pt idx="186">
                  <c:v>39813</c:v>
                </c:pt>
                <c:pt idx="187">
                  <c:v>39782</c:v>
                </c:pt>
                <c:pt idx="188">
                  <c:v>39752</c:v>
                </c:pt>
                <c:pt idx="189">
                  <c:v>39721</c:v>
                </c:pt>
                <c:pt idx="190">
                  <c:v>39691</c:v>
                </c:pt>
                <c:pt idx="191">
                  <c:v>39660</c:v>
                </c:pt>
                <c:pt idx="192">
                  <c:v>39629</c:v>
                </c:pt>
                <c:pt idx="193">
                  <c:v>39599</c:v>
                </c:pt>
                <c:pt idx="194">
                  <c:v>39568</c:v>
                </c:pt>
                <c:pt idx="195">
                  <c:v>39538</c:v>
                </c:pt>
                <c:pt idx="196">
                  <c:v>39507</c:v>
                </c:pt>
                <c:pt idx="197">
                  <c:v>39478</c:v>
                </c:pt>
                <c:pt idx="198">
                  <c:v>39447</c:v>
                </c:pt>
                <c:pt idx="199">
                  <c:v>39416</c:v>
                </c:pt>
                <c:pt idx="200">
                  <c:v>39386</c:v>
                </c:pt>
                <c:pt idx="201">
                  <c:v>39355</c:v>
                </c:pt>
                <c:pt idx="202">
                  <c:v>39325</c:v>
                </c:pt>
                <c:pt idx="203">
                  <c:v>39294</c:v>
                </c:pt>
                <c:pt idx="204">
                  <c:v>39263</c:v>
                </c:pt>
                <c:pt idx="205">
                  <c:v>39233</c:v>
                </c:pt>
                <c:pt idx="206">
                  <c:v>39202</c:v>
                </c:pt>
                <c:pt idx="207">
                  <c:v>39172</c:v>
                </c:pt>
                <c:pt idx="208">
                  <c:v>39141</c:v>
                </c:pt>
                <c:pt idx="209">
                  <c:v>39113</c:v>
                </c:pt>
                <c:pt idx="210">
                  <c:v>39082</c:v>
                </c:pt>
                <c:pt idx="211">
                  <c:v>39051</c:v>
                </c:pt>
                <c:pt idx="212">
                  <c:v>39021</c:v>
                </c:pt>
                <c:pt idx="213">
                  <c:v>38990</c:v>
                </c:pt>
                <c:pt idx="214">
                  <c:v>38960</c:v>
                </c:pt>
                <c:pt idx="215">
                  <c:v>38929</c:v>
                </c:pt>
                <c:pt idx="216">
                  <c:v>38898</c:v>
                </c:pt>
                <c:pt idx="217">
                  <c:v>38868</c:v>
                </c:pt>
                <c:pt idx="218">
                  <c:v>38837</c:v>
                </c:pt>
                <c:pt idx="219">
                  <c:v>38807</c:v>
                </c:pt>
                <c:pt idx="220">
                  <c:v>38776</c:v>
                </c:pt>
                <c:pt idx="221">
                  <c:v>38748</c:v>
                </c:pt>
                <c:pt idx="222">
                  <c:v>38717</c:v>
                </c:pt>
                <c:pt idx="223">
                  <c:v>38686</c:v>
                </c:pt>
                <c:pt idx="224">
                  <c:v>38656</c:v>
                </c:pt>
                <c:pt idx="225">
                  <c:v>38625</c:v>
                </c:pt>
                <c:pt idx="226">
                  <c:v>38595</c:v>
                </c:pt>
                <c:pt idx="227">
                  <c:v>38564</c:v>
                </c:pt>
                <c:pt idx="228">
                  <c:v>38533</c:v>
                </c:pt>
                <c:pt idx="229">
                  <c:v>38503</c:v>
                </c:pt>
                <c:pt idx="230">
                  <c:v>38472</c:v>
                </c:pt>
                <c:pt idx="231">
                  <c:v>38442</c:v>
                </c:pt>
                <c:pt idx="232">
                  <c:v>38411</c:v>
                </c:pt>
                <c:pt idx="233">
                  <c:v>38383</c:v>
                </c:pt>
                <c:pt idx="234">
                  <c:v>38352</c:v>
                </c:pt>
                <c:pt idx="235">
                  <c:v>38321</c:v>
                </c:pt>
                <c:pt idx="236">
                  <c:v>38291</c:v>
                </c:pt>
                <c:pt idx="237">
                  <c:v>38260</c:v>
                </c:pt>
                <c:pt idx="238">
                  <c:v>38230</c:v>
                </c:pt>
                <c:pt idx="239">
                  <c:v>38199</c:v>
                </c:pt>
                <c:pt idx="240">
                  <c:v>38168</c:v>
                </c:pt>
                <c:pt idx="241">
                  <c:v>38138</c:v>
                </c:pt>
                <c:pt idx="242">
                  <c:v>38107</c:v>
                </c:pt>
                <c:pt idx="243">
                  <c:v>38077</c:v>
                </c:pt>
                <c:pt idx="244">
                  <c:v>38046</c:v>
                </c:pt>
                <c:pt idx="245">
                  <c:v>38017</c:v>
                </c:pt>
                <c:pt idx="246">
                  <c:v>37986</c:v>
                </c:pt>
                <c:pt idx="247">
                  <c:v>37955</c:v>
                </c:pt>
                <c:pt idx="248">
                  <c:v>37925</c:v>
                </c:pt>
                <c:pt idx="249">
                  <c:v>37894</c:v>
                </c:pt>
                <c:pt idx="250">
                  <c:v>37864</c:v>
                </c:pt>
                <c:pt idx="251">
                  <c:v>37833</c:v>
                </c:pt>
                <c:pt idx="252">
                  <c:v>37802</c:v>
                </c:pt>
                <c:pt idx="253">
                  <c:v>37772</c:v>
                </c:pt>
                <c:pt idx="254">
                  <c:v>37741</c:v>
                </c:pt>
                <c:pt idx="255">
                  <c:v>37711</c:v>
                </c:pt>
                <c:pt idx="256">
                  <c:v>37680</c:v>
                </c:pt>
                <c:pt idx="257">
                  <c:v>37652</c:v>
                </c:pt>
                <c:pt idx="258">
                  <c:v>37621</c:v>
                </c:pt>
                <c:pt idx="259">
                  <c:v>37590</c:v>
                </c:pt>
                <c:pt idx="260">
                  <c:v>37560</c:v>
                </c:pt>
                <c:pt idx="261">
                  <c:v>37529</c:v>
                </c:pt>
                <c:pt idx="262">
                  <c:v>37499</c:v>
                </c:pt>
                <c:pt idx="263">
                  <c:v>37468</c:v>
                </c:pt>
                <c:pt idx="264">
                  <c:v>37437</c:v>
                </c:pt>
                <c:pt idx="265">
                  <c:v>37407</c:v>
                </c:pt>
                <c:pt idx="266">
                  <c:v>37376</c:v>
                </c:pt>
                <c:pt idx="267">
                  <c:v>37346</c:v>
                </c:pt>
                <c:pt idx="268">
                  <c:v>37315</c:v>
                </c:pt>
                <c:pt idx="269">
                  <c:v>37287</c:v>
                </c:pt>
                <c:pt idx="270">
                  <c:v>37256</c:v>
                </c:pt>
                <c:pt idx="271">
                  <c:v>37225</c:v>
                </c:pt>
                <c:pt idx="272">
                  <c:v>37195</c:v>
                </c:pt>
                <c:pt idx="273">
                  <c:v>37164</c:v>
                </c:pt>
                <c:pt idx="274">
                  <c:v>37134</c:v>
                </c:pt>
                <c:pt idx="275">
                  <c:v>37103</c:v>
                </c:pt>
                <c:pt idx="276">
                  <c:v>37072</c:v>
                </c:pt>
                <c:pt idx="277">
                  <c:v>37042</c:v>
                </c:pt>
                <c:pt idx="278">
                  <c:v>37011</c:v>
                </c:pt>
                <c:pt idx="279">
                  <c:v>36981</c:v>
                </c:pt>
                <c:pt idx="280">
                  <c:v>36950</c:v>
                </c:pt>
                <c:pt idx="281">
                  <c:v>36922</c:v>
                </c:pt>
                <c:pt idx="282">
                  <c:v>36891</c:v>
                </c:pt>
                <c:pt idx="283">
                  <c:v>36860</c:v>
                </c:pt>
                <c:pt idx="284">
                  <c:v>36830</c:v>
                </c:pt>
                <c:pt idx="285">
                  <c:v>36799</c:v>
                </c:pt>
                <c:pt idx="286">
                  <c:v>36769</c:v>
                </c:pt>
                <c:pt idx="287">
                  <c:v>36738</c:v>
                </c:pt>
                <c:pt idx="288">
                  <c:v>36707</c:v>
                </c:pt>
                <c:pt idx="289">
                  <c:v>36677</c:v>
                </c:pt>
              </c:numCache>
            </c:numRef>
          </c:cat>
          <c:val>
            <c:numRef>
              <c:f>库存与产能周期2!$D$40:$D$329</c:f>
              <c:numCache>
                <c:formatCode>0.00</c:formatCode>
                <c:ptCount val="290"/>
                <c:pt idx="0">
                  <c:v>40</c:v>
                </c:pt>
                <c:pt idx="1">
                  <c:v>#N/A</c:v>
                </c:pt>
                <c:pt idx="2">
                  <c:v>#N/A</c:v>
                </c:pt>
                <c:pt idx="3">
                  <c:v>38</c:v>
                </c:pt>
                <c:pt idx="4">
                  <c:v>#N/A</c:v>
                </c:pt>
                <c:pt idx="5">
                  <c:v>#N/A</c:v>
                </c:pt>
                <c:pt idx="6">
                  <c:v>40.1</c:v>
                </c:pt>
                <c:pt idx="7">
                  <c:v>#N/A</c:v>
                </c:pt>
                <c:pt idx="8">
                  <c:v>#N/A</c:v>
                </c:pt>
                <c:pt idx="9">
                  <c:v>38.799999999999997</c:v>
                </c:pt>
                <c:pt idx="10">
                  <c:v>#N/A</c:v>
                </c:pt>
                <c:pt idx="11">
                  <c:v>#N/A</c:v>
                </c:pt>
                <c:pt idx="12">
                  <c:v>38.9</c:v>
                </c:pt>
                <c:pt idx="13">
                  <c:v>#N/A</c:v>
                </c:pt>
                <c:pt idx="14">
                  <c:v>#N/A</c:v>
                </c:pt>
                <c:pt idx="15">
                  <c:v>37.700000000000003</c:v>
                </c:pt>
                <c:pt idx="16">
                  <c:v>#N/A</c:v>
                </c:pt>
                <c:pt idx="17">
                  <c:v>#N/A</c:v>
                </c:pt>
                <c:pt idx="18">
                  <c:v>36.4</c:v>
                </c:pt>
                <c:pt idx="19">
                  <c:v>#N/A</c:v>
                </c:pt>
                <c:pt idx="20">
                  <c:v>#N/A</c:v>
                </c:pt>
                <c:pt idx="21">
                  <c:v>37.200000000000003</c:v>
                </c:pt>
                <c:pt idx="22">
                  <c:v>#N/A</c:v>
                </c:pt>
                <c:pt idx="23">
                  <c:v>#N/A</c:v>
                </c:pt>
                <c:pt idx="24">
                  <c:v>37.200000000000003</c:v>
                </c:pt>
                <c:pt idx="25">
                  <c:v>#N/A</c:v>
                </c:pt>
                <c:pt idx="26">
                  <c:v>#N/A</c:v>
                </c:pt>
                <c:pt idx="27">
                  <c:v>40.700000000000003</c:v>
                </c:pt>
                <c:pt idx="28">
                  <c:v>#N/A</c:v>
                </c:pt>
                <c:pt idx="29">
                  <c:v>#N/A</c:v>
                </c:pt>
                <c:pt idx="30">
                  <c:v>43.1</c:v>
                </c:pt>
                <c:pt idx="31">
                  <c:v>#N/A</c:v>
                </c:pt>
                <c:pt idx="32">
                  <c:v>#N/A</c:v>
                </c:pt>
                <c:pt idx="33">
                  <c:v>43.4</c:v>
                </c:pt>
                <c:pt idx="34">
                  <c:v>#N/A</c:v>
                </c:pt>
                <c:pt idx="35">
                  <c:v>#N/A</c:v>
                </c:pt>
                <c:pt idx="36">
                  <c:v>45.8</c:v>
                </c:pt>
                <c:pt idx="37">
                  <c:v>#N/A</c:v>
                </c:pt>
                <c:pt idx="38">
                  <c:v>#N/A</c:v>
                </c:pt>
                <c:pt idx="39">
                  <c:v>42.4</c:v>
                </c:pt>
                <c:pt idx="40">
                  <c:v>#N/A</c:v>
                </c:pt>
                <c:pt idx="41">
                  <c:v>#N/A</c:v>
                </c:pt>
                <c:pt idx="42">
                  <c:v>44.4</c:v>
                </c:pt>
                <c:pt idx="43">
                  <c:v>#N/A</c:v>
                </c:pt>
                <c:pt idx="44">
                  <c:v>#N/A</c:v>
                </c:pt>
                <c:pt idx="45">
                  <c:v>40.299999999999997</c:v>
                </c:pt>
                <c:pt idx="46">
                  <c:v>#N/A</c:v>
                </c:pt>
                <c:pt idx="47">
                  <c:v>#N/A</c:v>
                </c:pt>
                <c:pt idx="48">
                  <c:v>38.1</c:v>
                </c:pt>
                <c:pt idx="49">
                  <c:v>#N/A</c:v>
                </c:pt>
                <c:pt idx="50">
                  <c:v>#N/A</c:v>
                </c:pt>
                <c:pt idx="51">
                  <c:v>21.6</c:v>
                </c:pt>
                <c:pt idx="52">
                  <c:v>#N/A</c:v>
                </c:pt>
                <c:pt idx="53">
                  <c:v>#N/A</c:v>
                </c:pt>
                <c:pt idx="54">
                  <c:v>42.7</c:v>
                </c:pt>
                <c:pt idx="55">
                  <c:v>#N/A</c:v>
                </c:pt>
                <c:pt idx="56">
                  <c:v>#N/A</c:v>
                </c:pt>
                <c:pt idx="57">
                  <c:v>41.4</c:v>
                </c:pt>
                <c:pt idx="58">
                  <c:v>#N/A</c:v>
                </c:pt>
                <c:pt idx="59">
                  <c:v>#N/A</c:v>
                </c:pt>
                <c:pt idx="60">
                  <c:v>42.8</c:v>
                </c:pt>
                <c:pt idx="61">
                  <c:v>#N/A</c:v>
                </c:pt>
                <c:pt idx="62">
                  <c:v>#N/A</c:v>
                </c:pt>
                <c:pt idx="63">
                  <c:v>41.4</c:v>
                </c:pt>
                <c:pt idx="64">
                  <c:v>#N/A</c:v>
                </c:pt>
                <c:pt idx="65">
                  <c:v>#N/A</c:v>
                </c:pt>
                <c:pt idx="66">
                  <c:v>43.6</c:v>
                </c:pt>
                <c:pt idx="67">
                  <c:v>#N/A</c:v>
                </c:pt>
                <c:pt idx="68">
                  <c:v>#N/A</c:v>
                </c:pt>
                <c:pt idx="69">
                  <c:v>42.5</c:v>
                </c:pt>
                <c:pt idx="70">
                  <c:v>#N/A</c:v>
                </c:pt>
                <c:pt idx="71">
                  <c:v>#N/A</c:v>
                </c:pt>
                <c:pt idx="72">
                  <c:v>43.7</c:v>
                </c:pt>
                <c:pt idx="73">
                  <c:v>#N/A</c:v>
                </c:pt>
                <c:pt idx="74">
                  <c:v>#N/A</c:v>
                </c:pt>
                <c:pt idx="75">
                  <c:v>41.4</c:v>
                </c:pt>
                <c:pt idx="76">
                  <c:v>#N/A</c:v>
                </c:pt>
                <c:pt idx="77">
                  <c:v>#N/A</c:v>
                </c:pt>
                <c:pt idx="78">
                  <c:v>43.8</c:v>
                </c:pt>
                <c:pt idx="79">
                  <c:v>#N/A</c:v>
                </c:pt>
                <c:pt idx="80">
                  <c:v>#N/A</c:v>
                </c:pt>
                <c:pt idx="81">
                  <c:v>41.3</c:v>
                </c:pt>
                <c:pt idx="82">
                  <c:v>#N/A</c:v>
                </c:pt>
                <c:pt idx="83">
                  <c:v>#N/A</c:v>
                </c:pt>
                <c:pt idx="84">
                  <c:v>41.1</c:v>
                </c:pt>
                <c:pt idx="85">
                  <c:v>#N/A</c:v>
                </c:pt>
                <c:pt idx="86">
                  <c:v>#N/A</c:v>
                </c:pt>
                <c:pt idx="87">
                  <c:v>38.700000000000003</c:v>
                </c:pt>
                <c:pt idx="88">
                  <c:v>#N/A</c:v>
                </c:pt>
                <c:pt idx="89">
                  <c:v>#N/A</c:v>
                </c:pt>
                <c:pt idx="90">
                  <c:v>40.1</c:v>
                </c:pt>
                <c:pt idx="91">
                  <c:v>#N/A</c:v>
                </c:pt>
                <c:pt idx="92">
                  <c:v>#N/A</c:v>
                </c:pt>
                <c:pt idx="93">
                  <c:v>37.700000000000003</c:v>
                </c:pt>
                <c:pt idx="94">
                  <c:v>#N/A</c:v>
                </c:pt>
                <c:pt idx="95">
                  <c:v>#N/A</c:v>
                </c:pt>
                <c:pt idx="96">
                  <c:v>36.799999999999997</c:v>
                </c:pt>
                <c:pt idx="97">
                  <c:v>#N/A</c:v>
                </c:pt>
                <c:pt idx="98">
                  <c:v>#N/A</c:v>
                </c:pt>
                <c:pt idx="99">
                  <c:v>35.200000000000003</c:v>
                </c:pt>
                <c:pt idx="100">
                  <c:v>#N/A</c:v>
                </c:pt>
                <c:pt idx="101">
                  <c:v>#N/A</c:v>
                </c:pt>
                <c:pt idx="102">
                  <c:v>36.9</c:v>
                </c:pt>
                <c:pt idx="103">
                  <c:v>#N/A</c:v>
                </c:pt>
                <c:pt idx="104">
                  <c:v>#N/A</c:v>
                </c:pt>
                <c:pt idx="105">
                  <c:v>37.200000000000003</c:v>
                </c:pt>
                <c:pt idx="106">
                  <c:v>#N/A</c:v>
                </c:pt>
                <c:pt idx="107">
                  <c:v>#N/A</c:v>
                </c:pt>
                <c:pt idx="108">
                  <c:v>39.200000000000003</c:v>
                </c:pt>
                <c:pt idx="109">
                  <c:v>#N/A</c:v>
                </c:pt>
                <c:pt idx="110">
                  <c:v>#N/A</c:v>
                </c:pt>
                <c:pt idx="111">
                  <c:v>39</c:v>
                </c:pt>
                <c:pt idx="112">
                  <c:v>#N/A</c:v>
                </c:pt>
                <c:pt idx="113">
                  <c:v>#N/A</c:v>
                </c:pt>
                <c:pt idx="114">
                  <c:v>40.4</c:v>
                </c:pt>
                <c:pt idx="115">
                  <c:v>#N/A</c:v>
                </c:pt>
                <c:pt idx="116">
                  <c:v>#N/A</c:v>
                </c:pt>
                <c:pt idx="117">
                  <c:v>40.6</c:v>
                </c:pt>
                <c:pt idx="118">
                  <c:v>#N/A</c:v>
                </c:pt>
                <c:pt idx="119">
                  <c:v>#N/A</c:v>
                </c:pt>
                <c:pt idx="120">
                  <c:v>40.6</c:v>
                </c:pt>
                <c:pt idx="121">
                  <c:v>#N/A</c:v>
                </c:pt>
                <c:pt idx="122">
                  <c:v>#N/A</c:v>
                </c:pt>
                <c:pt idx="123">
                  <c:v>39.200000000000003</c:v>
                </c:pt>
                <c:pt idx="124">
                  <c:v>#N/A</c:v>
                </c:pt>
                <c:pt idx="125">
                  <c:v>#N/A</c:v>
                </c:pt>
                <c:pt idx="126">
                  <c:v>41.2</c:v>
                </c:pt>
                <c:pt idx="127">
                  <c:v>#N/A</c:v>
                </c:pt>
                <c:pt idx="128">
                  <c:v>#N/A</c:v>
                </c:pt>
                <c:pt idx="129">
                  <c:v>39.799999999999997</c:v>
                </c:pt>
                <c:pt idx="130">
                  <c:v>#N/A</c:v>
                </c:pt>
                <c:pt idx="131">
                  <c:v>#N/A</c:v>
                </c:pt>
                <c:pt idx="132">
                  <c:v>40.6</c:v>
                </c:pt>
                <c:pt idx="133">
                  <c:v>#N/A</c:v>
                </c:pt>
                <c:pt idx="134">
                  <c:v>#N/A</c:v>
                </c:pt>
                <c:pt idx="135">
                  <c:v>39.299999999999997</c:v>
                </c:pt>
                <c:pt idx="136">
                  <c:v>#N/A</c:v>
                </c:pt>
                <c:pt idx="137">
                  <c:v>#N/A</c:v>
                </c:pt>
                <c:pt idx="138">
                  <c:v>40</c:v>
                </c:pt>
                <c:pt idx="139">
                  <c:v>#N/A</c:v>
                </c:pt>
                <c:pt idx="140">
                  <c:v>#N/A</c:v>
                </c:pt>
                <c:pt idx="141">
                  <c:v>39.700000000000003</c:v>
                </c:pt>
                <c:pt idx="142">
                  <c:v>#N/A</c:v>
                </c:pt>
                <c:pt idx="143">
                  <c:v>#N/A</c:v>
                </c:pt>
                <c:pt idx="144">
                  <c:v>40.9</c:v>
                </c:pt>
                <c:pt idx="145">
                  <c:v>#N/A</c:v>
                </c:pt>
                <c:pt idx="146">
                  <c:v>#N/A</c:v>
                </c:pt>
                <c:pt idx="147">
                  <c:v>40.4</c:v>
                </c:pt>
                <c:pt idx="148">
                  <c:v>#N/A</c:v>
                </c:pt>
                <c:pt idx="149">
                  <c:v>#N/A</c:v>
                </c:pt>
                <c:pt idx="150">
                  <c:v>42.39</c:v>
                </c:pt>
                <c:pt idx="151">
                  <c:v>#N/A</c:v>
                </c:pt>
                <c:pt idx="152">
                  <c:v>#N/A</c:v>
                </c:pt>
                <c:pt idx="153">
                  <c:v>42.95</c:v>
                </c:pt>
                <c:pt idx="154">
                  <c:v>#N/A</c:v>
                </c:pt>
                <c:pt idx="155">
                  <c:v>#N/A</c:v>
                </c:pt>
                <c:pt idx="156">
                  <c:v>43.76</c:v>
                </c:pt>
                <c:pt idx="157">
                  <c:v>#N/A</c:v>
                </c:pt>
                <c:pt idx="158">
                  <c:v>#N/A</c:v>
                </c:pt>
                <c:pt idx="159">
                  <c:v>43.12</c:v>
                </c:pt>
                <c:pt idx="160">
                  <c:v>#N/A</c:v>
                </c:pt>
                <c:pt idx="161">
                  <c:v>#N/A</c:v>
                </c:pt>
                <c:pt idx="162">
                  <c:v>43.8</c:v>
                </c:pt>
                <c:pt idx="163">
                  <c:v>#N/A</c:v>
                </c:pt>
                <c:pt idx="164">
                  <c:v>#N/A</c:v>
                </c:pt>
                <c:pt idx="165">
                  <c:v>43.64</c:v>
                </c:pt>
                <c:pt idx="166">
                  <c:v>#N/A</c:v>
                </c:pt>
                <c:pt idx="167">
                  <c:v>#N/A</c:v>
                </c:pt>
                <c:pt idx="168">
                  <c:v>43.64</c:v>
                </c:pt>
                <c:pt idx="169">
                  <c:v>#N/A</c:v>
                </c:pt>
                <c:pt idx="170">
                  <c:v>#N/A</c:v>
                </c:pt>
                <c:pt idx="171">
                  <c:v>42.01</c:v>
                </c:pt>
                <c:pt idx="172">
                  <c:v>#N/A</c:v>
                </c:pt>
                <c:pt idx="173">
                  <c:v>#N/A</c:v>
                </c:pt>
                <c:pt idx="174">
                  <c:v>41.54</c:v>
                </c:pt>
                <c:pt idx="175">
                  <c:v>#N/A</c:v>
                </c:pt>
                <c:pt idx="176">
                  <c:v>#N/A</c:v>
                </c:pt>
                <c:pt idx="177">
                  <c:v>39.1</c:v>
                </c:pt>
                <c:pt idx="178">
                  <c:v>#N/A</c:v>
                </c:pt>
                <c:pt idx="179">
                  <c:v>#N/A</c:v>
                </c:pt>
                <c:pt idx="180">
                  <c:v>37.79</c:v>
                </c:pt>
                <c:pt idx="181">
                  <c:v>#N/A</c:v>
                </c:pt>
                <c:pt idx="182">
                  <c:v>#N/A</c:v>
                </c:pt>
                <c:pt idx="183">
                  <c:v>36.28</c:v>
                </c:pt>
                <c:pt idx="184">
                  <c:v>#N/A</c:v>
                </c:pt>
                <c:pt idx="185">
                  <c:v>#N/A</c:v>
                </c:pt>
                <c:pt idx="186">
                  <c:v>38.520000000000003</c:v>
                </c:pt>
                <c:pt idx="187">
                  <c:v>#N/A</c:v>
                </c:pt>
                <c:pt idx="188">
                  <c:v>#N/A</c:v>
                </c:pt>
                <c:pt idx="189">
                  <c:v>43.1</c:v>
                </c:pt>
                <c:pt idx="190">
                  <c:v>#N/A</c:v>
                </c:pt>
                <c:pt idx="191">
                  <c:v>#N/A</c:v>
                </c:pt>
                <c:pt idx="192">
                  <c:v>44.42</c:v>
                </c:pt>
                <c:pt idx="193">
                  <c:v>#N/A</c:v>
                </c:pt>
                <c:pt idx="194">
                  <c:v>#N/A</c:v>
                </c:pt>
                <c:pt idx="195">
                  <c:v>43.36</c:v>
                </c:pt>
                <c:pt idx="196">
                  <c:v>#N/A</c:v>
                </c:pt>
                <c:pt idx="197">
                  <c:v>#N/A</c:v>
                </c:pt>
                <c:pt idx="198">
                  <c:v>45.5</c:v>
                </c:pt>
                <c:pt idx="199">
                  <c:v>#N/A</c:v>
                </c:pt>
                <c:pt idx="200">
                  <c:v>#N/A</c:v>
                </c:pt>
                <c:pt idx="201">
                  <c:v>45.1</c:v>
                </c:pt>
                <c:pt idx="202">
                  <c:v>#N/A</c:v>
                </c:pt>
                <c:pt idx="203">
                  <c:v>#N/A</c:v>
                </c:pt>
                <c:pt idx="204">
                  <c:v>45.2</c:v>
                </c:pt>
                <c:pt idx="205">
                  <c:v>#N/A</c:v>
                </c:pt>
                <c:pt idx="206">
                  <c:v>#N/A</c:v>
                </c:pt>
                <c:pt idx="207">
                  <c:v>44.1</c:v>
                </c:pt>
                <c:pt idx="208">
                  <c:v>#N/A</c:v>
                </c:pt>
                <c:pt idx="209">
                  <c:v>#N/A</c:v>
                </c:pt>
                <c:pt idx="210">
                  <c:v>45.1</c:v>
                </c:pt>
                <c:pt idx="211">
                  <c:v>#N/A</c:v>
                </c:pt>
                <c:pt idx="212">
                  <c:v>#N/A</c:v>
                </c:pt>
                <c:pt idx="213">
                  <c:v>44.4</c:v>
                </c:pt>
                <c:pt idx="214">
                  <c:v>#N/A</c:v>
                </c:pt>
                <c:pt idx="215">
                  <c:v>#N/A</c:v>
                </c:pt>
                <c:pt idx="216">
                  <c:v>44.8</c:v>
                </c:pt>
                <c:pt idx="217">
                  <c:v>#N/A</c:v>
                </c:pt>
                <c:pt idx="218">
                  <c:v>#N/A</c:v>
                </c:pt>
                <c:pt idx="219">
                  <c:v>43.5</c:v>
                </c:pt>
                <c:pt idx="220">
                  <c:v>#N/A</c:v>
                </c:pt>
                <c:pt idx="221">
                  <c:v>#N/A</c:v>
                </c:pt>
                <c:pt idx="222">
                  <c:v>43.9</c:v>
                </c:pt>
                <c:pt idx="223">
                  <c:v>#N/A</c:v>
                </c:pt>
                <c:pt idx="224">
                  <c:v>#N/A</c:v>
                </c:pt>
                <c:pt idx="225">
                  <c:v>43.85</c:v>
                </c:pt>
                <c:pt idx="226">
                  <c:v>#N/A</c:v>
                </c:pt>
                <c:pt idx="227">
                  <c:v>#N/A</c:v>
                </c:pt>
                <c:pt idx="228">
                  <c:v>43.65</c:v>
                </c:pt>
                <c:pt idx="229">
                  <c:v>#N/A</c:v>
                </c:pt>
                <c:pt idx="230">
                  <c:v>#N/A</c:v>
                </c:pt>
                <c:pt idx="231">
                  <c:v>42.35</c:v>
                </c:pt>
                <c:pt idx="232">
                  <c:v>#N/A</c:v>
                </c:pt>
                <c:pt idx="233">
                  <c:v>#N/A</c:v>
                </c:pt>
                <c:pt idx="234">
                  <c:v>43</c:v>
                </c:pt>
                <c:pt idx="235">
                  <c:v>#N/A</c:v>
                </c:pt>
                <c:pt idx="236">
                  <c:v>#N/A</c:v>
                </c:pt>
                <c:pt idx="237">
                  <c:v>42.4</c:v>
                </c:pt>
                <c:pt idx="238">
                  <c:v>#N/A</c:v>
                </c:pt>
                <c:pt idx="239">
                  <c:v>#N/A</c:v>
                </c:pt>
                <c:pt idx="240">
                  <c:v>42.75</c:v>
                </c:pt>
                <c:pt idx="241">
                  <c:v>#N/A</c:v>
                </c:pt>
                <c:pt idx="242">
                  <c:v>#N/A</c:v>
                </c:pt>
                <c:pt idx="243">
                  <c:v>41.5</c:v>
                </c:pt>
                <c:pt idx="244">
                  <c:v>#N/A</c:v>
                </c:pt>
                <c:pt idx="245">
                  <c:v>#N/A</c:v>
                </c:pt>
                <c:pt idx="246">
                  <c:v>42.6</c:v>
                </c:pt>
                <c:pt idx="247">
                  <c:v>#N/A</c:v>
                </c:pt>
                <c:pt idx="248">
                  <c:v>#N/A</c:v>
                </c:pt>
                <c:pt idx="249">
                  <c:v>41.9</c:v>
                </c:pt>
                <c:pt idx="250">
                  <c:v>#N/A</c:v>
                </c:pt>
                <c:pt idx="251">
                  <c:v>#N/A</c:v>
                </c:pt>
                <c:pt idx="252">
                  <c:v>41.65</c:v>
                </c:pt>
                <c:pt idx="253">
                  <c:v>#N/A</c:v>
                </c:pt>
                <c:pt idx="254">
                  <c:v>#N/A</c:v>
                </c:pt>
                <c:pt idx="255">
                  <c:v>41.05</c:v>
                </c:pt>
                <c:pt idx="256">
                  <c:v>#N/A</c:v>
                </c:pt>
                <c:pt idx="257">
                  <c:v>#N/A</c:v>
                </c:pt>
                <c:pt idx="258">
                  <c:v>41.25</c:v>
                </c:pt>
                <c:pt idx="259">
                  <c:v>#N/A</c:v>
                </c:pt>
                <c:pt idx="260">
                  <c:v>#N/A</c:v>
                </c:pt>
                <c:pt idx="261">
                  <c:v>40.65</c:v>
                </c:pt>
                <c:pt idx="262">
                  <c:v>#N/A</c:v>
                </c:pt>
                <c:pt idx="263">
                  <c:v>#N/A</c:v>
                </c:pt>
                <c:pt idx="264">
                  <c:v>38.700000000000003</c:v>
                </c:pt>
                <c:pt idx="265">
                  <c:v>#N/A</c:v>
                </c:pt>
                <c:pt idx="266">
                  <c:v>#N/A</c:v>
                </c:pt>
                <c:pt idx="267">
                  <c:v>37.15</c:v>
                </c:pt>
                <c:pt idx="268">
                  <c:v>#N/A</c:v>
                </c:pt>
                <c:pt idx="269">
                  <c:v>#N/A</c:v>
                </c:pt>
                <c:pt idx="270">
                  <c:v>36.85</c:v>
                </c:pt>
                <c:pt idx="271">
                  <c:v>#N/A</c:v>
                </c:pt>
                <c:pt idx="272">
                  <c:v>#N/A</c:v>
                </c:pt>
                <c:pt idx="273">
                  <c:v>36.4</c:v>
                </c:pt>
                <c:pt idx="274">
                  <c:v>#N/A</c:v>
                </c:pt>
                <c:pt idx="275">
                  <c:v>#N/A</c:v>
                </c:pt>
                <c:pt idx="276">
                  <c:v>37.15</c:v>
                </c:pt>
                <c:pt idx="277">
                  <c:v>#N/A</c:v>
                </c:pt>
                <c:pt idx="278">
                  <c:v>#N/A</c:v>
                </c:pt>
                <c:pt idx="279">
                  <c:v>36.15</c:v>
                </c:pt>
                <c:pt idx="280">
                  <c:v>#N/A</c:v>
                </c:pt>
                <c:pt idx="281">
                  <c:v>#N/A</c:v>
                </c:pt>
                <c:pt idx="282">
                  <c:v>36.15</c:v>
                </c:pt>
                <c:pt idx="283">
                  <c:v>#N/A</c:v>
                </c:pt>
                <c:pt idx="284">
                  <c:v>#N/A</c:v>
                </c:pt>
                <c:pt idx="285">
                  <c:v>35.549999999999997</c:v>
                </c:pt>
                <c:pt idx="286">
                  <c:v>#N/A</c:v>
                </c:pt>
                <c:pt idx="287">
                  <c:v>#N/A</c:v>
                </c:pt>
                <c:pt idx="288">
                  <c:v>34.6</c:v>
                </c:pt>
                <c:pt idx="28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3A1-4E69-8B6E-7C450F91BC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9447492"/>
        <c:axId val="608798689"/>
      </c:lineChart>
      <c:dateAx>
        <c:axId val="929447492"/>
        <c:scaling>
          <c:orientation val="minMax"/>
        </c:scaling>
        <c:delete val="0"/>
        <c:axPos val="b"/>
        <c:numFmt formatCode="yyyy\-mm" sourceLinked="0"/>
        <c:majorTickMark val="out"/>
        <c:minorTickMark val="none"/>
        <c:tickLblPos val="nextTo"/>
        <c:spPr>
          <a:noFill/>
          <a:ln w="6350" cap="flat" cmpd="sng" algn="ctr">
            <a:solidFill>
              <a:sysClr val="windowText" lastClr="000000">
                <a:lumMod val="100000"/>
              </a:sysClr>
            </a:solidFill>
            <a:prstDash val="solid"/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333333">
                    <a:alpha val="100000"/>
                  </a:srgbClr>
                </a:solidFill>
                <a:latin typeface="黑体" panose="02010609060101010101" pitchFamily="49" charset="-122"/>
                <a:ea typeface="黑体" panose="02010609060101010101" pitchFamily="49" charset="-122"/>
                <a:cs typeface="黑体" panose="02010609060101010101" pitchFamily="49" charset="-122"/>
              </a:defRPr>
            </a:pPr>
            <a:endParaRPr lang="zh-CN"/>
          </a:p>
        </c:txPr>
        <c:crossAx val="608798689"/>
        <c:crosses val="autoZero"/>
        <c:auto val="1"/>
        <c:lblOffset val="100"/>
        <c:baseTimeUnit val="months"/>
      </c:dateAx>
      <c:valAx>
        <c:axId val="608798689"/>
        <c:scaling>
          <c:orientation val="minMax"/>
          <c:max val="50"/>
          <c:min val="20"/>
        </c:scaling>
        <c:delete val="0"/>
        <c:axPos val="l"/>
        <c:numFmt formatCode="0.00" sourceLinked="1"/>
        <c:majorTickMark val="out"/>
        <c:minorTickMark val="none"/>
        <c:tickLblPos val="nextTo"/>
        <c:spPr>
          <a:noFill/>
          <a:ln w="6350" cap="flat" cmpd="sng" algn="ctr">
            <a:solidFill>
              <a:sysClr val="windowText" lastClr="000000">
                <a:lumMod val="100000"/>
              </a:sysClr>
            </a:solidFill>
            <a:prstDash val="solid"/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333333">
                    <a:alpha val="100000"/>
                  </a:srgbClr>
                </a:solidFill>
                <a:latin typeface="黑体" panose="02010609060101010101" pitchFamily="49" charset="-122"/>
                <a:ea typeface="黑体" panose="02010609060101010101" pitchFamily="49" charset="-122"/>
                <a:cs typeface="黑体" panose="02010609060101010101" pitchFamily="49" charset="-122"/>
              </a:defRPr>
            </a:pPr>
            <a:endParaRPr lang="zh-CN"/>
          </a:p>
        </c:txPr>
        <c:crossAx val="929447492"/>
        <c:crosses val="autoZero"/>
        <c:crossBetween val="between"/>
      </c:valAx>
      <c:dateAx>
        <c:axId val="166354246"/>
        <c:scaling>
          <c:orientation val="minMax"/>
        </c:scaling>
        <c:delete val="1"/>
        <c:axPos val="b"/>
        <c:numFmt formatCode="yyyy\-mm" sourceLinked="0"/>
        <c:majorTickMark val="out"/>
        <c:minorTickMark val="none"/>
        <c:tickLblPos val="nextTo"/>
        <c:crossAx val="113572970"/>
        <c:crosses val="autoZero"/>
        <c:auto val="1"/>
        <c:lblOffset val="100"/>
        <c:baseTimeUnit val="months"/>
      </c:dateAx>
      <c:valAx>
        <c:axId val="113572970"/>
        <c:scaling>
          <c:orientation val="minMax"/>
          <c:max val="1"/>
        </c:scaling>
        <c:delete val="0"/>
        <c:axPos val="r"/>
        <c:numFmt formatCode="General" sourceLinked="1"/>
        <c:majorTickMark val="none"/>
        <c:minorTickMark val="none"/>
        <c:tickLblPos val="none"/>
        <c:spPr>
          <a:ln w="1270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黑体" panose="02010609060101010101" pitchFamily="49" charset="-122"/>
                <a:ea typeface="黑体" panose="02010609060101010101" pitchFamily="49" charset="-122"/>
                <a:cs typeface="黑体" panose="02010609060101010101" pitchFamily="49" charset="-122"/>
              </a:defRPr>
            </a:pPr>
            <a:endParaRPr lang="zh-CN"/>
          </a:p>
        </c:txPr>
        <c:crossAx val="166354246"/>
        <c:crosses val="max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8.2500000000000004E-2"/>
          <c:y val="3.075E-2"/>
          <c:w val="0.83574181731811603"/>
          <c:h val="7.1770338421462396E-2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755" b="0" i="0" u="none" strike="noStrike" kern="1200" baseline="0">
              <a:solidFill>
                <a:srgbClr val="333333"/>
              </a:solidFill>
              <a:latin typeface="黑体" panose="02010609060101010101" pitchFamily="49" charset="-122"/>
              <a:ea typeface="黑体" panose="02010609060101010101" pitchFamily="49" charset="-122"/>
              <a:cs typeface="黑体" panose="02010609060101010101" pitchFamily="49" charset="-122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ysClr val="window" lastClr="FFFFFF">
        <a:lumMod val="100000"/>
      </a:sysClr>
    </a:solidFill>
    <a:ln w="25400" cap="flat" cmpd="sng" algn="ctr">
      <a:noFill/>
      <a:prstDash val="solid"/>
      <a:round/>
    </a:ln>
    <a:effectLst/>
  </c:spPr>
  <c:txPr>
    <a:bodyPr rot="0" wrap="square" anchor="ctr" anchorCtr="1"/>
    <a:lstStyle/>
    <a:p>
      <a:pPr>
        <a:defRPr lang="zh-CN" sz="900" b="0" i="0" u="none" strike="noStrike" baseline="0">
          <a:solidFill>
            <a:srgbClr val="000000">
              <a:alpha val="100000"/>
            </a:srgbClr>
          </a:solidFill>
          <a:latin typeface="黑体" panose="02010609060101010101" pitchFamily="49" charset="-122"/>
          <a:ea typeface="黑体" panose="02010609060101010101" pitchFamily="49" charset="-122"/>
          <a:cs typeface="黑体" panose="02010609060101010101" pitchFamily="49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10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4" Type="http://schemas.openxmlformats.org/officeDocument/2006/relationships/chart" Target="../charts/chart17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0.xml"/><Relationship Id="rId2" Type="http://schemas.openxmlformats.org/officeDocument/2006/relationships/chart" Target="../charts/chart19.xml"/><Relationship Id="rId1" Type="http://schemas.openxmlformats.org/officeDocument/2006/relationships/chart" Target="../charts/chart18.xml"/><Relationship Id="rId4" Type="http://schemas.openxmlformats.org/officeDocument/2006/relationships/chart" Target="../charts/chart21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4.xml"/><Relationship Id="rId2" Type="http://schemas.openxmlformats.org/officeDocument/2006/relationships/chart" Target="../charts/chart23.xml"/><Relationship Id="rId1" Type="http://schemas.openxmlformats.org/officeDocument/2006/relationships/chart" Target="../charts/chart2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438150</xdr:colOff>
      <xdr:row>10</xdr:row>
      <xdr:rowOff>11430</xdr:rowOff>
    </xdr:from>
    <xdr:to>
      <xdr:col>10</xdr:col>
      <xdr:colOff>332105</xdr:colOff>
      <xdr:row>26</xdr:row>
      <xdr:rowOff>177165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137160</xdr:colOff>
      <xdr:row>10</xdr:row>
      <xdr:rowOff>1905</xdr:rowOff>
    </xdr:from>
    <xdr:to>
      <xdr:col>1</xdr:col>
      <xdr:colOff>137160</xdr:colOff>
      <xdr:row>26</xdr:row>
      <xdr:rowOff>179070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528955</xdr:colOff>
      <xdr:row>8</xdr:row>
      <xdr:rowOff>88900</xdr:rowOff>
    </xdr:from>
    <xdr:to>
      <xdr:col>8</xdr:col>
      <xdr:colOff>103505</xdr:colOff>
      <xdr:row>50</xdr:row>
      <xdr:rowOff>94615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8955" y="1866900"/>
          <a:ext cx="6965950" cy="74669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0</xdr:colOff>
      <xdr:row>8</xdr:row>
      <xdr:rowOff>176530</xdr:rowOff>
    </xdr:from>
    <xdr:to>
      <xdr:col>16</xdr:col>
      <xdr:colOff>18415</xdr:colOff>
      <xdr:row>49</xdr:row>
      <xdr:rowOff>154305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48650" y="1954530"/>
          <a:ext cx="4895215" cy="72612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280781</xdr:colOff>
      <xdr:row>23</xdr:row>
      <xdr:rowOff>149936</xdr:rowOff>
    </xdr:from>
    <xdr:to>
      <xdr:col>11</xdr:col>
      <xdr:colOff>728531</xdr:colOff>
      <xdr:row>38</xdr:row>
      <xdr:rowOff>98799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735180</xdr:colOff>
      <xdr:row>23</xdr:row>
      <xdr:rowOff>145454</xdr:rowOff>
    </xdr:from>
    <xdr:to>
      <xdr:col>16</xdr:col>
      <xdr:colOff>611616</xdr:colOff>
      <xdr:row>39</xdr:row>
      <xdr:rowOff>91777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239077</xdr:colOff>
      <xdr:row>10</xdr:row>
      <xdr:rowOff>113347</xdr:rowOff>
    </xdr:from>
    <xdr:to>
      <xdr:col>6</xdr:col>
      <xdr:colOff>541972</xdr:colOff>
      <xdr:row>25</xdr:row>
      <xdr:rowOff>132397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952</xdr:colOff>
      <xdr:row>10</xdr:row>
      <xdr:rowOff>109537</xdr:rowOff>
    </xdr:from>
    <xdr:to>
      <xdr:col>13</xdr:col>
      <xdr:colOff>14287</xdr:colOff>
      <xdr:row>25</xdr:row>
      <xdr:rowOff>138112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246697</xdr:colOff>
      <xdr:row>27</xdr:row>
      <xdr:rowOff>58102</xdr:rowOff>
    </xdr:from>
    <xdr:to>
      <xdr:col>6</xdr:col>
      <xdr:colOff>540067</xdr:colOff>
      <xdr:row>42</xdr:row>
      <xdr:rowOff>77152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61912</xdr:colOff>
      <xdr:row>27</xdr:row>
      <xdr:rowOff>52387</xdr:rowOff>
    </xdr:from>
    <xdr:to>
      <xdr:col>13</xdr:col>
      <xdr:colOff>90487</xdr:colOff>
      <xdr:row>42</xdr:row>
      <xdr:rowOff>80962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75247</xdr:colOff>
      <xdr:row>10</xdr:row>
      <xdr:rowOff>101917</xdr:rowOff>
    </xdr:from>
    <xdr:to>
      <xdr:col>16</xdr:col>
      <xdr:colOff>187642</xdr:colOff>
      <xdr:row>25</xdr:row>
      <xdr:rowOff>126682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40005</xdr:colOff>
      <xdr:row>0</xdr:row>
      <xdr:rowOff>7620</xdr:rowOff>
    </xdr:from>
    <xdr:to>
      <xdr:col>7</xdr:col>
      <xdr:colOff>8255</xdr:colOff>
      <xdr:row>1</xdr:row>
      <xdr:rowOff>2597150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123825</xdr:colOff>
      <xdr:row>0</xdr:row>
      <xdr:rowOff>0</xdr:rowOff>
    </xdr:from>
    <xdr:to>
      <xdr:col>13</xdr:col>
      <xdr:colOff>130175</xdr:colOff>
      <xdr:row>1</xdr:row>
      <xdr:rowOff>647700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10795</xdr:rowOff>
    </xdr:from>
    <xdr:to>
      <xdr:col>7</xdr:col>
      <xdr:colOff>153035</xdr:colOff>
      <xdr:row>2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123825</xdr:colOff>
      <xdr:row>0</xdr:row>
      <xdr:rowOff>0</xdr:rowOff>
    </xdr:from>
    <xdr:to>
      <xdr:col>13</xdr:col>
      <xdr:colOff>133350</xdr:colOff>
      <xdr:row>1</xdr:row>
      <xdr:rowOff>647065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31115</xdr:colOff>
      <xdr:row>0</xdr:row>
      <xdr:rowOff>635</xdr:rowOff>
    </xdr:from>
    <xdr:to>
      <xdr:col>5</xdr:col>
      <xdr:colOff>677545</xdr:colOff>
      <xdr:row>9</xdr:row>
      <xdr:rowOff>180340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505460</xdr:colOff>
      <xdr:row>0</xdr:row>
      <xdr:rowOff>99695</xdr:rowOff>
    </xdr:from>
    <xdr:to>
      <xdr:col>12</xdr:col>
      <xdr:colOff>378460</xdr:colOff>
      <xdr:row>10</xdr:row>
      <xdr:rowOff>88900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820420</xdr:colOff>
      <xdr:row>0</xdr:row>
      <xdr:rowOff>635</xdr:rowOff>
    </xdr:from>
    <xdr:to>
      <xdr:col>27</xdr:col>
      <xdr:colOff>325120</xdr:colOff>
      <xdr:row>9</xdr:row>
      <xdr:rowOff>185420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601980</xdr:colOff>
      <xdr:row>0</xdr:row>
      <xdr:rowOff>66675</xdr:rowOff>
    </xdr:from>
    <xdr:to>
      <xdr:col>20</xdr:col>
      <xdr:colOff>753745</xdr:colOff>
      <xdr:row>10</xdr:row>
      <xdr:rowOff>55880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269875</xdr:colOff>
      <xdr:row>0</xdr:row>
      <xdr:rowOff>68580</xdr:rowOff>
    </xdr:from>
    <xdr:to>
      <xdr:col>9</xdr:col>
      <xdr:colOff>217170</xdr:colOff>
      <xdr:row>15</xdr:row>
      <xdr:rowOff>142240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615950</xdr:colOff>
      <xdr:row>0</xdr:row>
      <xdr:rowOff>31750</xdr:rowOff>
    </xdr:from>
    <xdr:to>
      <xdr:col>16</xdr:col>
      <xdr:colOff>565150</xdr:colOff>
      <xdr:row>15</xdr:row>
      <xdr:rowOff>107950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0</xdr:colOff>
      <xdr:row>0</xdr:row>
      <xdr:rowOff>0</xdr:rowOff>
    </xdr:from>
    <xdr:to>
      <xdr:col>23</xdr:col>
      <xdr:colOff>609600</xdr:colOff>
      <xdr:row>15</xdr:row>
      <xdr:rowOff>76200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24</xdr:col>
      <xdr:colOff>0</xdr:colOff>
      <xdr:row>0</xdr:row>
      <xdr:rowOff>0</xdr:rowOff>
    </xdr:from>
    <xdr:to>
      <xdr:col>30</xdr:col>
      <xdr:colOff>609600</xdr:colOff>
      <xdr:row>15</xdr:row>
      <xdr:rowOff>76200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76200</xdr:colOff>
      <xdr:row>1</xdr:row>
      <xdr:rowOff>685165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76200</xdr:colOff>
      <xdr:row>0</xdr:row>
      <xdr:rowOff>14605</xdr:rowOff>
    </xdr:from>
    <xdr:to>
      <xdr:col>10</xdr:col>
      <xdr:colOff>973455</xdr:colOff>
      <xdr:row>1</xdr:row>
      <xdr:rowOff>663575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981710</xdr:colOff>
      <xdr:row>0</xdr:row>
      <xdr:rowOff>0</xdr:rowOff>
    </xdr:from>
    <xdr:to>
      <xdr:col>17</xdr:col>
      <xdr:colOff>203200</xdr:colOff>
      <xdr:row>1</xdr:row>
      <xdr:rowOff>647065</xdr:rowOff>
    </xdr:to>
    <xdr:graphicFrame macro="">
      <xdr:nvGraphicFramePr>
        <xdr:cNvPr id="4" name="图表 2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WIND\DataBrowse\XLA\WindFunc.xla" TargetMode="External"/><Relationship Id="rId1" Type="http://schemas.openxmlformats.org/officeDocument/2006/relationships/externalLinkPath" Target="/WIND/DataBrowse/XLA/WindFunc.xla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&#19994;&#30028;&#23454;&#20064;/&#22269;&#20449;&#31574;&#30053;/20240613&#40527;&#21326;-&#22823;&#31867;&#36164;&#20135;&#37197;&#32622;&#35838;&#39064;/&#26694;&#26550;&#27719;&#24635;/&#36135;&#24065;&#20449;&#29992;&#26694;&#26550;0616-&#36135;&#24065;&#25919;&#31574;&#19977;&#22823;&#24037;&#20855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Sheet3"/>
    </sheetNames>
    <definedNames>
      <definedName name="edb"/>
      <definedName name="s_pq_pctchange"/>
    </defined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周期划分依据"/>
      <sheetName val="货币信用框架1-货币政策目标+信用脉冲"/>
      <sheetName val="货币信用框架1-分阶段总结"/>
      <sheetName val="货币信用框架1-股债表现与四个维度"/>
      <sheetName val="货币信用框架1-胜率图"/>
      <sheetName val="货币信用框架2-货币政策目标+M2同比"/>
      <sheetName val="货币信用框架2-分阶段总结"/>
      <sheetName val="货币信用框架2-股债表现与四个维度"/>
      <sheetName val="货币信用框架2-胜率图"/>
      <sheetName val="货币信用框架3-货币政策目标+M1同比 "/>
      <sheetName val="货币信用框架3-分阶段总结 "/>
      <sheetName val="货币信用框架3-股债表现与四个维度 "/>
      <sheetName val="货币信用框架3-胜率图"/>
      <sheetName val="货币信用框架4-货币政策目标+社融存量"/>
      <sheetName val="货币信用框架4-分阶段总结 "/>
      <sheetName val="货币信用框架4-股债表现与四个维度"/>
      <sheetName val="货币信用框架4-胜率图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国信">
    <a:dk1>
      <a:sysClr val="windowText" lastClr="000000"/>
    </a:dk1>
    <a:lt1>
      <a:srgbClr val="FFFFFF"/>
    </a:lt1>
    <a:dk2>
      <a:srgbClr val="2E75B5"/>
    </a:dk2>
    <a:lt2>
      <a:srgbClr val="99BCE3"/>
    </a:lt2>
    <a:accent1>
      <a:srgbClr val="004477"/>
    </a:accent1>
    <a:accent2>
      <a:srgbClr val="2E75B5"/>
    </a:accent2>
    <a:accent3>
      <a:srgbClr val="949495"/>
    </a:accent3>
    <a:accent4>
      <a:srgbClr val="D80C18"/>
    </a:accent4>
    <a:accent5>
      <a:srgbClr val="99BCE3"/>
    </a:accent5>
    <a:accent6>
      <a:srgbClr val="5F5F5F"/>
    </a:accent6>
    <a:hlink>
      <a:srgbClr val="2E75B5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国信">
    <a:dk1>
      <a:sysClr val="windowText" lastClr="000000"/>
    </a:dk1>
    <a:lt1>
      <a:srgbClr val="FFFFFF"/>
    </a:lt1>
    <a:dk2>
      <a:srgbClr val="2E75B5"/>
    </a:dk2>
    <a:lt2>
      <a:srgbClr val="99BCE3"/>
    </a:lt2>
    <a:accent1>
      <a:srgbClr val="004477"/>
    </a:accent1>
    <a:accent2>
      <a:srgbClr val="2E75B5"/>
    </a:accent2>
    <a:accent3>
      <a:srgbClr val="949495"/>
    </a:accent3>
    <a:accent4>
      <a:srgbClr val="D80C18"/>
    </a:accent4>
    <a:accent5>
      <a:srgbClr val="99BCE3"/>
    </a:accent5>
    <a:accent6>
      <a:srgbClr val="5F5F5F"/>
    </a:accent6>
    <a:hlink>
      <a:srgbClr val="2E75B5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国信">
    <a:dk1>
      <a:sysClr val="windowText" lastClr="000000"/>
    </a:dk1>
    <a:lt1>
      <a:srgbClr val="FFFFFF"/>
    </a:lt1>
    <a:dk2>
      <a:srgbClr val="2E75B5"/>
    </a:dk2>
    <a:lt2>
      <a:srgbClr val="99BCE3"/>
    </a:lt2>
    <a:accent1>
      <a:srgbClr val="004477"/>
    </a:accent1>
    <a:accent2>
      <a:srgbClr val="2E75B5"/>
    </a:accent2>
    <a:accent3>
      <a:srgbClr val="949495"/>
    </a:accent3>
    <a:accent4>
      <a:srgbClr val="D80C18"/>
    </a:accent4>
    <a:accent5>
      <a:srgbClr val="99BCE3"/>
    </a:accent5>
    <a:accent6>
      <a:srgbClr val="5F5F5F"/>
    </a:accent6>
    <a:hlink>
      <a:srgbClr val="2E75B5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国信">
    <a:dk1>
      <a:sysClr val="windowText" lastClr="000000"/>
    </a:dk1>
    <a:lt1>
      <a:srgbClr val="FFFFFF"/>
    </a:lt1>
    <a:dk2>
      <a:srgbClr val="2E75B5"/>
    </a:dk2>
    <a:lt2>
      <a:srgbClr val="99BCE3"/>
    </a:lt2>
    <a:accent1>
      <a:srgbClr val="004477"/>
    </a:accent1>
    <a:accent2>
      <a:srgbClr val="2E75B5"/>
    </a:accent2>
    <a:accent3>
      <a:srgbClr val="949495"/>
    </a:accent3>
    <a:accent4>
      <a:srgbClr val="D80C18"/>
    </a:accent4>
    <a:accent5>
      <a:srgbClr val="99BCE3"/>
    </a:accent5>
    <a:accent6>
      <a:srgbClr val="5F5F5F"/>
    </a:accent6>
    <a:hlink>
      <a:srgbClr val="2E75B5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customProperty" Target="../customProperty4.bin"/><Relationship Id="rId1" Type="http://schemas.openxmlformats.org/officeDocument/2006/relationships/printerSettings" Target="../printerSettings/printerSettings3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customProperty" Target="../customProperty5.bin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6.bin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customProperty" Target="../customProperty7.bin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2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customProperty" Target="../customProperty8.bin"/><Relationship Id="rId1" Type="http://schemas.openxmlformats.org/officeDocument/2006/relationships/printerSettings" Target="../printerSettings/printerSettings7.bin"/><Relationship Id="rId5" Type="http://schemas.openxmlformats.org/officeDocument/2006/relationships/comments" Target="../comments3.xml"/><Relationship Id="rId4" Type="http://schemas.openxmlformats.org/officeDocument/2006/relationships/vmlDrawing" Target="../drawings/vmlDrawing3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customProperty" Target="../customProperty9.bin"/><Relationship Id="rId1" Type="http://schemas.openxmlformats.org/officeDocument/2006/relationships/printerSettings" Target="../printerSettings/printerSettings8.bin"/><Relationship Id="rId5" Type="http://schemas.openxmlformats.org/officeDocument/2006/relationships/comments" Target="../comments4.xml"/><Relationship Id="rId4" Type="http://schemas.openxmlformats.org/officeDocument/2006/relationships/vmlDrawing" Target="../drawings/vmlDrawing4.v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.xml"/><Relationship Id="rId2" Type="http://schemas.openxmlformats.org/officeDocument/2006/relationships/customProperty" Target="../customProperty10.bin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.xml"/><Relationship Id="rId2" Type="http://schemas.openxmlformats.org/officeDocument/2006/relationships/customProperty" Target="../customProperty11.bin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.xml"/><Relationship Id="rId2" Type="http://schemas.openxmlformats.org/officeDocument/2006/relationships/customProperty" Target="../customProperty12.bin"/><Relationship Id="rId1" Type="http://schemas.openxmlformats.org/officeDocument/2006/relationships/printerSettings" Target="../printerSettings/printerSettings11.bin"/><Relationship Id="rId5" Type="http://schemas.openxmlformats.org/officeDocument/2006/relationships/comments" Target="../comments5.xml"/><Relationship Id="rId4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>
    <tabColor theme="5" tint="0.79992065187536243"/>
  </sheetPr>
  <dimension ref="B2:AG110"/>
  <sheetViews>
    <sheetView showGridLines="0" topLeftCell="A7" workbookViewId="0">
      <selection activeCell="E66" sqref="E66"/>
    </sheetView>
  </sheetViews>
  <sheetFormatPr defaultColWidth="8" defaultRowHeight="14.15" x14ac:dyDescent="0.35"/>
  <cols>
    <col min="1" max="1" width="8" style="1"/>
    <col min="2" max="2" width="21.78515625" style="1" customWidth="1"/>
    <col min="3" max="3" width="13.140625" style="1" customWidth="1"/>
    <col min="4" max="4" width="15" style="1" customWidth="1"/>
    <col min="5" max="6" width="8" style="1"/>
    <col min="7" max="7" width="8.140625" style="1" customWidth="1"/>
    <col min="8" max="8" width="15" style="1" customWidth="1"/>
    <col min="9" max="9" width="11.2109375" style="1" customWidth="1"/>
    <col min="10" max="10" width="11.42578125" style="1" customWidth="1"/>
    <col min="11" max="11" width="12.42578125" style="1" customWidth="1"/>
    <col min="12" max="16384" width="8" style="1"/>
  </cols>
  <sheetData>
    <row r="2" spans="2:12" x14ac:dyDescent="0.35">
      <c r="B2" s="153" t="s">
        <v>0</v>
      </c>
      <c r="C2" s="154"/>
      <c r="D2" s="154"/>
      <c r="E2" s="154"/>
      <c r="F2" s="154"/>
      <c r="G2" s="154"/>
      <c r="H2" s="154"/>
      <c r="I2" s="154"/>
      <c r="J2" s="154"/>
      <c r="K2" s="154"/>
      <c r="L2" s="154"/>
    </row>
    <row r="3" spans="2:12" x14ac:dyDescent="0.35">
      <c r="B3" s="154"/>
      <c r="C3" s="154"/>
      <c r="D3" s="154"/>
      <c r="E3" s="154"/>
      <c r="F3" s="154"/>
      <c r="G3" s="154"/>
      <c r="H3" s="154"/>
      <c r="I3" s="154"/>
      <c r="J3" s="154"/>
      <c r="K3" s="154"/>
      <c r="L3" s="154"/>
    </row>
    <row r="4" spans="2:12" x14ac:dyDescent="0.35">
      <c r="B4" s="154"/>
      <c r="C4" s="154"/>
      <c r="D4" s="154"/>
      <c r="E4" s="154"/>
      <c r="F4" s="154"/>
      <c r="G4" s="154"/>
      <c r="H4" s="154"/>
      <c r="I4" s="154"/>
      <c r="J4" s="154"/>
      <c r="K4" s="154"/>
      <c r="L4" s="154"/>
    </row>
    <row r="5" spans="2:12" ht="309" customHeight="1" x14ac:dyDescent="0.35">
      <c r="B5" s="154"/>
      <c r="C5" s="154"/>
      <c r="D5" s="154"/>
      <c r="E5" s="154"/>
      <c r="F5" s="154"/>
      <c r="G5" s="154"/>
      <c r="H5" s="154"/>
      <c r="I5" s="154"/>
      <c r="J5" s="154"/>
      <c r="K5" s="154"/>
      <c r="L5" s="154"/>
    </row>
    <row r="8" spans="2:12" x14ac:dyDescent="0.35">
      <c r="B8" s="150" t="s">
        <v>1</v>
      </c>
      <c r="C8" s="150"/>
      <c r="D8" s="150"/>
      <c r="E8" s="150"/>
      <c r="F8" s="150"/>
      <c r="G8" s="150"/>
      <c r="H8" s="150"/>
      <c r="I8" s="150"/>
      <c r="J8" s="150"/>
    </row>
    <row r="9" spans="2:12" x14ac:dyDescent="0.35">
      <c r="B9" s="155" t="s">
        <v>2</v>
      </c>
      <c r="C9" s="155"/>
      <c r="D9" s="155"/>
      <c r="E9" s="118"/>
      <c r="F9" s="118"/>
      <c r="G9" s="155" t="s">
        <v>3</v>
      </c>
      <c r="H9" s="155"/>
      <c r="I9" s="155"/>
      <c r="J9" s="155"/>
    </row>
    <row r="11" spans="2:12" x14ac:dyDescent="0.35">
      <c r="B11" s="94" t="s">
        <v>4</v>
      </c>
      <c r="C11" s="94" t="s">
        <v>5</v>
      </c>
      <c r="D11" s="100" t="s">
        <v>6</v>
      </c>
    </row>
    <row r="12" spans="2:12" x14ac:dyDescent="0.35">
      <c r="B12" s="151" t="s">
        <v>7</v>
      </c>
      <c r="C12" s="96">
        <v>45078</v>
      </c>
      <c r="D12" s="96">
        <v>45443</v>
      </c>
    </row>
    <row r="13" spans="2:12" x14ac:dyDescent="0.35">
      <c r="B13" s="151"/>
      <c r="C13" s="96">
        <v>44348</v>
      </c>
      <c r="D13" s="96">
        <v>44500</v>
      </c>
    </row>
    <row r="14" spans="2:12" ht="13.5" customHeight="1" x14ac:dyDescent="0.35">
      <c r="B14" s="151"/>
      <c r="C14" s="96">
        <v>43191</v>
      </c>
      <c r="D14" s="96">
        <v>43373</v>
      </c>
    </row>
    <row r="15" spans="2:12" x14ac:dyDescent="0.35">
      <c r="B15" s="151"/>
      <c r="C15" s="97">
        <v>41791</v>
      </c>
      <c r="D15" s="97">
        <v>42004</v>
      </c>
    </row>
    <row r="16" spans="2:12" x14ac:dyDescent="0.35">
      <c r="B16" s="152"/>
      <c r="C16" s="99">
        <v>40848</v>
      </c>
      <c r="D16" s="99">
        <v>41060</v>
      </c>
    </row>
    <row r="17" spans="2:11" x14ac:dyDescent="0.35">
      <c r="B17" s="151" t="s">
        <v>8</v>
      </c>
      <c r="C17" s="97">
        <v>45444</v>
      </c>
      <c r="D17" s="97">
        <v>45688</v>
      </c>
    </row>
    <row r="18" spans="2:11" x14ac:dyDescent="0.35">
      <c r="B18" s="151"/>
      <c r="C18" s="97">
        <v>44501</v>
      </c>
      <c r="D18" s="97">
        <v>45077</v>
      </c>
    </row>
    <row r="19" spans="2:11" x14ac:dyDescent="0.35">
      <c r="B19" s="151"/>
      <c r="C19" s="97">
        <v>43374</v>
      </c>
      <c r="D19" s="97">
        <v>43890</v>
      </c>
    </row>
    <row r="20" spans="2:11" x14ac:dyDescent="0.35">
      <c r="B20" s="151"/>
      <c r="C20" s="97">
        <v>42005</v>
      </c>
      <c r="D20" s="97">
        <v>42429</v>
      </c>
    </row>
    <row r="21" spans="2:11" ht="14.6" thickBot="1" x14ac:dyDescent="0.4">
      <c r="B21" s="152"/>
      <c r="C21" s="99">
        <v>41061</v>
      </c>
      <c r="D21" s="99">
        <v>41182</v>
      </c>
    </row>
    <row r="22" spans="2:11" x14ac:dyDescent="0.35">
      <c r="B22" s="151" t="s">
        <v>9</v>
      </c>
      <c r="C22" s="97">
        <v>43891</v>
      </c>
      <c r="D22" s="97">
        <v>44135</v>
      </c>
    </row>
    <row r="23" spans="2:11" x14ac:dyDescent="0.35">
      <c r="B23" s="151"/>
      <c r="C23" s="97">
        <v>42430</v>
      </c>
      <c r="D23" s="97">
        <v>42613</v>
      </c>
    </row>
    <row r="24" spans="2:11" x14ac:dyDescent="0.35">
      <c r="B24" s="152"/>
      <c r="C24" s="99">
        <v>41183</v>
      </c>
      <c r="D24" s="99">
        <v>41486</v>
      </c>
    </row>
    <row r="25" spans="2:11" x14ac:dyDescent="0.35">
      <c r="B25" s="151" t="s">
        <v>10</v>
      </c>
      <c r="C25" s="97">
        <v>44136</v>
      </c>
      <c r="D25" s="97">
        <v>44347</v>
      </c>
    </row>
    <row r="26" spans="2:11" x14ac:dyDescent="0.35">
      <c r="B26" s="151"/>
      <c r="C26" s="97">
        <v>42614</v>
      </c>
      <c r="D26" s="97">
        <v>43190</v>
      </c>
    </row>
    <row r="27" spans="2:11" x14ac:dyDescent="0.35">
      <c r="B27" s="151"/>
      <c r="C27" s="97">
        <v>41487</v>
      </c>
      <c r="D27" s="97">
        <v>41790</v>
      </c>
    </row>
    <row r="28" spans="2:11" x14ac:dyDescent="0.35">
      <c r="B28" s="152"/>
      <c r="C28" s="99">
        <v>40179</v>
      </c>
      <c r="D28" s="99">
        <v>40847</v>
      </c>
    </row>
    <row r="31" spans="2:11" x14ac:dyDescent="0.35">
      <c r="B31" s="150" t="s">
        <v>11</v>
      </c>
      <c r="C31" s="150"/>
      <c r="D31" s="150"/>
      <c r="E31" s="150"/>
      <c r="F31" s="150"/>
      <c r="G31" s="150"/>
      <c r="H31" s="150"/>
      <c r="I31" s="150"/>
      <c r="J31" s="150"/>
      <c r="K31" s="150"/>
    </row>
    <row r="33" spans="2:11" ht="14.6" x14ac:dyDescent="0.35">
      <c r="B33" s="102"/>
      <c r="C33" s="102" t="s">
        <v>12</v>
      </c>
      <c r="D33" s="102" t="s">
        <v>13</v>
      </c>
      <c r="E33" s="102" t="s">
        <v>14</v>
      </c>
      <c r="F33" s="102" t="s">
        <v>15</v>
      </c>
      <c r="G33" s="102" t="s">
        <v>16</v>
      </c>
      <c r="H33" s="102" t="s">
        <v>17</v>
      </c>
      <c r="I33" s="102" t="s">
        <v>18</v>
      </c>
      <c r="J33" s="102" t="s">
        <v>19</v>
      </c>
      <c r="K33" s="102" t="s">
        <v>20</v>
      </c>
    </row>
    <row r="34" spans="2:11" ht="14.6" x14ac:dyDescent="0.35">
      <c r="B34" s="102" t="s">
        <v>7</v>
      </c>
      <c r="C34" s="103">
        <v>5</v>
      </c>
      <c r="D34" s="103">
        <v>37</v>
      </c>
      <c r="E34" s="103">
        <v>7.4</v>
      </c>
      <c r="F34" s="104">
        <v>0.21387283236994201</v>
      </c>
      <c r="G34" s="103"/>
      <c r="H34" s="103">
        <f t="array" ref="H34">INDEX(货币信用周期收益计算!$Q$26:$BT$30,MATCH($B34,货币信用周期收益计算!$Q$26:$Q$30,0),MATCH(H$33,货币信用周期收益计算!$Q$26:$BT$26,0))</f>
        <v>6.2711652965462363</v>
      </c>
      <c r="I34" s="103">
        <f t="array" ref="I34">INDEX(货币信用周期收益计算!$Q$26:$BT$30,MATCH($B34,货币信用周期收益计算!$Q$26:$Q$30,0),MATCH(I$33,货币信用周期收益计算!$Q$26:$BT$26,0))</f>
        <v>1.6999442310846433</v>
      </c>
      <c r="J34" s="103">
        <f t="array" ref="J34">INDEX(货币信用周期收益计算!$Q$26:$BT$30,MATCH($B34,货币信用周期收益计算!$Q$26:$Q$30,0),MATCH(J$33,货币信用周期收益计算!$Q$26:$BT$26,0))</f>
        <v>-4.8075246918882275</v>
      </c>
      <c r="K34" s="103">
        <f t="array" ref="K34">INDEX(货币信用周期收益计算!$Q$26:$BT$30,MATCH($B34,货币信用周期收益计算!$Q$26:$Q$30,0),MATCH(K$33,货币信用周期收益计算!$Q$26:$BT$26,0))</f>
        <v>-8.9802066639603115</v>
      </c>
    </row>
    <row r="35" spans="2:11" ht="14.6" x14ac:dyDescent="0.35">
      <c r="B35" s="102" t="s">
        <v>8</v>
      </c>
      <c r="C35" s="103">
        <v>4</v>
      </c>
      <c r="D35" s="103">
        <v>54</v>
      </c>
      <c r="E35" s="103">
        <v>13.5</v>
      </c>
      <c r="F35" s="104">
        <v>0.31213872832369899</v>
      </c>
      <c r="G35" s="103"/>
      <c r="H35" s="103">
        <f t="array" ref="H35">INDEX(货币信用周期收益计算!$Q$26:$BT$30,MATCH($B35,货币信用周期收益计算!$Q$26:$Q$30,0),MATCH(H$33,货币信用周期收益计算!$Q$26:$BT$26,0))</f>
        <v>-9.7688736802490901</v>
      </c>
      <c r="I35" s="103">
        <f t="array" ref="I35">INDEX(货币信用周期收益计算!$Q$26:$BT$30,MATCH($B35,货币信用周期收益计算!$Q$26:$Q$30,0),MATCH(I$33,货币信用周期收益计算!$Q$26:$BT$26,0))</f>
        <v>-7.0921683752184466</v>
      </c>
      <c r="J35" s="103">
        <f t="array" ref="J35">INDEX(货币信用周期收益计算!$Q$26:$BT$30,MATCH($B35,货币信用周期收益计算!$Q$26:$Q$30,0),MATCH(J$33,货币信用周期收益计算!$Q$26:$BT$26,0))</f>
        <v>-1.4082341644453589</v>
      </c>
      <c r="K35" s="103">
        <f t="array" ref="K35">INDEX(货币信用周期收益计算!$Q$26:$BT$30,MATCH($B35,货币信用周期收益计算!$Q$26:$Q$30,0),MATCH(K$33,货币信用周期收益计算!$Q$26:$BT$26,0))</f>
        <v>4.9244885843377251</v>
      </c>
    </row>
    <row r="36" spans="2:11" ht="14.6" x14ac:dyDescent="0.35">
      <c r="B36" s="102" t="s">
        <v>9</v>
      </c>
      <c r="C36" s="103">
        <v>4</v>
      </c>
      <c r="D36" s="103">
        <v>58</v>
      </c>
      <c r="E36" s="103">
        <v>14.5</v>
      </c>
      <c r="F36" s="104">
        <v>0.33526011560693603</v>
      </c>
      <c r="G36" s="103"/>
      <c r="H36" s="103">
        <f t="array" ref="H36">INDEX(货币信用周期收益计算!$Q$26:$BT$30,MATCH($B36,货币信用周期收益计算!$Q$26:$Q$30,0),MATCH(H$33,货币信用周期收益计算!$Q$26:$BT$26,0))</f>
        <v>-6.4710778371212125</v>
      </c>
      <c r="I36" s="103">
        <f t="array" ref="I36">INDEX(货币信用周期收益计算!$Q$26:$BT$30,MATCH($B36,货币信用周期收益计算!$Q$26:$Q$30,0),MATCH(I$33,货币信用周期收益计算!$Q$26:$BT$26,0))</f>
        <v>-4.4345811179948171</v>
      </c>
      <c r="J36" s="103">
        <f t="array" ref="J36">INDEX(货币信用周期收益计算!$Q$26:$BT$30,MATCH($B36,货币信用周期收益计算!$Q$26:$Q$30,0),MATCH(J$33,货币信用周期收益计算!$Q$26:$BT$26,0))</f>
        <v>-1.3910279336037217</v>
      </c>
      <c r="K36" s="103">
        <f t="array" ref="K36">INDEX(货币信用周期收益计算!$Q$26:$BT$30,MATCH($B36,货币信用周期收益计算!$Q$26:$Q$30,0),MATCH(K$33,货币信用周期收益计算!$Q$26:$BT$26,0))</f>
        <v>2.0976136916271599</v>
      </c>
    </row>
    <row r="37" spans="2:11" ht="14.6" x14ac:dyDescent="0.35">
      <c r="B37" s="102" t="s">
        <v>10</v>
      </c>
      <c r="C37" s="103">
        <v>3</v>
      </c>
      <c r="D37" s="103">
        <v>24</v>
      </c>
      <c r="E37" s="103">
        <v>8</v>
      </c>
      <c r="F37" s="104">
        <v>0.13872832369942201</v>
      </c>
      <c r="G37" s="103"/>
      <c r="H37" s="103">
        <f t="array" ref="H37">INDEX(货币信用周期收益计算!$Q$26:$BT$30,MATCH($B37,货币信用周期收益计算!$Q$26:$Q$30,0),MATCH(H$33,货币信用周期收益计算!$Q$26:$BT$26,0))</f>
        <v>-0.14662292435161284</v>
      </c>
      <c r="I37" s="103">
        <f t="array" ref="I37">INDEX(货币信用周期收益计算!$Q$26:$BT$30,MATCH($B37,货币信用周期收益计算!$Q$26:$Q$30,0),MATCH(I$33,货币信用周期收益计算!$Q$26:$BT$26,0))</f>
        <v>0.48124982763989888</v>
      </c>
      <c r="J37" s="103">
        <f t="array" ref="J37">INDEX(货币信用周期收益计算!$Q$26:$BT$30,MATCH($B37,货币信用周期收益计算!$Q$26:$Q$30,0),MATCH(J$33,货币信用周期收益计算!$Q$26:$BT$26,0))</f>
        <v>0.85859361435038872</v>
      </c>
      <c r="K37" s="103">
        <f t="array" ref="K37">INDEX(货币信用周期收益计算!$Q$26:$BT$30,MATCH($B37,货币信用周期收益计算!$Q$26:$Q$30,0),MATCH(K$33,货币信用周期收益计算!$Q$26:$BT$26,0))</f>
        <v>-0.66859443540672181</v>
      </c>
    </row>
    <row r="40" spans="2:11" ht="14.6" x14ac:dyDescent="0.35">
      <c r="B40" s="102"/>
      <c r="C40" s="102" t="s">
        <v>21</v>
      </c>
      <c r="D40" s="102" t="s">
        <v>22</v>
      </c>
      <c r="E40" s="102" t="s">
        <v>23</v>
      </c>
    </row>
    <row r="41" spans="2:11" ht="14.6" x14ac:dyDescent="0.35">
      <c r="B41" s="102" t="s">
        <v>7</v>
      </c>
      <c r="C41" s="103">
        <f t="array" ref="C41">INDEX(货币信用周期收益计算!$Q$26:$BT$30,MATCH($B41,货币信用周期收益计算!$Q$26:$Q$30,0),MATCH(C$40,货币信用周期收益计算!$Q$26:$BT$26,0))</f>
        <v>2.7109774783076386</v>
      </c>
      <c r="D41" s="103">
        <f t="array" ref="D41">INDEX(货币信用周期收益计算!$Q$26:$BT$30,MATCH($B41,货币信用周期收益计算!$Q$26:$Q$30,0),MATCH(D$40,货币信用周期收益计算!$Q$26:$BT$26,0))</f>
        <v>-4.3181067744779718</v>
      </c>
      <c r="E41" s="103">
        <f t="array" ref="E41">INDEX(货币信用周期收益计算!$Q$26:$BT$30,MATCH($B41,货币信用周期收益计算!$Q$26:$Q$30,0),MATCH(E$40,货币信用周期收益计算!$Q$26:$BT$26,0))</f>
        <v>-5.1590797009712626</v>
      </c>
    </row>
    <row r="42" spans="2:11" ht="14.6" x14ac:dyDescent="0.35">
      <c r="B42" s="102" t="s">
        <v>8</v>
      </c>
      <c r="C42" s="103">
        <f t="array" ref="C42">INDEX(货币信用周期收益计算!$Q$26:$BT$30,MATCH($B42,货币信用周期收益计算!$Q$26:$Q$30,0),MATCH(C$40,货币信用周期收益计算!$Q$26:$BT$26,0))</f>
        <v>-6.745755238144957</v>
      </c>
      <c r="D42" s="103">
        <f t="array" ref="D42">INDEX(货币信用周期收益计算!$Q$26:$BT$30,MATCH($B42,货币信用周期收益计算!$Q$26:$Q$30,0),MATCH(D$40,货币信用周期收益计算!$Q$26:$BT$26,0))</f>
        <v>-3.303222336114835</v>
      </c>
      <c r="E42" s="103">
        <f t="array" ref="E42">INDEX(货币信用周期收益计算!$Q$26:$BT$30,MATCH($B42,货币信用周期收益计算!$Q$26:$Q$30,0),MATCH(E$40,货币信用周期收益计算!$Q$26:$BT$26,0))</f>
        <v>0.89238212154620289</v>
      </c>
    </row>
    <row r="43" spans="2:11" ht="14.6" x14ac:dyDescent="0.35">
      <c r="B43" s="102" t="s">
        <v>9</v>
      </c>
      <c r="C43" s="103">
        <f t="array" ref="C43">INDEX(货币信用周期收益计算!$Q$26:$BT$30,MATCH($B43,货币信用周期收益计算!$Q$26:$Q$30,0),MATCH(C$40,货币信用周期收益计算!$Q$26:$BT$26,0))</f>
        <v>-3.558563073181519</v>
      </c>
      <c r="D43" s="103">
        <f t="array" ref="D43">INDEX(货币信用周期收益计算!$Q$26:$BT$30,MATCH($B43,货币信用周期收益计算!$Q$26:$Q$30,0),MATCH(D$40,货币信用周期收益计算!$Q$26:$BT$26,0))</f>
        <v>-3.290653629528828</v>
      </c>
      <c r="E43" s="103">
        <f t="array" ref="E43">INDEX(货币信用周期收益计算!$Q$26:$BT$30,MATCH($B43,货币信用周期收益计算!$Q$26:$Q$30,0),MATCH(E$40,货币信用周期收益计算!$Q$26:$BT$26,0))</f>
        <v>0.42350761686046745</v>
      </c>
    </row>
    <row r="44" spans="2:11" ht="14.6" x14ac:dyDescent="0.35">
      <c r="B44" s="102" t="s">
        <v>10</v>
      </c>
      <c r="C44" s="103">
        <f t="array" ref="C44">INDEX(货币信用周期收益计算!$Q$26:$BT$30,MATCH($B44,货币信用周期收益计算!$Q$26:$Q$30,0),MATCH(C$40,货币信用周期收益计算!$Q$26:$BT$26,0))</f>
        <v>1.8040679518881415</v>
      </c>
      <c r="D44" s="103">
        <f t="array" ref="D44">INDEX(货币信用周期收益计算!$Q$26:$BT$30,MATCH($B44,货币信用周期收益计算!$Q$26:$Q$30,0),MATCH(D$40,货币信用周期收益计算!$Q$26:$BT$26,0))</f>
        <v>-0.90752371803317633</v>
      </c>
      <c r="E44" s="103">
        <f t="array" ref="E44">INDEX(货币信用周期收益计算!$Q$26:$BT$30,MATCH($B44,货币信用周期收益计算!$Q$26:$Q$30,0),MATCH(E$40,货币信用周期收益计算!$Q$26:$BT$26,0))</f>
        <v>-0.62767900353144523</v>
      </c>
    </row>
    <row r="46" spans="2:11" ht="14.6" x14ac:dyDescent="0.35">
      <c r="B46" s="102"/>
      <c r="C46" s="102" t="s">
        <v>24</v>
      </c>
      <c r="D46" s="102" t="s">
        <v>25</v>
      </c>
      <c r="E46" s="102" t="s">
        <v>26</v>
      </c>
      <c r="F46" s="102" t="s">
        <v>27</v>
      </c>
      <c r="G46" s="102" t="s">
        <v>28</v>
      </c>
    </row>
    <row r="47" spans="2:11" ht="14.6" x14ac:dyDescent="0.35">
      <c r="B47" s="102" t="s">
        <v>7</v>
      </c>
      <c r="C47" s="103">
        <f t="array" ref="C47">INDEX(货币信用周期收益计算!$Q$26:$BT$30,MATCH($B47,货币信用周期收益计算!$Q$26:$Q$30,0),MATCH(C$46,货币信用周期收益计算!$Q$26:$BT$26,0))</f>
        <v>1.6325241733006886</v>
      </c>
      <c r="D47" s="103">
        <f t="array" ref="D47">INDEX(货币信用周期收益计算!$Q$26:$BT$30,MATCH($B47,货币信用周期收益计算!$Q$26:$Q$30,0),MATCH(D$46,货币信用周期收益计算!$Q$26:$BT$26,0))</f>
        <v>-8.1844212749287664</v>
      </c>
      <c r="E47" s="103">
        <f t="array" ref="E47">INDEX(货币信用周期收益计算!$Q$26:$BT$30,MATCH($B47,货币信用周期收益计算!$Q$26:$Q$30,0),MATCH(E$46,货币信用周期收益计算!$Q$26:$BT$26,0))</f>
        <v>12.973693873322778</v>
      </c>
      <c r="F47" s="103">
        <f t="array" ref="F47">INDEX(货币信用周期收益计算!$Q$26:$BT$30,MATCH($B47,货币信用周期收益计算!$Q$26:$Q$30,0),MATCH(F$46,货币信用周期收益计算!$Q$26:$BT$26,0))</f>
        <v>11.649308236742678</v>
      </c>
      <c r="G47" s="103">
        <f t="array" ref="G47">INDEX(货币信用周期收益计算!$Q$26:$BT$30,MATCH($B47,货币信用周期收益计算!$Q$26:$Q$30,0),MATCH(G$46,货币信用周期收益计算!$Q$26:$BT$26,0))</f>
        <v>-7.3915880388938735</v>
      </c>
    </row>
    <row r="48" spans="2:11" ht="14.6" x14ac:dyDescent="0.35">
      <c r="B48" s="102" t="s">
        <v>8</v>
      </c>
      <c r="C48" s="103">
        <f t="array" ref="C48">INDEX(货币信用周期收益计算!$Q$26:$BT$30,MATCH($B48,货币信用周期收益计算!$Q$26:$Q$30,0),MATCH(C$46,货币信用周期收益计算!$Q$26:$BT$26,0))</f>
        <v>-4.3443000316704321</v>
      </c>
      <c r="D48" s="103">
        <f t="array" ref="D48">INDEX(货币信用周期收益计算!$Q$26:$BT$30,MATCH($B48,货币信用周期收益计算!$Q$26:$Q$30,0),MATCH(D$46,货币信用周期收益计算!$Q$26:$BT$26,0))</f>
        <v>3.1181520530809186</v>
      </c>
      <c r="E48" s="103">
        <f t="array" ref="E48">INDEX(货币信用周期收益计算!$Q$26:$BT$30,MATCH($B48,货币信用周期收益计算!$Q$26:$Q$30,0),MATCH(E$46,货币信用周期收益计算!$Q$26:$BT$26,0))</f>
        <v>-2.8886724935071006</v>
      </c>
      <c r="F48" s="103">
        <f t="array" ref="F48">INDEX(货币信用周期收益计算!$Q$26:$BT$30,MATCH($B48,货币信用周期收益计算!$Q$26:$Q$30,0),MATCH(F$46,货币信用周期收益计算!$Q$26:$BT$26,0))</f>
        <v>-5.7442498853189887</v>
      </c>
      <c r="G48" s="103">
        <f t="array" ref="G48">INDEX(货币信用周期收益计算!$Q$26:$BT$30,MATCH($B48,货币信用周期收益计算!$Q$26:$Q$30,0),MATCH(G$46,货币信用周期收益计算!$Q$26:$BT$26,0))</f>
        <v>6.4292889146172385</v>
      </c>
    </row>
    <row r="49" spans="2:7" ht="14.6" x14ac:dyDescent="0.35">
      <c r="B49" s="102" t="s">
        <v>9</v>
      </c>
      <c r="C49" s="103">
        <f t="array" ref="C49">INDEX(货币信用周期收益计算!$Q$26:$BT$30,MATCH($B49,货币信用周期收益计算!$Q$26:$Q$30,0),MATCH(C$46,货币信用周期收益计算!$Q$26:$BT$26,0))</f>
        <v>-3.611967211013976</v>
      </c>
      <c r="D49" s="103">
        <f t="array" ref="D49">INDEX(货币信用周期收益计算!$Q$26:$BT$30,MATCH($B49,货币信用周期收益计算!$Q$26:$Q$30,0),MATCH(D$46,货币信用周期收益计算!$Q$26:$BT$26,0))</f>
        <v>8.4513096575122013</v>
      </c>
      <c r="E49" s="103">
        <f t="array" ref="E49">INDEX(货币信用周期收益计算!$Q$26:$BT$30,MATCH($B49,货币信用周期收益计算!$Q$26:$Q$30,0),MATCH(E$46,货币信用周期收益计算!$Q$26:$BT$26,0))</f>
        <v>-3.8241405826902888</v>
      </c>
      <c r="F49" s="103">
        <f t="array" ref="F49">INDEX(货币信用周期收益计算!$Q$26:$BT$30,MATCH($B49,货币信用周期收益计算!$Q$26:$Q$30,0),MATCH(F$46,货币信用周期收益计算!$Q$26:$BT$26,0))</f>
        <v>-7.8242854230267112</v>
      </c>
      <c r="G49" s="103">
        <f t="array" ref="G49">INDEX(货币信用周期收益计算!$Q$26:$BT$30,MATCH($B49,货币信用周期收益计算!$Q$26:$Q$30,0),MATCH(G$46,货币信用周期收益计算!$Q$26:$BT$26,0))</f>
        <v>8.9106603449793305</v>
      </c>
    </row>
    <row r="50" spans="2:7" ht="14.6" x14ac:dyDescent="0.35">
      <c r="B50" s="102" t="s">
        <v>10</v>
      </c>
      <c r="C50" s="103">
        <f t="array" ref="C50">INDEX(货币信用周期收益计算!$Q$26:$BT$30,MATCH($B50,货币信用周期收益计算!$Q$26:$Q$30,0),MATCH(C$46,货币信用周期收益计算!$Q$26:$BT$26,0))</f>
        <v>0.51159540360603284</v>
      </c>
      <c r="D50" s="103">
        <f t="array" ref="D50">INDEX(货币信用周期收益计算!$Q$26:$BT$30,MATCH($B50,货币信用周期收益计算!$Q$26:$Q$30,0),MATCH(D$46,货币信用周期收益计算!$Q$26:$BT$26,0))</f>
        <v>8.4511109023216449</v>
      </c>
      <c r="E50" s="103">
        <f t="array" ref="E50">INDEX(货币信用周期收益计算!$Q$26:$BT$30,MATCH($B50,货币信用周期收益计算!$Q$26:$Q$30,0),MATCH(E$46,货币信用周期收益计算!$Q$26:$BT$26,0))</f>
        <v>-5.0305913473681025</v>
      </c>
      <c r="F50" s="103">
        <f t="array" ref="F50">INDEX(货币信用周期收益计算!$Q$26:$BT$30,MATCH($B50,货币信用周期收益计算!$Q$26:$Q$30,0),MATCH(F$46,货币信用周期收益计算!$Q$26:$BT$26,0))</f>
        <v>-4.4765762837371827</v>
      </c>
      <c r="G50" s="103">
        <f t="array" ref="G50">INDEX(货币信用周期收益计算!$Q$26:$BT$30,MATCH($B50,货币信用周期收益计算!$Q$26:$Q$30,0),MATCH(G$46,货币信用周期收益计算!$Q$26:$BT$26,0))</f>
        <v>1.8132761862578781</v>
      </c>
    </row>
    <row r="52" spans="2:7" ht="14.6" x14ac:dyDescent="0.35">
      <c r="B52" s="102"/>
      <c r="C52" s="102" t="s">
        <v>29</v>
      </c>
      <c r="D52" s="102" t="s">
        <v>30</v>
      </c>
      <c r="E52" s="102" t="s">
        <v>31</v>
      </c>
      <c r="F52" s="102" t="s">
        <v>32</v>
      </c>
      <c r="G52" s="102" t="s">
        <v>33</v>
      </c>
    </row>
    <row r="53" spans="2:7" ht="14.6" x14ac:dyDescent="0.35">
      <c r="B53" s="102" t="s">
        <v>7</v>
      </c>
      <c r="C53" s="103">
        <f t="array" ref="C53">INDEX(货币信用周期收益计算!$Q$26:$BT$30,MATCH($B53,货币信用周期收益计算!$Q$26:$Q$30,0),MATCH(C$52,货币信用周期收益计算!$Q$26:$BT$26,0))</f>
        <v>5.091947353999581</v>
      </c>
      <c r="D53" s="103">
        <f t="array" ref="D53">INDEX(货币信用周期收益计算!$Q$26:$BT$30,MATCH($B53,货币信用周期收益计算!$Q$26:$Q$30,0),MATCH(D$52,货币信用周期收益计算!$Q$26:$BT$26,0))</f>
        <v>6.9185008661190874</v>
      </c>
      <c r="E53" s="103">
        <f t="array" ref="E53">INDEX(货币信用周期收益计算!$Q$26:$BT$30,MATCH($B53,货币信用周期收益计算!$Q$26:$Q$30,0),MATCH(E$52,货币信用周期收益计算!$Q$26:$BT$26,0))</f>
        <v>-0.54076634481382335</v>
      </c>
      <c r="F53" s="103">
        <f t="array" ref="F53">INDEX(货币信用周期收益计算!$Q$26:$BT$30,MATCH($B53,货币信用周期收益计算!$Q$26:$Q$30,0),MATCH(F$52,货币信用周期收益计算!$Q$26:$BT$26,0))</f>
        <v>-6.5692860228028351</v>
      </c>
      <c r="G53" s="103">
        <f t="array" ref="G53">INDEX(货币信用周期收益计算!$Q$26:$BT$30,MATCH($B53,货币信用周期收益计算!$Q$26:$Q$30,0),MATCH(G$52,货币信用周期收益计算!$Q$26:$BT$26,0))</f>
        <v>3.7629754620350795</v>
      </c>
    </row>
    <row r="54" spans="2:7" ht="14.6" x14ac:dyDescent="0.35">
      <c r="B54" s="102" t="s">
        <v>8</v>
      </c>
      <c r="C54" s="103">
        <f t="array" ref="C54">INDEX(货币信用周期收益计算!$Q$26:$BT$30,MATCH($B54,货币信用周期收益计算!$Q$26:$Q$30,0),MATCH(C$52,货币信用周期收益计算!$Q$26:$BT$26,0))</f>
        <v>-5.1993840853080213</v>
      </c>
      <c r="D54" s="103">
        <f t="array" ref="D54">INDEX(货币信用周期收益计算!$Q$26:$BT$30,MATCH($B54,货币信用周期收益计算!$Q$26:$Q$30,0),MATCH(D$52,货币信用周期收益计算!$Q$26:$BT$26,0))</f>
        <v>-5.8254295457779328</v>
      </c>
      <c r="E54" s="103">
        <f t="array" ref="E54">INDEX(货币信用周期收益计算!$Q$26:$BT$30,MATCH($B54,货币信用周期收益计算!$Q$26:$Q$30,0),MATCH(E$52,货币信用周期收益计算!$Q$26:$BT$26,0))</f>
        <v>-2.8585997054543997</v>
      </c>
      <c r="F54" s="103">
        <f t="array" ref="F54">INDEX(货币信用周期收益计算!$Q$26:$BT$30,MATCH($B54,货币信用周期收益计算!$Q$26:$Q$30,0),MATCH(F$52,货币信用周期收益计算!$Q$26:$BT$26,0))</f>
        <v>1.5424159736721865</v>
      </c>
      <c r="G54" s="103">
        <f t="array" ref="G54">INDEX(货币信用周期收益计算!$Q$26:$BT$30,MATCH($B54,货币信用周期收益计算!$Q$26:$Q$30,0),MATCH(G$52,货币信用周期收益计算!$Q$26:$BT$26,0))</f>
        <v>-1.7998185428937674</v>
      </c>
    </row>
    <row r="55" spans="2:7" ht="14.6" x14ac:dyDescent="0.35">
      <c r="B55" s="102" t="s">
        <v>9</v>
      </c>
      <c r="C55" s="103">
        <f t="array" ref="C55">INDEX(货币信用周期收益计算!$Q$26:$BT$30,MATCH($B55,货币信用周期收益计算!$Q$26:$Q$30,0),MATCH(C$52,货币信用周期收益计算!$Q$26:$BT$26,0))</f>
        <v>-10.883368317216776</v>
      </c>
      <c r="D55" s="103">
        <f t="array" ref="D55">INDEX(货币信用周期收益计算!$Q$26:$BT$30,MATCH($B55,货币信用周期收益计算!$Q$26:$Q$30,0),MATCH(D$52,货币信用周期收益计算!$Q$26:$BT$26,0))</f>
        <v>-4.3221470919029059</v>
      </c>
      <c r="E55" s="103">
        <f t="array" ref="E55">INDEX(货币信用周期收益计算!$Q$26:$BT$30,MATCH($B55,货币信用周期收益计算!$Q$26:$Q$30,0),MATCH(E$52,货币信用周期收益计算!$Q$26:$BT$26,0))</f>
        <v>-1.6599449531793855</v>
      </c>
      <c r="F55" s="103">
        <f t="array" ref="F55">INDEX(货币信用周期收益计算!$Q$26:$BT$30,MATCH($B55,货币信用周期收益计算!$Q$26:$Q$30,0),MATCH(F$52,货币信用周期收益计算!$Q$26:$BT$26,0))</f>
        <v>-11.480797928364362</v>
      </c>
      <c r="G55" s="103">
        <f t="array" ref="G55">INDEX(货币信用周期收益计算!$Q$26:$BT$30,MATCH($B55,货币信用周期收益计算!$Q$26:$Q$30,0),MATCH(G$52,货币信用周期收益计算!$Q$26:$BT$26,0))</f>
        <v>-8.1579475484906609</v>
      </c>
    </row>
    <row r="56" spans="2:7" ht="14.6" x14ac:dyDescent="0.35">
      <c r="B56" s="102" t="s">
        <v>10</v>
      </c>
      <c r="C56" s="103">
        <f t="array" ref="C56">INDEX(货币信用周期收益计算!$Q$26:$BT$30,MATCH($B56,货币信用周期收益计算!$Q$26:$Q$30,0),MATCH(C$52,货币信用周期收益计算!$Q$26:$BT$26,0))</f>
        <v>-1.0723652171105655</v>
      </c>
      <c r="D56" s="103">
        <f t="array" ref="D56">INDEX(货币信用周期收益计算!$Q$26:$BT$30,MATCH($B56,货币信用周期收益计算!$Q$26:$Q$30,0),MATCH(D$52,货币信用周期收益计算!$Q$26:$BT$26,0))</f>
        <v>4.6730184178914671</v>
      </c>
      <c r="E56" s="103">
        <f t="array" ref="E56">INDEX(货币信用周期收益计算!$Q$26:$BT$30,MATCH($B56,货币信用周期收益计算!$Q$26:$Q$30,0),MATCH(E$52,货币信用周期收益计算!$Q$26:$BT$26,0))</f>
        <v>7.2705765196616472</v>
      </c>
      <c r="F56" s="103">
        <f t="array" ref="F56">INDEX(货币信用周期收益计算!$Q$26:$BT$30,MATCH($B56,货币信用周期收益计算!$Q$26:$Q$30,0),MATCH(F$52,货币信用周期收益计算!$Q$26:$BT$26,0))</f>
        <v>7.7023160214485005</v>
      </c>
      <c r="G56" s="103">
        <f t="array" ref="G56">INDEX(货币信用周期收益计算!$Q$26:$BT$30,MATCH($B56,货币信用周期收益计算!$Q$26:$Q$30,0),MATCH(G$52,货币信用周期收益计算!$Q$26:$BT$26,0))</f>
        <v>1.918930723096568</v>
      </c>
    </row>
    <row r="58" spans="2:7" ht="14.6" x14ac:dyDescent="0.35">
      <c r="B58" s="102"/>
      <c r="C58" s="102" t="s">
        <v>34</v>
      </c>
      <c r="D58" s="102" t="s">
        <v>35</v>
      </c>
    </row>
    <row r="59" spans="2:7" ht="14.6" x14ac:dyDescent="0.35">
      <c r="B59" s="102" t="s">
        <v>7</v>
      </c>
      <c r="C59" s="103">
        <f t="array" ref="C59">INDEX(货币信用周期收益计算!$Q$26:$BT$30,MATCH($B59,货币信用周期收益计算!$Q$26:$Q$30,0),MATCH(C$58,货币信用周期收益计算!$Q$26:$BT$26,0))</f>
        <v>7.4846876871156205</v>
      </c>
      <c r="D59" s="103">
        <f t="array" ref="D59">INDEX(货币信用周期收益计算!$Q$26:$BT$30,MATCH($B59,货币信用周期收益计算!$Q$26:$Q$30,0),MATCH(D$58,货币信用周期收益计算!$Q$26:$BT$26,0))</f>
        <v>-13.639965634591592</v>
      </c>
    </row>
    <row r="60" spans="2:7" ht="14.6" x14ac:dyDescent="0.35">
      <c r="B60" s="102" t="s">
        <v>8</v>
      </c>
      <c r="C60" s="103">
        <f t="array" ref="C60">INDEX(货币信用周期收益计算!$Q$26:$BT$30,MATCH($B60,货币信用周期收益计算!$Q$26:$Q$30,0),MATCH(C$58,货币信用周期收益计算!$Q$26:$BT$26,0))</f>
        <v>-4.1831918438558393</v>
      </c>
      <c r="D60" s="103">
        <f t="array" ref="D60">INDEX(货币信用周期收益计算!$Q$26:$BT$30,MATCH($B60,货币信用周期收益计算!$Q$26:$Q$30,0),MATCH(D$58,货币信用周期收益计算!$Q$26:$BT$26,0))</f>
        <v>7.1649211654167626</v>
      </c>
    </row>
    <row r="61" spans="2:7" ht="14.6" x14ac:dyDescent="0.35">
      <c r="B61" s="102" t="s">
        <v>9</v>
      </c>
      <c r="C61" s="103">
        <f t="array" ref="C61">INDEX(货币信用周期收益计算!$Q$26:$BT$30,MATCH($B61,货币信用周期收益计算!$Q$26:$Q$30,0),MATCH(C$58,货币信用周期收益计算!$Q$26:$BT$26,0))</f>
        <v>-9.3465334247572116</v>
      </c>
      <c r="D61" s="103">
        <f t="array" ref="D61">INDEX(货币信用周期收益计算!$Q$26:$BT$30,MATCH($B61,货币信用周期收益计算!$Q$26:$Q$30,0),MATCH(D$58,货币信用周期收益计算!$Q$26:$BT$26,0))</f>
        <v>0.23284200211723238</v>
      </c>
    </row>
    <row r="62" spans="2:7" ht="14.6" x14ac:dyDescent="0.35">
      <c r="B62" s="102" t="s">
        <v>10</v>
      </c>
      <c r="C62" s="103">
        <f t="array" ref="C62">INDEX(货币信用周期收益计算!$Q$26:$BT$30,MATCH($B62,货币信用周期收益计算!$Q$26:$Q$30,0),MATCH(C$58,货币信用周期收益计算!$Q$26:$BT$26,0))</f>
        <v>-0.23150898803478803</v>
      </c>
      <c r="D62" s="103">
        <f t="array" ref="D62">INDEX(货币信用周期收益计算!$Q$26:$BT$30,MATCH($B62,货币信用周期收益计算!$Q$26:$Q$30,0),MATCH(D$58,货币信用周期收益计算!$Q$26:$BT$26,0))</f>
        <v>-2.4273023365462834</v>
      </c>
    </row>
    <row r="65" spans="2:33" ht="14.6" x14ac:dyDescent="0.35">
      <c r="B65" s="102"/>
      <c r="C65" s="102" t="s">
        <v>36</v>
      </c>
      <c r="D65" s="102" t="s">
        <v>37</v>
      </c>
      <c r="E65" s="102" t="s">
        <v>38</v>
      </c>
      <c r="F65" s="102" t="s">
        <v>39</v>
      </c>
      <c r="G65" s="102" t="s">
        <v>40</v>
      </c>
      <c r="H65" s="102" t="s">
        <v>41</v>
      </c>
      <c r="I65" s="102" t="s">
        <v>42</v>
      </c>
      <c r="J65" s="102" t="s">
        <v>43</v>
      </c>
      <c r="K65" s="102" t="s">
        <v>44</v>
      </c>
      <c r="L65" s="102" t="s">
        <v>45</v>
      </c>
      <c r="M65" s="102" t="s">
        <v>46</v>
      </c>
      <c r="N65" s="102" t="s">
        <v>47</v>
      </c>
      <c r="O65" s="102" t="s">
        <v>48</v>
      </c>
      <c r="P65" s="102" t="s">
        <v>49</v>
      </c>
      <c r="Q65" s="102" t="s">
        <v>50</v>
      </c>
      <c r="R65" s="102" t="s">
        <v>51</v>
      </c>
      <c r="S65" s="102" t="s">
        <v>52</v>
      </c>
      <c r="T65" s="102" t="s">
        <v>53</v>
      </c>
      <c r="U65" s="102" t="s">
        <v>54</v>
      </c>
      <c r="V65" s="102" t="s">
        <v>55</v>
      </c>
      <c r="W65" s="102" t="s">
        <v>56</v>
      </c>
      <c r="X65" s="102" t="s">
        <v>57</v>
      </c>
      <c r="Y65" s="102" t="s">
        <v>58</v>
      </c>
      <c r="Z65" s="102" t="s">
        <v>59</v>
      </c>
      <c r="AA65" s="102" t="s">
        <v>60</v>
      </c>
      <c r="AB65" s="102" t="s">
        <v>61</v>
      </c>
      <c r="AC65" s="102" t="s">
        <v>62</v>
      </c>
      <c r="AD65" s="102" t="s">
        <v>63</v>
      </c>
      <c r="AE65" s="102" t="s">
        <v>64</v>
      </c>
      <c r="AF65" s="102" t="s">
        <v>65</v>
      </c>
      <c r="AG65" s="102" t="s">
        <v>66</v>
      </c>
    </row>
    <row r="66" spans="2:33" ht="14.6" x14ac:dyDescent="0.35">
      <c r="B66" s="102" t="s">
        <v>7</v>
      </c>
      <c r="C66" s="103">
        <f t="array" ref="C66">INDEX(货币信用周期收益计算!$Q$26:$BT$30,MATCH($B66,货币信用周期收益计算!$Q$26:$Q$30,0),MATCH(C$65,货币信用周期收益计算!$Q$26:$BT$26,0))</f>
        <v>-7.1514844468366761</v>
      </c>
      <c r="D66" s="103">
        <f t="array" ref="D66">INDEX(货币信用周期收益计算!$Q$26:$BT$30,MATCH($B66,货币信用周期收益计算!$Q$26:$Q$30,0),MATCH(D$65,货币信用周期收益计算!$Q$26:$BT$26,0))</f>
        <v>-2.1255846913909213</v>
      </c>
      <c r="E66" s="103">
        <f t="array" ref="E66">INDEX(货币信用周期收益计算!$Q$26:$BT$30,MATCH($B66,货币信用周期收益计算!$Q$26:$Q$30,0),MATCH(E$65,货币信用周期收益计算!$Q$26:$BT$26,0))</f>
        <v>9.3287975991213461</v>
      </c>
      <c r="F66" s="103">
        <f t="array" ref="F66">INDEX(货币信用周期收益计算!$Q$26:$BT$30,MATCH($B66,货币信用周期收益计算!$Q$26:$Q$30,0),MATCH(F$65,货币信用周期收益计算!$Q$26:$BT$26,0))</f>
        <v>1.6883923758681032</v>
      </c>
      <c r="G66" s="103">
        <f t="array" ref="G66">INDEX(货币信用周期收益计算!$Q$26:$BT$30,MATCH($B66,货币信用周期收益计算!$Q$26:$Q$30,0),MATCH(G$65,货币信用周期收益计算!$Q$26:$BT$26,0))</f>
        <v>-12.404261323661778</v>
      </c>
      <c r="H66" s="103">
        <f t="array" ref="H66">INDEX(货币信用周期收益计算!$Q$26:$BT$30,MATCH($B66,货币信用周期收益计算!$Q$26:$Q$30,0),MATCH(H$65,货币信用周期收益计算!$Q$26:$BT$26,0))</f>
        <v>-3.2889531095237774</v>
      </c>
      <c r="I66" s="103">
        <f t="array" ref="I66">INDEX(货币信用周期收益计算!$Q$26:$BT$30,MATCH($B66,货币信用周期收益计算!$Q$26:$Q$30,0),MATCH(I$65,货币信用周期收益计算!$Q$26:$BT$26,0))</f>
        <v>-4.7311592936650078</v>
      </c>
      <c r="J66" s="103">
        <f t="array" ref="J66">INDEX(货币信用周期收益计算!$Q$26:$BT$30,MATCH($B66,货币信用周期收益计算!$Q$26:$Q$30,0),MATCH(J$65,货币信用周期收益计算!$Q$26:$BT$26,0))</f>
        <v>-8.3051722881608807</v>
      </c>
      <c r="K66" s="103">
        <f t="array" ref="K66">INDEX(货币信用周期收益计算!$Q$26:$BT$30,MATCH($B66,货币信用周期收益计算!$Q$26:$Q$30,0),MATCH(K$65,货币信用周期收益计算!$Q$26:$BT$26,0))</f>
        <v>-13.211994117688562</v>
      </c>
      <c r="L66" s="103">
        <f t="array" ref="L66">INDEX(货币信用周期收益计算!$Q$26:$BT$30,MATCH($B66,货币信用周期收益计算!$Q$26:$Q$30,0),MATCH(L$65,货币信用周期收益计算!$Q$26:$BT$26,0))</f>
        <v>-14.170568670450473</v>
      </c>
      <c r="M66" s="103">
        <f t="array" ref="M66">INDEX(货币信用周期收益计算!$Q$26:$BT$30,MATCH($B66,货币信用周期收益计算!$Q$26:$Q$30,0),MATCH(M$65,货币信用周期收益计算!$Q$26:$BT$26,0))</f>
        <v>5.8479959347643451</v>
      </c>
      <c r="N66" s="103">
        <f t="array" ref="N66">INDEX(货币信用周期收益计算!$Q$26:$BT$30,MATCH($B66,货币信用周期收益计算!$Q$26:$Q$30,0),MATCH(N$65,货币信用周期收益计算!$Q$26:$BT$26,0))</f>
        <v>2.3501694015382295</v>
      </c>
      <c r="O66" s="103">
        <f t="array" ref="O66">INDEX(货币信用周期收益计算!$Q$26:$BT$30,MATCH($B66,货币信用周期收益计算!$Q$26:$Q$30,0),MATCH(O$65,货币信用周期收益计算!$Q$26:$BT$26,0))</f>
        <v>-2.7431767456383787</v>
      </c>
      <c r="P66" s="103">
        <f t="array" ref="P66">INDEX(货币信用周期收益计算!$Q$26:$BT$30,MATCH($B66,货币信用周期收益计算!$Q$26:$Q$30,0),MATCH(P$65,货币信用周期收益计算!$Q$26:$BT$26,0))</f>
        <v>-10.408836944227119</v>
      </c>
      <c r="Q66" s="103">
        <f t="array" ref="Q66">INDEX(货币信用周期收益计算!$Q$26:$BT$30,MATCH($B66,货币信用周期收益计算!$Q$26:$Q$30,0),MATCH(Q$65,货币信用周期收益计算!$Q$26:$BT$26,0))</f>
        <v>-10.251128164965209</v>
      </c>
      <c r="R66" s="103">
        <f t="array" ref="R66">INDEX(货币信用周期收益计算!$Q$26:$BT$30,MATCH($B66,货币信用周期收益计算!$Q$26:$Q$30,0),MATCH(R$65,货币信用周期收益计算!$Q$26:$BT$26,0))</f>
        <v>-10.498193613484151</v>
      </c>
      <c r="S66" s="103">
        <f t="array" ref="S66">INDEX(货币信用周期收益计算!$Q$26:$BT$30,MATCH($B66,货币信用周期收益计算!$Q$26:$Q$30,0),MATCH(S$65,货币信用周期收益计算!$Q$26:$BT$26,0))</f>
        <v>-8.5460544912325993</v>
      </c>
      <c r="T66" s="103">
        <f t="array" ref="T66">INDEX(货币信用周期收益计算!$Q$26:$BT$30,MATCH($B66,货币信用周期收益计算!$Q$26:$Q$30,0),MATCH(T$65,货币信用周期收益计算!$Q$26:$BT$26,0))</f>
        <v>7.2711024909397821</v>
      </c>
      <c r="U66" s="103">
        <f t="array" ref="U66">INDEX(货币信用周期收益计算!$Q$26:$BT$30,MATCH($B66,货币信用周期收益计算!$Q$26:$Q$30,0),MATCH(U$65,货币信用周期收益计算!$Q$26:$BT$26,0))</f>
        <v>-4.614794329410711</v>
      </c>
      <c r="V66" s="103">
        <f t="array" ref="V66">INDEX(货币信用周期收益计算!$Q$26:$BT$30,MATCH($B66,货币信用周期收益计算!$Q$26:$Q$30,0),MATCH(V$65,货币信用周期收益计算!$Q$26:$BT$26,0))</f>
        <v>1.0565825959544055</v>
      </c>
      <c r="W66" s="103">
        <f t="array" ref="W66">INDEX(货币信用周期收益计算!$Q$26:$BT$30,MATCH($B66,货币信用周期收益计算!$Q$26:$Q$30,0),MATCH(W$65,货币信用周期收益计算!$Q$26:$BT$26,0))</f>
        <v>-12.833084680645223</v>
      </c>
      <c r="X66" s="103">
        <f t="array" ref="X66">INDEX(货币信用周期收益计算!$Q$26:$BT$30,MATCH($B66,货币信用周期收益计算!$Q$26:$Q$30,0),MATCH(X$65,货币信用周期收益计算!$Q$26:$BT$26,0))</f>
        <v>-19.690455101340469</v>
      </c>
      <c r="Y66" s="103">
        <f t="array" ref="Y66">INDEX(货币信用周期收益计算!$Q$26:$BT$30,MATCH($B66,货币信用周期收益计算!$Q$26:$Q$30,0),MATCH(Y$65,货币信用周期收益计算!$Q$26:$BT$26,0))</f>
        <v>-8.9989428099243334</v>
      </c>
      <c r="Z66" s="103">
        <f t="array" ref="Z66">INDEX(货币信用周期收益计算!$Q$26:$BT$30,MATCH($B66,货币信用周期收益计算!$Q$26:$Q$30,0),MATCH(Z$65,货币信用周期收益计算!$Q$26:$BT$26,0))</f>
        <v>6.5014116704891958</v>
      </c>
      <c r="AA66" s="103">
        <f t="array" ref="AA66">INDEX(货币信用周期收益计算!$Q$26:$BT$30,MATCH($B66,货币信用周期收益计算!$Q$26:$Q$30,0),MATCH(AA$65,货币信用周期收益计算!$Q$26:$BT$26,0))</f>
        <v>18.838023220576147</v>
      </c>
      <c r="AB66" s="103">
        <f t="array" ref="AB66">INDEX(货币信用周期收益计算!$Q$26:$BT$30,MATCH($B66,货币信用周期收益计算!$Q$26:$Q$30,0),MATCH(AB$65,货币信用周期收益计算!$Q$26:$BT$26,0))</f>
        <v>1.2215599594365569</v>
      </c>
      <c r="AC66" s="103">
        <f t="array" ref="AC66">INDEX(货币信用周期收益计算!$Q$26:$BT$30,MATCH($B66,货币信用周期收益计算!$Q$26:$Q$30,0),MATCH(AC$65,货币信用周期收益计算!$Q$26:$BT$26,0))</f>
        <v>-2.5962787657792985</v>
      </c>
      <c r="AD66" s="103">
        <f t="array" ref="AD66">INDEX(货币信用周期收益计算!$Q$26:$BT$30,MATCH($B66,货币信用周期收益计算!$Q$26:$Q$30,0),MATCH(AD$65,货币信用周期收益计算!$Q$26:$BT$26,0))</f>
        <v>11.047408574746404</v>
      </c>
      <c r="AE66" s="103">
        <f t="array" ref="AE66">INDEX(货币信用周期收益计算!$Q$26:$BT$30,MATCH($B66,货币信用周期收益计算!$Q$26:$Q$30,0),MATCH(AE$65,货币信用周期收益计算!$Q$26:$BT$26,0))</f>
        <v>2.0243772641541895</v>
      </c>
      <c r="AF66" s="103">
        <f t="array" ref="AF66">INDEX(货币信用周期收益计算!$Q$26:$BT$30,MATCH($B66,货币信用周期收益计算!$Q$26:$Q$30,0),MATCH(AF$65,货币信用周期收益计算!$Q$26:$BT$26,0))</f>
        <v>-6.6969340415264034</v>
      </c>
      <c r="AG66" s="103">
        <f t="array" ref="AG66">INDEX(货币信用周期收益计算!$Q$26:$BT$30,MATCH($B66,货币信用周期收益计算!$Q$26:$Q$30,0),MATCH(AG$65,货币信用周期收益计算!$Q$26:$BT$26,0))</f>
        <v>-18.204826203129059</v>
      </c>
    </row>
    <row r="67" spans="2:33" ht="14.6" x14ac:dyDescent="0.35">
      <c r="B67" s="102" t="s">
        <v>8</v>
      </c>
      <c r="C67" s="103">
        <f t="array" ref="C67">INDEX(货币信用周期收益计算!$Q$26:$BT$30,MATCH($B67,货币信用周期收益计算!$Q$26:$Q$30,0),MATCH(C$65,货币信用周期收益计算!$Q$26:$BT$26,0))</f>
        <v>9.0363703796753772</v>
      </c>
      <c r="D67" s="103">
        <f t="array" ref="D67">INDEX(货币信用周期收益计算!$Q$26:$BT$30,MATCH($B67,货币信用周期收益计算!$Q$26:$Q$30,0),MATCH(D$65,货币信用周期收益计算!$Q$26:$BT$26,0))</f>
        <v>-4.3394098390695923</v>
      </c>
      <c r="E67" s="103">
        <f t="array" ref="E67">INDEX(货币信用周期收益计算!$Q$26:$BT$30,MATCH($B67,货币信用周期收益计算!$Q$26:$Q$30,0),MATCH(E$65,货币信用周期收益计算!$Q$26:$BT$26,0))</f>
        <v>-18.431085925522218</v>
      </c>
      <c r="F67" s="103">
        <f t="array" ref="F67">INDEX(货币信用周期收益计算!$Q$26:$BT$30,MATCH($B67,货币信用周期收益计算!$Q$26:$Q$30,0),MATCH(F$65,货币信用周期收益计算!$Q$26:$BT$26,0))</f>
        <v>-7.8031532097660188</v>
      </c>
      <c r="G67" s="103">
        <f t="array" ref="G67">INDEX(货币信用周期收益计算!$Q$26:$BT$30,MATCH($B67,货币信用周期收益计算!$Q$26:$Q$30,0),MATCH(G$65,货币信用周期收益计算!$Q$26:$BT$26,0))</f>
        <v>16.962339696692688</v>
      </c>
      <c r="H67" s="103">
        <f t="array" ref="H67">INDEX(货币信用周期收益计算!$Q$26:$BT$30,MATCH($B67,货币信用周期收益计算!$Q$26:$Q$30,0),MATCH(H$65,货币信用周期收益计算!$Q$26:$BT$26,0))</f>
        <v>4.3271439996406702</v>
      </c>
      <c r="I67" s="103">
        <f t="array" ref="I67">INDEX(货币信用周期收益计算!$Q$26:$BT$30,MATCH($B67,货币信用周期收益计算!$Q$26:$Q$30,0),MATCH(I$65,货币信用周期收益计算!$Q$26:$BT$26,0))</f>
        <v>0.63629650575470098</v>
      </c>
      <c r="J67" s="103">
        <f t="array" ref="J67">INDEX(货币信用周期收益计算!$Q$26:$BT$30,MATCH($B67,货币信用周期收益计算!$Q$26:$Q$30,0),MATCH(J$65,货币信用周期收益计算!$Q$26:$BT$26,0))</f>
        <v>3.7084232344826971</v>
      </c>
      <c r="K67" s="103">
        <f t="array" ref="K67">INDEX(货币信用周期收益计算!$Q$26:$BT$30,MATCH($B67,货币信用周期收益计算!$Q$26:$Q$30,0),MATCH(K$65,货币信用周期收益计算!$Q$26:$BT$26,0))</f>
        <v>3.2266044486744327</v>
      </c>
      <c r="L67" s="103">
        <f t="array" ref="L67">INDEX(货币信用周期收益计算!$Q$26:$BT$30,MATCH($B67,货币信用周期收益计算!$Q$26:$Q$30,0),MATCH(L$65,货币信用周期收益计算!$Q$26:$BT$26,0))</f>
        <v>3.0765709601452658</v>
      </c>
      <c r="M67" s="103">
        <f t="array" ref="M67">INDEX(货币信用周期收益计算!$Q$26:$BT$30,MATCH($B67,货币信用周期收益计算!$Q$26:$Q$30,0),MATCH(M$65,货币信用周期收益计算!$Q$26:$BT$26,0))</f>
        <v>-8.696836981874533</v>
      </c>
      <c r="N67" s="103">
        <f t="array" ref="N67">INDEX(货币信用周期收益计算!$Q$26:$BT$30,MATCH($B67,货币信用周期收益计算!$Q$26:$Q$30,0),MATCH(N$65,货币信用周期收益计算!$Q$26:$BT$26,0))</f>
        <v>-7.9062019070695726</v>
      </c>
      <c r="O67" s="103">
        <f t="array" ref="O67">INDEX(货币信用周期收益计算!$Q$26:$BT$30,MATCH($B67,货币信用周期收益计算!$Q$26:$Q$30,0),MATCH(O$65,货币信用周期收益计算!$Q$26:$BT$26,0))</f>
        <v>-2.7060276415246358</v>
      </c>
      <c r="P67" s="103">
        <f t="array" ref="P67">INDEX(货币信用周期收益计算!$Q$26:$BT$30,MATCH($B67,货币信用周期收益计算!$Q$26:$Q$30,0),MATCH(P$65,货币信用周期收益计算!$Q$26:$BT$26,0))</f>
        <v>-5.1760763727459125</v>
      </c>
      <c r="Q67" s="103">
        <f t="array" ref="Q67">INDEX(货币信用周期收益计算!$Q$26:$BT$30,MATCH($B67,货币信用周期收益计算!$Q$26:$Q$30,0),MATCH(Q$65,货币信用周期收益计算!$Q$26:$BT$26,0))</f>
        <v>4.7848288471354099</v>
      </c>
      <c r="R67" s="103">
        <f t="array" ref="R67">INDEX(货币信用周期收益计算!$Q$26:$BT$30,MATCH($B67,货币信用周期收益计算!$Q$26:$Q$30,0),MATCH(R$65,货币信用周期收益计算!$Q$26:$BT$26,0))</f>
        <v>12.883370313771358</v>
      </c>
      <c r="S67" s="103">
        <f t="array" ref="S67">INDEX(货币信用周期收益计算!$Q$26:$BT$30,MATCH($B67,货币信用周期收益计算!$Q$26:$Q$30,0),MATCH(S$65,货币信用周期收益计算!$Q$26:$BT$26,0))</f>
        <v>-3.5019882964361004</v>
      </c>
      <c r="T67" s="103">
        <f t="array" ref="T67">INDEX(货币信用周期收益计算!$Q$26:$BT$30,MATCH($B67,货币信用周期收益计算!$Q$26:$Q$30,0),MATCH(T$65,货币信用周期收益计算!$Q$26:$BT$26,0))</f>
        <v>-6.0770227807924364</v>
      </c>
      <c r="U67" s="103">
        <f t="array" ref="U67">INDEX(货币信用周期收益计算!$Q$26:$BT$30,MATCH($B67,货币信用周期收益计算!$Q$26:$Q$30,0),MATCH(U$65,货币信用周期收益计算!$Q$26:$BT$26,0))</f>
        <v>-1.9120191980059484</v>
      </c>
      <c r="V67" s="103">
        <f t="array" ref="V67">INDEX(货币信用周期收益计算!$Q$26:$BT$30,MATCH($B67,货币信用周期收益计算!$Q$26:$Q$30,0),MATCH(V$65,货币信用周期收益计算!$Q$26:$BT$26,0))</f>
        <v>-5.9242858430643608</v>
      </c>
      <c r="W67" s="103">
        <f t="array" ref="W67">INDEX(货币信用周期收益计算!$Q$26:$BT$30,MATCH($B67,货币信用周期收益计算!$Q$26:$Q$30,0),MATCH(W$65,货币信用周期收益计算!$Q$26:$BT$26,0))</f>
        <v>21.875267451475594</v>
      </c>
      <c r="X67" s="103">
        <f t="array" ref="X67">INDEX(货币信用周期收益计算!$Q$26:$BT$30,MATCH($B67,货币信用周期收益计算!$Q$26:$Q$30,0),MATCH(X$65,货币信用周期收益计算!$Q$26:$BT$26,0))</f>
        <v>15.816577765895358</v>
      </c>
      <c r="Y67" s="103">
        <f t="array" ref="Y67">INDEX(货币信用周期收益计算!$Q$26:$BT$30,MATCH($B67,货币信用周期收益计算!$Q$26:$Q$30,0),MATCH(Y$65,货币信用周期收益计算!$Q$26:$BT$26,0))</f>
        <v>16.520319505900197</v>
      </c>
      <c r="Z67" s="103">
        <f t="array" ref="Z67">INDEX(货币信用周期收益计算!$Q$26:$BT$30,MATCH($B67,货币信用周期收益计算!$Q$26:$Q$30,0),MATCH(Z$65,货币信用周期收益计算!$Q$26:$BT$26,0))</f>
        <v>-6.5500131484013773</v>
      </c>
      <c r="AA67" s="103">
        <f t="array" ref="AA67">INDEX(货币信用周期收益计算!$Q$26:$BT$30,MATCH($B67,货币信用周期收益计算!$Q$26:$Q$30,0),MATCH(AA$65,货币信用周期收益计算!$Q$26:$BT$26,0))</f>
        <v>-5.1188005305815532</v>
      </c>
      <c r="AB67" s="103">
        <f t="array" ref="AB67">INDEX(货币信用周期收益计算!$Q$26:$BT$30,MATCH($B67,货币信用周期收益计算!$Q$26:$Q$30,0),MATCH(AB$65,货币信用周期收益计算!$Q$26:$BT$26,0))</f>
        <v>-3.3141307466699654</v>
      </c>
      <c r="AC67" s="103">
        <f t="array" ref="AC67">INDEX(货币信用周期收益计算!$Q$26:$BT$30,MATCH($B67,货币信用周期收益计算!$Q$26:$Q$30,0),MATCH(AC$65,货币信用周期收益计算!$Q$26:$BT$26,0))</f>
        <v>-0.41355007678955469</v>
      </c>
      <c r="AD67" s="103">
        <f t="array" ref="AD67">INDEX(货币信用周期收益计算!$Q$26:$BT$30,MATCH($B67,货币信用周期收益计算!$Q$26:$Q$30,0),MATCH(AD$65,货币信用周期收益计算!$Q$26:$BT$26,0))</f>
        <v>-11.497718712094949</v>
      </c>
      <c r="AE67" s="103">
        <f t="array" ref="AE67">INDEX(货币信用周期收益计算!$Q$26:$BT$30,MATCH($B67,货币信用周期收益计算!$Q$26:$Q$30,0),MATCH(AE$65,货币信用周期收益计算!$Q$26:$BT$26,0))</f>
        <v>-13.32350193230682</v>
      </c>
      <c r="AF67" s="103">
        <f t="array" ref="AF67">INDEX(货币信用周期收益计算!$Q$26:$BT$30,MATCH($B67,货币信用周期收益计算!$Q$26:$Q$30,0),MATCH(AF$65,货币信用周期收益计算!$Q$26:$BT$26,0))</f>
        <v>-5.2070580163988396</v>
      </c>
      <c r="AG67" s="103">
        <f t="array" ref="AG67">INDEX(货币信用周期收益计算!$Q$26:$BT$30,MATCH($B67,货币信用周期收益计算!$Q$26:$Q$30,0),MATCH(AG$65,货币信用周期收益计算!$Q$26:$BT$26,0))</f>
        <v>2.030784533406536</v>
      </c>
    </row>
    <row r="68" spans="2:33" ht="14.6" x14ac:dyDescent="0.35">
      <c r="B68" s="102" t="s">
        <v>9</v>
      </c>
      <c r="C68" s="103">
        <f t="array" ref="C68">INDEX(货币信用周期收益计算!$Q$26:$BT$30,MATCH($B68,货币信用周期收益计算!$Q$26:$Q$30,0),MATCH(C$65,货币信用周期收益计算!$Q$26:$BT$26,0))</f>
        <v>-8.0865459448553239</v>
      </c>
      <c r="D68" s="103">
        <f t="array" ref="D68">INDEX(货币信用周期收益计算!$Q$26:$BT$30,MATCH($B68,货币信用周期收益计算!$Q$26:$Q$30,0),MATCH(D$65,货币信用周期收益计算!$Q$26:$BT$26,0))</f>
        <v>1.7315740044067063</v>
      </c>
      <c r="E68" s="103">
        <f t="array" ref="E68">INDEX(货币信用周期收益计算!$Q$26:$BT$30,MATCH($B68,货币信用周期收益计算!$Q$26:$Q$30,0),MATCH(E$65,货币信用周期收益计算!$Q$26:$BT$26,0))</f>
        <v>-14.904032456819428</v>
      </c>
      <c r="F68" s="103">
        <f t="array" ref="F68">INDEX(货币信用周期收益计算!$Q$26:$BT$30,MATCH($B68,货币信用周期收益计算!$Q$26:$Q$30,0),MATCH(F$65,货币信用周期收益计算!$Q$26:$BT$26,0))</f>
        <v>-12.516707783942223</v>
      </c>
      <c r="G68" s="103">
        <f t="array" ref="G68">INDEX(货币信用周期收益计算!$Q$26:$BT$30,MATCH($B68,货币信用周期收益计算!$Q$26:$Q$30,0),MATCH(G$65,货币信用周期收益计算!$Q$26:$BT$26,0))</f>
        <v>7.4348767030811977</v>
      </c>
      <c r="H68" s="103">
        <f t="array" ref="H68">INDEX(货币信用周期收益计算!$Q$26:$BT$30,MATCH($B68,货币信用周期收益计算!$Q$26:$Q$30,0),MATCH(H$65,货币信用周期收益计算!$Q$26:$BT$26,0))</f>
        <v>7.8135428958495083</v>
      </c>
      <c r="I68" s="103">
        <f t="array" ref="I68">INDEX(货币信用周期收益计算!$Q$26:$BT$30,MATCH($B68,货币信用周期收益计算!$Q$26:$Q$30,0),MATCH(I$65,货币信用周期收益计算!$Q$26:$BT$26,0))</f>
        <v>13.026547494739152</v>
      </c>
      <c r="J68" s="103">
        <f t="array" ref="J68">INDEX(货币信用周期收益计算!$Q$26:$BT$30,MATCH($B68,货币信用周期收益计算!$Q$26:$Q$30,0),MATCH(J$65,货币信用周期收益计算!$Q$26:$BT$26,0))</f>
        <v>-13.647461436577402</v>
      </c>
      <c r="K68" s="103">
        <f t="array" ref="K68">INDEX(货币信用周期收益计算!$Q$26:$BT$30,MATCH($B68,货币信用周期收益计算!$Q$26:$Q$30,0),MATCH(K$65,货币信用周期收益计算!$Q$26:$BT$26,0))</f>
        <v>3.758978084317576</v>
      </c>
      <c r="L68" s="103">
        <f t="array" ref="L68">INDEX(货币信用周期收益计算!$Q$26:$BT$30,MATCH($B68,货币信用周期收益计算!$Q$26:$Q$30,0),MATCH(L$65,货币信用周期收益计算!$Q$26:$BT$26,0))</f>
        <v>16.181546204680213</v>
      </c>
      <c r="M68" s="103">
        <f t="array" ref="M68">INDEX(货币信用周期收益计算!$Q$26:$BT$30,MATCH($B68,货币信用周期收益计算!$Q$26:$Q$30,0),MATCH(M$65,货币信用周期收益计算!$Q$26:$BT$26,0))</f>
        <v>-2.9490149325223598</v>
      </c>
      <c r="N68" s="103">
        <f t="array" ref="N68">INDEX(货币信用周期收益计算!$Q$26:$BT$30,MATCH($B68,货币信用周期收益计算!$Q$26:$Q$30,0),MATCH(N$65,货币信用周期收益计算!$Q$26:$BT$26,0))</f>
        <v>-11.092835991353908</v>
      </c>
      <c r="O68" s="103">
        <f t="array" ref="O68">INDEX(货币信用周期收益计算!$Q$26:$BT$30,MATCH($B68,货币信用周期收益计算!$Q$26:$Q$30,0),MATCH(O$65,货币信用周期收益计算!$Q$26:$BT$26,0))</f>
        <v>-7.2857798975162913</v>
      </c>
      <c r="P68" s="103">
        <f t="array" ref="P68">INDEX(货币信用周期收益计算!$Q$26:$BT$30,MATCH($B68,货币信用周期收益计算!$Q$26:$Q$30,0),MATCH(P$65,货币信用周期收益计算!$Q$26:$BT$26,0))</f>
        <v>-6.6020736770577395</v>
      </c>
      <c r="Q68" s="103">
        <f t="array" ref="Q68">INDEX(货币信用周期收益计算!$Q$26:$BT$30,MATCH($B68,货币信用周期收益计算!$Q$26:$Q$30,0),MATCH(Q$65,货币信用周期收益计算!$Q$26:$BT$26,0))</f>
        <v>14.28059855359065</v>
      </c>
      <c r="R68" s="103">
        <f t="array" ref="R68">INDEX(货币信用周期收益计算!$Q$26:$BT$30,MATCH($B68,货币信用周期收益计算!$Q$26:$Q$30,0),MATCH(R$65,货币信用周期收益计算!$Q$26:$BT$26,0))</f>
        <v>-0.33781596224854837</v>
      </c>
      <c r="S68" s="103">
        <f t="array" ref="S68">INDEX(货币信用周期收益计算!$Q$26:$BT$30,MATCH($B68,货币信用周期收益计算!$Q$26:$Q$30,0),MATCH(S$65,货币信用周期收益计算!$Q$26:$BT$26,0))</f>
        <v>-2.873431302576428</v>
      </c>
      <c r="T68" s="103">
        <f t="array" ref="T68">INDEX(货币信用周期收益计算!$Q$26:$BT$30,MATCH($B68,货币信用周期收益计算!$Q$26:$Q$30,0),MATCH(T$65,货币信用周期收益计算!$Q$26:$BT$26,0))</f>
        <v>-6.9577294009662021</v>
      </c>
      <c r="U68" s="103">
        <f t="array" ref="U68">INDEX(货币信用周期收益计算!$Q$26:$BT$30,MATCH($B68,货币信用周期收益计算!$Q$26:$Q$30,0),MATCH(U$65,货币信用周期收益计算!$Q$26:$BT$26,0))</f>
        <v>13.824775202297413</v>
      </c>
      <c r="V68" s="103">
        <f t="array" ref="V68">INDEX(货币信用周期收益计算!$Q$26:$BT$30,MATCH($B68,货币信用周期收益计算!$Q$26:$Q$30,0),MATCH(V$65,货币信用周期收益计算!$Q$26:$BT$26,0))</f>
        <v>5.9330935595208949</v>
      </c>
      <c r="W68" s="103">
        <f t="array" ref="W68">INDEX(货币信用周期收益计算!$Q$26:$BT$30,MATCH($B68,货币信用周期收益计算!$Q$26:$Q$30,0),MATCH(W$65,货币信用周期收益计算!$Q$26:$BT$26,0))</f>
        <v>2.4354926644462118</v>
      </c>
      <c r="X68" s="103">
        <f t="array" ref="X68">INDEX(货币信用周期收益计算!$Q$26:$BT$30,MATCH($B68,货币信用周期收益计算!$Q$26:$Q$30,0),MATCH(X$65,货币信用周期收益计算!$Q$26:$BT$26,0))</f>
        <v>19.699673358284592</v>
      </c>
      <c r="Y68" s="103">
        <f t="array" ref="Y68">INDEX(货币信用周期收益计算!$Q$26:$BT$30,MATCH($B68,货币信用周期收益计算!$Q$26:$Q$30,0),MATCH(Y$65,货币信用周期收益计算!$Q$26:$BT$26,0))</f>
        <v>-6.0197704691359135</v>
      </c>
      <c r="Z68" s="103">
        <f t="array" ref="Z68">INDEX(货币信用周期收益计算!$Q$26:$BT$30,MATCH($B68,货币信用周期收益计算!$Q$26:$Q$30,0),MATCH(Z$65,货币信用周期收益计算!$Q$26:$BT$26,0))</f>
        <v>-6.0617123703078892</v>
      </c>
      <c r="AA68" s="103">
        <f t="array" ref="AA68">INDEX(货币信用周期收益计算!$Q$26:$BT$30,MATCH($B68,货币信用周期收益计算!$Q$26:$Q$30,0),MATCH(AA$65,货币信用周期收益计算!$Q$26:$BT$26,0))</f>
        <v>-8.6671942497374772</v>
      </c>
      <c r="AB68" s="103">
        <f t="array" ref="AB68">INDEX(货币信用周期收益计算!$Q$26:$BT$30,MATCH($B68,货币信用周期收益计算!$Q$26:$Q$30,0),MATCH(AB$65,货币信用周期收益计算!$Q$26:$BT$26,0))</f>
        <v>7.9920169446152727</v>
      </c>
      <c r="AC68" s="103">
        <f t="array" ref="AC68">INDEX(货币信用周期收益计算!$Q$26:$BT$30,MATCH($B68,货币信用周期收益计算!$Q$26:$Q$30,0),MATCH(AC$65,货币信用周期收益计算!$Q$26:$BT$26,0))</f>
        <v>-0.97688591609144737</v>
      </c>
      <c r="AD68" s="103">
        <f t="array" ref="AD68">INDEX(货币信用周期收益计算!$Q$26:$BT$30,MATCH($B68,货币信用周期收益计算!$Q$26:$Q$30,0),MATCH(AD$65,货币信用周期收益计算!$Q$26:$BT$26,0))</f>
        <v>-21.352752743008221</v>
      </c>
      <c r="AE68" s="103">
        <f t="array" ref="AE68">INDEX(货币信用周期收益计算!$Q$26:$BT$30,MATCH($B68,货币信用周期收益计算!$Q$26:$Q$30,0),MATCH(AE$65,货币信用周期收益计算!$Q$26:$BT$26,0))</f>
        <v>-10.835955333010549</v>
      </c>
      <c r="AF68" s="103">
        <f t="array" ref="AF68">INDEX(货币信用周期收益计算!$Q$26:$BT$30,MATCH($B68,货币信用周期收益计算!$Q$26:$Q$30,0),MATCH(AF$65,货币信用周期收益计算!$Q$26:$BT$26,0))</f>
        <v>13.319286888957368</v>
      </c>
      <c r="AG68" s="103">
        <f t="array" ref="AG68">INDEX(货币信用周期收益计算!$Q$26:$BT$30,MATCH($B68,货币信用周期收益计算!$Q$26:$Q$30,0),MATCH(AG$65,货币信用周期收益计算!$Q$26:$BT$26,0))</f>
        <v>18.443424394914764</v>
      </c>
    </row>
    <row r="69" spans="2:33" ht="14.6" x14ac:dyDescent="0.35">
      <c r="B69" s="102" t="s">
        <v>10</v>
      </c>
      <c r="C69" s="103">
        <f t="array" ref="C69">INDEX(货币信用周期收益计算!$Q$26:$BT$30,MATCH($B69,货币信用周期收益计算!$Q$26:$Q$30,0),MATCH(C$65,货币信用周期收益计算!$Q$26:$BT$26,0))</f>
        <v>-2.1564285822960243</v>
      </c>
      <c r="D69" s="103">
        <f t="array" ref="D69">INDEX(货币信用周期收益计算!$Q$26:$BT$30,MATCH($B69,货币信用周期收益计算!$Q$26:$Q$30,0),MATCH(D$65,货币信用周期收益计算!$Q$26:$BT$26,0))</f>
        <v>-1.9214108101370675</v>
      </c>
      <c r="E69" s="103">
        <f t="array" ref="E69">INDEX(货币信用周期收益计算!$Q$26:$BT$30,MATCH($B69,货币信用周期收益计算!$Q$26:$Q$30,0),MATCH(E$65,货币信用周期收益计算!$Q$26:$BT$26,0))</f>
        <v>4.9983183267403328</v>
      </c>
      <c r="F69" s="103">
        <f t="array" ref="F69">INDEX(货币信用周期收益计算!$Q$26:$BT$30,MATCH($B69,货币信用周期收益计算!$Q$26:$Q$30,0),MATCH(F$65,货币信用周期收益计算!$Q$26:$BT$26,0))</f>
        <v>10.259793911623991</v>
      </c>
      <c r="G69" s="103">
        <f t="array" ref="G69">INDEX(货币信用周期收益计算!$Q$26:$BT$30,MATCH($B69,货币信用周期收益计算!$Q$26:$Q$30,0),MATCH(G$65,货币信用周期收益计算!$Q$26:$BT$26,0))</f>
        <v>6.1684242055178302</v>
      </c>
      <c r="H69" s="103">
        <f t="array" ref="H69">INDEX(货币信用周期收益计算!$Q$26:$BT$30,MATCH($B69,货币信用周期收益计算!$Q$26:$Q$30,0),MATCH(H$65,货币信用周期收益计算!$Q$26:$BT$26,0))</f>
        <v>14.275673084161625</v>
      </c>
      <c r="I69" s="103">
        <f t="array" ref="I69">INDEX(货币信用周期收益计算!$Q$26:$BT$30,MATCH($B69,货币信用周期收益计算!$Q$26:$Q$30,0),MATCH(I$65,货币信用周期收益计算!$Q$26:$BT$26,0))</f>
        <v>22.109569378932125</v>
      </c>
      <c r="J69" s="103">
        <f t="array" ref="J69">INDEX(货币信用周期收益计算!$Q$26:$BT$30,MATCH($B69,货币信用周期收益计算!$Q$26:$Q$30,0),MATCH(J$65,货币信用周期收益计算!$Q$26:$BT$26,0))</f>
        <v>-2.3410485836098398</v>
      </c>
      <c r="K69" s="103">
        <f t="array" ref="K69">INDEX(货币信用周期收益计算!$Q$26:$BT$30,MATCH($B69,货币信用周期收益计算!$Q$26:$Q$30,0),MATCH(K$65,货币信用周期收益计算!$Q$26:$BT$26,0))</f>
        <v>0.49787451899867818</v>
      </c>
      <c r="L69" s="103">
        <f t="array" ref="L69">INDEX(货币信用周期收益计算!$Q$26:$BT$30,MATCH($B69,货币信用周期收益计算!$Q$26:$Q$30,0),MATCH(L$65,货币信用周期收益计算!$Q$26:$BT$26,0))</f>
        <v>5.494621614141276</v>
      </c>
      <c r="M69" s="103">
        <f t="array" ref="M69">INDEX(货币信用周期收益计算!$Q$26:$BT$30,MATCH($B69,货币信用周期收益计算!$Q$26:$Q$30,0),MATCH(M$65,货币信用周期收益计算!$Q$26:$BT$26,0))</f>
        <v>-8.0851796480337388</v>
      </c>
      <c r="N69" s="103">
        <f t="array" ref="N69">INDEX(货币信用周期收益计算!$Q$26:$BT$30,MATCH($B69,货币信用周期收益计算!$Q$26:$Q$30,0),MATCH(N$65,货币信用周期收益计算!$Q$26:$BT$26,0))</f>
        <v>-1.6201126855933223</v>
      </c>
      <c r="O69" s="103">
        <f t="array" ref="O69">INDEX(货币信用周期收益计算!$Q$26:$BT$30,MATCH($B69,货币信用周期收益计算!$Q$26:$Q$30,0),MATCH(O$65,货币信用周期收益计算!$Q$26:$BT$26,0))</f>
        <v>-10.328524798149321</v>
      </c>
      <c r="P69" s="103">
        <f t="array" ref="P69">INDEX(货币信用周期收益计算!$Q$26:$BT$30,MATCH($B69,货币信用周期收益计算!$Q$26:$Q$30,0),MATCH(P$65,货币信用周期收益计算!$Q$26:$BT$26,0))</f>
        <v>-4.6235462767497104</v>
      </c>
      <c r="Q69" s="103">
        <f t="array" ref="Q69">INDEX(货币信用周期收益计算!$Q$26:$BT$30,MATCH($B69,货币信用周期收益计算!$Q$26:$Q$30,0),MATCH(Q$65,货币信用周期收益计算!$Q$26:$BT$26,0))</f>
        <v>16.323128924101763</v>
      </c>
      <c r="R69" s="103">
        <f t="array" ref="R69">INDEX(货币信用周期收益计算!$Q$26:$BT$30,MATCH($B69,货币信用周期收益计算!$Q$26:$Q$30,0),MATCH(R$65,货币信用周期收益计算!$Q$26:$BT$26,0))</f>
        <v>-0.61405694051980819</v>
      </c>
      <c r="S69" s="103">
        <f t="array" ref="S69">INDEX(货币信用周期收益计算!$Q$26:$BT$30,MATCH($B69,货币信用周期收益计算!$Q$26:$Q$30,0),MATCH(S$65,货币信用周期收益计算!$Q$26:$BT$26,0))</f>
        <v>8.4910175807255186</v>
      </c>
      <c r="T69" s="103">
        <f t="array" ref="T69">INDEX(货币信用周期收益计算!$Q$26:$BT$30,MATCH($B69,货币信用周期收益计算!$Q$26:$Q$30,0),MATCH(T$65,货币信用周期收益计算!$Q$26:$BT$26,0))</f>
        <v>-6.8582114576626996</v>
      </c>
      <c r="U69" s="103">
        <f t="array" ref="U69">INDEX(货币信用周期收益计算!$Q$26:$BT$30,MATCH($B69,货币信用周期收益计算!$Q$26:$Q$30,0),MATCH(U$65,货币信用周期收益计算!$Q$26:$BT$26,0))</f>
        <v>4.7983550568867948</v>
      </c>
      <c r="V69" s="103">
        <f t="array" ref="V69">INDEX(货币信用周期收益计算!$Q$26:$BT$30,MATCH($B69,货币信用周期收益计算!$Q$26:$Q$30,0),MATCH(V$65,货币信用周期收益计算!$Q$26:$BT$26,0))</f>
        <v>-1.0285375510508072</v>
      </c>
      <c r="W69" s="103">
        <f t="array" ref="W69">INDEX(货币信用周期收益计算!$Q$26:$BT$30,MATCH($B69,货币信用周期收益计算!$Q$26:$Q$30,0),MATCH(W$65,货币信用周期收益计算!$Q$26:$BT$26,0))</f>
        <v>1.1020391534177834</v>
      </c>
      <c r="X69" s="103">
        <f t="array" ref="X69">INDEX(货币信用周期收益计算!$Q$26:$BT$30,MATCH($B69,货币信用周期收益计算!$Q$26:$Q$30,0),MATCH(X$65,货币信用周期收益计算!$Q$26:$BT$26,0))</f>
        <v>-10.930928445790091</v>
      </c>
      <c r="Y69" s="103">
        <f t="array" ref="Y69">INDEX(货币信用周期收益计算!$Q$26:$BT$30,MATCH($B69,货币信用周期收益计算!$Q$26:$Q$30,0),MATCH(Y$65,货币信用周期收益计算!$Q$26:$BT$26,0))</f>
        <v>-8.7100085942391274</v>
      </c>
      <c r="Z69" s="103">
        <f t="array" ref="Z69">INDEX(货币信用周期收益计算!$Q$26:$BT$30,MATCH($B69,货币信用周期收益计算!$Q$26:$Q$30,0),MATCH(Z$65,货币信用周期收益计算!$Q$26:$BT$26,0))</f>
        <v>1.4249569396696327</v>
      </c>
      <c r="AA69" s="103">
        <f t="array" ref="AA69">INDEX(货币信用周期收益计算!$Q$26:$BT$30,MATCH($B69,货币信用周期收益计算!$Q$26:$Q$30,0),MATCH(AA$65,货币信用周期收益计算!$Q$26:$BT$26,0))</f>
        <v>-8.2802804823128326</v>
      </c>
      <c r="AB69" s="103">
        <f t="array" ref="AB69">INDEX(货币信用周期收益计算!$Q$26:$BT$30,MATCH($B69,货币信用周期收益计算!$Q$26:$Q$30,0),MATCH(AB$65,货币信用周期收益计算!$Q$26:$BT$26,0))</f>
        <v>-3.417274916103854</v>
      </c>
      <c r="AC69" s="103">
        <f t="array" ref="AC69">INDEX(货币信用周期收益计算!$Q$26:$BT$30,MATCH($B69,货币信用周期收益计算!$Q$26:$Q$30,0),MATCH(AC$65,货币信用周期收益计算!$Q$26:$BT$26,0))</f>
        <v>1.2732742367397907</v>
      </c>
      <c r="AD69" s="103">
        <f t="array" ref="AD69">INDEX(货币信用周期收益计算!$Q$26:$BT$30,MATCH($B69,货币信用周期收益计算!$Q$26:$Q$30,0),MATCH(AD$65,货币信用周期收益计算!$Q$26:$BT$26,0))</f>
        <v>-2.3331886300459264</v>
      </c>
      <c r="AE69" s="103">
        <f t="array" ref="AE69">INDEX(货币信用周期收益计算!$Q$26:$BT$30,MATCH($B69,货币信用周期收益计算!$Q$26:$Q$30,0),MATCH(AE$65,货币信用周期收益计算!$Q$26:$BT$26,0))</f>
        <v>-1.6583199207365462</v>
      </c>
      <c r="AF69" s="103">
        <f t="array" ref="AF69">INDEX(货币信用周期收益计算!$Q$26:$BT$30,MATCH($B69,货币信用周期收益计算!$Q$26:$Q$30,0),MATCH(AF$65,货币信用周期收益计算!$Q$26:$BT$26,0))</f>
        <v>-7.7463509407861171</v>
      </c>
      <c r="AG69" s="103">
        <f t="array" ref="AG69">INDEX(货币信用周期收益计算!$Q$26:$BT$30,MATCH($B69,货币信用周期收益计算!$Q$26:$Q$30,0),MATCH(AG$65,货币信用周期收益计算!$Q$26:$BT$26,0))</f>
        <v>9.2595094661168602</v>
      </c>
    </row>
    <row r="70" spans="2:33" ht="14.6" x14ac:dyDescent="0.35">
      <c r="B70" s="119"/>
      <c r="C70" s="103"/>
      <c r="D70" s="103"/>
      <c r="E70" s="103"/>
      <c r="F70" s="103"/>
      <c r="G70" s="103"/>
      <c r="H70" s="103"/>
      <c r="I70" s="103"/>
      <c r="J70" s="103"/>
      <c r="K70" s="103"/>
      <c r="L70" s="103"/>
      <c r="M70" s="103"/>
      <c r="N70" s="103"/>
      <c r="O70" s="103"/>
      <c r="P70" s="103"/>
      <c r="Q70" s="103"/>
      <c r="R70" s="103"/>
      <c r="S70" s="103"/>
      <c r="T70" s="103"/>
      <c r="U70" s="103"/>
      <c r="V70" s="103"/>
      <c r="W70" s="103"/>
      <c r="X70" s="103"/>
      <c r="Y70" s="103"/>
      <c r="Z70" s="103"/>
      <c r="AA70" s="103"/>
      <c r="AB70" s="103"/>
      <c r="AC70" s="103"/>
      <c r="AD70" s="103"/>
      <c r="AE70" s="103"/>
      <c r="AF70" s="103"/>
      <c r="AG70" s="103"/>
    </row>
    <row r="71" spans="2:33" ht="14.6" x14ac:dyDescent="0.35">
      <c r="B71" s="119"/>
      <c r="C71" s="103"/>
      <c r="D71" s="103"/>
      <c r="E71" s="103"/>
      <c r="F71" s="103"/>
      <c r="G71" s="103"/>
      <c r="H71" s="103"/>
      <c r="I71" s="103"/>
      <c r="J71" s="103"/>
      <c r="K71" s="103"/>
      <c r="L71" s="103"/>
      <c r="M71" s="103"/>
      <c r="N71" s="103"/>
      <c r="O71" s="103"/>
      <c r="P71" s="103"/>
      <c r="Q71" s="103"/>
      <c r="R71" s="103"/>
      <c r="S71" s="103"/>
      <c r="T71" s="103"/>
      <c r="U71" s="103"/>
      <c r="V71" s="103"/>
      <c r="W71" s="103"/>
      <c r="X71" s="103"/>
      <c r="Y71" s="103"/>
      <c r="Z71" s="103"/>
      <c r="AA71" s="103"/>
      <c r="AB71" s="103"/>
      <c r="AC71" s="103"/>
      <c r="AD71" s="103"/>
      <c r="AE71" s="103"/>
      <c r="AF71" s="103"/>
      <c r="AG71" s="103"/>
    </row>
    <row r="72" spans="2:33" x14ac:dyDescent="0.35">
      <c r="B72" s="150" t="s">
        <v>67</v>
      </c>
      <c r="C72" s="150"/>
      <c r="D72" s="150"/>
      <c r="E72" s="150"/>
      <c r="F72" s="150"/>
      <c r="G72" s="150"/>
      <c r="H72" s="150"/>
      <c r="I72" s="150"/>
      <c r="J72" s="150"/>
    </row>
    <row r="74" spans="2:33" ht="14.6" x14ac:dyDescent="0.35">
      <c r="B74" s="102"/>
      <c r="C74" s="102" t="s">
        <v>12</v>
      </c>
      <c r="D74" s="102" t="s">
        <v>13</v>
      </c>
      <c r="E74" s="102" t="s">
        <v>14</v>
      </c>
      <c r="F74" s="102" t="s">
        <v>15</v>
      </c>
      <c r="G74" s="102" t="s">
        <v>16</v>
      </c>
      <c r="H74" s="102" t="s">
        <v>17</v>
      </c>
      <c r="I74" s="102" t="s">
        <v>18</v>
      </c>
      <c r="J74" s="102" t="s">
        <v>19</v>
      </c>
      <c r="K74" s="102" t="s">
        <v>20</v>
      </c>
    </row>
    <row r="75" spans="2:33" ht="14.6" x14ac:dyDescent="0.35">
      <c r="B75" s="102" t="s">
        <v>7</v>
      </c>
      <c r="C75" s="103">
        <v>5</v>
      </c>
      <c r="D75" s="103">
        <v>37</v>
      </c>
      <c r="E75" s="103">
        <v>7.4</v>
      </c>
      <c r="F75" s="104">
        <v>0.21387283236994201</v>
      </c>
      <c r="G75" s="103">
        <v>5.50866358376443</v>
      </c>
      <c r="H75" s="103">
        <v>11.779828880310699</v>
      </c>
      <c r="I75" s="103">
        <v>7.2086078148490698</v>
      </c>
      <c r="J75" s="103">
        <v>0.70113889187619804</v>
      </c>
      <c r="K75" s="103">
        <v>-3.47154308019589</v>
      </c>
    </row>
    <row r="76" spans="2:33" ht="14.6" x14ac:dyDescent="0.35">
      <c r="B76" s="102" t="s">
        <v>8</v>
      </c>
      <c r="C76" s="103">
        <v>4</v>
      </c>
      <c r="D76" s="103">
        <v>54</v>
      </c>
      <c r="E76" s="103">
        <v>13.5</v>
      </c>
      <c r="F76" s="104">
        <v>0.31213872832369899</v>
      </c>
      <c r="G76" s="103">
        <v>-2.4082881134326102</v>
      </c>
      <c r="H76" s="103">
        <v>-12.686899194492399</v>
      </c>
      <c r="I76" s="103">
        <v>-9.8728080580445106</v>
      </c>
      <c r="J76" s="103">
        <v>-3.64062766464495</v>
      </c>
      <c r="K76" s="103">
        <v>2.9781268651374901</v>
      </c>
    </row>
    <row r="77" spans="2:33" ht="14.6" x14ac:dyDescent="0.35">
      <c r="B77" s="102" t="s">
        <v>9</v>
      </c>
      <c r="C77" s="103">
        <v>4</v>
      </c>
      <c r="D77" s="103">
        <v>58</v>
      </c>
      <c r="E77" s="103">
        <v>14.5</v>
      </c>
      <c r="F77" s="104">
        <v>0.33526011560693603</v>
      </c>
      <c r="G77" s="103">
        <v>0.62170339464879298</v>
      </c>
      <c r="H77" s="103">
        <v>0.47508047029717998</v>
      </c>
      <c r="I77" s="103">
        <v>1.10295322228869</v>
      </c>
      <c r="J77" s="103">
        <v>1.48029700899918</v>
      </c>
      <c r="K77" s="103">
        <v>-4.6891040757928902E-2</v>
      </c>
    </row>
    <row r="78" spans="2:33" ht="14.6" x14ac:dyDescent="0.35">
      <c r="B78" s="102" t="s">
        <v>10</v>
      </c>
      <c r="C78" s="103">
        <v>3</v>
      </c>
      <c r="D78" s="103">
        <v>24</v>
      </c>
      <c r="E78" s="103">
        <v>8</v>
      </c>
      <c r="F78" s="104">
        <v>0.13872832369942201</v>
      </c>
      <c r="G78" s="103">
        <v>14.586233200010099</v>
      </c>
      <c r="H78" s="103">
        <v>8.1151553628889204</v>
      </c>
      <c r="I78" s="103">
        <v>10.1516520820153</v>
      </c>
      <c r="J78" s="103">
        <v>13.195205266406401</v>
      </c>
      <c r="K78" s="103">
        <v>16.683846891637302</v>
      </c>
    </row>
    <row r="81" spans="2:7" ht="14.6" x14ac:dyDescent="0.35">
      <c r="B81" s="102"/>
      <c r="C81" s="102" t="s">
        <v>24</v>
      </c>
      <c r="D81" s="102" t="s">
        <v>25</v>
      </c>
      <c r="E81" s="102" t="s">
        <v>26</v>
      </c>
      <c r="F81" s="102" t="s">
        <v>27</v>
      </c>
      <c r="G81" s="102" t="s">
        <v>28</v>
      </c>
    </row>
    <row r="82" spans="2:7" ht="14.6" x14ac:dyDescent="0.35">
      <c r="B82" s="102" t="s">
        <v>7</v>
      </c>
      <c r="C82" s="103">
        <v>7.1411877570651097</v>
      </c>
      <c r="D82" s="103">
        <v>-2.6757576911643399</v>
      </c>
      <c r="E82" s="103">
        <v>18.4823574570872</v>
      </c>
      <c r="F82" s="103">
        <v>17.1579718205071</v>
      </c>
      <c r="G82" s="103">
        <v>-1.8829244551294499</v>
      </c>
    </row>
    <row r="83" spans="2:7" ht="14.6" x14ac:dyDescent="0.35">
      <c r="B83" s="102" t="s">
        <v>8</v>
      </c>
      <c r="C83" s="103">
        <v>-6.4050419108850702</v>
      </c>
      <c r="D83" s="103">
        <v>3.3918450453737701</v>
      </c>
      <c r="E83" s="103">
        <v>-7.1689466264481601</v>
      </c>
      <c r="F83" s="103">
        <v>-5.5720443759576996</v>
      </c>
      <c r="G83" s="103">
        <v>3.9640714655132201</v>
      </c>
    </row>
    <row r="84" spans="2:7" ht="14.6" x14ac:dyDescent="0.35">
      <c r="B84" s="102" t="s">
        <v>9</v>
      </c>
      <c r="C84" s="103">
        <v>1.1332987982548299</v>
      </c>
      <c r="D84" s="103">
        <v>9.0728142969704404</v>
      </c>
      <c r="E84" s="103">
        <v>-4.4088879527193097</v>
      </c>
      <c r="F84" s="103">
        <v>-3.8548728890883899</v>
      </c>
      <c r="G84" s="103">
        <v>2.4349795809066701</v>
      </c>
    </row>
    <row r="85" spans="2:7" ht="14.6" x14ac:dyDescent="0.35">
      <c r="B85" s="102" t="s">
        <v>10</v>
      </c>
      <c r="C85" s="103">
        <v>10.9742659889962</v>
      </c>
      <c r="D85" s="103">
        <v>23.0375428575223</v>
      </c>
      <c r="E85" s="103">
        <v>10.7620926173198</v>
      </c>
      <c r="F85" s="103">
        <v>6.76194777698342</v>
      </c>
      <c r="G85" s="103">
        <v>23.496893544989501</v>
      </c>
    </row>
    <row r="87" spans="2:7" ht="14.6" x14ac:dyDescent="0.35">
      <c r="B87" s="102"/>
      <c r="C87" s="102" t="s">
        <v>29</v>
      </c>
      <c r="D87" s="102" t="s">
        <v>30</v>
      </c>
      <c r="E87" s="102" t="s">
        <v>31</v>
      </c>
      <c r="F87" s="102" t="s">
        <v>32</v>
      </c>
      <c r="G87" s="102" t="s">
        <v>33</v>
      </c>
    </row>
    <row r="88" spans="2:7" ht="14.6" x14ac:dyDescent="0.35">
      <c r="B88" s="102" t="s">
        <v>7</v>
      </c>
      <c r="C88" s="103">
        <v>10.600610937763999</v>
      </c>
      <c r="D88" s="103">
        <v>12.427164449883501</v>
      </c>
      <c r="E88" s="103">
        <v>4.9678972389506004</v>
      </c>
      <c r="F88" s="103">
        <v>-1.7677040650640199</v>
      </c>
      <c r="G88" s="103">
        <v>9.2716390457995104</v>
      </c>
    </row>
    <row r="89" spans="2:7" ht="14.6" x14ac:dyDescent="0.35">
      <c r="B89" s="102" t="s">
        <v>8</v>
      </c>
      <c r="C89" s="103">
        <v>-5.9294492152553797</v>
      </c>
      <c r="D89" s="103">
        <v>-7.8342781675221396</v>
      </c>
      <c r="E89" s="103">
        <v>-3.8776197273417501</v>
      </c>
      <c r="F89" s="103">
        <v>3.1437246754613799</v>
      </c>
      <c r="G89" s="103">
        <v>-1.91687420237148</v>
      </c>
    </row>
    <row r="90" spans="2:7" ht="14.6" x14ac:dyDescent="0.35">
      <c r="B90" s="102" t="s">
        <v>9</v>
      </c>
      <c r="C90" s="103">
        <v>-0.450661822461773</v>
      </c>
      <c r="D90" s="103">
        <v>5.29472181254026</v>
      </c>
      <c r="E90" s="103">
        <v>7.8922799143104401</v>
      </c>
      <c r="F90" s="103">
        <v>16.648038832194601</v>
      </c>
      <c r="G90" s="103">
        <v>2.54063411774536</v>
      </c>
    </row>
    <row r="91" spans="2:7" ht="14.6" x14ac:dyDescent="0.35">
      <c r="B91" s="102" t="s">
        <v>10</v>
      </c>
      <c r="C91" s="103">
        <v>3.7028648827933499</v>
      </c>
      <c r="D91" s="103">
        <v>10.2640861081072</v>
      </c>
      <c r="E91" s="103">
        <v>12.926288246830699</v>
      </c>
      <c r="F91" s="103">
        <v>9.3163058149372997</v>
      </c>
      <c r="G91" s="103">
        <v>6.4282856515194702</v>
      </c>
    </row>
    <row r="93" spans="2:7" ht="14.6" x14ac:dyDescent="0.35">
      <c r="B93" s="102"/>
      <c r="C93" s="102" t="s">
        <v>34</v>
      </c>
      <c r="D93" s="102" t="s">
        <v>35</v>
      </c>
    </row>
    <row r="94" spans="2:7" ht="14.6" x14ac:dyDescent="0.35">
      <c r="B94" s="102" t="s">
        <v>7</v>
      </c>
      <c r="C94" s="103">
        <v>12.99335127088</v>
      </c>
      <c r="D94" s="103">
        <v>-8.1313020508271698</v>
      </c>
    </row>
    <row r="95" spans="2:7" ht="14.6" x14ac:dyDescent="0.35">
      <c r="B95" s="102" t="s">
        <v>8</v>
      </c>
      <c r="C95" s="103">
        <v>-7.7281760556984196</v>
      </c>
      <c r="D95" s="103">
        <v>4.28129626086446</v>
      </c>
    </row>
    <row r="96" spans="2:7" ht="14.6" x14ac:dyDescent="0.35">
      <c r="B96" s="102" t="s">
        <v>9</v>
      </c>
      <c r="C96" s="103">
        <v>0.39019440661400501</v>
      </c>
      <c r="D96" s="103">
        <v>-1.80559894189749</v>
      </c>
    </row>
    <row r="97" spans="2:33" ht="14.6" x14ac:dyDescent="0.35">
      <c r="B97" s="102" t="s">
        <v>10</v>
      </c>
      <c r="C97" s="103">
        <v>5.2396997752529204</v>
      </c>
      <c r="D97" s="103">
        <v>14.819075202127401</v>
      </c>
    </row>
    <row r="100" spans="2:33" ht="14.6" x14ac:dyDescent="0.35">
      <c r="B100" s="102"/>
      <c r="C100" s="102" t="s">
        <v>21</v>
      </c>
      <c r="D100" s="102" t="s">
        <v>22</v>
      </c>
      <c r="E100" s="102" t="s">
        <v>23</v>
      </c>
    </row>
    <row r="101" spans="2:33" ht="14.6" x14ac:dyDescent="0.35">
      <c r="B101" s="102" t="s">
        <v>7</v>
      </c>
      <c r="C101" s="103">
        <v>8.2196410620720606</v>
      </c>
      <c r="D101" s="103">
        <v>1.19055680928645</v>
      </c>
      <c r="E101" s="103">
        <v>0.34958388279316299</v>
      </c>
    </row>
    <row r="102" spans="2:33" ht="14.6" x14ac:dyDescent="0.35">
      <c r="B102" s="102" t="s">
        <v>8</v>
      </c>
      <c r="C102" s="103">
        <v>-9.5591807313631296</v>
      </c>
      <c r="D102" s="103">
        <v>-5.6539938344612501</v>
      </c>
      <c r="E102" s="103">
        <v>-0.82575813634893303</v>
      </c>
    </row>
    <row r="103" spans="2:33" ht="14.6" x14ac:dyDescent="0.35">
      <c r="B103" s="102" t="s">
        <v>9</v>
      </c>
      <c r="C103" s="103">
        <v>2.4257713465369299</v>
      </c>
      <c r="D103" s="103">
        <v>-0.28582032338438301</v>
      </c>
      <c r="E103" s="103">
        <v>-5.9756088826523604E-3</v>
      </c>
    </row>
    <row r="104" spans="2:33" ht="14.6" x14ac:dyDescent="0.35">
      <c r="B104" s="102" t="s">
        <v>10</v>
      </c>
      <c r="C104" s="103">
        <v>11.0276701268286</v>
      </c>
      <c r="D104" s="103">
        <v>11.2955795704813</v>
      </c>
      <c r="E104" s="103">
        <v>15.0097408168706</v>
      </c>
    </row>
    <row r="106" spans="2:33" ht="14.6" x14ac:dyDescent="0.35">
      <c r="B106" s="102"/>
      <c r="C106" s="102" t="s">
        <v>36</v>
      </c>
      <c r="D106" s="102" t="s">
        <v>37</v>
      </c>
      <c r="E106" s="102" t="s">
        <v>38</v>
      </c>
      <c r="F106" s="102" t="s">
        <v>39</v>
      </c>
      <c r="G106" s="102" t="s">
        <v>40</v>
      </c>
      <c r="H106" s="102" t="s">
        <v>41</v>
      </c>
      <c r="I106" s="102" t="s">
        <v>42</v>
      </c>
      <c r="J106" s="102" t="s">
        <v>43</v>
      </c>
      <c r="K106" s="102" t="s">
        <v>44</v>
      </c>
      <c r="L106" s="102" t="s">
        <v>45</v>
      </c>
      <c r="M106" s="102" t="s">
        <v>46</v>
      </c>
      <c r="N106" s="102" t="s">
        <v>47</v>
      </c>
      <c r="O106" s="102" t="s">
        <v>48</v>
      </c>
      <c r="P106" s="102" t="s">
        <v>49</v>
      </c>
      <c r="Q106" s="102" t="s">
        <v>50</v>
      </c>
      <c r="R106" s="102" t="s">
        <v>51</v>
      </c>
      <c r="S106" s="102" t="s">
        <v>52</v>
      </c>
      <c r="T106" s="102" t="s">
        <v>53</v>
      </c>
      <c r="U106" s="102" t="s">
        <v>54</v>
      </c>
      <c r="V106" s="102" t="s">
        <v>55</v>
      </c>
      <c r="W106" s="102" t="s">
        <v>56</v>
      </c>
      <c r="X106" s="102" t="s">
        <v>57</v>
      </c>
      <c r="Y106" s="102" t="s">
        <v>58</v>
      </c>
      <c r="Z106" s="102" t="s">
        <v>59</v>
      </c>
      <c r="AA106" s="102" t="s">
        <v>60</v>
      </c>
      <c r="AB106" s="102" t="s">
        <v>61</v>
      </c>
      <c r="AC106" s="102" t="s">
        <v>62</v>
      </c>
      <c r="AD106" s="102" t="s">
        <v>63</v>
      </c>
      <c r="AE106" s="102" t="s">
        <v>64</v>
      </c>
      <c r="AF106" s="102" t="s">
        <v>65</v>
      </c>
      <c r="AG106" s="102" t="s">
        <v>66</v>
      </c>
    </row>
    <row r="107" spans="2:33" ht="14.6" x14ac:dyDescent="0.35">
      <c r="B107" s="102" t="s">
        <v>7</v>
      </c>
      <c r="C107" s="103">
        <v>-1.6428208630722501</v>
      </c>
      <c r="D107" s="103">
        <v>3.3830788923734998</v>
      </c>
      <c r="E107" s="103">
        <v>14.8374611828858</v>
      </c>
      <c r="F107" s="103">
        <v>7.1970559596325296</v>
      </c>
      <c r="G107" s="103">
        <v>-6.89559773989735</v>
      </c>
      <c r="H107" s="103">
        <v>2.2197104742406499</v>
      </c>
      <c r="I107" s="103">
        <v>0.77750429009941802</v>
      </c>
      <c r="J107" s="103">
        <v>-2.79650870439646</v>
      </c>
      <c r="K107" s="103">
        <v>-7.7033305339241398</v>
      </c>
      <c r="L107" s="103">
        <v>-8.6619050866860494</v>
      </c>
      <c r="M107" s="103">
        <v>11.356659518528801</v>
      </c>
      <c r="N107" s="103">
        <v>7.8588329853026604</v>
      </c>
      <c r="O107" s="103">
        <v>2.76548683812605</v>
      </c>
      <c r="P107" s="103">
        <v>-4.9001733604626896</v>
      </c>
      <c r="Q107" s="103">
        <v>-4.74246458120078</v>
      </c>
      <c r="R107" s="103">
        <v>-4.98953002971973</v>
      </c>
      <c r="S107" s="103">
        <v>-3.0373909074681702</v>
      </c>
      <c r="T107" s="103">
        <v>12.779766074704201</v>
      </c>
      <c r="U107" s="103">
        <v>0.893869254353714</v>
      </c>
      <c r="V107" s="103">
        <v>6.5652461797188302</v>
      </c>
      <c r="W107" s="103">
        <v>-7.3244210968808003</v>
      </c>
      <c r="X107" s="103">
        <v>-14.181791517576</v>
      </c>
      <c r="Y107" s="103">
        <v>-3.49027922615991</v>
      </c>
      <c r="Z107" s="103">
        <v>12.0100752542536</v>
      </c>
      <c r="AA107" s="103">
        <v>24.3466868043406</v>
      </c>
      <c r="AB107" s="103">
        <v>6.7302235432009798</v>
      </c>
      <c r="AC107" s="103">
        <v>2.9123848179851302</v>
      </c>
      <c r="AD107" s="103">
        <v>16.556072158510801</v>
      </c>
      <c r="AE107" s="103">
        <v>7.5330408479186204</v>
      </c>
      <c r="AF107" s="103">
        <v>-1.18827045776198</v>
      </c>
      <c r="AG107" s="103">
        <v>-12.6961626193646</v>
      </c>
    </row>
    <row r="108" spans="2:33" ht="14.6" x14ac:dyDescent="0.35">
      <c r="B108" s="102" t="s">
        <v>8</v>
      </c>
      <c r="C108" s="103">
        <v>13.1913095401435</v>
      </c>
      <c r="D108" s="103">
        <v>-6.4766258490778101</v>
      </c>
      <c r="E108" s="103">
        <v>-23.763480475697101</v>
      </c>
      <c r="F108" s="103">
        <v>-10.246380397145201</v>
      </c>
      <c r="G108" s="103">
        <v>15.781729655827201</v>
      </c>
      <c r="H108" s="103">
        <v>2.7468268536194298</v>
      </c>
      <c r="I108" s="103">
        <v>1.56825673118908</v>
      </c>
      <c r="J108" s="103">
        <v>1.9749022147189901</v>
      </c>
      <c r="K108" s="103">
        <v>1.05075934228072</v>
      </c>
      <c r="L108" s="103">
        <v>4.5030178349146004</v>
      </c>
      <c r="M108" s="103">
        <v>-7.7347174430907097</v>
      </c>
      <c r="N108" s="103">
        <v>-9.2271918998208697</v>
      </c>
      <c r="O108" s="103">
        <v>-4.8927603466472798</v>
      </c>
      <c r="P108" s="103">
        <v>-12.916824976345801</v>
      </c>
      <c r="Q108" s="103">
        <v>2.75855896519142</v>
      </c>
      <c r="R108" s="103">
        <v>7.7962373911834897</v>
      </c>
      <c r="S108" s="103">
        <v>-5.0407172417480197</v>
      </c>
      <c r="T108" s="103">
        <v>-8.2923479783923995</v>
      </c>
      <c r="U108" s="103">
        <v>-4.9249001240994401</v>
      </c>
      <c r="V108" s="103">
        <v>-7.0991993381673302</v>
      </c>
      <c r="W108" s="103">
        <v>19.959114983602301</v>
      </c>
      <c r="X108" s="103">
        <v>13.745293494118901</v>
      </c>
      <c r="Y108" s="103">
        <v>15.8383212346605</v>
      </c>
      <c r="Z108" s="103">
        <v>-10.7075885748616</v>
      </c>
      <c r="AA108" s="103">
        <v>-11.266043768012601</v>
      </c>
      <c r="AB108" s="103">
        <v>-7.6759119711880404</v>
      </c>
      <c r="AC108" s="103">
        <v>-5.0129934649713803</v>
      </c>
      <c r="AD108" s="103">
        <v>-12.0749648122406</v>
      </c>
      <c r="AE108" s="103">
        <v>-14.891560467072299</v>
      </c>
      <c r="AF108" s="103">
        <v>-8.0668798889677493</v>
      </c>
      <c r="AG108" s="103">
        <v>3.41765276036327</v>
      </c>
    </row>
    <row r="109" spans="2:33" ht="14.6" x14ac:dyDescent="0.35">
      <c r="B109" s="102" t="s">
        <v>9</v>
      </c>
      <c r="C109" s="103">
        <v>-1.5347251876472301</v>
      </c>
      <c r="D109" s="103">
        <v>-1.29970741548827</v>
      </c>
      <c r="E109" s="103">
        <v>5.6200217213891301</v>
      </c>
      <c r="F109" s="103">
        <v>10.8814973062728</v>
      </c>
      <c r="G109" s="103">
        <v>6.7901276001666204</v>
      </c>
      <c r="H109" s="103">
        <v>14.897376478810401</v>
      </c>
      <c r="I109" s="103">
        <v>22.731272773580901</v>
      </c>
      <c r="J109" s="103">
        <v>-1.71934518896105</v>
      </c>
      <c r="K109" s="103">
        <v>1.1195779136474699</v>
      </c>
      <c r="L109" s="103">
        <v>6.1163250087900698</v>
      </c>
      <c r="M109" s="103">
        <v>-7.4634762533849504</v>
      </c>
      <c r="N109" s="103">
        <v>-0.99840929094452902</v>
      </c>
      <c r="O109" s="103">
        <v>-9.7068214035005305</v>
      </c>
      <c r="P109" s="103">
        <v>-4.0018428821009202</v>
      </c>
      <c r="Q109" s="103">
        <v>16.944832318750599</v>
      </c>
      <c r="R109" s="103">
        <v>7.6464541289846802E-3</v>
      </c>
      <c r="S109" s="103">
        <v>9.1127209753743106</v>
      </c>
      <c r="T109" s="103">
        <v>-6.2365080630139103</v>
      </c>
      <c r="U109" s="103">
        <v>5.4200584515355903</v>
      </c>
      <c r="V109" s="103">
        <v>-0.40683415640201398</v>
      </c>
      <c r="W109" s="103">
        <v>1.72374254806658</v>
      </c>
      <c r="X109" s="103">
        <v>-10.309225051141301</v>
      </c>
      <c r="Y109" s="103">
        <v>-8.0883051995903301</v>
      </c>
      <c r="Z109" s="103">
        <v>2.04666033431843</v>
      </c>
      <c r="AA109" s="103">
        <v>-7.6585770876640398</v>
      </c>
      <c r="AB109" s="103">
        <v>-2.7955715214550598</v>
      </c>
      <c r="AC109" s="103">
        <v>1.89497763138858</v>
      </c>
      <c r="AD109" s="103">
        <v>-1.7114852353971299</v>
      </c>
      <c r="AE109" s="103">
        <v>-1.03661652608775</v>
      </c>
      <c r="AF109" s="103">
        <v>-7.1246475461373198</v>
      </c>
      <c r="AG109" s="103">
        <v>9.8812128607656504</v>
      </c>
    </row>
    <row r="110" spans="2:33" ht="14.6" x14ac:dyDescent="0.35">
      <c r="B110" s="102" t="s">
        <v>10</v>
      </c>
      <c r="C110" s="103">
        <v>6.4996872551548002</v>
      </c>
      <c r="D110" s="103">
        <v>16.317807204416798</v>
      </c>
      <c r="E110" s="103">
        <v>-0.31779925680929899</v>
      </c>
      <c r="F110" s="103">
        <v>2.0695254160679002</v>
      </c>
      <c r="G110" s="103">
        <v>22.0211099030913</v>
      </c>
      <c r="H110" s="103">
        <v>22.3997760958596</v>
      </c>
      <c r="I110" s="103">
        <v>27.612780694749301</v>
      </c>
      <c r="J110" s="103">
        <v>0.93877176343272595</v>
      </c>
      <c r="K110" s="103">
        <v>18.3452112843277</v>
      </c>
      <c r="L110" s="103">
        <v>30.767779404690302</v>
      </c>
      <c r="M110" s="103">
        <v>11.6372182674878</v>
      </c>
      <c r="N110" s="103">
        <v>3.4933972086562202</v>
      </c>
      <c r="O110" s="103">
        <v>7.3004533024938398</v>
      </c>
      <c r="P110" s="103">
        <v>7.9841595229523898</v>
      </c>
      <c r="Q110" s="103">
        <v>28.866831753600799</v>
      </c>
      <c r="R110" s="103">
        <v>14.248417237761601</v>
      </c>
      <c r="S110" s="103">
        <v>11.7128018974337</v>
      </c>
      <c r="T110" s="103">
        <v>7.6285037990439299</v>
      </c>
      <c r="U110" s="103">
        <v>28.411008402307498</v>
      </c>
      <c r="V110" s="103">
        <v>20.519326759531001</v>
      </c>
      <c r="W110" s="103">
        <v>17.0217258644563</v>
      </c>
      <c r="X110" s="103">
        <v>34.285906558294698</v>
      </c>
      <c r="Y110" s="103">
        <v>8.5664627308742105</v>
      </c>
      <c r="Z110" s="103">
        <v>8.5245208297022401</v>
      </c>
      <c r="AA110" s="103">
        <v>5.9190389502726504</v>
      </c>
      <c r="AB110" s="103">
        <v>22.5782501446254</v>
      </c>
      <c r="AC110" s="103">
        <v>13.6093472839187</v>
      </c>
      <c r="AD110" s="103">
        <v>-6.7665195429980898</v>
      </c>
      <c r="AE110" s="103">
        <v>3.7502778669995802</v>
      </c>
      <c r="AF110" s="103">
        <v>27.905520088967499</v>
      </c>
      <c r="AG110" s="103">
        <v>33.029657594924899</v>
      </c>
    </row>
  </sheetData>
  <mergeCells count="10">
    <mergeCell ref="B2:L5"/>
    <mergeCell ref="B8:J8"/>
    <mergeCell ref="B9:D9"/>
    <mergeCell ref="G9:J9"/>
    <mergeCell ref="B31:K31"/>
    <mergeCell ref="B72:J72"/>
    <mergeCell ref="B12:B16"/>
    <mergeCell ref="B17:B21"/>
    <mergeCell ref="B22:B24"/>
    <mergeCell ref="B25:B28"/>
  </mergeCells>
  <phoneticPr fontId="29" type="noConversion"/>
  <pageMargins left="0.75" right="0.75" top="1" bottom="1" header="0.5" footer="0.5"/>
  <pageSetup paperSize="9" orientation="portrait" horizontalDpi="1200" verticalDpi="1200" r:id="rId1"/>
  <customProperties>
    <customPr name="SheetID" r:id="rId2"/>
  </customPropertie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">
    <tabColor theme="5" tint="0.79992065187536243"/>
  </sheetPr>
  <dimension ref="B2:P75"/>
  <sheetViews>
    <sheetView showGridLines="0" topLeftCell="A40" zoomScale="85" zoomScaleNormal="85" workbookViewId="0">
      <selection activeCell="D76" sqref="D76"/>
    </sheetView>
  </sheetViews>
  <sheetFormatPr defaultColWidth="8" defaultRowHeight="14.15" x14ac:dyDescent="0.35"/>
  <cols>
    <col min="1" max="1" width="8" style="1"/>
    <col min="2" max="2" width="21.78515625" style="1" customWidth="1"/>
    <col min="3" max="3" width="13.140625" style="1" customWidth="1"/>
    <col min="4" max="4" width="15" style="1" customWidth="1"/>
    <col min="5" max="6" width="8" style="1"/>
    <col min="7" max="7" width="8.140625" style="1" customWidth="1"/>
    <col min="8" max="8" width="15" style="1" customWidth="1"/>
    <col min="9" max="9" width="11.2109375" style="1" customWidth="1"/>
    <col min="10" max="10" width="11.42578125" style="1" customWidth="1"/>
    <col min="11" max="11" width="12.42578125" style="1" customWidth="1"/>
    <col min="12" max="16384" width="8" style="1"/>
  </cols>
  <sheetData>
    <row r="2" spans="2:16" x14ac:dyDescent="0.35">
      <c r="B2" s="153" t="s">
        <v>68</v>
      </c>
      <c r="C2" s="154"/>
      <c r="D2" s="154"/>
      <c r="E2" s="154"/>
      <c r="F2" s="154"/>
      <c r="G2" s="154"/>
      <c r="H2" s="154"/>
      <c r="I2" s="154"/>
      <c r="J2" s="154"/>
      <c r="K2" s="154"/>
      <c r="L2" s="154"/>
    </row>
    <row r="3" spans="2:16" x14ac:dyDescent="0.35">
      <c r="B3" s="154"/>
      <c r="C3" s="154"/>
      <c r="D3" s="154"/>
      <c r="E3" s="154"/>
      <c r="F3" s="154"/>
      <c r="G3" s="154"/>
      <c r="H3" s="154"/>
      <c r="I3" s="154"/>
      <c r="J3" s="154"/>
      <c r="K3" s="154"/>
      <c r="L3" s="154"/>
    </row>
    <row r="4" spans="2:16" x14ac:dyDescent="0.35">
      <c r="B4" s="154"/>
      <c r="C4" s="154"/>
      <c r="D4" s="154"/>
      <c r="E4" s="154"/>
      <c r="F4" s="154"/>
      <c r="G4" s="154"/>
      <c r="H4" s="154"/>
      <c r="I4" s="154"/>
      <c r="J4" s="154"/>
      <c r="K4" s="154"/>
      <c r="L4" s="154"/>
    </row>
    <row r="5" spans="2:16" ht="42" customHeight="1" x14ac:dyDescent="0.35">
      <c r="B5" s="154"/>
      <c r="C5" s="154"/>
      <c r="D5" s="154"/>
      <c r="E5" s="154"/>
      <c r="F5" s="154"/>
      <c r="G5" s="154"/>
      <c r="H5" s="154"/>
      <c r="I5" s="154"/>
      <c r="J5" s="154"/>
      <c r="K5" s="154"/>
      <c r="L5" s="154"/>
    </row>
    <row r="8" spans="2:16" x14ac:dyDescent="0.35">
      <c r="B8" s="150" t="s">
        <v>69</v>
      </c>
      <c r="C8" s="150"/>
      <c r="D8" s="150"/>
      <c r="E8" s="150"/>
      <c r="F8" s="150"/>
      <c r="G8" s="150"/>
      <c r="H8" s="150"/>
      <c r="J8" s="150" t="s">
        <v>70</v>
      </c>
      <c r="K8" s="150"/>
      <c r="L8" s="150"/>
      <c r="M8" s="150"/>
      <c r="N8" s="150"/>
      <c r="O8" s="150"/>
      <c r="P8" s="150"/>
    </row>
    <row r="14" spans="2:16" ht="13.5" customHeight="1" x14ac:dyDescent="0.35"/>
    <row r="54" spans="2:8" x14ac:dyDescent="0.35">
      <c r="B54" s="150" t="s">
        <v>71</v>
      </c>
      <c r="C54" s="150"/>
      <c r="D54" s="150"/>
      <c r="E54" s="150"/>
      <c r="F54" s="150"/>
      <c r="G54" s="150"/>
      <c r="H54" s="150"/>
    </row>
    <row r="56" spans="2:8" x14ac:dyDescent="0.35">
      <c r="B56" s="94" t="s">
        <v>72</v>
      </c>
      <c r="C56" s="94" t="s">
        <v>73</v>
      </c>
      <c r="D56" s="94" t="s">
        <v>74</v>
      </c>
    </row>
    <row r="57" spans="2:8" x14ac:dyDescent="0.35">
      <c r="B57" s="151" t="s">
        <v>75</v>
      </c>
      <c r="C57" s="95" t="s">
        <v>76</v>
      </c>
      <c r="D57" s="95" t="s">
        <v>21</v>
      </c>
    </row>
    <row r="58" spans="2:8" x14ac:dyDescent="0.35">
      <c r="B58" s="151"/>
      <c r="C58" s="95" t="s">
        <v>77</v>
      </c>
      <c r="D58" s="95" t="s">
        <v>22</v>
      </c>
    </row>
    <row r="59" spans="2:8" x14ac:dyDescent="0.35">
      <c r="B59" s="151"/>
      <c r="C59" s="95" t="s">
        <v>78</v>
      </c>
      <c r="D59" s="95" t="s">
        <v>23</v>
      </c>
    </row>
    <row r="60" spans="2:8" x14ac:dyDescent="0.35">
      <c r="B60" s="151"/>
      <c r="C60" s="95" t="s">
        <v>79</v>
      </c>
      <c r="D60" s="95" t="s">
        <v>17</v>
      </c>
    </row>
    <row r="61" spans="2:8" x14ac:dyDescent="0.35">
      <c r="B61" s="151"/>
      <c r="C61" s="95" t="s">
        <v>80</v>
      </c>
      <c r="D61" s="95" t="s">
        <v>18</v>
      </c>
    </row>
    <row r="62" spans="2:8" x14ac:dyDescent="0.35">
      <c r="B62" s="151"/>
      <c r="C62" s="95" t="s">
        <v>81</v>
      </c>
      <c r="D62" s="95" t="s">
        <v>19</v>
      </c>
    </row>
    <row r="63" spans="2:8" x14ac:dyDescent="0.35">
      <c r="B63" s="151"/>
      <c r="C63" s="116" t="s">
        <v>82</v>
      </c>
      <c r="D63" s="116" t="s">
        <v>20</v>
      </c>
    </row>
    <row r="64" spans="2:8" x14ac:dyDescent="0.35">
      <c r="B64" s="151" t="s">
        <v>83</v>
      </c>
      <c r="C64" s="117" t="s">
        <v>84</v>
      </c>
      <c r="D64" s="95" t="s">
        <v>24</v>
      </c>
    </row>
    <row r="65" spans="2:4" x14ac:dyDescent="0.35">
      <c r="B65" s="151"/>
      <c r="C65" s="117" t="s">
        <v>85</v>
      </c>
      <c r="D65" s="95" t="s">
        <v>25</v>
      </c>
    </row>
    <row r="66" spans="2:4" x14ac:dyDescent="0.35">
      <c r="B66" s="151"/>
      <c r="C66" s="117" t="s">
        <v>86</v>
      </c>
      <c r="D66" s="95" t="s">
        <v>26</v>
      </c>
    </row>
    <row r="67" spans="2:4" x14ac:dyDescent="0.35">
      <c r="B67" s="151"/>
      <c r="C67" s="117" t="s">
        <v>87</v>
      </c>
      <c r="D67" s="95" t="s">
        <v>27</v>
      </c>
    </row>
    <row r="68" spans="2:4" x14ac:dyDescent="0.35">
      <c r="B68" s="151"/>
      <c r="C68" s="116" t="s">
        <v>88</v>
      </c>
      <c r="D68" s="116" t="s">
        <v>28</v>
      </c>
    </row>
    <row r="69" spans="2:4" x14ac:dyDescent="0.35">
      <c r="B69" s="151" t="s">
        <v>89</v>
      </c>
      <c r="C69" s="95" t="s">
        <v>90</v>
      </c>
      <c r="D69" s="95" t="s">
        <v>30</v>
      </c>
    </row>
    <row r="70" spans="2:4" x14ac:dyDescent="0.35">
      <c r="B70" s="151"/>
      <c r="C70" s="95" t="s">
        <v>91</v>
      </c>
      <c r="D70" s="95" t="s">
        <v>31</v>
      </c>
    </row>
    <row r="71" spans="2:4" x14ac:dyDescent="0.35">
      <c r="B71" s="151"/>
      <c r="C71" s="95" t="s">
        <v>92</v>
      </c>
      <c r="D71" s="95" t="s">
        <v>32</v>
      </c>
    </row>
    <row r="72" spans="2:4" x14ac:dyDescent="0.35">
      <c r="B72" s="151"/>
      <c r="C72" s="116" t="s">
        <v>93</v>
      </c>
      <c r="D72" s="116" t="s">
        <v>33</v>
      </c>
    </row>
    <row r="73" spans="2:4" x14ac:dyDescent="0.35">
      <c r="B73" s="151" t="s">
        <v>94</v>
      </c>
      <c r="C73" s="95" t="s">
        <v>95</v>
      </c>
      <c r="D73" s="95" t="s">
        <v>34</v>
      </c>
    </row>
    <row r="74" spans="2:4" x14ac:dyDescent="0.35">
      <c r="B74" s="151"/>
      <c r="C74" s="116" t="s">
        <v>96</v>
      </c>
      <c r="D74" s="116" t="s">
        <v>35</v>
      </c>
    </row>
    <row r="75" spans="2:4" x14ac:dyDescent="0.35">
      <c r="B75" s="98" t="s">
        <v>97</v>
      </c>
      <c r="C75" s="152" t="s">
        <v>98</v>
      </c>
      <c r="D75" s="152"/>
    </row>
  </sheetData>
  <mergeCells count="9">
    <mergeCell ref="B2:L5"/>
    <mergeCell ref="B8:H8"/>
    <mergeCell ref="J8:P8"/>
    <mergeCell ref="B54:H54"/>
    <mergeCell ref="C75:D75"/>
    <mergeCell ref="B57:B63"/>
    <mergeCell ref="B64:B68"/>
    <mergeCell ref="B69:B72"/>
    <mergeCell ref="B73:B74"/>
  </mergeCells>
  <phoneticPr fontId="29" type="noConversion"/>
  <pageMargins left="0.75" right="0.75" top="1" bottom="1" header="0.5" footer="0.5"/>
  <customProperties>
    <customPr name="SheetID" r:id="rId1"/>
  </customPropertie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3:AA193"/>
  <sheetViews>
    <sheetView tabSelected="1" topLeftCell="P1" zoomScale="85" zoomScaleNormal="85" workbookViewId="0">
      <selection activeCell="Z15" sqref="Z15"/>
    </sheetView>
  </sheetViews>
  <sheetFormatPr defaultColWidth="9" defaultRowHeight="14.15" x14ac:dyDescent="0.35"/>
  <cols>
    <col min="1" max="1" width="11" style="106"/>
    <col min="2" max="2" width="12.640625"/>
    <col min="3" max="4" width="12.85546875" customWidth="1"/>
    <col min="6" max="19" width="12.85546875" customWidth="1"/>
    <col min="20" max="22" width="13.85546875"/>
    <col min="23" max="23" width="20.2109375" style="114" bestFit="1" customWidth="1"/>
    <col min="24" max="24" width="13.85546875" style="114"/>
    <col min="25" max="27" width="13.85546875"/>
  </cols>
  <sheetData>
    <row r="3" spans="1:27" x14ac:dyDescent="0.35">
      <c r="J3" t="s">
        <v>99</v>
      </c>
      <c r="K3" t="s">
        <v>99</v>
      </c>
      <c r="L3" t="s">
        <v>100</v>
      </c>
      <c r="M3" t="s">
        <v>100</v>
      </c>
      <c r="N3" t="s">
        <v>101</v>
      </c>
      <c r="O3" t="s">
        <v>101</v>
      </c>
      <c r="P3" t="s">
        <v>102</v>
      </c>
      <c r="Q3" t="s">
        <v>102</v>
      </c>
      <c r="R3" t="s">
        <v>103</v>
      </c>
      <c r="S3" t="s">
        <v>103</v>
      </c>
      <c r="T3" t="s">
        <v>104</v>
      </c>
      <c r="V3" t="s">
        <v>105</v>
      </c>
      <c r="W3" t="s">
        <v>106</v>
      </c>
      <c r="X3" t="s">
        <v>107</v>
      </c>
      <c r="Y3" t="s">
        <v>108</v>
      </c>
      <c r="Z3" t="s">
        <v>106</v>
      </c>
      <c r="AA3" t="s">
        <v>107</v>
      </c>
    </row>
    <row r="4" spans="1:27" x14ac:dyDescent="0.35">
      <c r="B4" s="1" t="s">
        <v>279</v>
      </c>
      <c r="C4" s="1" t="s">
        <v>109</v>
      </c>
      <c r="D4" s="1" t="s">
        <v>284</v>
      </c>
      <c r="E4" t="s">
        <v>99</v>
      </c>
      <c r="F4" t="s">
        <v>100</v>
      </c>
      <c r="G4" t="s">
        <v>101</v>
      </c>
      <c r="H4" t="s">
        <v>102</v>
      </c>
      <c r="I4" t="s">
        <v>103</v>
      </c>
      <c r="J4" t="s">
        <v>110</v>
      </c>
      <c r="K4" t="s">
        <v>111</v>
      </c>
      <c r="L4" t="s">
        <v>110</v>
      </c>
      <c r="M4" t="s">
        <v>111</v>
      </c>
      <c r="N4" t="s">
        <v>110</v>
      </c>
      <c r="O4" t="s">
        <v>111</v>
      </c>
      <c r="P4" t="s">
        <v>110</v>
      </c>
      <c r="Q4" t="s">
        <v>111</v>
      </c>
      <c r="R4" t="s">
        <v>110</v>
      </c>
      <c r="S4" t="s">
        <v>111</v>
      </c>
      <c r="T4" t="s">
        <v>110</v>
      </c>
      <c r="U4" t="s">
        <v>111</v>
      </c>
    </row>
    <row r="5" spans="1:27" x14ac:dyDescent="0.35">
      <c r="A5" s="142">
        <v>46387</v>
      </c>
      <c r="E5" t="e">
        <f>VLOOKUP(A5,美林时钟!#REF!,28,TRUE)</f>
        <v>#REF!</v>
      </c>
      <c r="F5" t="s">
        <v>112</v>
      </c>
      <c r="G5" t="s">
        <v>130</v>
      </c>
      <c r="H5" t="s">
        <v>119</v>
      </c>
      <c r="I5" t="s">
        <v>115</v>
      </c>
      <c r="J5" s="115" cm="1">
        <f t="array" ref="J5">INDEX(股债表现与四个维度!$A:$T,MATCH($A5,股债表现与四个维度!$A:$A,0),MATCH(J$3&amp;J$4,股债表现与四个维度!$2:$2&amp;股债表现与四个维度!$3:$3,0))</f>
        <v>-7.6923076923076927E-2</v>
      </c>
      <c r="K5" s="115" cm="1">
        <f t="array" ref="K5">INDEX(股债表现与四个维度!$A:$T,MATCH($A5,股债表现与四个维度!$A:$A,0),MATCH(K$3&amp;K$4,股债表现与四个维度!$2:$2&amp;股债表现与四个维度!$3:$3,0))</f>
        <v>0.15384615384615385</v>
      </c>
      <c r="L5" s="115" cm="1">
        <f t="array" ref="L5">INDEX(股债表现与四个维度!$A:$T,MATCH($A5,股债表现与四个维度!$A:$A,0),MATCH(L$3&amp;L$4,股债表现与四个维度!$2:$2&amp;股债表现与四个维度!$3:$3,0))</f>
        <v>-8.3333333333333329E-2</v>
      </c>
      <c r="M5" s="115" cm="1">
        <f t="array" ref="M5">INDEX(股债表现与四个维度!$A:$T,MATCH($A5,股债表现与四个维度!$A:$A,0),MATCH(M$3&amp;M$4,股债表现与四个维度!$2:$2&amp;股债表现与四个维度!$3:$3,0))</f>
        <v>0.56666666666666665</v>
      </c>
      <c r="N5" s="115" cm="1">
        <f t="array" ref="N5">INDEX(股债表现与四个维度!$A:$T,MATCH($A5,股债表现与四个维度!$A:$A,0),MATCH(N$3&amp;N$4,股债表现与四个维度!$2:$2&amp;股债表现与四个维度!$3:$3,0))</f>
        <v>-4.3478260869565216E-2</v>
      </c>
      <c r="O5" s="115" cm="1">
        <f t="array" ref="O5">INDEX(股债表现与四个维度!$A:$T,MATCH($A5,股债表现与四个维度!$A:$A,0),MATCH(O$3&amp;O$4,股债表现与四个维度!$2:$2&amp;股债表现与四个维度!$3:$3,0))</f>
        <v>0.95652173913043481</v>
      </c>
      <c r="P5" s="115" cm="1">
        <f t="array" ref="P5">INDEX(股债表现与四个维度!$A:$T,MATCH($A5,股债表现与四个维度!$A:$A,0),MATCH(P$3&amp;P$4,股债表现与四个维度!$2:$2&amp;股债表现与四个维度!$3:$3,0))</f>
        <v>-7.6923076923076927E-2</v>
      </c>
      <c r="Q5" s="115" cm="1">
        <f t="array" ref="Q5">INDEX(股债表现与四个维度!$A:$T,MATCH($A5,股债表现与四个维度!$A:$A,0),MATCH(Q$3&amp;Q$4,股债表现与四个维度!$2:$2&amp;股债表现与四个维度!$3:$3,0))</f>
        <v>0.57692307692307687</v>
      </c>
      <c r="R5" s="115" cm="1">
        <f t="array" ref="R5">INDEX(股债表现与四个维度!$A:$T,MATCH($A5,股债表现与四个维度!$A:$A,0),MATCH(R$3&amp;R$4,股债表现与四个维度!$2:$2&amp;股债表现与四个维度!$3:$3,0))</f>
        <v>-5.5555555555555552E-2</v>
      </c>
      <c r="S5" s="115" cm="1">
        <f t="array" ref="S5">INDEX(股债表现与四个维度!$A:$T,MATCH($A5,股债表现与四个维度!$A:$A,0),MATCH(S$3&amp;S$4,股债表现与四个维度!$2:$2&amp;股债表现与四个维度!$3:$3,0))</f>
        <v>0.77777777777777779</v>
      </c>
      <c r="T5">
        <f>SUMIFS($J5:$S5,$J5:$S5,"&lt;&gt;"&amp;"#N/A",$J$4:$S$4,T$4)</f>
        <v>-0.33621330360460799</v>
      </c>
      <c r="U5">
        <f>SUMIFS($J5:$S5,$J5:$S5,"&lt;&gt;"&amp;"#N/A",$J$4:$S$4,U$4)</f>
        <v>3.0317354143441095</v>
      </c>
      <c r="V5">
        <f t="shared" ref="V5:V6" si="0">T5-U5</f>
        <v>-3.3679487179487175</v>
      </c>
      <c r="W5" s="123"/>
    </row>
    <row r="6" spans="1:27" x14ac:dyDescent="0.35">
      <c r="A6" s="142">
        <v>46356</v>
      </c>
      <c r="E6" t="e">
        <f>VLOOKUP(A6,美林时钟!#REF!,28,TRUE)</f>
        <v>#REF!</v>
      </c>
      <c r="F6" t="s">
        <v>112</v>
      </c>
      <c r="G6" t="s">
        <v>130</v>
      </c>
      <c r="H6" t="s">
        <v>119</v>
      </c>
      <c r="I6" t="s">
        <v>115</v>
      </c>
      <c r="J6" s="115" cm="1">
        <f t="array" ref="J6">INDEX(股债表现与四个维度!$A:$T,MATCH($A6,股债表现与四个维度!$A:$A,0),MATCH(J$3&amp;J$4,股债表现与四个维度!$2:$2&amp;股债表现与四个维度!$3:$3,0))</f>
        <v>-8.3333333333333329E-2</v>
      </c>
      <c r="K6" s="115" cm="1">
        <f t="array" ref="K6">INDEX(股债表现与四个维度!$A:$T,MATCH($A6,股债表现与四个维度!$A:$A,0),MATCH(K$3&amp;K$4,股债表现与四个维度!$2:$2&amp;股债表现与四个维度!$3:$3,0))</f>
        <v>8.3333333333333329E-2</v>
      </c>
      <c r="L6" s="115" cm="1">
        <f t="array" ref="L6">INDEX(股债表现与四个维度!$A:$T,MATCH($A6,股债表现与四个维度!$A:$A,0),MATCH(L$3&amp;L$4,股债表现与四个维度!$2:$2&amp;股债表现与四个维度!$3:$3,0))</f>
        <v>-8.3333333333333329E-2</v>
      </c>
      <c r="M6" s="115" cm="1">
        <f t="array" ref="M6">INDEX(股债表现与四个维度!$A:$T,MATCH($A6,股债表现与四个维度!$A:$A,0),MATCH(M$3&amp;M$4,股债表现与四个维度!$2:$2&amp;股债表现与四个维度!$3:$3,0))</f>
        <v>0.53333333333333333</v>
      </c>
      <c r="N6" s="115" cm="1">
        <f t="array" ref="N6">INDEX(股债表现与四个维度!$A:$T,MATCH($A6,股债表现与四个维度!$A:$A,0),MATCH(N$3&amp;N$4,股债表现与四个维度!$2:$2&amp;股债表现与四个维度!$3:$3,0))</f>
        <v>-4.5454545454545456E-2</v>
      </c>
      <c r="O6" s="115" cm="1">
        <f t="array" ref="O6">INDEX(股债表现与四个维度!$A:$T,MATCH($A6,股债表现与四个维度!$A:$A,0),MATCH(O$3&amp;O$4,股债表现与四个维度!$2:$2&amp;股债表现与四个维度!$3:$3,0))</f>
        <v>0.95454545454545459</v>
      </c>
      <c r="P6" s="115" cm="1">
        <f t="array" ref="P6">INDEX(股债表现与四个维度!$A:$T,MATCH($A6,股债表现与四个维度!$A:$A,0),MATCH(P$3&amp;P$4,股债表现与四个维度!$2:$2&amp;股债表现与四个维度!$3:$3,0))</f>
        <v>-0.08</v>
      </c>
      <c r="Q6" s="115" cm="1">
        <f t="array" ref="Q6">INDEX(股债表现与四个维度!$A:$T,MATCH($A6,股债表现与四个维度!$A:$A,0),MATCH(Q$3&amp;Q$4,股债表现与四个维度!$2:$2&amp;股债表现与四个维度!$3:$3,0))</f>
        <v>0.56000000000000005</v>
      </c>
      <c r="R6" s="115" cm="1">
        <f t="array" ref="R6">INDEX(股债表现与四个维度!$A:$T,MATCH($A6,股债表现与四个维度!$A:$A,0),MATCH(R$3&amp;R$4,股债表现与四个维度!$2:$2&amp;股债表现与四个维度!$3:$3,0))</f>
        <v>-5.7142857142857141E-2</v>
      </c>
      <c r="S6" s="115" cm="1">
        <f t="array" ref="S6">INDEX(股债表现与四个维度!$A:$T,MATCH($A6,股债表现与四个维度!$A:$A,0),MATCH(S$3&amp;S$4,股债表现与四个维度!$2:$2&amp;股债表现与四个维度!$3:$3,0))</f>
        <v>0.77142857142857146</v>
      </c>
      <c r="T6">
        <f>SUMIFS($J6:$S6,$J6:$S6,"&lt;&gt;"&amp;"#N/A",$J$4:$S$4,T$4)</f>
        <v>-0.34926406926406928</v>
      </c>
      <c r="U6">
        <f>SUMIFS($J6:$S6,$J6:$S6,"&lt;&gt;"&amp;"#N/A",$J$4:$S$4,U$4)</f>
        <v>2.9026406926406927</v>
      </c>
      <c r="V6">
        <f t="shared" si="0"/>
        <v>-3.2519047619047621</v>
      </c>
      <c r="W6" s="123"/>
    </row>
    <row r="7" spans="1:27" x14ac:dyDescent="0.35">
      <c r="A7" s="142">
        <v>46326</v>
      </c>
      <c r="E7" t="e">
        <f>VLOOKUP(A7,美林时钟!#REF!,28,TRUE)</f>
        <v>#REF!</v>
      </c>
      <c r="F7" t="s">
        <v>112</v>
      </c>
      <c r="G7" t="s">
        <v>130</v>
      </c>
      <c r="H7" t="s">
        <v>119</v>
      </c>
      <c r="I7" t="s">
        <v>115</v>
      </c>
      <c r="J7" s="115" cm="1">
        <f t="array" ref="J7">INDEX(股债表现与四个维度!$A:$T,MATCH($A7,股债表现与四个维度!$A:$A,0),MATCH(J$3&amp;J$4,股债表现与四个维度!$2:$2&amp;股债表现与四个维度!$3:$3,0))</f>
        <v>-9.0909090909090912E-2</v>
      </c>
      <c r="K7" s="115" cm="1">
        <f t="array" ref="K7">INDEX(股债表现与四个维度!$A:$T,MATCH($A7,股债表现与四个维度!$A:$A,0),MATCH(K$3&amp;K$4,股债表现与四个维度!$2:$2&amp;股债表现与四个维度!$3:$3,0))</f>
        <v>0</v>
      </c>
      <c r="L7" s="115" cm="1">
        <f t="array" ref="L7">INDEX(股债表现与四个维度!$A:$T,MATCH($A7,股债表现与四个维度!$A:$A,0),MATCH(L$3&amp;L$4,股债表现与四个维度!$2:$2&amp;股债表现与四个维度!$3:$3,0))</f>
        <v>-0.1</v>
      </c>
      <c r="M7" s="115" cm="1">
        <f t="array" ref="M7">INDEX(股债表现与四个维度!$A:$T,MATCH($A7,股债表现与四个维度!$A:$A,0),MATCH(M$3&amp;M$4,股债表现与四个维度!$2:$2&amp;股债表现与四个维度!$3:$3,0))</f>
        <v>0.51666666666666672</v>
      </c>
      <c r="N7" s="115" cm="1">
        <f t="array" ref="N7">INDEX(股债表现与四个维度!$A:$T,MATCH($A7,股债表现与四个维度!$A:$A,0),MATCH(N$3&amp;N$4,股债表现与四个维度!$2:$2&amp;股债表现与四个维度!$3:$3,0))</f>
        <v>-4.7619047619047616E-2</v>
      </c>
      <c r="O7" s="115" cm="1">
        <f t="array" ref="O7">INDEX(股债表现与四个维度!$A:$T,MATCH($A7,股债表现与四个维度!$A:$A,0),MATCH(O$3&amp;O$4,股债表现与四个维度!$2:$2&amp;股债表现与四个维度!$3:$3,0))</f>
        <v>0.95238095238095233</v>
      </c>
      <c r="P7" s="115" cm="1">
        <f t="array" ref="P7">INDEX(股债表现与四个维度!$A:$T,MATCH($A7,股债表现与四个维度!$A:$A,0),MATCH(P$3&amp;P$4,股债表现与四个维度!$2:$2&amp;股债表现与四个维度!$3:$3,0))</f>
        <v>-8.3333333333333329E-2</v>
      </c>
      <c r="Q7" s="115" cm="1">
        <f t="array" ref="Q7">INDEX(股债表现与四个维度!$A:$T,MATCH($A7,股债表现与四个维度!$A:$A,0),MATCH(Q$3&amp;Q$4,股债表现与四个维度!$2:$2&amp;股债表现与四个维度!$3:$3,0))</f>
        <v>0.54166666666666663</v>
      </c>
      <c r="R7" s="115" cm="1">
        <f t="array" ref="R7">INDEX(股债表现与四个维度!$A:$T,MATCH($A7,股债表现与四个维度!$A:$A,0),MATCH(R$3&amp;R$4,股债表现与四个维度!$2:$2&amp;股债表现与四个维度!$3:$3,0))</f>
        <v>-5.8823529411764705E-2</v>
      </c>
      <c r="S7" s="115" cm="1">
        <f t="array" ref="S7">INDEX(股债表现与四个维度!$A:$T,MATCH($A7,股债表现与四个维度!$A:$A,0),MATCH(S$3&amp;S$4,股债表现与四个维度!$2:$2&amp;股债表现与四个维度!$3:$3,0))</f>
        <v>0.76470588235294112</v>
      </c>
      <c r="T7">
        <f>SUMIFS($J7:$S7,$J7:$S7,"&lt;&gt;"&amp;"#N/A",$J$4:$S$4,T$4)</f>
        <v>-0.38068500127323657</v>
      </c>
      <c r="U7">
        <f>SUMIFS($J7:$S7,$J7:$S7,"&lt;&gt;"&amp;"#N/A",$J$4:$S$4,U$4)</f>
        <v>2.7754201680672268</v>
      </c>
      <c r="V7">
        <f t="shared" ref="V7:V16" si="1">T7-U7</f>
        <v>-3.1561051693404636</v>
      </c>
      <c r="W7" s="123"/>
    </row>
    <row r="8" spans="1:27" x14ac:dyDescent="0.35">
      <c r="A8" s="142">
        <v>46295</v>
      </c>
      <c r="E8" t="e">
        <f>VLOOKUP(A8,美林时钟!#REF!,28,TRUE)</f>
        <v>#REF!</v>
      </c>
      <c r="F8" t="s">
        <v>112</v>
      </c>
      <c r="G8" t="s">
        <v>130</v>
      </c>
      <c r="H8" t="s">
        <v>119</v>
      </c>
      <c r="I8" t="s">
        <v>115</v>
      </c>
      <c r="J8" s="115" cm="1">
        <f t="array" ref="J8">INDEX(股债表现与四个维度!$A:$T,MATCH($A8,股债表现与四个维度!$A:$A,0),MATCH(J$3&amp;J$4,股债表现与四个维度!$2:$2&amp;股债表现与四个维度!$3:$3,0))</f>
        <v>-0.1</v>
      </c>
      <c r="K8" s="115" cm="1">
        <f t="array" ref="K8">INDEX(股债表现与四个维度!$A:$T,MATCH($A8,股债表现与四个维度!$A:$A,0),MATCH(K$3&amp;K$4,股债表现与四个维度!$2:$2&amp;股债表现与四个维度!$3:$3,0))</f>
        <v>-0.1</v>
      </c>
      <c r="L8" s="115" cm="1">
        <f t="array" ref="L8">INDEX(股债表现与四个维度!$A:$T,MATCH($A8,股债表现与四个维度!$A:$A,0),MATCH(L$3&amp;L$4,股债表现与四个维度!$2:$2&amp;股债表现与四个维度!$3:$3,0))</f>
        <v>-8.3333333333333329E-2</v>
      </c>
      <c r="M8" s="115" cm="1">
        <f t="array" ref="M8">INDEX(股债表现与四个维度!$A:$T,MATCH($A8,股债表现与四个维度!$A:$A,0),MATCH(M$3&amp;M$4,股债表现与四个维度!$2:$2&amp;股债表现与四个维度!$3:$3,0))</f>
        <v>0.51666666666666672</v>
      </c>
      <c r="N8" s="115" cm="1">
        <f t="array" ref="N8">INDEX(股债表现与四个维度!$A:$T,MATCH($A8,股债表现与四个维度!$A:$A,0),MATCH(N$3&amp;N$4,股债表现与四个维度!$2:$2&amp;股债表现与四个维度!$3:$3,0))</f>
        <v>-0.05</v>
      </c>
      <c r="O8" s="115" cm="1">
        <f t="array" ref="O8">INDEX(股债表现与四个维度!$A:$T,MATCH($A8,股债表现与四个维度!$A:$A,0),MATCH(O$3&amp;O$4,股债表现与四个维度!$2:$2&amp;股债表现与四个维度!$3:$3,0))</f>
        <v>0.95</v>
      </c>
      <c r="P8" s="115" cm="1">
        <f t="array" ref="P8">INDEX(股债表现与四个维度!$A:$T,MATCH($A8,股债表现与四个维度!$A:$A,0),MATCH(P$3&amp;P$4,股债表现与四个维度!$2:$2&amp;股债表现与四个维度!$3:$3,0))</f>
        <v>-8.6956521739130432E-2</v>
      </c>
      <c r="Q8" s="115" cm="1">
        <f t="array" ref="Q8">INDEX(股债表现与四个维度!$A:$T,MATCH($A8,股债表现与四个维度!$A:$A,0),MATCH(Q$3&amp;Q$4,股债表现与四个维度!$2:$2&amp;股债表现与四个维度!$3:$3,0))</f>
        <v>0.52173913043478259</v>
      </c>
      <c r="R8" s="115" cm="1">
        <f t="array" ref="R8">INDEX(股债表现与四个维度!$A:$T,MATCH($A8,股债表现与四个维度!$A:$A,0),MATCH(R$3&amp;R$4,股债表现与四个维度!$2:$2&amp;股债表现与四个维度!$3:$3,0))</f>
        <v>-6.0606060606060608E-2</v>
      </c>
      <c r="S8" s="115" cm="1">
        <f t="array" ref="S8">INDEX(股债表现与四个维度!$A:$T,MATCH($A8,股债表现与四个维度!$A:$A,0),MATCH(S$3&amp;S$4,股债表现与四个维度!$2:$2&amp;股债表现与四个维度!$3:$3,0))</f>
        <v>0.75757575757575757</v>
      </c>
      <c r="T8">
        <f>SUMIFS($J8:$S8,$J8:$S8,"&lt;&gt;"&amp;"#N/A",$J$4:$S$4,T$4)</f>
        <v>-0.38089591567852438</v>
      </c>
      <c r="U8">
        <f>SUMIFS($J8:$S8,$J8:$S8,"&lt;&gt;"&amp;"#N/A",$J$4:$S$4,U$4)</f>
        <v>2.6459815546772072</v>
      </c>
      <c r="V8">
        <f t="shared" si="1"/>
        <v>-3.0268774703557315</v>
      </c>
      <c r="W8" s="123"/>
    </row>
    <row r="9" spans="1:27" x14ac:dyDescent="0.35">
      <c r="A9" s="142">
        <v>46265</v>
      </c>
      <c r="E9" t="e">
        <f>VLOOKUP(A9,美林时钟!#REF!,28,TRUE)</f>
        <v>#REF!</v>
      </c>
      <c r="F9" t="s">
        <v>112</v>
      </c>
      <c r="G9" t="s">
        <v>130</v>
      </c>
      <c r="H9" t="s">
        <v>119</v>
      </c>
      <c r="I9" t="s">
        <v>115</v>
      </c>
      <c r="J9" s="115" cm="1">
        <f t="array" ref="J9">INDEX(股债表现与四个维度!$A:$T,MATCH($A9,股债表现与四个维度!$A:$A,0),MATCH(J$3&amp;J$4,股债表现与四个维度!$2:$2&amp;股债表现与四个维度!$3:$3,0))</f>
        <v>-0.1111111111111111</v>
      </c>
      <c r="K9" s="115" cm="1">
        <f t="array" ref="K9">INDEX(股债表现与四个维度!$A:$T,MATCH($A9,股债表现与四个维度!$A:$A,0),MATCH(K$3&amp;K$4,股债表现与四个维度!$2:$2&amp;股债表现与四个维度!$3:$3,0))</f>
        <v>-0.22222222222222221</v>
      </c>
      <c r="L9" s="115" cm="1">
        <f t="array" ref="L9">INDEX(股债表现与四个维度!$A:$T,MATCH($A9,股债表现与四个维度!$A:$A,0),MATCH(L$3&amp;L$4,股债表现与四个维度!$2:$2&amp;股债表现与四个维度!$3:$3,0))</f>
        <v>-0.1</v>
      </c>
      <c r="M9" s="115" cm="1">
        <f t="array" ref="M9">INDEX(股债表现与四个维度!$A:$T,MATCH($A9,股债表现与四个维度!$A:$A,0),MATCH(M$3&amp;M$4,股债表现与四个维度!$2:$2&amp;股债表现与四个维度!$3:$3,0))</f>
        <v>0.51666666666666672</v>
      </c>
      <c r="N9" s="115" cm="1">
        <f t="array" ref="N9">INDEX(股债表现与四个维度!$A:$T,MATCH($A9,股债表现与四个维度!$A:$A,0),MATCH(N$3&amp;N$4,股债表现与四个维度!$2:$2&amp;股债表现与四个维度!$3:$3,0))</f>
        <v>-5.2631578947368418E-2</v>
      </c>
      <c r="O9" s="115" cm="1">
        <f t="array" ref="O9">INDEX(股债表现与四个维度!$A:$T,MATCH($A9,股债表现与四个维度!$A:$A,0),MATCH(O$3&amp;O$4,股债表现与四个维度!$2:$2&amp;股债表现与四个维度!$3:$3,0))</f>
        <v>0.94736842105263153</v>
      </c>
      <c r="P9" s="115" cm="1">
        <f t="array" ref="P9">INDEX(股债表现与四个维度!$A:$T,MATCH($A9,股债表现与四个维度!$A:$A,0),MATCH(P$3&amp;P$4,股债表现与四个维度!$2:$2&amp;股债表现与四个维度!$3:$3,0))</f>
        <v>-9.0909090909090912E-2</v>
      </c>
      <c r="Q9" s="115" cm="1">
        <f t="array" ref="Q9">INDEX(股债表现与四个维度!$A:$T,MATCH($A9,股债表现与四个维度!$A:$A,0),MATCH(Q$3&amp;Q$4,股债表现与四个维度!$2:$2&amp;股债表现与四个维度!$3:$3,0))</f>
        <v>0.5</v>
      </c>
      <c r="R9" s="115" cm="1">
        <f t="array" ref="R9">INDEX(股债表现与四个维度!$A:$T,MATCH($A9,股债表现与四个维度!$A:$A,0),MATCH(R$3&amp;R$4,股债表现与四个维度!$2:$2&amp;股债表现与四个维度!$3:$3,0))</f>
        <v>-6.25E-2</v>
      </c>
      <c r="S9" s="115" cm="1">
        <f t="array" ref="S9">INDEX(股债表现与四个维度!$A:$T,MATCH($A9,股债表现与四个维度!$A:$A,0),MATCH(S$3&amp;S$4,股债表现与四个维度!$2:$2&amp;股债表现与四个维度!$3:$3,0))</f>
        <v>0.75</v>
      </c>
      <c r="T9">
        <f>SUMIFS($J9:$S9,$J9:$S9,"&lt;&gt;"&amp;"#N/A",$J$4:$S$4,T$4)</f>
        <v>-0.41715178096757044</v>
      </c>
      <c r="U9">
        <f>SUMIFS($J9:$S9,$J9:$S9,"&lt;&gt;"&amp;"#N/A",$J$4:$S$4,U$4)</f>
        <v>2.4918128654970761</v>
      </c>
      <c r="V9">
        <f>T9-U9</f>
        <v>-2.9089646464646464</v>
      </c>
      <c r="W9" s="123"/>
    </row>
    <row r="10" spans="1:27" x14ac:dyDescent="0.35">
      <c r="A10" s="142">
        <v>46234</v>
      </c>
      <c r="E10" t="e">
        <f>VLOOKUP(A10,美林时钟!#REF!,28,TRUE)</f>
        <v>#REF!</v>
      </c>
      <c r="F10" t="s">
        <v>112</v>
      </c>
      <c r="G10" t="s">
        <v>130</v>
      </c>
      <c r="H10" t="s">
        <v>119</v>
      </c>
      <c r="I10" t="s">
        <v>115</v>
      </c>
      <c r="J10" s="115" cm="1">
        <f t="array" ref="J10">INDEX(股债表现与四个维度!$A:$T,MATCH($A10,股债表现与四个维度!$A:$A,0),MATCH(J$3&amp;J$4,股债表现与四个维度!$2:$2&amp;股债表现与四个维度!$3:$3,0))</f>
        <v>-0.125</v>
      </c>
      <c r="K10" s="115" cm="1">
        <f t="array" ref="K10">INDEX(股债表现与四个维度!$A:$T,MATCH($A10,股债表现与四个维度!$A:$A,0),MATCH(K$3&amp;K$4,股债表现与四个维度!$2:$2&amp;股债表现与四个维度!$3:$3,0))</f>
        <v>-0.375</v>
      </c>
      <c r="L10" s="115" cm="1">
        <f t="array" ref="L10">INDEX(股债表现与四个维度!$A:$T,MATCH($A10,股债表现与四个维度!$A:$A,0),MATCH(L$3&amp;L$4,股债表现与四个维度!$2:$2&amp;股债表现与四个维度!$3:$3,0))</f>
        <v>-8.3333333333333329E-2</v>
      </c>
      <c r="M10" s="115" cm="1">
        <f t="array" ref="M10">INDEX(股债表现与四个维度!$A:$T,MATCH($A10,股债表现与四个维度!$A:$A,0),MATCH(M$3&amp;M$4,股债表现与四个维度!$2:$2&amp;股债表现与四个维度!$3:$3,0))</f>
        <v>0.51666666666666672</v>
      </c>
      <c r="N10" s="115" cm="1">
        <f t="array" ref="N10">INDEX(股债表现与四个维度!$A:$T,MATCH($A10,股债表现与四个维度!$A:$A,0),MATCH(N$3&amp;N$4,股债表现与四个维度!$2:$2&amp;股债表现与四个维度!$3:$3,0))</f>
        <v>-5.5555555555555552E-2</v>
      </c>
      <c r="O10" s="115" cm="1">
        <f t="array" ref="O10">INDEX(股债表现与四个维度!$A:$T,MATCH($A10,股债表现与四个维度!$A:$A,0),MATCH(O$3&amp;O$4,股债表现与四个维度!$2:$2&amp;股债表现与四个维度!$3:$3,0))</f>
        <v>0.94444444444444442</v>
      </c>
      <c r="P10" s="115" cm="1">
        <f t="array" ref="P10">INDEX(股债表现与四个维度!$A:$T,MATCH($A10,股债表现与四个维度!$A:$A,0),MATCH(P$3&amp;P$4,股债表现与四个维度!$2:$2&amp;股债表现与四个维度!$3:$3,0))</f>
        <v>-9.5238095238095233E-2</v>
      </c>
      <c r="Q10" s="115" cm="1">
        <f t="array" ref="Q10">INDEX(股债表现与四个维度!$A:$T,MATCH($A10,股债表现与四个维度!$A:$A,0),MATCH(Q$3&amp;Q$4,股债表现与四个维度!$2:$2&amp;股债表现与四个维度!$3:$3,0))</f>
        <v>0.47619047619047616</v>
      </c>
      <c r="R10" s="115" cm="1">
        <f t="array" ref="R10">INDEX(股债表现与四个维度!$A:$T,MATCH($A10,股债表现与四个维度!$A:$A,0),MATCH(R$3&amp;R$4,股债表现与四个维度!$2:$2&amp;股债表现与四个维度!$3:$3,0))</f>
        <v>-6.4516129032258063E-2</v>
      </c>
      <c r="S10" s="115" cm="1">
        <f t="array" ref="S10">INDEX(股债表现与四个维度!$A:$T,MATCH($A10,股债表现与四个维度!$A:$A,0),MATCH(S$3&amp;S$4,股债表现与四个维度!$2:$2&amp;股债表现与四个维度!$3:$3,0))</f>
        <v>0.74193548387096775</v>
      </c>
      <c r="T10">
        <f>SUMIFS($J10:$S10,$J10:$S10,"&lt;&gt;"&amp;"#N/A",$J$4:$S$4,T$4)</f>
        <v>-0.42364311315924214</v>
      </c>
      <c r="U10">
        <f>SUMIFS($J10:$S10,$J10:$S10,"&lt;&gt;"&amp;"#N/A",$J$4:$S$4,U$4)</f>
        <v>2.3042370711725555</v>
      </c>
      <c r="V10">
        <f t="shared" si="1"/>
        <v>-2.7278801843317977</v>
      </c>
      <c r="W10" s="123"/>
    </row>
    <row r="11" spans="1:27" x14ac:dyDescent="0.35">
      <c r="A11" s="142">
        <v>46203</v>
      </c>
      <c r="E11" t="e">
        <f>VLOOKUP(A11,美林时钟!#REF!,28,TRUE)</f>
        <v>#REF!</v>
      </c>
      <c r="F11" t="s">
        <v>112</v>
      </c>
      <c r="G11" t="s">
        <v>130</v>
      </c>
      <c r="H11" t="s">
        <v>119</v>
      </c>
      <c r="I11" t="s">
        <v>115</v>
      </c>
      <c r="J11" s="115" cm="1">
        <f t="array" ref="J11">INDEX(股债表现与四个维度!$A:$T,MATCH($A11,股债表现与四个维度!$A:$A,0),MATCH(J$3&amp;J$4,股债表现与四个维度!$2:$2&amp;股债表现与四个维度!$3:$3,0))</f>
        <v>-0.14285714285714285</v>
      </c>
      <c r="K11" s="115" cm="1">
        <f t="array" ref="K11">INDEX(股债表现与四个维度!$A:$T,MATCH($A11,股债表现与四个维度!$A:$A,0),MATCH(K$3&amp;K$4,股债表现与四个维度!$2:$2&amp;股债表现与四个维度!$3:$3,0))</f>
        <v>-0.5714285714285714</v>
      </c>
      <c r="L11" s="115" cm="1">
        <f t="array" ref="L11">INDEX(股债表现与四个维度!$A:$T,MATCH($A11,股债表现与四个维度!$A:$A,0),MATCH(L$3&amp;L$4,股债表现与四个维度!$2:$2&amp;股债表现与四个维度!$3:$3,0))</f>
        <v>-6.6666666666666666E-2</v>
      </c>
      <c r="M11" s="115" cm="1">
        <f t="array" ref="M11">INDEX(股债表现与四个维度!$A:$T,MATCH($A11,股债表现与四个维度!$A:$A,0),MATCH(M$3&amp;M$4,股债表现与四个维度!$2:$2&amp;股债表现与四个维度!$3:$3,0))</f>
        <v>0.51666666666666672</v>
      </c>
      <c r="N11" s="115" cm="1">
        <f t="array" ref="N11">INDEX(股债表现与四个维度!$A:$T,MATCH($A11,股债表现与四个维度!$A:$A,0),MATCH(N$3&amp;N$4,股债表现与四个维度!$2:$2&amp;股债表现与四个维度!$3:$3,0))</f>
        <v>-5.8823529411764705E-2</v>
      </c>
      <c r="O11" s="115" cm="1">
        <f t="array" ref="O11">INDEX(股债表现与四个维度!$A:$T,MATCH($A11,股债表现与四个维度!$A:$A,0),MATCH(O$3&amp;O$4,股债表现与四个维度!$2:$2&amp;股债表现与四个维度!$3:$3,0))</f>
        <v>0.94117647058823528</v>
      </c>
      <c r="P11" s="115" cm="1">
        <f t="array" ref="P11">INDEX(股债表现与四个维度!$A:$T,MATCH($A11,股债表现与四个维度!$A:$A,0),MATCH(P$3&amp;P$4,股债表现与四个维度!$2:$2&amp;股债表现与四个维度!$3:$3,0))</f>
        <v>-0.1</v>
      </c>
      <c r="Q11" s="115" cm="1">
        <f t="array" ref="Q11">INDEX(股债表现与四个维度!$A:$T,MATCH($A11,股债表现与四个维度!$A:$A,0),MATCH(Q$3&amp;Q$4,股债表现与四个维度!$2:$2&amp;股债表现与四个维度!$3:$3,0))</f>
        <v>0.45</v>
      </c>
      <c r="R11" s="115" cm="1">
        <f t="array" ref="R11">INDEX(股债表现与四个维度!$A:$T,MATCH($A11,股债表现与四个维度!$A:$A,0),MATCH(R$3&amp;R$4,股债表现与四个维度!$2:$2&amp;股债表现与四个维度!$3:$3,0))</f>
        <v>-6.6666666666666666E-2</v>
      </c>
      <c r="S11" s="115" cm="1">
        <f t="array" ref="S11">INDEX(股债表现与四个维度!$A:$T,MATCH($A11,股债表现与四个维度!$A:$A,0),MATCH(S$3&amp;S$4,股债表现与四个维度!$2:$2&amp;股债表现与四个维度!$3:$3,0))</f>
        <v>0.73333333333333328</v>
      </c>
      <c r="T11">
        <f>SUMIFS($J11:$S11,$J11:$S11,"&lt;&gt;"&amp;"#N/A",$J$4:$S$4,T$4)</f>
        <v>-0.43501400560224091</v>
      </c>
      <c r="U11">
        <f>SUMIFS($J11:$S11,$J11:$S11,"&lt;&gt;"&amp;"#N/A",$J$4:$S$4,U$4)</f>
        <v>2.0697478991596641</v>
      </c>
      <c r="V11">
        <f t="shared" si="1"/>
        <v>-2.5047619047619047</v>
      </c>
      <c r="W11" s="123"/>
    </row>
    <row r="12" spans="1:27" x14ac:dyDescent="0.35">
      <c r="A12" s="142">
        <v>46173</v>
      </c>
      <c r="E12" t="e">
        <f>VLOOKUP(A12,美林时钟!#REF!,28,TRUE)</f>
        <v>#REF!</v>
      </c>
      <c r="F12" t="s">
        <v>112</v>
      </c>
      <c r="G12" t="s">
        <v>130</v>
      </c>
      <c r="H12" t="s">
        <v>119</v>
      </c>
      <c r="I12" t="s">
        <v>115</v>
      </c>
      <c r="J12" s="115" cm="1">
        <f t="array" ref="J12">INDEX(股债表现与四个维度!$A:$T,MATCH($A12,股债表现与四个维度!$A:$A,0),MATCH(J$3&amp;J$4,股债表现与四个维度!$2:$2&amp;股债表现与四个维度!$3:$3,0))</f>
        <v>-0.14285714285714285</v>
      </c>
      <c r="K12" s="115" cm="1">
        <f t="array" ref="K12">INDEX(股债表现与四个维度!$A:$T,MATCH($A12,股债表现与四个维度!$A:$A,0),MATCH(K$3&amp;K$4,股债表现与四个维度!$2:$2&amp;股债表现与四个维度!$3:$3,0))</f>
        <v>-0.5714285714285714</v>
      </c>
      <c r="L12" s="115" cm="1">
        <f t="array" ref="L12">INDEX(股债表现与四个维度!$A:$T,MATCH($A12,股债表现与四个维度!$A:$A,0),MATCH(L$3&amp;L$4,股债表现与四个维度!$2:$2&amp;股债表现与四个维度!$3:$3,0))</f>
        <v>-0.05</v>
      </c>
      <c r="M12" s="115" cm="1">
        <f t="array" ref="M12">INDEX(股债表现与四个维度!$A:$T,MATCH($A12,股债表现与四个维度!$A:$A,0),MATCH(M$3&amp;M$4,股债表现与四个维度!$2:$2&amp;股债表现与四个维度!$3:$3,0))</f>
        <v>0.51666666666666672</v>
      </c>
      <c r="N12" s="115" cm="1">
        <f t="array" ref="N12">INDEX(股债表现与四个维度!$A:$T,MATCH($A12,股债表现与四个维度!$A:$A,0),MATCH(N$3&amp;N$4,股债表现与四个维度!$2:$2&amp;股债表现与四个维度!$3:$3,0))</f>
        <v>-6.25E-2</v>
      </c>
      <c r="O12" s="115" cm="1">
        <f t="array" ref="O12">INDEX(股债表现与四个维度!$A:$T,MATCH($A12,股债表现与四个维度!$A:$A,0),MATCH(O$3&amp;O$4,股债表现与四个维度!$2:$2&amp;股债表现与四个维度!$3:$3,0))</f>
        <v>0.9375</v>
      </c>
      <c r="P12" s="115" cm="1">
        <f t="array" ref="P12">INDEX(股债表现与四个维度!$A:$T,MATCH($A12,股债表现与四个维度!$A:$A,0),MATCH(P$3&amp;P$4,股债表现与四个维度!$2:$2&amp;股债表现与四个维度!$3:$3,0))</f>
        <v>-0.10526315789473684</v>
      </c>
      <c r="Q12" s="115" cm="1">
        <f t="array" ref="Q12">INDEX(股债表现与四个维度!$A:$T,MATCH($A12,股债表现与四个维度!$A:$A,0),MATCH(Q$3&amp;Q$4,股债表现与四个维度!$2:$2&amp;股债表现与四个维度!$3:$3,0))</f>
        <v>0.42105263157894735</v>
      </c>
      <c r="R12" s="115" cm="1">
        <f t="array" ref="R12">INDEX(股债表现与四个维度!$A:$T,MATCH($A12,股债表现与四个维度!$A:$A,0),MATCH(R$3&amp;R$4,股债表现与四个维度!$2:$2&amp;股债表现与四个维度!$3:$3,0))</f>
        <v>-6.8965517241379309E-2</v>
      </c>
      <c r="S12" s="115" cm="1">
        <f t="array" ref="S12">INDEX(股债表现与四个维度!$A:$T,MATCH($A12,股债表现与四个维度!$A:$A,0),MATCH(S$3&amp;S$4,股债表现与四个维度!$2:$2&amp;股债表现与四个维度!$3:$3,0))</f>
        <v>0.72413793103448276</v>
      </c>
      <c r="T12">
        <f>SUMIFS($J12:$S12,$J12:$S12,"&lt;&gt;"&amp;"#N/A",$J$4:$S$4,T$4)</f>
        <v>-0.42958581799325901</v>
      </c>
      <c r="U12">
        <f>SUMIFS($J12:$S12,$J12:$S12,"&lt;&gt;"&amp;"#N/A",$J$4:$S$4,U$4)</f>
        <v>2.0279286578515254</v>
      </c>
      <c r="V12">
        <f t="shared" si="1"/>
        <v>-2.4575144758447847</v>
      </c>
      <c r="W12" s="123"/>
    </row>
    <row r="13" spans="1:27" x14ac:dyDescent="0.35">
      <c r="A13" s="142">
        <v>46142</v>
      </c>
      <c r="E13" t="e">
        <f>VLOOKUP(A13,美林时钟!#REF!,28,TRUE)</f>
        <v>#REF!</v>
      </c>
      <c r="F13" t="s">
        <v>112</v>
      </c>
      <c r="G13" t="s">
        <v>130</v>
      </c>
      <c r="H13" t="s">
        <v>119</v>
      </c>
      <c r="I13" t="s">
        <v>115</v>
      </c>
      <c r="J13" s="115" cm="1">
        <f t="array" ref="J13">INDEX(股债表现与四个维度!$A:$T,MATCH($A13,股债表现与四个维度!$A:$A,0),MATCH(J$3&amp;J$4,股债表现与四个维度!$2:$2&amp;股债表现与四个维度!$3:$3,0))</f>
        <v>-0.13333333333333333</v>
      </c>
      <c r="K13" s="115" cm="1">
        <f t="array" ref="K13">INDEX(股债表现与四个维度!$A:$T,MATCH($A13,股债表现与四个维度!$A:$A,0),MATCH(K$3&amp;K$4,股债表现与四个维度!$2:$2&amp;股债表现与四个维度!$3:$3,0))</f>
        <v>0.46666666666666667</v>
      </c>
      <c r="L13" s="115" cm="1">
        <f t="array" ref="L13">INDEX(股债表现与四个维度!$A:$T,MATCH($A13,股债表现与四个维度!$A:$A,0),MATCH(L$3&amp;L$4,股债表现与四个维度!$2:$2&amp;股债表现与四个维度!$3:$3,0))</f>
        <v>-6.6666666666666666E-2</v>
      </c>
      <c r="M13" s="115" cm="1">
        <f t="array" ref="M13">INDEX(股债表现与四个维度!$A:$T,MATCH($A13,股债表现与四个维度!$A:$A,0),MATCH(M$3&amp;M$4,股债表现与四个维度!$2:$2&amp;股债表现与四个维度!$3:$3,0))</f>
        <v>0.5</v>
      </c>
      <c r="N13" s="115" cm="1">
        <f t="array" ref="N13">INDEX(股债表现与四个维度!$A:$T,MATCH($A13,股债表现与四个维度!$A:$A,0),MATCH(N$3&amp;N$4,股债表现与四个维度!$2:$2&amp;股债表现与四个维度!$3:$3,0))</f>
        <v>-6.6666666666666666E-2</v>
      </c>
      <c r="O13" s="115" cm="1">
        <f t="array" ref="O13">INDEX(股债表现与四个维度!$A:$T,MATCH($A13,股债表现与四个维度!$A:$A,0),MATCH(O$3&amp;O$4,股债表现与四个维度!$2:$2&amp;股债表现与四个维度!$3:$3,0))</f>
        <v>0.93333333333333335</v>
      </c>
      <c r="P13" s="115" cm="1">
        <f t="array" ref="P13">INDEX(股债表现与四个维度!$A:$T,MATCH($A13,股债表现与四个维度!$A:$A,0),MATCH(P$3&amp;P$4,股债表现与四个维度!$2:$2&amp;股债表现与四个维度!$3:$3,0))</f>
        <v>-0.1111111111111111</v>
      </c>
      <c r="Q13" s="115" cm="1">
        <f t="array" ref="Q13">INDEX(股债表现与四个维度!$A:$T,MATCH($A13,股债表现与四个维度!$A:$A,0),MATCH(Q$3&amp;Q$4,股债表现与四个维度!$2:$2&amp;股债表现与四个维度!$3:$3,0))</f>
        <v>0.3888888888888889</v>
      </c>
      <c r="R13" s="115" cm="1">
        <f t="array" ref="R13">INDEX(股债表现与四个维度!$A:$T,MATCH($A13,股债表现与四个维度!$A:$A,0),MATCH(R$3&amp;R$4,股债表现与四个维度!$2:$2&amp;股债表现与四个维度!$3:$3,0))</f>
        <v>-7.1428571428571425E-2</v>
      </c>
      <c r="S13" s="115" cm="1">
        <f t="array" ref="S13">INDEX(股债表现与四个维度!$A:$T,MATCH($A13,股债表现与四个维度!$A:$A,0),MATCH(S$3&amp;S$4,股债表现与四个维度!$2:$2&amp;股债表现与四个维度!$3:$3,0))</f>
        <v>0.7142857142857143</v>
      </c>
      <c r="T13">
        <f>SUMIFS($J13:$S13,$J13:$S13,"&lt;&gt;"&amp;"#N/A",$J$4:$S$4,T$4)</f>
        <v>-0.44920634920634916</v>
      </c>
      <c r="U13">
        <f>SUMIFS($J13:$S13,$J13:$S13,"&lt;&gt;"&amp;"#N/A",$J$4:$S$4,U$4)</f>
        <v>3.0031746031746032</v>
      </c>
      <c r="V13">
        <f t="shared" si="1"/>
        <v>-3.4523809523809526</v>
      </c>
      <c r="W13" s="123"/>
    </row>
    <row r="14" spans="1:27" x14ac:dyDescent="0.35">
      <c r="A14" s="142">
        <v>46112</v>
      </c>
      <c r="E14" t="e">
        <f>VLOOKUP(A14,美林时钟!#REF!,28,TRUE)</f>
        <v>#REF!</v>
      </c>
      <c r="F14" t="s">
        <v>112</v>
      </c>
      <c r="G14" t="s">
        <v>130</v>
      </c>
      <c r="H14" t="s">
        <v>119</v>
      </c>
      <c r="I14" t="s">
        <v>115</v>
      </c>
      <c r="J14" s="115" cm="1">
        <f t="array" ref="J14">INDEX(股债表现与四个维度!$A:$T,MATCH($A14,股债表现与四个维度!$A:$A,0),MATCH(J$3&amp;J$4,股债表现与四个维度!$2:$2&amp;股债表现与四个维度!$3:$3,0))</f>
        <v>0</v>
      </c>
      <c r="K14" s="115" cm="1">
        <f t="array" ref="K14">INDEX(股债表现与四个维度!$A:$T,MATCH($A14,股债表现与四个维度!$A:$A,0),MATCH(K$3&amp;K$4,股债表现与四个维度!$2:$2&amp;股债表现与四个维度!$3:$3,0))</f>
        <v>0.79166666666666663</v>
      </c>
      <c r="L14" s="115" cm="1">
        <f t="array" ref="L14">INDEX(股债表现与四个维度!$A:$T,MATCH($A14,股债表现与四个维度!$A:$A,0),MATCH(L$3&amp;L$4,股债表现与四个维度!$2:$2&amp;股债表现与四个维度!$3:$3,0))</f>
        <v>-6.6666666666666666E-2</v>
      </c>
      <c r="M14" s="115" cm="1">
        <f t="array" ref="M14">INDEX(股债表现与四个维度!$A:$T,MATCH($A14,股债表现与四个维度!$A:$A,0),MATCH(M$3&amp;M$4,股债表现与四个维度!$2:$2&amp;股债表现与四个维度!$3:$3,0))</f>
        <v>0.46666666666666667</v>
      </c>
      <c r="N14" s="115" cm="1">
        <f t="array" ref="N14">INDEX(股债表现与四个维度!$A:$T,MATCH($A14,股债表现与四个维度!$A:$A,0),MATCH(N$3&amp;N$4,股债表现与四个维度!$2:$2&amp;股债表现与四个维度!$3:$3,0))</f>
        <v>-7.1428571428571425E-2</v>
      </c>
      <c r="O14" s="115" cm="1">
        <f t="array" ref="O14">INDEX(股债表现与四个维度!$A:$T,MATCH($A14,股债表现与四个维度!$A:$A,0),MATCH(O$3&amp;O$4,股债表现与四个维度!$2:$2&amp;股债表现与四个维度!$3:$3,0))</f>
        <v>0.9285714285714286</v>
      </c>
      <c r="P14" s="115" cm="1">
        <f t="array" ref="P14">INDEX(股债表现与四个维度!$A:$T,MATCH($A14,股债表现与四个维度!$A:$A,0),MATCH(P$3&amp;P$4,股债表现与四个维度!$2:$2&amp;股债表现与四个维度!$3:$3,0))</f>
        <v>-0.1111111111111111</v>
      </c>
      <c r="Q14" s="115" cm="1">
        <f t="array" ref="Q14">INDEX(股债表现与四个维度!$A:$T,MATCH($A14,股债表现与四个维度!$A:$A,0),MATCH(Q$3&amp;Q$4,股债表现与四个维度!$2:$2&amp;股债表现与四个维度!$3:$3,0))</f>
        <v>0.3888888888888889</v>
      </c>
      <c r="R14" s="115" cm="1">
        <f t="array" ref="R14">INDEX(股债表现与四个维度!$A:$T,MATCH($A14,股债表现与四个维度!$A:$A,0),MATCH(R$3&amp;R$4,股债表现与四个维度!$2:$2&amp;股债表现与四个维度!$3:$3,0))</f>
        <v>-7.1428571428571425E-2</v>
      </c>
      <c r="S14" s="115" cm="1">
        <f t="array" ref="S14">INDEX(股债表现与四个维度!$A:$T,MATCH($A14,股债表现与四个维度!$A:$A,0),MATCH(S$3&amp;S$4,股债表现与四个维度!$2:$2&amp;股债表现与四个维度!$3:$3,0))</f>
        <v>0.7142857142857143</v>
      </c>
      <c r="T14">
        <f>SUMIFS($J14:$S14,$J14:$S14,"&lt;&gt;"&amp;"#N/A",$J$4:$S$4,T$4)</f>
        <v>-0.32063492063492061</v>
      </c>
      <c r="U14">
        <f>SUMIFS($J14:$S14,$J14:$S14,"&lt;&gt;"&amp;"#N/A",$J$4:$S$4,U$4)</f>
        <v>3.2900793650793649</v>
      </c>
      <c r="V14">
        <f t="shared" si="1"/>
        <v>-3.6107142857142858</v>
      </c>
      <c r="W14" s="123"/>
    </row>
    <row r="15" spans="1:27" x14ac:dyDescent="0.35">
      <c r="A15" s="142">
        <v>46081</v>
      </c>
      <c r="E15" t="e">
        <f>VLOOKUP(A15,美林时钟!#REF!,28,TRUE)</f>
        <v>#REF!</v>
      </c>
      <c r="F15" t="s">
        <v>112</v>
      </c>
      <c r="G15" t="s">
        <v>130</v>
      </c>
      <c r="H15" t="s">
        <v>119</v>
      </c>
      <c r="I15" t="s">
        <v>115</v>
      </c>
      <c r="J15" s="115" cm="1">
        <f t="array" ref="J15">INDEX(股债表现与四个维度!$A:$T,MATCH($A15,股债表现与四个维度!$A:$A,0),MATCH(J$3&amp;J$4,股债表现与四个维度!$2:$2&amp;股债表现与四个维度!$3:$3,0))</f>
        <v>0</v>
      </c>
      <c r="K15" s="115" cm="1">
        <f t="array" ref="K15">INDEX(股债表现与四个维度!$A:$T,MATCH($A15,股债表现与四个维度!$A:$A,0),MATCH(K$3&amp;K$4,股债表现与四个维度!$2:$2&amp;股债表现与四个维度!$3:$3,0))</f>
        <v>0.78260869565217395</v>
      </c>
      <c r="L15" s="115" cm="1">
        <f t="array" ref="L15">INDEX(股债表现与四个维度!$A:$T,MATCH($A15,股债表现与四个维度!$A:$A,0),MATCH(L$3&amp;L$4,股债表现与四个维度!$2:$2&amp;股债表现与四个维度!$3:$3,0))</f>
        <v>-6.6666666666666666E-2</v>
      </c>
      <c r="M15" s="115" cm="1">
        <f t="array" ref="M15">INDEX(股债表现与四个维度!$A:$T,MATCH($A15,股债表现与四个维度!$A:$A,0),MATCH(M$3&amp;M$4,股债表现与四个维度!$2:$2&amp;股债表现与四个维度!$3:$3,0))</f>
        <v>0.46666666666666667</v>
      </c>
      <c r="N15" s="115" cm="1">
        <f t="array" ref="N15">INDEX(股债表现与四个维度!$A:$T,MATCH($A15,股债表现与四个维度!$A:$A,0),MATCH(N$3&amp;N$4,股债表现与四个维度!$2:$2&amp;股债表现与四个维度!$3:$3,0))</f>
        <v>-7.1428571428571425E-2</v>
      </c>
      <c r="O15" s="115" cm="1">
        <f t="array" ref="O15">INDEX(股债表现与四个维度!$A:$T,MATCH($A15,股债表现与四个维度!$A:$A,0),MATCH(O$3&amp;O$4,股债表现与四个维度!$2:$2&amp;股债表现与四个维度!$3:$3,0))</f>
        <v>0.9285714285714286</v>
      </c>
      <c r="P15" s="115" cm="1">
        <f t="array" ref="P15">INDEX(股债表现与四个维度!$A:$T,MATCH($A15,股债表现与四个维度!$A:$A,0),MATCH(P$3&amp;P$4,股债表现与四个维度!$2:$2&amp;股债表现与四个维度!$3:$3,0))</f>
        <v>-0.5</v>
      </c>
      <c r="Q15" s="115" cm="1">
        <f t="array" ref="Q15">INDEX(股债表现与四个维度!$A:$T,MATCH($A15,股债表现与四个维度!$A:$A,0),MATCH(Q$3&amp;Q$4,股债表现与四个维度!$2:$2&amp;股债表现与四个维度!$3:$3,0))</f>
        <v>1</v>
      </c>
      <c r="R15" s="115" cm="1">
        <f t="array" ref="R15">INDEX(股债表现与四个维度!$A:$T,MATCH($A15,股债表现与四个维度!$A:$A,0),MATCH(R$3&amp;R$4,股债表现与四个维度!$2:$2&amp;股债表现与四个维度!$3:$3,0))</f>
        <v>-0.22222222222222221</v>
      </c>
      <c r="S15" s="115" cm="1">
        <f t="array" ref="S15">INDEX(股债表现与四个维度!$A:$T,MATCH($A15,股债表现与四个维度!$A:$A,0),MATCH(S$3&amp;S$4,股债表现与四个维度!$2:$2&amp;股债表现与四个维度!$3:$3,0))</f>
        <v>0.44444444444444442</v>
      </c>
      <c r="T15">
        <f>SUMIFS($J15:$S15,$J15:$S15,"&lt;&gt;"&amp;"#N/A",$J$4:$S$4,T$4)</f>
        <v>-0.86031746031746026</v>
      </c>
      <c r="U15">
        <f>SUMIFS($J15:$S15,$J15:$S15,"&lt;&gt;"&amp;"#N/A",$J$4:$S$4,U$4)</f>
        <v>3.6222912353347141</v>
      </c>
      <c r="V15">
        <f t="shared" si="1"/>
        <v>-4.482608695652174</v>
      </c>
      <c r="W15" s="123"/>
    </row>
    <row r="16" spans="1:27" x14ac:dyDescent="0.35">
      <c r="A16" s="142">
        <v>46053</v>
      </c>
      <c r="E16" t="str">
        <f>VLOOKUP(A16,美林时钟!A1:AB260,28,TRUE)</f>
        <v>过热</v>
      </c>
      <c r="F16" t="s">
        <v>112</v>
      </c>
      <c r="G16" t="s">
        <v>130</v>
      </c>
      <c r="H16" t="s">
        <v>119</v>
      </c>
      <c r="I16" t="s">
        <v>115</v>
      </c>
      <c r="J16" s="115" cm="1">
        <f t="array" ref="J16">INDEX(股债表现与四个维度!$A:$T,MATCH($A16,股债表现与四个维度!$A:$A,0),MATCH(J$3&amp;J$4,股债表现与四个维度!$2:$2&amp;股债表现与四个维度!$3:$3,0))</f>
        <v>0</v>
      </c>
      <c r="K16" s="115" cm="1">
        <f t="array" ref="K16">INDEX(股债表现与四个维度!$A:$T,MATCH($A16,股债表现与四个维度!$A:$A,0),MATCH(K$3&amp;K$4,股债表现与四个维度!$2:$2&amp;股债表现与四个维度!$3:$3,0))</f>
        <v>0.77272727272727271</v>
      </c>
      <c r="L16" s="115" cm="1">
        <f t="array" ref="L16">INDEX(股债表现与四个维度!$A:$T,MATCH($A16,股债表现与四个维度!$A:$A,0),MATCH(L$3&amp;L$4,股债表现与四个维度!$2:$2&amp;股债表现与四个维度!$3:$3,0))</f>
        <v>-0.05</v>
      </c>
      <c r="M16" s="115" cm="1">
        <f t="array" ref="M16">INDEX(股债表现与四个维度!$A:$T,MATCH($A16,股债表现与四个维度!$A:$A,0),MATCH(M$3&amp;M$4,股债表现与四个维度!$2:$2&amp;股债表现与四个维度!$3:$3,0))</f>
        <v>0.45</v>
      </c>
      <c r="N16" s="115" cm="1">
        <f t="array" ref="N16">INDEX(股债表现与四个维度!$A:$T,MATCH($A16,股债表现与四个维度!$A:$A,0),MATCH(N$3&amp;N$4,股债表现与四个维度!$2:$2&amp;股债表现与四个维度!$3:$3,0))</f>
        <v>-0.25</v>
      </c>
      <c r="O16" s="115" cm="1">
        <f t="array" ref="O16">INDEX(股债表现与四个维度!$A:$T,MATCH($A16,股债表现与四个维度!$A:$A,0),MATCH(O$3&amp;O$4,股债表现与四个维度!$2:$2&amp;股债表现与四个维度!$3:$3,0))</f>
        <v>8.3333333333333329E-2</v>
      </c>
      <c r="P16" s="115" cm="1">
        <f t="array" ref="P16">INDEX(股债表现与四个维度!$A:$T,MATCH($A16,股债表现与四个维度!$A:$A,0),MATCH(P$3&amp;P$4,股债表现与四个维度!$2:$2&amp;股债表现与四个维度!$3:$3,0))</f>
        <v>-0.5</v>
      </c>
      <c r="Q16" s="115" cm="1">
        <f t="array" ref="Q16">INDEX(股债表现与四个维度!$A:$T,MATCH($A16,股债表现与四个维度!$A:$A,0),MATCH(Q$3&amp;Q$4,股债表现与四个维度!$2:$2&amp;股债表现与四个维度!$3:$3,0))</f>
        <v>1</v>
      </c>
      <c r="R16" s="115" cm="1">
        <f t="array" ref="R16">INDEX(股债表现与四个维度!$A:$T,MATCH($A16,股债表现与四个维度!$A:$A,0),MATCH(R$3&amp;R$4,股债表现与四个维度!$2:$2&amp;股债表现与四个维度!$3:$3,0))</f>
        <v>-0.22222222222222221</v>
      </c>
      <c r="S16" s="115" cm="1">
        <f t="array" ref="S16">INDEX(股债表现与四个维度!$A:$T,MATCH($A16,股债表现与四个维度!$A:$A,0),MATCH(S$3&amp;S$4,股债表现与四个维度!$2:$2&amp;股债表现与四个维度!$3:$3,0))</f>
        <v>0.44444444444444442</v>
      </c>
      <c r="T16">
        <f>SUMIFS($J16:$S16,$J16:$S16,"&lt;&gt;"&amp;"#N/A",$J$4:$S$4,T$4)</f>
        <v>-1.0222222222222221</v>
      </c>
      <c r="U16">
        <f>SUMIFS($J16:$S16,$J16:$S16,"&lt;&gt;"&amp;"#N/A",$J$4:$S$4,U$4)</f>
        <v>2.7505050505050503</v>
      </c>
      <c r="V16">
        <f t="shared" si="1"/>
        <v>-3.7727272727272725</v>
      </c>
      <c r="W16" s="123">
        <v>6.49</v>
      </c>
      <c r="Y16">
        <v>-3.316078468435645</v>
      </c>
    </row>
    <row r="17" spans="1:27" x14ac:dyDescent="0.35">
      <c r="A17" s="141">
        <v>46022</v>
      </c>
      <c r="E17" t="str">
        <f>VLOOKUP(A17,美林时钟!A2:AB261,28,TRUE)</f>
        <v>过热</v>
      </c>
      <c r="F17" t="s">
        <v>112</v>
      </c>
      <c r="G17" t="s">
        <v>130</v>
      </c>
      <c r="H17" t="s">
        <v>119</v>
      </c>
      <c r="I17" t="s">
        <v>115</v>
      </c>
      <c r="J17" s="115" cm="1">
        <f t="array" ref="J17">INDEX(股债表现与四个维度!$A:$T,MATCH($A17,股债表现与四个维度!$A:$A,0),MATCH(J$3&amp;J$4,股债表现与四个维度!$2:$2&amp;股债表现与四个维度!$3:$3,0))</f>
        <v>0</v>
      </c>
      <c r="K17" s="115" cm="1">
        <f t="array" ref="K17">INDEX(股债表现与四个维度!$A:$T,MATCH($A17,股债表现与四个维度!$A:$A,0),MATCH(K$3&amp;K$4,股债表现与四个维度!$2:$2&amp;股债表现与四个维度!$3:$3,0))</f>
        <v>0.76190476190476186</v>
      </c>
      <c r="L17" s="115" cm="1">
        <f t="array" ref="L17">INDEX(股债表现与四个维度!$A:$T,MATCH($A17,股债表现与四个维度!$A:$A,0),MATCH(L$3&amp;L$4,股债表现与四个维度!$2:$2&amp;股债表现与四个维度!$3:$3,0))</f>
        <v>-5.0847457627118647E-2</v>
      </c>
      <c r="M17" s="115" cm="1">
        <f t="array" ref="M17">INDEX(股债表现与四个维度!$A:$T,MATCH($A17,股债表现与四个维度!$A:$A,0),MATCH(M$3&amp;M$4,股债表现与四个维度!$2:$2&amp;股债表现与四个维度!$3:$3,0))</f>
        <v>0.44067796610169491</v>
      </c>
      <c r="N17" s="115" cm="1">
        <f t="array" ref="N17">INDEX(股债表现与四个维度!$A:$T,MATCH($A17,股债表现与四个维度!$A:$A,0),MATCH(N$3&amp;N$4,股债表现与四个维度!$2:$2&amp;股债表现与四个维度!$3:$3,0))</f>
        <v>-8.3333333333333329E-2</v>
      </c>
      <c r="O17" s="115" cm="1">
        <f t="array" ref="O17">INDEX(股债表现与四个维度!$A:$T,MATCH($A17,股债表现与四个维度!$A:$A,0),MATCH(O$3&amp;O$4,股债表现与四个维度!$2:$2&amp;股债表现与四个维度!$3:$3,0))</f>
        <v>0.91666666666666663</v>
      </c>
      <c r="P17" s="115" cm="1">
        <f t="array" ref="P17">INDEX(股债表现与四个维度!$A:$T,MATCH($A17,股债表现与四个维度!$A:$A,0),MATCH(P$3&amp;P$4,股债表现与四个维度!$2:$2&amp;股债表现与四个维度!$3:$3,0))</f>
        <v>0</v>
      </c>
      <c r="Q17" s="115" cm="1">
        <f t="array" ref="Q17">INDEX(股债表现与四个维度!$A:$T,MATCH($A17,股债表现与四个维度!$A:$A,0),MATCH(Q$3&amp;Q$4,股债表现与四个维度!$2:$2&amp;股债表现与四个维度!$3:$3,0))</f>
        <v>0.37931034482758619</v>
      </c>
      <c r="R17" s="115" cm="1">
        <f t="array" ref="R17">INDEX(股债表现与四个维度!$A:$T,MATCH($A17,股债表现与四个维度!$A:$A,0),MATCH(R$3&amp;R$4,股债表现与四个维度!$2:$2&amp;股债表现与四个维度!$3:$3,0))</f>
        <v>-7.6923076923076927E-2</v>
      </c>
      <c r="S17" s="115" cm="1">
        <f t="array" ref="S17">INDEX(股债表现与四个维度!$A:$T,MATCH($A17,股债表现与四个维度!$A:$A,0),MATCH(S$3&amp;S$4,股债表现与四个维度!$2:$2&amp;股债表现与四个维度!$3:$3,0))</f>
        <v>0.69230769230769229</v>
      </c>
      <c r="T17">
        <f>SUMIFS($J17:$S17,$J17:$S17,"&lt;&gt;"&amp;"#N/A",$J$4:$S$4,T$4)</f>
        <v>-0.21110386788352892</v>
      </c>
      <c r="U17">
        <f>SUMIFS($J17:$S17,$J17:$S17,"&lt;&gt;"&amp;"#N/A",$J$4:$S$4,U$4)</f>
        <v>3.1908674318084023</v>
      </c>
      <c r="V17">
        <f t="shared" ref="V17:V28" si="2">T17-U17</f>
        <v>-3.4019712996919313</v>
      </c>
      <c r="W17" s="123">
        <v>6.4860486271918019</v>
      </c>
      <c r="X17" s="114">
        <f t="shared" ref="X17:X26" si="3">C17+D17</f>
        <v>0</v>
      </c>
      <c r="Y17">
        <f t="shared" ref="Y17:Y28" si="4">AVERAGE(V17:V22)</f>
        <v>-3.316078468435645</v>
      </c>
    </row>
    <row r="18" spans="1:27" x14ac:dyDescent="0.35">
      <c r="A18" s="141">
        <v>45991</v>
      </c>
      <c r="E18" t="str">
        <f>VLOOKUP(A18,美林时钟!A3:AB262,28,TRUE)</f>
        <v>过热</v>
      </c>
      <c r="F18" t="s">
        <v>112</v>
      </c>
      <c r="G18" t="s">
        <v>130</v>
      </c>
      <c r="H18" t="s">
        <v>119</v>
      </c>
      <c r="I18" t="s">
        <v>115</v>
      </c>
      <c r="J18" s="115" cm="1">
        <f t="array" ref="J18">INDEX(股债表现与四个维度!$A:$T,MATCH($A18,股债表现与四个维度!$A:$A,0),MATCH(J$3&amp;J$4,股债表现与四个维度!$2:$2&amp;股债表现与四个维度!$3:$3,0))</f>
        <v>0</v>
      </c>
      <c r="K18" s="115" cm="1">
        <f t="array" ref="K18">INDEX(股债表现与四个维度!$A:$T,MATCH($A18,股债表现与四个维度!$A:$A,0),MATCH(K$3&amp;K$4,股债表现与四个维度!$2:$2&amp;股债表现与四个维度!$3:$3,0))</f>
        <v>0.75</v>
      </c>
      <c r="L18" s="115" cm="1">
        <f t="array" ref="L18">INDEX(股债表现与四个维度!$A:$T,MATCH($A18,股债表现与四个维度!$A:$A,0),MATCH(L$3&amp;L$4,股债表现与四个维度!$2:$2&amp;股债表现与四个维度!$3:$3,0))</f>
        <v>-5.1724137931034482E-2</v>
      </c>
      <c r="M18" s="115" cm="1">
        <f t="array" ref="M18">INDEX(股债表现与四个维度!$A:$T,MATCH($A18,股债表现与四个维度!$A:$A,0),MATCH(M$3&amp;M$4,股债表现与四个维度!$2:$2&amp;股债表现与四个维度!$3:$3,0))</f>
        <v>0.43103448275862066</v>
      </c>
      <c r="N18" s="115" cm="1">
        <f t="array" ref="N18">INDEX(股债表现与四个维度!$A:$T,MATCH($A18,股债表现与四个维度!$A:$A,0),MATCH(N$3&amp;N$4,股债表现与四个维度!$2:$2&amp;股债表现与四个维度!$3:$3,0))</f>
        <v>-9.0909090909090912E-2</v>
      </c>
      <c r="O18" s="115" cm="1">
        <f t="array" ref="O18">INDEX(股债表现与四个维度!$A:$T,MATCH($A18,股债表现与四个维度!$A:$A,0),MATCH(O$3&amp;O$4,股债表现与四个维度!$2:$2&amp;股债表现与四个维度!$3:$3,0))</f>
        <v>0.90909090909090906</v>
      </c>
      <c r="P18" s="115" cm="1">
        <f t="array" ref="P18">INDEX(股债表现与四个维度!$A:$T,MATCH($A18,股债表现与四个维度!$A:$A,0),MATCH(P$3&amp;P$4,股债表现与四个维度!$2:$2&amp;股债表现与四个维度!$3:$3,0))</f>
        <v>0</v>
      </c>
      <c r="Q18" s="115" cm="1">
        <f t="array" ref="Q18">INDEX(股债表现与四个维度!$A:$T,MATCH($A18,股债表现与四个维度!$A:$A,0),MATCH(Q$3&amp;Q$4,股债表现与四个维度!$2:$2&amp;股债表现与四个维度!$3:$3,0))</f>
        <v>0.37931034482758619</v>
      </c>
      <c r="R18" s="115" cm="1">
        <f t="array" ref="R18">INDEX(股债表现与四个维度!$A:$T,MATCH($A18,股债表现与四个维度!$A:$A,0),MATCH(R$3&amp;R$4,股债表现与四个维度!$2:$2&amp;股债表现与四个维度!$3:$3,0))</f>
        <v>-0.08</v>
      </c>
      <c r="S18" s="115" cm="1">
        <f t="array" ref="S18">INDEX(股债表现与四个维度!$A:$T,MATCH($A18,股债表现与四个维度!$A:$A,0),MATCH(S$3&amp;S$4,股债表现与四个维度!$2:$2&amp;股债表现与四个维度!$3:$3,0))</f>
        <v>0.68</v>
      </c>
      <c r="T18">
        <f>SUMIFS($J18:$S18,$J18:$S18,"&lt;&gt;"&amp;"#N/A",$J$4:$S$4,T$4)</f>
        <v>-0.22263322884012537</v>
      </c>
      <c r="U18">
        <f>SUMIFS($J18:$S18,$J18:$S18,"&lt;&gt;"&amp;"#N/A",$J$4:$S$4,U$4)</f>
        <v>3.1494357366771162</v>
      </c>
      <c r="V18">
        <f t="shared" si="2"/>
        <v>-3.3720689655172418</v>
      </c>
      <c r="W18" s="123">
        <v>5.7409690442013757</v>
      </c>
      <c r="X18" s="114">
        <f t="shared" si="3"/>
        <v>0</v>
      </c>
      <c r="Y18">
        <f t="shared" si="4"/>
        <v>-3.2575214069565916</v>
      </c>
    </row>
    <row r="19" spans="1:27" x14ac:dyDescent="0.35">
      <c r="A19" s="141">
        <v>45961</v>
      </c>
      <c r="E19" t="str">
        <f>VLOOKUP(A19,美林时钟!A4:AB263,28,TRUE)</f>
        <v>过热</v>
      </c>
      <c r="F19" t="s">
        <v>112</v>
      </c>
      <c r="G19" t="s">
        <v>130</v>
      </c>
      <c r="H19" t="s">
        <v>119</v>
      </c>
      <c r="I19" t="s">
        <v>115</v>
      </c>
      <c r="J19" s="115" cm="1">
        <f t="array" ref="J19">INDEX(股债表现与四个维度!$A:$T,MATCH($A19,股债表现与四个维度!$A:$A,0),MATCH(J$3&amp;J$4,股债表现与四个维度!$2:$2&amp;股债表现与四个维度!$3:$3,0))</f>
        <v>0</v>
      </c>
      <c r="K19" s="115" cm="1">
        <f t="array" ref="K19">INDEX(股债表现与四个维度!$A:$T,MATCH($A19,股债表现与四个维度!$A:$A,0),MATCH(K$3&amp;K$4,股债表现与四个维度!$2:$2&amp;股债表现与四个维度!$3:$3,0))</f>
        <v>0.73684210526315785</v>
      </c>
      <c r="L19" s="115" cm="1">
        <f t="array" ref="L19">INDEX(股债表现与四个维度!$A:$T,MATCH($A19,股债表现与四个维度!$A:$A,0),MATCH(L$3&amp;L$4,股债表现与四个维度!$2:$2&amp;股债表现与四个维度!$3:$3,0))</f>
        <v>-5.2631578947368418E-2</v>
      </c>
      <c r="M19" s="115" cm="1">
        <f t="array" ref="M19">INDEX(股债表现与四个维度!$A:$T,MATCH($A19,股债表现与四个维度!$A:$A,0),MATCH(M$3&amp;M$4,股债表现与四个维度!$2:$2&amp;股债表现与四个维度!$3:$3,0))</f>
        <v>0.42105263157894735</v>
      </c>
      <c r="N19" s="115" cm="1">
        <f t="array" ref="N19">INDEX(股债表现与四个维度!$A:$T,MATCH($A19,股债表现与四个维度!$A:$A,0),MATCH(N$3&amp;N$4,股债表现与四个维度!$2:$2&amp;股债表现与四个维度!$3:$3,0))</f>
        <v>-0.1</v>
      </c>
      <c r="O19" s="115" cm="1">
        <f t="array" ref="O19">INDEX(股债表现与四个维度!$A:$T,MATCH($A19,股债表现与四个维度!$A:$A,0),MATCH(O$3&amp;O$4,股债表现与四个维度!$2:$2&amp;股债表现与四个维度!$3:$3,0))</f>
        <v>0.9</v>
      </c>
      <c r="P19" s="115" cm="1">
        <f t="array" ref="P19">INDEX(股债表现与四个维度!$A:$T,MATCH($A19,股债表现与四个维度!$A:$A,0),MATCH(P$3&amp;P$4,股债表现与四个维度!$2:$2&amp;股债表现与四个维度!$3:$3,0))</f>
        <v>-0.125</v>
      </c>
      <c r="Q19" s="115" cm="1">
        <f t="array" ref="Q19">INDEX(股债表现与四个维度!$A:$T,MATCH($A19,股债表现与四个维度!$A:$A,0),MATCH(Q$3&amp;Q$4,股债表现与四个维度!$2:$2&amp;股债表现与四个维度!$3:$3,0))</f>
        <v>0.3125</v>
      </c>
      <c r="R19" s="115" cm="1">
        <f t="array" ref="R19">INDEX(股债表现与四个维度!$A:$T,MATCH($A19,股债表现与四个维度!$A:$A,0),MATCH(R$3&amp;R$4,股债表现与四个维度!$2:$2&amp;股债表现与四个维度!$3:$3,0))</f>
        <v>-8.3333333333333329E-2</v>
      </c>
      <c r="S19" s="115" cm="1">
        <f t="array" ref="S19">INDEX(股债表现与四个维度!$A:$T,MATCH($A19,股债表现与四个维度!$A:$A,0),MATCH(S$3&amp;S$4,股债表现与四个维度!$2:$2&amp;股债表现与四个维度!$3:$3,0))</f>
        <v>0.66666666666666663</v>
      </c>
      <c r="T19">
        <f>SUMIFS($J19:$S19,$J19:$S19,"&lt;&gt;"&amp;"#N/A",$J$4:$S$4,T$4)</f>
        <v>-0.36096491228070177</v>
      </c>
      <c r="U19">
        <f>SUMIFS($J19:$S19,$J19:$S19,"&lt;&gt;"&amp;"#N/A",$J$4:$S$4,U$4)</f>
        <v>3.0370614035087717</v>
      </c>
      <c r="V19">
        <f t="shared" si="2"/>
        <v>-3.3980263157894735</v>
      </c>
      <c r="W19" s="123">
        <v>7.0135939977254651</v>
      </c>
      <c r="X19" s="114">
        <f t="shared" si="3"/>
        <v>0</v>
      </c>
      <c r="Y19">
        <f t="shared" si="4"/>
        <v>-3.1881386290166454</v>
      </c>
    </row>
    <row r="20" spans="1:27" x14ac:dyDescent="0.35">
      <c r="A20" s="141">
        <v>45930</v>
      </c>
      <c r="E20" t="str">
        <f>VLOOKUP(A20,美林时钟!A5:AB264,28,TRUE)</f>
        <v>滞涨</v>
      </c>
      <c r="F20" t="s">
        <v>112</v>
      </c>
      <c r="G20" t="s">
        <v>130</v>
      </c>
      <c r="H20" t="s">
        <v>119</v>
      </c>
      <c r="I20" t="s">
        <v>115</v>
      </c>
      <c r="J20" s="115" cm="1">
        <f t="array" ref="J20">INDEX(股债表现与四个维度!$A:$T,MATCH($A20,股债表现与四个维度!$A:$A,0),MATCH(J$3&amp;J$4,股债表现与四个维度!$2:$2&amp;股债表现与四个维度!$3:$3,0))</f>
        <v>0</v>
      </c>
      <c r="K20" s="115" cm="1">
        <f t="array" ref="K20">INDEX(股债表现与四个维度!$A:$T,MATCH($A20,股债表现与四个维度!$A:$A,0),MATCH(K$3&amp;K$4,股债表现与四个维度!$2:$2&amp;股债表现与四个维度!$3:$3,0))</f>
        <v>0.72222222222222221</v>
      </c>
      <c r="L20" s="115" cm="1">
        <f t="array" ref="L20">INDEX(股债表现与四个维度!$A:$T,MATCH($A20,股债表现与四个维度!$A:$A,0),MATCH(L$3&amp;L$4,股债表现与四个维度!$2:$2&amp;股债表现与四个维度!$3:$3,0))</f>
        <v>-5.3571428571428568E-2</v>
      </c>
      <c r="M20" s="115" cm="1">
        <f t="array" ref="M20">INDEX(股债表现与四个维度!$A:$T,MATCH($A20,股债表现与四个维度!$A:$A,0),MATCH(M$3&amp;M$4,股债表现与四个维度!$2:$2&amp;股债表现与四个维度!$3:$3,0))</f>
        <v>0.4107142857142857</v>
      </c>
      <c r="N20" s="115" cm="1">
        <f t="array" ref="N20">INDEX(股债表现与四个维度!$A:$T,MATCH($A20,股债表现与四个维度!$A:$A,0),MATCH(N$3&amp;N$4,股债表现与四个维度!$2:$2&amp;股债表现与四个维度!$3:$3,0))</f>
        <v>-0.1111111111111111</v>
      </c>
      <c r="O20" s="115" cm="1">
        <f t="array" ref="O20">INDEX(股债表现与四个维度!$A:$T,MATCH($A20,股债表现与四个维度!$A:$A,0),MATCH(O$3&amp;O$4,股债表现与四个维度!$2:$2&amp;股债表现与四个维度!$3:$3,0))</f>
        <v>0.88888888888888884</v>
      </c>
      <c r="P20" s="115" cm="1">
        <f t="array" ref="P20">INDEX(股债表现与四个维度!$A:$T,MATCH($A20,股债表现与四个维度!$A:$A,0),MATCH(P$3&amp;P$4,股债表现与四个维度!$2:$2&amp;股债表现与四个维度!$3:$3,0))</f>
        <v>-0.13333333333333333</v>
      </c>
      <c r="Q20" s="115" cm="1">
        <f t="array" ref="Q20">INDEX(股债表现与四个维度!$A:$T,MATCH($A20,股债表现与四个维度!$A:$A,0),MATCH(Q$3&amp;Q$4,股债表现与四个维度!$2:$2&amp;股债表现与四个维度!$3:$3,0))</f>
        <v>0.26666666666666666</v>
      </c>
      <c r="R20" s="115" cm="1">
        <f t="array" ref="R20">INDEX(股债表现与四个维度!$A:$T,MATCH($A20,股债表现与四个维度!$A:$A,0),MATCH(R$3&amp;R$4,股债表现与四个维度!$2:$2&amp;股债表现与四个维度!$3:$3,0))</f>
        <v>-8.6956521739130432E-2</v>
      </c>
      <c r="S20" s="115" cm="1">
        <f t="array" ref="S20">INDEX(股债表现与四个维度!$A:$T,MATCH($A20,股债表现与四个维度!$A:$A,0),MATCH(S$3&amp;S$4,股债表现与四个维度!$2:$2&amp;股债表现与四个维度!$3:$3,0))</f>
        <v>0.65217391304347827</v>
      </c>
      <c r="T20">
        <f>SUMIFS($J20:$S20,$J20:$S20,"&lt;&gt;"&amp;"#N/A",$J$4:$S$4,T$4)</f>
        <v>-0.38497239475500344</v>
      </c>
      <c r="U20">
        <f>SUMIFS($J20:$S20,$J20:$S20,"&lt;&gt;"&amp;"#N/A",$J$4:$S$4,U$4)</f>
        <v>2.9406659765355414</v>
      </c>
      <c r="V20">
        <f t="shared" si="2"/>
        <v>-3.3256383712905446</v>
      </c>
      <c r="W20" s="123">
        <v>4.4896607379571671</v>
      </c>
      <c r="X20" s="114">
        <f t="shared" si="3"/>
        <v>0</v>
      </c>
      <c r="Y20">
        <f t="shared" si="4"/>
        <v>-2.9631336747084536</v>
      </c>
    </row>
    <row r="21" spans="1:27" x14ac:dyDescent="0.35">
      <c r="A21" s="141">
        <v>45900</v>
      </c>
      <c r="E21" t="str">
        <f>VLOOKUP(A21,美林时钟!A6:AB265,28,TRUE)</f>
        <v>滞涨</v>
      </c>
      <c r="F21" t="s">
        <v>112</v>
      </c>
      <c r="G21" t="s">
        <v>130</v>
      </c>
      <c r="H21" t="s">
        <v>119</v>
      </c>
      <c r="I21" t="s">
        <v>115</v>
      </c>
      <c r="J21" s="115" cm="1">
        <f t="array" ref="J21">INDEX(股债表现与四个维度!$A:$T,MATCH($A21,股债表现与四个维度!$A:$A,0),MATCH(J$3&amp;J$4,股债表现与四个维度!$2:$2&amp;股债表现与四个维度!$3:$3,0))</f>
        <v>0</v>
      </c>
      <c r="K21" s="115" cm="1">
        <f t="array" ref="K21">INDEX(股债表现与四个维度!$A:$T,MATCH($A21,股债表现与四个维度!$A:$A,0),MATCH(K$3&amp;K$4,股债表现与四个维度!$2:$2&amp;股债表现与四个维度!$3:$3,0))</f>
        <v>0.70588235294117652</v>
      </c>
      <c r="L21" s="115" cm="1">
        <f t="array" ref="L21">INDEX(股债表现与四个维度!$A:$T,MATCH($A21,股债表现与四个维度!$A:$A,0),MATCH(L$3&amp;L$4,股债表现与四个维度!$2:$2&amp;股债表现与四个维度!$3:$3,0))</f>
        <v>-5.4545454545454543E-2</v>
      </c>
      <c r="M21" s="115" cm="1">
        <f t="array" ref="M21">INDEX(股债表现与四个维度!$A:$T,MATCH($A21,股债表现与四个维度!$A:$A,0),MATCH(M$3&amp;M$4,股债表现与四个维度!$2:$2&amp;股债表现与四个维度!$3:$3,0))</f>
        <v>0.4</v>
      </c>
      <c r="N21" s="115" cm="1">
        <f t="array" ref="N21">INDEX(股债表现与四个维度!$A:$T,MATCH($A21,股债表现与四个维度!$A:$A,0),MATCH(N$3&amp;N$4,股债表现与四个维度!$2:$2&amp;股债表现与四个维度!$3:$3,0))</f>
        <v>-0.125</v>
      </c>
      <c r="O21" s="115" cm="1">
        <f t="array" ref="O21">INDEX(股债表现与四个维度!$A:$T,MATCH($A21,股债表现与四个维度!$A:$A,0),MATCH(O$3&amp;O$4,股债表现与四个维度!$2:$2&amp;股债表现与四个维度!$3:$3,0))</f>
        <v>0.875</v>
      </c>
      <c r="P21" s="115" cm="1">
        <f t="array" ref="P21">INDEX(股债表现与四个维度!$A:$T,MATCH($A21,股债表现与四个维度!$A:$A,0),MATCH(P$3&amp;P$4,股债表现与四个维度!$2:$2&amp;股债表现与四个维度!$3:$3,0))</f>
        <v>-0.14285714285714285</v>
      </c>
      <c r="Q21" s="115" cm="1">
        <f t="array" ref="Q21">INDEX(股债表现与四个维度!$A:$T,MATCH($A21,股债表现与四个维度!$A:$A,0),MATCH(Q$3&amp;Q$4,股债表现与四个维度!$2:$2&amp;股债表现与四个维度!$3:$3,0))</f>
        <v>0.21428571428571427</v>
      </c>
      <c r="R21" s="115" cm="1">
        <f t="array" ref="R21">INDEX(股债表现与四个维度!$A:$T,MATCH($A21,股债表现与四个维度!$A:$A,0),MATCH(R$3&amp;R$4,股债表现与四个维度!$2:$2&amp;股债表现与四个维度!$3:$3,0))</f>
        <v>-9.0909090909090912E-2</v>
      </c>
      <c r="S21" s="115" cm="1">
        <f t="array" ref="S21">INDEX(股债表现与四个维度!$A:$T,MATCH($A21,股债表现与四个维度!$A:$A,0),MATCH(S$3&amp;S$4,股债表现与四个维度!$2:$2&amp;股债表现与四个维度!$3:$3,0))</f>
        <v>0.63636363636363635</v>
      </c>
      <c r="T21">
        <f>SUMIFS($J21:$S21,$J21:$S21,"&lt;&gt;"&amp;"#N/A",$J$4:$S$4,T$4)</f>
        <v>-0.4133116883116883</v>
      </c>
      <c r="U21">
        <f>SUMIFS($J21:$S21,$J21:$S21,"&lt;&gt;"&amp;"#N/A",$J$4:$S$4,U$4)</f>
        <v>2.8315317035905272</v>
      </c>
      <c r="V21">
        <f t="shared" si="2"/>
        <v>-3.2448433919022155</v>
      </c>
      <c r="W21" s="123">
        <v>4.5176469249072708</v>
      </c>
      <c r="X21" s="114">
        <f t="shared" si="3"/>
        <v>0</v>
      </c>
      <c r="Y21">
        <f t="shared" si="4"/>
        <v>-2.8692678526457005</v>
      </c>
    </row>
    <row r="22" spans="1:27" x14ac:dyDescent="0.35">
      <c r="A22" s="141">
        <v>45869</v>
      </c>
      <c r="E22" t="str">
        <f>VLOOKUP(A22,美林时钟!A7:AB266,28,TRUE)</f>
        <v>滞涨</v>
      </c>
      <c r="F22" t="s">
        <v>112</v>
      </c>
      <c r="G22" t="s">
        <v>130</v>
      </c>
      <c r="H22" t="s">
        <v>119</v>
      </c>
      <c r="I22" t="s">
        <v>115</v>
      </c>
      <c r="J22" s="115" cm="1">
        <f t="array" ref="J22">INDEX(股债表现与四个维度!$A:$T,MATCH($A22,股债表现与四个维度!$A:$A,0),MATCH(J$3&amp;J$4,股债表现与四个维度!$2:$2&amp;股债表现与四个维度!$3:$3,0))</f>
        <v>0</v>
      </c>
      <c r="K22" s="115" cm="1">
        <f t="array" ref="K22">INDEX(股债表现与四个维度!$A:$T,MATCH($A22,股债表现与四个维度!$A:$A,0),MATCH(K$3&amp;K$4,股债表现与四个维度!$2:$2&amp;股债表现与四个维度!$3:$3,0))</f>
        <v>0.6875</v>
      </c>
      <c r="L22" s="115" cm="1">
        <f t="array" ref="L22">INDEX(股债表现与四个维度!$A:$T,MATCH($A22,股债表现与四个维度!$A:$A,0),MATCH(L$3&amp;L$4,股债表现与四个维度!$2:$2&amp;股债表现与四个维度!$3:$3,0))</f>
        <v>-5.5555555555555552E-2</v>
      </c>
      <c r="M22" s="115" cm="1">
        <f t="array" ref="M22">INDEX(股债表现与四个维度!$A:$T,MATCH($A22,股债表现与四个维度!$A:$A,0),MATCH(M$3&amp;M$4,股债表现与四个维度!$2:$2&amp;股债表现与四个维度!$3:$3,0))</f>
        <v>0.3888888888888889</v>
      </c>
      <c r="N22" s="115" cm="1">
        <f t="array" ref="N22">INDEX(股债表现与四个维度!$A:$T,MATCH($A22,股债表现与四个维度!$A:$A,0),MATCH(N$3&amp;N$4,股债表现与四个维度!$2:$2&amp;股债表现与四个维度!$3:$3,0))</f>
        <v>-0.14285714285714285</v>
      </c>
      <c r="O22" s="115" cm="1">
        <f t="array" ref="O22">INDEX(股债表现与四个维度!$A:$T,MATCH($A22,股债表现与四个维度!$A:$A,0),MATCH(O$3&amp;O$4,股债表现与四个维度!$2:$2&amp;股债表现与四个维度!$3:$3,0))</f>
        <v>0.8571428571428571</v>
      </c>
      <c r="P22" s="115" cm="1">
        <f t="array" ref="P22">INDEX(股债表现与四个维度!$A:$T,MATCH($A22,股债表现与四个维度!$A:$A,0),MATCH(P$3&amp;P$4,股债表现与四个维度!$2:$2&amp;股债表现与四个维度!$3:$3,0))</f>
        <v>-0.15384615384615385</v>
      </c>
      <c r="Q22" s="115" cm="1">
        <f t="array" ref="Q22">INDEX(股债表现与四个维度!$A:$T,MATCH($A22,股债表现与四个维度!$A:$A,0),MATCH(Q$3&amp;Q$4,股债表现与四个维度!$2:$2&amp;股债表现与四个维度!$3:$3,0))</f>
        <v>0.15384615384615385</v>
      </c>
      <c r="R22" s="115" cm="1">
        <f t="array" ref="R22">INDEX(股债表现与四个维度!$A:$T,MATCH($A22,股债表现与四个维度!$A:$A,0),MATCH(R$3&amp;R$4,股债表现与四个维度!$2:$2&amp;股债表现与四个维度!$3:$3,0))</f>
        <v>-9.5238095238095233E-2</v>
      </c>
      <c r="S22" s="115" cm="1">
        <f t="array" ref="S22">INDEX(股债表现与四个维度!$A:$T,MATCH($A22,股债表现与四个维度!$A:$A,0),MATCH(S$3&amp;S$4,股债表现与四个维度!$2:$2&amp;股债表现与四个维度!$3:$3,0))</f>
        <v>0.61904761904761907</v>
      </c>
      <c r="T22">
        <f>SUMIFS($J22:$S22,$J22:$S22,"&lt;&gt;"&amp;"#N/A",$J$4:$S$4,T$4)</f>
        <v>-0.44749694749694746</v>
      </c>
      <c r="U22">
        <f>SUMIFS($J22:$S22,$J22:$S22,"&lt;&gt;"&amp;"#N/A",$J$4:$S$4,U$4)</f>
        <v>2.7064255189255189</v>
      </c>
      <c r="V22">
        <f t="shared" si="2"/>
        <v>-3.1539224664224665</v>
      </c>
      <c r="W22" s="123">
        <v>2.8260006619607823</v>
      </c>
      <c r="X22" s="114">
        <f t="shared" si="3"/>
        <v>0</v>
      </c>
      <c r="Y22">
        <f t="shared" si="4"/>
        <v>-2.5582214352442412</v>
      </c>
    </row>
    <row r="23" spans="1:27" x14ac:dyDescent="0.35">
      <c r="A23" s="141">
        <v>45838</v>
      </c>
      <c r="B23" s="1"/>
      <c r="C23" s="1"/>
      <c r="D23" s="1"/>
      <c r="E23" t="str">
        <f>VLOOKUP(A23,美林时钟!A8:AB267,28,TRUE)</f>
        <v>滞涨</v>
      </c>
      <c r="F23" t="s">
        <v>112</v>
      </c>
      <c r="G23" t="s">
        <v>130</v>
      </c>
      <c r="H23" t="s">
        <v>119</v>
      </c>
      <c r="I23" t="s">
        <v>115</v>
      </c>
      <c r="J23" s="115" cm="1">
        <f t="array" ref="J23">INDEX(股债表现与四个维度!$A:$T,MATCH($A23,股债表现与四个维度!$A:$A,0),MATCH(J$3&amp;J$4,股债表现与四个维度!$2:$2&amp;股债表现与四个维度!$3:$3,0))</f>
        <v>0</v>
      </c>
      <c r="K23" s="115" cm="1">
        <f t="array" ref="K23">INDEX(股债表现与四个维度!$A:$T,MATCH($A23,股债表现与四个维度!$A:$A,0),MATCH(K$3&amp;K$4,股债表现与四个维度!$2:$2&amp;股债表现与四个维度!$3:$3,0))</f>
        <v>0.66666666666666663</v>
      </c>
      <c r="L23" s="115" cm="1">
        <f t="array" ref="L23">INDEX(股债表现与四个维度!$A:$T,MATCH($A23,股债表现与四个维度!$A:$A,0),MATCH(L$3&amp;L$4,股债表现与四个维度!$2:$2&amp;股债表现与四个维度!$3:$3,0))</f>
        <v>-5.6603773584905662E-2</v>
      </c>
      <c r="M23" s="115" cm="1">
        <f t="array" ref="M23">INDEX(股债表现与四个维度!$A:$T,MATCH($A23,股债表现与四个维度!$A:$A,0),MATCH(M$3&amp;M$4,股债表现与四个维度!$2:$2&amp;股债表现与四个维度!$3:$3,0))</f>
        <v>0.37735849056603776</v>
      </c>
      <c r="N23" s="115" cm="1">
        <f t="array" ref="N23">INDEX(股债表现与四个维度!$A:$T,MATCH($A23,股债表现与四个维度!$A:$A,0),MATCH(N$3&amp;N$4,股债表现与四个维度!$2:$2&amp;股债表现与四个维度!$3:$3,0))</f>
        <v>-0.16666666666666666</v>
      </c>
      <c r="O23" s="115" cm="1">
        <f t="array" ref="O23">INDEX(股债表现与四个维度!$A:$T,MATCH($A23,股债表现与四个维度!$A:$A,0),MATCH(O$3&amp;O$4,股债表现与四个维度!$2:$2&amp;股债表现与四个维度!$3:$3,0))</f>
        <v>0.83333333333333337</v>
      </c>
      <c r="P23" s="115" cm="1">
        <f t="array" ref="P23">INDEX(股债表现与四个维度!$A:$T,MATCH($A23,股债表现与四个维度!$A:$A,0),MATCH(P$3&amp;P$4,股债表现与四个维度!$2:$2&amp;股债表现与四个维度!$3:$3,0))</f>
        <v>-0.16666666666666666</v>
      </c>
      <c r="Q23" s="115" cm="1">
        <f t="array" ref="Q23">INDEX(股债表现与四个维度!$A:$T,MATCH($A23,股债表现与四个维度!$A:$A,0),MATCH(Q$3&amp;Q$4,股债表现与四个维度!$2:$2&amp;股债表现与四个维度!$3:$3,0))</f>
        <v>8.3333333333333329E-2</v>
      </c>
      <c r="R23" s="115" cm="1">
        <f t="array" ref="R23">INDEX(股债表现与四个维度!$A:$T,MATCH($A23,股债表现与四个维度!$A:$A,0),MATCH(R$3&amp;R$4,股债表现与四个维度!$2:$2&amp;股债表现与四个维度!$3:$3,0))</f>
        <v>-0.1</v>
      </c>
      <c r="S23" s="115" cm="1">
        <f t="array" ref="S23">INDEX(股债表现与四个维度!$A:$T,MATCH($A23,股债表现与四个维度!$A:$A,0),MATCH(S$3&amp;S$4,股债表现与四个维度!$2:$2&amp;股债表现与四个维度!$3:$3,0))</f>
        <v>0.6</v>
      </c>
      <c r="T23">
        <f>SUMIFS($J23:$S23,$J23:$S23,"&lt;&gt;"&amp;"#N/A",$J$4:$S$4,T$4)</f>
        <v>-0.489937106918239</v>
      </c>
      <c r="U23">
        <f>SUMIFS($J23:$S23,$J23:$S23,"&lt;&gt;"&amp;"#N/A",$J$4:$S$4,U$4)</f>
        <v>2.5606918238993708</v>
      </c>
      <c r="V23">
        <f t="shared" si="2"/>
        <v>-3.0506289308176098</v>
      </c>
      <c r="W23" s="123">
        <v>-1.4990225784925972</v>
      </c>
      <c r="X23" s="114">
        <f t="shared" si="3"/>
        <v>0</v>
      </c>
      <c r="Y23">
        <f t="shared" si="4"/>
        <v>-2.0756232463960527</v>
      </c>
    </row>
    <row r="24" spans="1:27" x14ac:dyDescent="0.35">
      <c r="A24" s="141">
        <v>45808</v>
      </c>
      <c r="B24" s="1"/>
      <c r="C24" s="1"/>
      <c r="D24" s="1"/>
      <c r="E24" t="str">
        <f>VLOOKUP(A24,美林时钟!A9:AB268,28,TRUE)</f>
        <v>滞涨</v>
      </c>
      <c r="F24" t="s">
        <v>112</v>
      </c>
      <c r="G24" t="s">
        <v>130</v>
      </c>
      <c r="H24" t="s">
        <v>119</v>
      </c>
      <c r="I24" t="s">
        <v>115</v>
      </c>
      <c r="J24" s="115" cm="1">
        <f t="array" ref="J24">INDEX(股债表现与四个维度!$A:$T,MATCH($A24,股债表现与四个维度!$A:$A,0),MATCH(J$3&amp;J$4,股债表现与四个维度!$2:$2&amp;股债表现与四个维度!$3:$3,0))</f>
        <v>0</v>
      </c>
      <c r="K24" s="115" cm="1">
        <f t="array" ref="K24">INDEX(股债表现与四个维度!$A:$T,MATCH($A24,股债表现与四个维度!$A:$A,0),MATCH(K$3&amp;K$4,股债表现与四个维度!$2:$2&amp;股债表现与四个维度!$3:$3,0))</f>
        <v>0.66666666666666663</v>
      </c>
      <c r="L24" s="115" cm="1">
        <f t="array" ref="L24">INDEX(股债表现与四个维度!$A:$T,MATCH($A24,股债表现与四个维度!$A:$A,0),MATCH(L$3&amp;L$4,股债表现与四个维度!$2:$2&amp;股债表现与四个维度!$3:$3,0))</f>
        <v>-5.7692307692307696E-2</v>
      </c>
      <c r="M24" s="115" cm="1">
        <f t="array" ref="M24">INDEX(股债表现与四个维度!$A:$T,MATCH($A24,股债表现与四个维度!$A:$A,0),MATCH(M$3&amp;M$4,股债表现与四个维度!$2:$2&amp;股债表现与四个维度!$3:$3,0))</f>
        <v>0.36538461538461536</v>
      </c>
      <c r="N24" s="115" cm="1">
        <f t="array" ref="N24">INDEX(股债表现与四个维度!$A:$T,MATCH($A24,股债表现与四个维度!$A:$A,0),MATCH(N$3&amp;N$4,股债表现与四个维度!$2:$2&amp;股债表现与四个维度!$3:$3,0))</f>
        <v>-0.2</v>
      </c>
      <c r="O24" s="115" cm="1">
        <f t="array" ref="O24">INDEX(股债表现与四个维度!$A:$T,MATCH($A24,股债表现与四个维度!$A:$A,0),MATCH(O$3&amp;O$4,股债表现与四个维度!$2:$2&amp;股债表现与四个维度!$3:$3,0))</f>
        <v>0.8</v>
      </c>
      <c r="P24" s="115" cm="1">
        <f t="array" ref="P24">INDEX(股债表现与四个维度!$A:$T,MATCH($A24,股债表现与四个维度!$A:$A,0),MATCH(P$3&amp;P$4,股债表现与四个维度!$2:$2&amp;股债表现与四个维度!$3:$3,0))</f>
        <v>-0.18181818181818182</v>
      </c>
      <c r="Q24" s="115" cm="1">
        <f t="array" ref="Q24">INDEX(股债表现与四个维度!$A:$T,MATCH($A24,股债表现与四个维度!$A:$A,0),MATCH(Q$3&amp;Q$4,股债表现与四个维度!$2:$2&amp;股债表现与四个维度!$3:$3,0))</f>
        <v>0</v>
      </c>
      <c r="R24" s="115" cm="1">
        <f t="array" ref="R24">INDEX(股债表现与四个维度!$A:$T,MATCH($A24,股债表现与四个维度!$A:$A,0),MATCH(R$3&amp;R$4,股债表现与四个维度!$2:$2&amp;股债表现与四个维度!$3:$3,0))</f>
        <v>-0.10526315789473684</v>
      </c>
      <c r="S24" s="115" cm="1">
        <f t="array" ref="S24">INDEX(股债表现与四个维度!$A:$T,MATCH($A24,股债表现与四个维度!$A:$A,0),MATCH(S$3&amp;S$4,股债表现与四个维度!$2:$2&amp;股债表现与四个维度!$3:$3,0))</f>
        <v>0.57894736842105265</v>
      </c>
      <c r="T24">
        <f>SUMIFS($J24:$S24,$J24:$S24,"&lt;&gt;"&amp;"#N/A",$J$4:$S$4,T$4)</f>
        <v>-0.54477364740522638</v>
      </c>
      <c r="U24">
        <f>SUMIFS($J24:$S24,$J24:$S24,"&lt;&gt;"&amp;"#N/A",$J$4:$S$4,U$4)</f>
        <v>2.4109986504723349</v>
      </c>
      <c r="V24">
        <f t="shared" si="2"/>
        <v>-2.9557722978775613</v>
      </c>
      <c r="W24" s="123">
        <v>-6.8973343507369487</v>
      </c>
      <c r="X24" s="114">
        <f t="shared" si="3"/>
        <v>0</v>
      </c>
      <c r="Y24">
        <f t="shared" si="4"/>
        <v>-1.6159861719757584</v>
      </c>
    </row>
    <row r="25" spans="1:27" x14ac:dyDescent="0.35">
      <c r="A25" s="141">
        <v>45777</v>
      </c>
      <c r="B25" s="1"/>
      <c r="C25" s="1"/>
      <c r="D25" s="1"/>
      <c r="E25" t="str">
        <f>VLOOKUP(A25,美林时钟!A10:AB269,28,TRUE)</f>
        <v>衰退</v>
      </c>
      <c r="F25" t="s">
        <v>112</v>
      </c>
      <c r="G25" t="s">
        <v>130</v>
      </c>
      <c r="H25" t="s">
        <v>119</v>
      </c>
      <c r="I25" t="s">
        <v>115</v>
      </c>
      <c r="J25" s="115" cm="1">
        <f t="array" ref="J25">INDEX(股债表现与四个维度!$A:$T,MATCH($A25,股债表现与四个维度!$A:$A,0),MATCH(J$3&amp;J$4,股债表现与四个维度!$2:$2&amp;股债表现与四个维度!$3:$3,0))</f>
        <v>0.13043478260869565</v>
      </c>
      <c r="K25" s="115" cm="1">
        <f t="array" ref="K25">INDEX(股债表现与四个维度!$A:$T,MATCH($A25,股债表现与四个维度!$A:$A,0),MATCH(K$3&amp;K$4,股债表现与四个维度!$2:$2&amp;股债表现与四个维度!$3:$3,0))</f>
        <v>0</v>
      </c>
      <c r="L25" s="115" cm="1">
        <f t="array" ref="L25">INDEX(股债表现与四个维度!$A:$T,MATCH($A25,股债表现与四个维度!$A:$A,0),MATCH(L$3&amp;L$4,股债表现与四个维度!$2:$2&amp;股债表现与四个维度!$3:$3,0))</f>
        <v>-5.8823529411764705E-2</v>
      </c>
      <c r="M25" s="115" cm="1">
        <f t="array" ref="M25">INDEX(股债表现与四个维度!$A:$T,MATCH($A25,股债表现与四个维度!$A:$A,0),MATCH(M$3&amp;M$4,股债表现与四个维度!$2:$2&amp;股债表现与四个维度!$3:$3,0))</f>
        <v>0.35294117647058826</v>
      </c>
      <c r="N25" s="115" cm="1">
        <f t="array" ref="N25">INDEX(股债表现与四个维度!$A:$T,MATCH($A25,股债表现与四个维度!$A:$A,0),MATCH(N$3&amp;N$4,股债表现与四个维度!$2:$2&amp;股债表现与四个维度!$3:$3,0))</f>
        <v>-0.25</v>
      </c>
      <c r="O25" s="115" cm="1">
        <f t="array" ref="O25">INDEX(股债表现与四个维度!$A:$T,MATCH($A25,股债表现与四个维度!$A:$A,0),MATCH(O$3&amp;O$4,股债表现与四个维度!$2:$2&amp;股债表现与四个维度!$3:$3,0))</f>
        <v>0.75</v>
      </c>
      <c r="P25" s="115" cm="1">
        <f t="array" ref="P25">INDEX(股债表现与四个维度!$A:$T,MATCH($A25,股债表现与四个维度!$A:$A,0),MATCH(P$3&amp;P$4,股债表现与四个维度!$2:$2&amp;股债表现与四个维度!$3:$3,0))</f>
        <v>-0.2</v>
      </c>
      <c r="Q25" s="115" cm="1">
        <f t="array" ref="Q25">INDEX(股债表现与四个维度!$A:$T,MATCH($A25,股债表现与四个维度!$A:$A,0),MATCH(Q$3&amp;Q$4,股债表现与四个维度!$2:$2&amp;股债表现与四个维度!$3:$3,0))</f>
        <v>-0.1</v>
      </c>
      <c r="R25" s="115" cm="1">
        <f t="array" ref="R25">INDEX(股债表现与四个维度!$A:$T,MATCH($A25,股债表现与四个维度!$A:$A,0),MATCH(R$3&amp;R$4,股债表现与四个维度!$2:$2&amp;股债表现与四个维度!$3:$3,0))</f>
        <v>-0.1111111111111111</v>
      </c>
      <c r="S25" s="115" cm="1">
        <f t="array" ref="S25">INDEX(股债表现与四个维度!$A:$T,MATCH($A25,股债表现与四个维度!$A:$A,0),MATCH(S$3&amp;S$4,股债表现与四个维度!$2:$2&amp;股债表现与四个维度!$3:$3,0))</f>
        <v>0.55555555555555558</v>
      </c>
      <c r="T25">
        <f>SUMIFS($J25:$S25,$J25:$S25,"&lt;&gt;"&amp;"#N/A",$J$4:$S$4,T$4)</f>
        <v>-0.48949985791418016</v>
      </c>
      <c r="U25">
        <f>SUMIFS($J25:$S25,$J25:$S25,"&lt;&gt;"&amp;"#N/A",$J$4:$S$4,U$4)</f>
        <v>1.5584967320261438</v>
      </c>
      <c r="V25">
        <f t="shared" si="2"/>
        <v>-2.0479965899403241</v>
      </c>
      <c r="W25" s="123">
        <v>-8.2816599371441182</v>
      </c>
      <c r="X25" s="114">
        <f t="shared" si="3"/>
        <v>0</v>
      </c>
      <c r="Y25">
        <f t="shared" si="4"/>
        <v>-1.2574154266773243</v>
      </c>
    </row>
    <row r="26" spans="1:27" x14ac:dyDescent="0.35">
      <c r="A26" s="141">
        <v>45747</v>
      </c>
      <c r="B26" s="1"/>
      <c r="C26" s="1"/>
      <c r="D26" s="1"/>
      <c r="E26" t="str">
        <f>VLOOKUP(A26,美林时钟!A11:AB270,28,TRUE)</f>
        <v>复苏</v>
      </c>
      <c r="F26" t="s">
        <v>112</v>
      </c>
      <c r="G26" t="s">
        <v>130</v>
      </c>
      <c r="H26" t="s">
        <v>119</v>
      </c>
      <c r="I26" t="s">
        <v>115</v>
      </c>
      <c r="J26" s="115" cm="1">
        <f t="array" ref="J26">INDEX(股债表现与四个维度!$A:$T,MATCH($A26,股债表现与四个维度!$A:$A,0),MATCH(J$3&amp;J$4,股债表现与四个维度!$2:$2&amp;股债表现与四个维度!$3:$3,0))</f>
        <v>0</v>
      </c>
      <c r="K26" s="115" cm="1">
        <f t="array" ref="K26">INDEX(股债表现与四个维度!$A:$T,MATCH($A26,股债表现与四个维度!$A:$A,0),MATCH(K$3&amp;K$4,股债表现与四个维度!$2:$2&amp;股债表现与四个维度!$3:$3,0))</f>
        <v>0.61538461538461542</v>
      </c>
      <c r="L26" s="115" cm="1">
        <f t="array" ref="L26">INDEX(股债表现与四个维度!$A:$T,MATCH($A26,股债表现与四个维度!$A:$A,0),MATCH(L$3&amp;L$4,股债表现与四个维度!$2:$2&amp;股债表现与四个维度!$3:$3,0))</f>
        <v>-0.06</v>
      </c>
      <c r="M26" s="115" cm="1">
        <f t="array" ref="M26">INDEX(股债表现与四个维度!$A:$T,MATCH($A26,股债表现与四个维度!$A:$A,0),MATCH(M$3&amp;M$4,股债表现与四个维度!$2:$2&amp;股债表现与四个维度!$3:$3,0))</f>
        <v>0.34</v>
      </c>
      <c r="N26" s="115" cm="1">
        <f t="array" ref="N26">INDEX(股债表现与四个维度!$A:$T,MATCH($A26,股债表现与四个维度!$A:$A,0),MATCH(N$3&amp;N$4,股债表现与四个维度!$2:$2&amp;股债表现与四个维度!$3:$3,0))</f>
        <v>-0.25</v>
      </c>
      <c r="O26" s="115" cm="1">
        <f t="array" ref="O26">INDEX(股债表现与四个维度!$A:$T,MATCH($A26,股债表现与四个维度!$A:$A,0),MATCH(O$3&amp;O$4,股债表现与四个维度!$2:$2&amp;股债表现与四个维度!$3:$3,0))</f>
        <v>0.75</v>
      </c>
      <c r="P26" s="115" cm="1">
        <f t="array" ref="P26">INDEX(股债表现与四个维度!$A:$T,MATCH($A26,股债表现与四个维度!$A:$A,0),MATCH(P$3&amp;P$4,股债表现与四个维度!$2:$2&amp;股债表现与四个维度!$3:$3,0))</f>
        <v>-0.2</v>
      </c>
      <c r="Q26" s="115" cm="1">
        <f t="array" ref="Q26">INDEX(股债表现与四个维度!$A:$T,MATCH($A26,股债表现与四个维度!$A:$A,0),MATCH(Q$3&amp;Q$4,股债表现与四个维度!$2:$2&amp;股债表现与四个维度!$3:$3,0))</f>
        <v>-0.1</v>
      </c>
      <c r="R26" s="115" cm="1">
        <f t="array" ref="R26">INDEX(股债表现与四个维度!$A:$T,MATCH($A26,股债表现与四个维度!$A:$A,0),MATCH(R$3&amp;R$4,股债表现与四个维度!$2:$2&amp;股债表现与四个维度!$3:$3,0))</f>
        <v>-0.11764705882352941</v>
      </c>
      <c r="S26" s="115" cm="1">
        <f t="array" ref="S26">INDEX(股债表现与四个维度!$A:$T,MATCH($A26,股债表现与四个维度!$A:$A,0),MATCH(S$3&amp;S$4,股债表现与四个维度!$2:$2&amp;股债表现与四个维度!$3:$3,0))</f>
        <v>0.52941176470588236</v>
      </c>
      <c r="T26">
        <f>SUMIFS($J26:$S26,$J26:$S26,"&lt;&gt;"&amp;"#N/A",$J$4:$S$4,T$4)</f>
        <v>-0.62764705882352945</v>
      </c>
      <c r="U26">
        <f>SUMIFS($J26:$S26,$J26:$S26,"&lt;&gt;"&amp;"#N/A",$J$4:$S$4,U$4)</f>
        <v>2.1347963800904979</v>
      </c>
      <c r="V26">
        <f t="shared" si="2"/>
        <v>-2.7624434389140271</v>
      </c>
      <c r="W26" s="123">
        <v>-4.2268817420627842</v>
      </c>
      <c r="X26" s="114">
        <f t="shared" si="3"/>
        <v>0</v>
      </c>
      <c r="Y26">
        <f>AVERAGE(V26:V31)</f>
        <v>-1.0633670439716525</v>
      </c>
    </row>
    <row r="27" spans="1:27" x14ac:dyDescent="0.35">
      <c r="A27" s="141">
        <v>45716</v>
      </c>
      <c r="B27" s="120">
        <v>4.6416174778280697</v>
      </c>
      <c r="C27" s="121">
        <v>-1.8484210526316001</v>
      </c>
      <c r="D27" s="120">
        <v>0.129940347562918</v>
      </c>
      <c r="E27" t="str">
        <f>VLOOKUP(A27,美林时钟!A12:AB271,28,TRUE)</f>
        <v>复苏</v>
      </c>
      <c r="F27" t="s">
        <v>112</v>
      </c>
      <c r="G27" t="s">
        <v>120</v>
      </c>
      <c r="H27" t="s">
        <v>126</v>
      </c>
      <c r="I27" t="s">
        <v>115</v>
      </c>
      <c r="J27" s="115" cm="1">
        <f t="array" ref="J27">INDEX(股债表现与四个维度!$A:$T,MATCH($A27,股债表现与四个维度!$A:$A,0),MATCH(J$3&amp;J$4,股债表现与四个维度!$2:$2&amp;股债表现与四个维度!$3:$3,0))</f>
        <v>0</v>
      </c>
      <c r="K27" s="115" cm="1">
        <f t="array" ref="K27">INDEX(股债表现与四个维度!$A:$T,MATCH($A27,股债表现与四个维度!$A:$A,0),MATCH(K$3&amp;K$4,股债表现与四个维度!$2:$2&amp;股债表现与四个维度!$3:$3,0))</f>
        <v>0.61538461538461542</v>
      </c>
      <c r="L27" s="115" cm="1">
        <f t="array" ref="L27">INDEX(股债表现与四个维度!$A:$T,MATCH($A27,股债表现与四个维度!$A:$A,0),MATCH(L$3&amp;L$4,股债表现与四个维度!$2:$2&amp;股债表现与四个维度!$3:$3,0))</f>
        <v>-4.0816326530612242E-2</v>
      </c>
      <c r="M27" s="115" cm="1">
        <f t="array" ref="M27">INDEX(股债表现与四个维度!$A:$T,MATCH($A27,股债表现与四个维度!$A:$A,0),MATCH(M$3&amp;M$4,股债表现与四个维度!$2:$2&amp;股债表现与四个维度!$3:$3,0))</f>
        <v>0.32653061224489793</v>
      </c>
      <c r="N27" s="115" cm="1">
        <f t="array" ref="N27">INDEX(股债表现与四个维度!$A:$T,MATCH($A27,股债表现与四个维度!$A:$A,0),MATCH(N$3&amp;N$4,股债表现与四个维度!$2:$2&amp;股债表现与四个维度!$3:$3,0))</f>
        <v>6.25E-2</v>
      </c>
      <c r="O27" s="115" cm="1">
        <f t="array" ref="O27">INDEX(股债表现与四个维度!$A:$T,MATCH($A27,股债表现与四个维度!$A:$A,0),MATCH(O$3&amp;O$4,股债表现与四个维度!$2:$2&amp;股债表现与四个维度!$3:$3,0))</f>
        <v>-0.4375</v>
      </c>
      <c r="P27" s="115" cm="1">
        <f t="array" ref="P27">INDEX(股债表现与四个维度!$A:$T,MATCH($A27,股债表现与四个维度!$A:$A,0),MATCH(P$3&amp;P$4,股债表现与四个维度!$2:$2&amp;股债表现与四个维度!$3:$3,0))</f>
        <v>0</v>
      </c>
      <c r="Q27" s="115" cm="1">
        <f t="array" ref="Q27">INDEX(股债表现与四个维度!$A:$T,MATCH($A27,股债表现与四个维度!$A:$A,0),MATCH(Q$3&amp;Q$4,股债表现与四个维度!$2:$2&amp;股债表现与四个维度!$3:$3,0))</f>
        <v>0.33333333333333331</v>
      </c>
      <c r="R27" s="115" cm="1">
        <f t="array" ref="R27">INDEX(股债表现与四个维度!$A:$T,MATCH($A27,股债表现与四个维度!$A:$A,0),MATCH(R$3&amp;R$4,股债表现与四个维度!$2:$2&amp;股债表现与四个维度!$3:$3,0))</f>
        <v>-6.25E-2</v>
      </c>
      <c r="S27" s="115" cm="1">
        <f t="array" ref="S27">INDEX(股债表现与四个维度!$A:$T,MATCH($A27,股债表现与四个维度!$A:$A,0),MATCH(S$3&amp;S$4,股债表现与四个维度!$2:$2&amp;股债表现与四个维度!$3:$3,0))</f>
        <v>0.5</v>
      </c>
      <c r="T27">
        <f>SUMIFS($J27:$S27,$J27:$S27,"&lt;&gt;"&amp;"#N/A",$J$4:$S$4,T$4)</f>
        <v>-4.0816326530612242E-2</v>
      </c>
      <c r="U27">
        <f>SUMIFS($J27:$S27,$J27:$S27,"&lt;&gt;"&amp;"#N/A",$J$4:$S$4,U$4)</f>
        <v>1.3377485609628466</v>
      </c>
      <c r="V27">
        <f t="shared" si="2"/>
        <v>-1.3785648874934588</v>
      </c>
      <c r="W27" s="123">
        <v>-3.9967064101645344</v>
      </c>
      <c r="X27" s="114">
        <f t="shared" ref="W27:X30" si="5">C27+D27</f>
        <v>-1.7184807050686821</v>
      </c>
      <c r="Y27">
        <f t="shared" si="4"/>
        <v>-1.00258101627386</v>
      </c>
    </row>
    <row r="28" spans="1:27" x14ac:dyDescent="0.35">
      <c r="A28" s="141">
        <v>45688</v>
      </c>
      <c r="B28" s="120">
        <v>-2.31869818188957</v>
      </c>
      <c r="C28" s="121">
        <v>-16.228851674641099</v>
      </c>
      <c r="D28" s="120">
        <v>8.9306255763216005E-2</v>
      </c>
      <c r="E28" t="str">
        <f>VLOOKUP(A28,美林时钟!A13:AB272,28,TRUE)</f>
        <v>过热</v>
      </c>
      <c r="F28" t="s">
        <v>112</v>
      </c>
      <c r="G28" t="s">
        <v>120</v>
      </c>
      <c r="H28" t="s">
        <v>126</v>
      </c>
      <c r="I28" t="s">
        <v>115</v>
      </c>
      <c r="J28" s="115" cm="1">
        <f t="array" ref="J28">INDEX(股债表现与四个维度!$A:$T,MATCH($A28,股债表现与四个维度!$A:$A,0),MATCH(J$3&amp;J$4,股债表现与四个维度!$2:$2&amp;股债表现与四个维度!$3:$3,0))</f>
        <v>0.25</v>
      </c>
      <c r="K28" s="115" cm="1">
        <f t="array" ref="K28">INDEX(股债表现与四个维度!$A:$T,MATCH($A28,股债表现与四个维度!$A:$A,0),MATCH(K$3&amp;K$4,股债表现与四个维度!$2:$2&amp;股债表现与四个维度!$3:$3,0))</f>
        <v>4.1666666666666664E-2</v>
      </c>
      <c r="L28" s="115" cm="1">
        <f t="array" ref="L28">INDEX(股债表现与四个维度!$A:$T,MATCH($A28,股债表现与四个维度!$A:$A,0),MATCH(L$3&amp;L$4,股债表现与四个维度!$2:$2&amp;股债表现与四个维度!$3:$3,0))</f>
        <v>-2.0833333333333332E-2</v>
      </c>
      <c r="M28" s="115" cm="1">
        <f t="array" ref="M28">INDEX(股债表现与四个维度!$A:$T,MATCH($A28,股债表现与四个维度!$A:$A,0),MATCH(M$3&amp;M$4,股债表现与四个维度!$2:$2&amp;股债表现与四个维度!$3:$3,0))</f>
        <v>0.3125</v>
      </c>
      <c r="N28" s="115" cm="1">
        <f t="array" ref="N28">INDEX(股债表现与四个维度!$A:$T,MATCH($A28,股债表现与四个维度!$A:$A,0),MATCH(N$3&amp;N$4,股债表现与四个维度!$2:$2&amp;股债表现与四个维度!$3:$3,0))</f>
        <v>0.13333333333333333</v>
      </c>
      <c r="O28" s="115" cm="1">
        <f t="array" ref="O28">INDEX(股债表现与四个维度!$A:$T,MATCH($A28,股债表现与四个维度!$A:$A,0),MATCH(O$3&amp;O$4,股债表现与四个维度!$2:$2&amp;股债表现与四个维度!$3:$3,0))</f>
        <v>-0.53333333333333333</v>
      </c>
      <c r="P28" s="115" cm="1">
        <f t="array" ref="P28">INDEX(股债表现与四个维度!$A:$T,MATCH($A28,股债表现与四个维度!$A:$A,0),MATCH(P$3&amp;P$4,股债表现与四个维度!$2:$2&amp;股债表现与四个维度!$3:$3,0))</f>
        <v>0</v>
      </c>
      <c r="Q28" s="115" cm="1">
        <f t="array" ref="Q28">INDEX(股债表现与四个维度!$A:$T,MATCH($A28,股债表现与四个维度!$A:$A,0),MATCH(Q$3&amp;Q$4,股债表现与四个维度!$2:$2&amp;股债表现与四个维度!$3:$3,0))</f>
        <v>0.33333333333333331</v>
      </c>
      <c r="R28" s="115" cm="1">
        <f t="array" ref="R28">INDEX(股债表现与四个维度!$A:$T,MATCH($A28,股债表现与四个维度!$A:$A,0),MATCH(R$3&amp;R$4,股债表现与四个维度!$2:$2&amp;股债表现与四个维度!$3:$3,0))</f>
        <v>0</v>
      </c>
      <c r="S28" s="115" cm="1">
        <f t="array" ref="S28">INDEX(股债表现与四个维度!$A:$T,MATCH($A28,股债表现与四个维度!$A:$A,0),MATCH(S$3&amp;S$4,股债表现与四个维度!$2:$2&amp;股债表现与四个维度!$3:$3,0))</f>
        <v>0.46666666666666667</v>
      </c>
      <c r="T28">
        <f>SUMIFS($J28:$S28,$J28:$S28,"&lt;&gt;"&amp;"#N/A",$J$4:$S$4,T$4)</f>
        <v>0.36249999999999999</v>
      </c>
      <c r="U28">
        <f>SUMIFS($J28:$S28,$J28:$S28,"&lt;&gt;"&amp;"#N/A",$J$4:$S$4,U$4)</f>
        <v>0.62083333333333335</v>
      </c>
      <c r="V28">
        <f t="shared" si="2"/>
        <v>-0.25833333333333336</v>
      </c>
      <c r="W28" s="123">
        <v>-7.0871387805927659</v>
      </c>
      <c r="X28" s="114">
        <f t="shared" si="5"/>
        <v>-16.139545418877884</v>
      </c>
      <c r="Y28">
        <f t="shared" si="4"/>
        <v>-1.419533616352453</v>
      </c>
    </row>
    <row r="29" spans="1:27" x14ac:dyDescent="0.35">
      <c r="A29" s="141">
        <v>45657</v>
      </c>
      <c r="B29" s="120">
        <v>-1.9590725430636799</v>
      </c>
      <c r="C29" s="121">
        <v>-28.8636796536797</v>
      </c>
      <c r="D29" s="120">
        <v>0.92221589229880796</v>
      </c>
      <c r="E29" t="str">
        <f>VLOOKUP(A29,美林时钟!A14:AB273,28,TRUE)</f>
        <v>过热</v>
      </c>
      <c r="F29" t="s">
        <v>112</v>
      </c>
      <c r="G29" t="s">
        <v>120</v>
      </c>
      <c r="H29" t="s">
        <v>114</v>
      </c>
      <c r="I29" t="s">
        <v>115</v>
      </c>
      <c r="J29" s="115" cm="1">
        <f t="array" ref="J29">INDEX(股债表现与四个维度!$A:$T,MATCH($A29,股债表现与四个维度!$A:$A,0),MATCH(J$3&amp;J$4,股债表现与四个维度!$2:$2&amp;股债表现与四个维度!$3:$3,0))</f>
        <v>0.16666666666666666</v>
      </c>
      <c r="K29" s="115" cm="1">
        <f t="array" ref="K29">INDEX(股债表现与四个维度!$A:$T,MATCH($A29,股债表现与四个维度!$A:$A,0),MATCH(K$3&amp;K$4,股债表现与四个维度!$2:$2&amp;股债表现与四个维度!$3:$3,0))</f>
        <v>0</v>
      </c>
      <c r="L29" s="115" cm="1">
        <f t="array" ref="L29">INDEX(股债表现与四个维度!$A:$T,MATCH($A29,股债表现与四个维度!$A:$A,0),MATCH(L$3&amp;L$4,股债表现与四个维度!$2:$2&amp;股债表现与四个维度!$3:$3,0))</f>
        <v>-4.2553191489361701E-2</v>
      </c>
      <c r="M29" s="115" cm="1">
        <f t="array" ref="M29">INDEX(股债表现与四个维度!$A:$T,MATCH($A29,股债表现与四个维度!$A:$A,0),MATCH(M$3&amp;M$4,股债表现与四个维度!$2:$2&amp;股债表现与四个维度!$3:$3,0))</f>
        <v>0.2978723404255319</v>
      </c>
      <c r="N29" s="115" cm="1">
        <f t="array" ref="N29">INDEX(股债表现与四个维度!$A:$T,MATCH($A29,股债表现与四个维度!$A:$A,0),MATCH(N$3&amp;N$4,股债表现与四个维度!$2:$2&amp;股债表现与四个维度!$3:$3,0))</f>
        <v>7.1428571428571425E-2</v>
      </c>
      <c r="O29" s="115" cm="1">
        <f t="array" ref="O29">INDEX(股债表现与四个维度!$A:$T,MATCH($A29,股债表现与四个维度!$A:$A,0),MATCH(O$3&amp;O$4,股债表现与四个维度!$2:$2&amp;股债表现与四个维度!$3:$3,0))</f>
        <v>-0.6428571428571429</v>
      </c>
      <c r="P29" s="115" cm="1">
        <f t="array" ref="P29">INDEX(股债表现与四个维度!$A:$T,MATCH($A29,股债表现与四个维度!$A:$A,0),MATCH(P$3&amp;P$4,股债表现与四个维度!$2:$2&amp;股债表现与四个维度!$3:$3,0))</f>
        <v>0</v>
      </c>
      <c r="Q29" s="115" cm="1">
        <f t="array" ref="Q29">INDEX(股债表现与四个维度!$A:$T,MATCH($A29,股债表现与四个维度!$A:$A,0),MATCH(Q$3&amp;Q$4,股债表现与四个维度!$2:$2&amp;股债表现与四个维度!$3:$3,0))</f>
        <v>0.33333333333333331</v>
      </c>
      <c r="R29" s="115" cm="1">
        <f t="array" ref="R29">INDEX(股债表现与四个维度!$A:$T,MATCH($A29,股债表现与四个维度!$A:$A,0),MATCH(R$3&amp;R$4,股债表现与四个维度!$2:$2&amp;股债表现与四个维度!$3:$3,0))</f>
        <v>-7.1428571428571425E-2</v>
      </c>
      <c r="S29" s="115" cm="1">
        <f t="array" ref="S29">INDEX(股债表现与四个维度!$A:$T,MATCH($A29,股债表现与四个维度!$A:$A,0),MATCH(S$3&amp;S$4,股债表现与四个维度!$2:$2&amp;股债表现与四个维度!$3:$3,0))</f>
        <v>0.42857142857142855</v>
      </c>
      <c r="T29">
        <f>SUMIFS($J29:$S29,$J29:$S29,"&lt;&gt;"&amp;"#N/A",$J$4:$S$4,T$4)</f>
        <v>0.12411347517730495</v>
      </c>
      <c r="U29">
        <f>SUMIFS($J29:$S29,$J29:$S29,"&lt;&gt;"&amp;"#N/A",$J$4:$S$4,U$4)</f>
        <v>0.41691995947315086</v>
      </c>
      <c r="V29">
        <f t="shared" ref="V29:V35" si="6">T29-U29</f>
        <v>-0.29280648429584588</v>
      </c>
      <c r="W29" s="123">
        <v>-4.2416180451251204</v>
      </c>
      <c r="X29" s="114">
        <f t="shared" si="5"/>
        <v>-27.941463761380891</v>
      </c>
      <c r="Y29">
        <f t="shared" ref="Y29:Y35" si="7">AVERAGE(V29:V34)</f>
        <v>-1.7174815018003387</v>
      </c>
      <c r="Z29">
        <f t="shared" ref="Z29:Z35" si="8">AVERAGE(W29:W34)</f>
        <v>0.80849248980128119</v>
      </c>
      <c r="AA29">
        <f t="shared" ref="AA29:AA35" si="9">AVERAGE(X29:X34)</f>
        <v>-7.248320957741293</v>
      </c>
    </row>
    <row r="30" spans="1:27" x14ac:dyDescent="0.35">
      <c r="A30" s="141">
        <v>45626</v>
      </c>
      <c r="B30" s="120">
        <v>1.3430444665324599</v>
      </c>
      <c r="C30" s="121">
        <v>-5.8158897243108001</v>
      </c>
      <c r="D30" s="120">
        <v>0.59258383046429197</v>
      </c>
      <c r="E30" t="str">
        <f>VLOOKUP(A30,美林时钟!A15:AB274,28,TRUE)</f>
        <v>过热</v>
      </c>
      <c r="F30" t="s">
        <v>112</v>
      </c>
      <c r="G30" t="s">
        <v>120</v>
      </c>
      <c r="H30" t="s">
        <v>114</v>
      </c>
      <c r="I30" t="s">
        <v>115</v>
      </c>
      <c r="J30" s="115" cm="1">
        <f t="array" ref="J30">INDEX(股债表现与四个维度!$A:$T,MATCH($A30,股债表现与四个维度!$A:$A,0),MATCH(J$3&amp;J$4,股债表现与四个维度!$2:$2&amp;股债表现与四个维度!$3:$3,0))</f>
        <v>0.13043478260869565</v>
      </c>
      <c r="K30" s="115" cm="1">
        <f t="array" ref="K30">INDEX(股债表现与四个维度!$A:$T,MATCH($A30,股债表现与四个维度!$A:$A,0),MATCH(K$3&amp;K$4,股债表现与四个维度!$2:$2&amp;股债表现与四个维度!$3:$3,0))</f>
        <v>4.3478260869565216E-2</v>
      </c>
      <c r="L30" s="115" cm="1">
        <f t="array" ref="L30">INDEX(股债表现与四个维度!$A:$T,MATCH($A30,股债表现与四个维度!$A:$A,0),MATCH(L$3&amp;L$4,股债表现与四个维度!$2:$2&amp;股债表现与四个维度!$3:$3,0))</f>
        <v>-6.5217391304347824E-2</v>
      </c>
      <c r="M30" s="115" cm="1">
        <f t="array" ref="M30">INDEX(股债表现与四个维度!$A:$T,MATCH($A30,股债表现与四个维度!$A:$A,0),MATCH(M$3&amp;M$4,股债表现与四个维度!$2:$2&amp;股债表现与四个维度!$3:$3,0))</f>
        <v>0.32608695652173914</v>
      </c>
      <c r="N30" s="115" cm="1">
        <f t="array" ref="N30">INDEX(股债表现与四个维度!$A:$T,MATCH($A30,股债表现与四个维度!$A:$A,0),MATCH(N$3&amp;N$4,股债表现与四个维度!$2:$2&amp;股债表现与四个维度!$3:$3,0))</f>
        <v>0</v>
      </c>
      <c r="O30" s="115" cm="1">
        <f t="array" ref="O30">INDEX(股债表现与四个维度!$A:$T,MATCH($A30,股债表现与四个维度!$A:$A,0),MATCH(O$3&amp;O$4,股债表现与四个维度!$2:$2&amp;股债表现与四个维度!$3:$3,0))</f>
        <v>-0.61538461538461542</v>
      </c>
      <c r="P30" s="115" cm="1">
        <f t="array" ref="P30">INDEX(股债表现与四个维度!$A:$T,MATCH($A30,股债表现与四个维度!$A:$A,0),MATCH(P$3&amp;P$4,股债表现与四个维度!$2:$2&amp;股债表现与四个维度!$3:$3,0))</f>
        <v>-3.8461538461538464E-2</v>
      </c>
      <c r="Q30" s="115" cm="1">
        <f t="array" ref="Q30">INDEX(股债表现与四个维度!$A:$T,MATCH($A30,股债表现与四个维度!$A:$A,0),MATCH(Q$3&amp;Q$4,股债表现与四个维度!$2:$2&amp;股债表现与四个维度!$3:$3,0))</f>
        <v>0.38461538461538464</v>
      </c>
      <c r="R30" s="115" cm="1">
        <f t="array" ref="R30">INDEX(股债表现与四个维度!$A:$T,MATCH($A30,股债表现与四个维度!$A:$A,0),MATCH(R$3&amp;R$4,股债表现与四个维度!$2:$2&amp;股债表现与四个维度!$3:$3,0))</f>
        <v>-0.15384615384615385</v>
      </c>
      <c r="S30" s="115" cm="1">
        <f t="array" ref="S30">INDEX(股债表现与四个维度!$A:$T,MATCH($A30,股债表现与四个维度!$A:$A,0),MATCH(S$3&amp;S$4,股债表现与四个维度!$2:$2&amp;股债表现与四个维度!$3:$3,0))</f>
        <v>0.53846153846153844</v>
      </c>
      <c r="T30">
        <f>SUMIFS($J30:$S30,$J30:$S30,"&lt;&gt;"&amp;"#N/A",$J$4:$S$4,T$4)</f>
        <v>-0.12709030100334451</v>
      </c>
      <c r="U30">
        <f>SUMIFS($J30:$S30,$J30:$S30,"&lt;&gt;"&amp;"#N/A",$J$4:$S$4,U$4)</f>
        <v>0.67725752508361192</v>
      </c>
      <c r="V30">
        <f t="shared" si="6"/>
        <v>-0.80434782608695643</v>
      </c>
      <c r="W30" s="114">
        <v>-0.75331619983813136</v>
      </c>
      <c r="X30" s="122">
        <f>C30+D30</f>
        <v>-5.2233058938465078</v>
      </c>
      <c r="Y30">
        <f t="shared" si="7"/>
        <v>-2.0424001069991724</v>
      </c>
      <c r="Z30">
        <f t="shared" si="8"/>
        <v>-0.1333946901814409</v>
      </c>
      <c r="AA30">
        <f t="shared" si="9"/>
        <v>-3.3452050971416405</v>
      </c>
    </row>
    <row r="31" spans="1:27" x14ac:dyDescent="0.35">
      <c r="A31" s="141">
        <v>45596</v>
      </c>
      <c r="B31" s="120">
        <v>2.2784562685821901</v>
      </c>
      <c r="C31" s="121">
        <v>4.2516040100251002</v>
      </c>
      <c r="D31" s="120">
        <v>0.14691427953636799</v>
      </c>
      <c r="E31" t="str">
        <f>VLOOKUP(A31,美林时钟!A16:AB275,28,TRUE)</f>
        <v>复苏</v>
      </c>
      <c r="F31" t="s">
        <v>112</v>
      </c>
      <c r="G31" t="s">
        <v>120</v>
      </c>
      <c r="H31" t="s">
        <v>114</v>
      </c>
      <c r="I31" t="s">
        <v>115</v>
      </c>
      <c r="J31" s="115" cm="1">
        <f t="array" ref="J31">INDEX(股债表现与四个维度!$A:$T,MATCH($A31,股债表现与四个维度!$A:$A,0),MATCH(J$3&amp;J$4,股债表现与四个维度!$2:$2&amp;股债表现与四个维度!$3:$3,0))</f>
        <v>9.0909090909090912E-2</v>
      </c>
      <c r="K31" s="115" cm="1">
        <f t="array" ref="K31">INDEX(股债表现与四个维度!$A:$T,MATCH($A31,股债表现与四个维度!$A:$A,0),MATCH(K$3&amp;K$4,股债表现与四个维度!$2:$2&amp;股债表现与四个维度!$3:$3,0))</f>
        <v>0</v>
      </c>
      <c r="L31" s="115" cm="1">
        <f t="array" ref="L31">INDEX(股债表现与四个维度!$A:$T,MATCH($A31,股债表现与四个维度!$A:$A,0),MATCH(L$3&amp;L$4,股债表现与四个维度!$2:$2&amp;股债表现与四个维度!$3:$3,0))</f>
        <v>-8.8888888888888892E-2</v>
      </c>
      <c r="M31" s="115" cm="1">
        <f t="array" ref="M31">INDEX(股债表现与四个维度!$A:$T,MATCH($A31,股债表现与四个维度!$A:$A,0),MATCH(M$3&amp;M$4,股债表现与四个维度!$2:$2&amp;股债表现与四个维度!$3:$3,0))</f>
        <v>0.31111111111111112</v>
      </c>
      <c r="N31" s="115" cm="1">
        <f t="array" ref="N31">INDEX(股债表现与四个维度!$A:$T,MATCH($A31,股债表现与四个维度!$A:$A,0),MATCH(N$3&amp;N$4,股债表现与四个维度!$2:$2&amp;股债表现与四个维度!$3:$3,0))</f>
        <v>0</v>
      </c>
      <c r="O31" s="115" cm="1">
        <f t="array" ref="O31">INDEX(股债表现与四个维度!$A:$T,MATCH($A31,股债表现与四个维度!$A:$A,0),MATCH(O$3&amp;O$4,股债表现与四个维度!$2:$2&amp;股债表现与四个维度!$3:$3,0))</f>
        <v>-0.61538461538461542</v>
      </c>
      <c r="P31" s="115" cm="1">
        <f t="array" ref="P31">INDEX(股债表现与四个维度!$A:$T,MATCH($A31,股债表现与四个维度!$A:$A,0),MATCH(P$3&amp;P$4,股债表现与四个维度!$2:$2&amp;股债表现与四个维度!$3:$3,0))</f>
        <v>-0.08</v>
      </c>
      <c r="Q31" s="115" cm="1">
        <f t="array" ref="Q31">INDEX(股债表现与四个维度!$A:$T,MATCH($A31,股债表现与四个维度!$A:$A,0),MATCH(Q$3&amp;Q$4,股债表现与四个维度!$2:$2&amp;股债表现与四个维度!$3:$3,0))</f>
        <v>0.36</v>
      </c>
      <c r="R31" s="115" cm="1">
        <f t="array" ref="R31">INDEX(股债表现与四个维度!$A:$T,MATCH($A31,股债表现与四个维度!$A:$A,0),MATCH(R$3&amp;R$4,股债表现与四个维度!$2:$2&amp;股债表现与四个维度!$3:$3,0))</f>
        <v>-0.25</v>
      </c>
      <c r="S31" s="115" cm="1">
        <f t="array" ref="S31">INDEX(股债表现与四个维度!$A:$T,MATCH($A31,股债表现与四个维度!$A:$A,0),MATCH(S$3&amp;S$4,股债表现与四个维度!$2:$2&amp;股债表现与四个维度!$3:$3,0))</f>
        <v>0.5</v>
      </c>
      <c r="T31">
        <f>SUMIFS($J31:$S31,$J31:$S31,"&lt;&gt;"&amp;"#N/A",$J$4:$S$4,T$4)</f>
        <v>-0.32797979797979798</v>
      </c>
      <c r="U31">
        <f>SUMIFS($J31:$S31,$J31:$S31,"&lt;&gt;"&amp;"#N/A",$J$4:$S$4,U$4)</f>
        <v>0.55572649572649568</v>
      </c>
      <c r="V31">
        <f t="shared" si="6"/>
        <v>-0.88370629370629361</v>
      </c>
      <c r="W31" s="114">
        <f t="shared" ref="W31:X36" si="10">B31+C31</f>
        <v>6.5300602786072908</v>
      </c>
      <c r="X31" s="122">
        <f>C31+D31</f>
        <v>4.3985182895614683</v>
      </c>
      <c r="Y31">
        <f t="shared" si="7"/>
        <v>-2.3084845861271295</v>
      </c>
      <c r="Z31">
        <f t="shared" si="8"/>
        <v>0.14161395813908437</v>
      </c>
      <c r="AA31">
        <f t="shared" si="9"/>
        <v>-2.7406310669193812</v>
      </c>
    </row>
    <row r="32" spans="1:27" x14ac:dyDescent="0.35">
      <c r="A32" s="141">
        <v>45565</v>
      </c>
      <c r="B32" s="120">
        <v>22.210134627747301</v>
      </c>
      <c r="C32" s="121">
        <v>-6.9838528138528</v>
      </c>
      <c r="D32" s="120">
        <v>0.32825829112231703</v>
      </c>
      <c r="E32" t="str">
        <f>VLOOKUP(A32,美林时钟!A17:AB276,28,TRUE)</f>
        <v>复苏</v>
      </c>
      <c r="F32" t="s">
        <v>112</v>
      </c>
      <c r="G32" t="s">
        <v>130</v>
      </c>
      <c r="H32" t="s">
        <v>114</v>
      </c>
      <c r="I32" t="s">
        <v>115</v>
      </c>
      <c r="J32" s="115" cm="1">
        <f t="array" ref="J32">INDEX(股债表现与四个维度!$A:$T,MATCH($A32,股债表现与四个维度!$A:$A,0),MATCH(J$3&amp;J$4,股债表现与四个维度!$2:$2&amp;股债表现与四个维度!$3:$3,0))</f>
        <v>9.0909090909090912E-2</v>
      </c>
      <c r="K32" s="115" cm="1">
        <f t="array" ref="K32">INDEX(股债表现与四个维度!$A:$T,MATCH($A32,股债表现与四个维度!$A:$A,0),MATCH(K$3&amp;K$4,股债表现与四个维度!$2:$2&amp;股债表现与四个维度!$3:$3,0))</f>
        <v>0</v>
      </c>
      <c r="L32" s="115" cm="1">
        <f t="array" ref="L32">INDEX(股债表现与四个维度!$A:$T,MATCH($A32,股债表现与四个维度!$A:$A,0),MATCH(L$3&amp;L$4,股债表现与四个维度!$2:$2&amp;股债表现与四个维度!$3:$3,0))</f>
        <v>-6.8181818181818177E-2</v>
      </c>
      <c r="M32" s="115" cm="1">
        <f t="array" ref="M32">INDEX(股债表现与四个维度!$A:$T,MATCH($A32,股债表现与四个维度!$A:$A,0),MATCH(M$3&amp;M$4,股债表现与四个维度!$2:$2&amp;股债表现与四个维度!$3:$3,0))</f>
        <v>0.29545454545454547</v>
      </c>
      <c r="N32" s="115" cm="1">
        <f t="array" ref="N32">INDEX(股债表现与四个维度!$A:$T,MATCH($A32,股债表现与四个维度!$A:$A,0),MATCH(N$3&amp;N$4,股债表现与四个维度!$2:$2&amp;股债表现与四个维度!$3:$3,0))</f>
        <v>-0.5</v>
      </c>
      <c r="O32" s="115" cm="1">
        <f t="array" ref="O32">INDEX(股债表现与四个维度!$A:$T,MATCH($A32,股债表现与四个维度!$A:$A,0),MATCH(O$3&amp;O$4,股债表现与四个维度!$2:$2&amp;股债表现与四个维度!$3:$3,0))</f>
        <v>0.5</v>
      </c>
      <c r="P32" s="115" cm="1">
        <f t="array" ref="P32">INDEX(股债表现与四个维度!$A:$T,MATCH($A32,股债表现与四个维度!$A:$A,0),MATCH(P$3&amp;P$4,股债表现与四个维度!$2:$2&amp;股债表现与四个维度!$3:$3,0))</f>
        <v>-4.1666666666666664E-2</v>
      </c>
      <c r="Q32" s="115" cm="1">
        <f t="array" ref="Q32">INDEX(股债表现与四个维度!$A:$T,MATCH($A32,股债表现与四个维度!$A:$A,0),MATCH(Q$3&amp;Q$4,股债表现与四个维度!$2:$2&amp;股债表现与四个维度!$3:$3,0))</f>
        <v>0.33333333333333331</v>
      </c>
      <c r="R32" s="115" cm="1">
        <f t="array" ref="R32">INDEX(股债表现与四个维度!$A:$T,MATCH($A32,股债表现与四个维度!$A:$A,0),MATCH(R$3&amp;R$4,股债表现与四个维度!$2:$2&amp;股债表现与四个维度!$3:$3,0))</f>
        <v>-0.25</v>
      </c>
      <c r="S32" s="115" cm="1">
        <f t="array" ref="S32">INDEX(股债表现与四个维度!$A:$T,MATCH($A32,股债表现与四个维度!$A:$A,0),MATCH(S$3&amp;S$4,股债表现与四个维度!$2:$2&amp;股债表现与四个维度!$3:$3,0))</f>
        <v>0.5</v>
      </c>
      <c r="T32">
        <f>SUMIFS($J32:$S32,$J32:$S32,"&lt;&gt;"&amp;"#N/A",$J$4:$S$4,T$4)</f>
        <v>-0.76893939393939392</v>
      </c>
      <c r="U32">
        <f>SUMIFS($J32:$S32,$J32:$S32,"&lt;&gt;"&amp;"#N/A",$J$4:$S$4,U$4)</f>
        <v>1.6287878787878787</v>
      </c>
      <c r="V32">
        <f t="shared" si="6"/>
        <v>-2.3977272727272725</v>
      </c>
      <c r="W32" s="123">
        <f>B32+C32</f>
        <v>15.226281813894502</v>
      </c>
      <c r="X32" s="114">
        <f t="shared" si="10"/>
        <v>-6.6555945227304827</v>
      </c>
      <c r="Y32">
        <f t="shared" si="7"/>
        <v>-2.5968375343484991</v>
      </c>
      <c r="Z32">
        <f t="shared" si="8"/>
        <v>-1.1986391430678958</v>
      </c>
      <c r="AA32">
        <f t="shared" si="9"/>
        <v>-3.3786863330112245</v>
      </c>
    </row>
    <row r="33" spans="1:27" x14ac:dyDescent="0.35">
      <c r="A33" s="141">
        <v>45535</v>
      </c>
      <c r="B33" s="120">
        <v>-3.9690314175752399</v>
      </c>
      <c r="C33" s="121">
        <v>-6.4669960474307997</v>
      </c>
      <c r="D33" s="120">
        <v>-0.15323648018924599</v>
      </c>
      <c r="E33" t="str">
        <f>VLOOKUP(A33,美林时钟!A18:AB277,28,TRUE)</f>
        <v>衰退</v>
      </c>
      <c r="F33" t="s">
        <v>112</v>
      </c>
      <c r="G33" t="s">
        <v>130</v>
      </c>
      <c r="H33" t="s">
        <v>114</v>
      </c>
      <c r="I33" t="s">
        <v>118</v>
      </c>
      <c r="J33" s="115" cm="1">
        <f t="array" ref="J33">INDEX(股债表现与四个维度!$A:$T,MATCH($A33,股债表现与四个维度!$A:$A,0),MATCH(J$3&amp;J$4,股债表现与四个维度!$2:$2&amp;股债表现与四个维度!$3:$3,0))</f>
        <v>9.0909090909090912E-2</v>
      </c>
      <c r="K33" s="115" cm="1">
        <f t="array" ref="K33">INDEX(股债表现与四个维度!$A:$T,MATCH($A33,股债表现与四个维度!$A:$A,0),MATCH(K$3&amp;K$4,股债表现与四个维度!$2:$2&amp;股债表现与四个维度!$3:$3,0))</f>
        <v>0.63636363636363635</v>
      </c>
      <c r="L33" s="115" cm="1">
        <f t="array" ref="L33">INDEX(股债表现与四个维度!$A:$T,MATCH($A33,股债表现与四个维度!$A:$A,0),MATCH(L$3&amp;L$4,股债表现与四个维度!$2:$2&amp;股债表现与四个维度!$3:$3,0))</f>
        <v>-6.9767441860465115E-2</v>
      </c>
      <c r="M33" s="115" cm="1">
        <f t="array" ref="M33">INDEX(股债表现与四个维度!$A:$T,MATCH($A33,股债表现与四个维度!$A:$A,0),MATCH(M$3&amp;M$4,股债表现与四个维度!$2:$2&amp;股债表现与四个维度!$3:$3,0))</f>
        <v>0.30232558139534882</v>
      </c>
      <c r="N33" s="115" cm="1">
        <f t="array" ref="N33">INDEX(股债表现与四个维度!$A:$T,MATCH($A33,股债表现与四个维度!$A:$A,0),MATCH(N$3&amp;N$4,股债表现与四个维度!$2:$2&amp;股债表现与四个维度!$3:$3,0))</f>
        <v>-1</v>
      </c>
      <c r="O33" s="115" cm="1">
        <f t="array" ref="O33">INDEX(股债表现与四个维度!$A:$T,MATCH($A33,股债表现与四个维度!$A:$A,0),MATCH(O$3&amp;O$4,股债表现与四个维度!$2:$2&amp;股债表现与四个维度!$3:$3,0))</f>
        <v>1</v>
      </c>
      <c r="P33" s="115" cm="1">
        <f t="array" ref="P33">INDEX(股债表现与四个维度!$A:$T,MATCH($A33,股债表现与四个维度!$A:$A,0),MATCH(P$3&amp;P$4,股债表现与四个维度!$2:$2&amp;股债表现与四个维度!$3:$3,0))</f>
        <v>-4.3478260869565216E-2</v>
      </c>
      <c r="Q33" s="115" cm="1">
        <f t="array" ref="Q33">INDEX(股债表现与四个维度!$A:$T,MATCH($A33,股债表现与四个维度!$A:$A,0),MATCH(Q$3&amp;Q$4,股债表现与四个维度!$2:$2&amp;股债表现与四个维度!$3:$3,0))</f>
        <v>0.34782608695652173</v>
      </c>
      <c r="R33" s="115" cm="1">
        <f t="array" ref="R33">INDEX(股债表现与四个维度!$A:$T,MATCH($A33,股债表现与四个维度!$A:$A,0),MATCH(R$3&amp;R$4,股债表现与四个维度!$2:$2&amp;股债表现与四个维度!$3:$3,0))</f>
        <v>-0.14285714285714285</v>
      </c>
      <c r="S33" s="115" cm="1">
        <f t="array" ref="S33">INDEX(股债表现与四个维度!$A:$T,MATCH($A33,股债表现与四个维度!$A:$A,0),MATCH(S$3&amp;S$4,股债表现与四个维度!$2:$2&amp;股债表现与四个维度!$3:$3,0))</f>
        <v>0.42857142857142855</v>
      </c>
      <c r="T33">
        <f>SUMIFS($J33:$S33,$J33:$S33,"&lt;&gt;"&amp;"#N/A",$J$4:$S$4,T$4)</f>
        <v>-1.1651937546780822</v>
      </c>
      <c r="U33">
        <f>SUMIFS($J33:$S33,$J33:$S33,"&lt;&gt;"&amp;"#N/A",$J$4:$S$4,U$4)</f>
        <v>2.7150867332869351</v>
      </c>
      <c r="V33">
        <f t="shared" si="6"/>
        <v>-3.8802804879650172</v>
      </c>
      <c r="W33" s="124">
        <f>B33+C33</f>
        <v>-10.43602746500604</v>
      </c>
      <c r="X33" s="114">
        <f t="shared" si="10"/>
        <v>-6.620232527620046</v>
      </c>
      <c r="Y33">
        <f t="shared" si="7"/>
        <v>-2.648594768342575</v>
      </c>
      <c r="Z33">
        <f t="shared" si="8"/>
        <v>-5.9851538982347412</v>
      </c>
      <c r="AA33">
        <f t="shared" si="9"/>
        <v>-2.0758990676678217</v>
      </c>
    </row>
    <row r="34" spans="1:27" x14ac:dyDescent="0.35">
      <c r="A34" s="141">
        <v>45504</v>
      </c>
      <c r="B34" s="120">
        <v>0.27106654712188499</v>
      </c>
      <c r="C34" s="121">
        <v>-1.7454919908466999</v>
      </c>
      <c r="D34" s="120">
        <v>0.29764466041540599</v>
      </c>
      <c r="E34" t="str">
        <f>VLOOKUP(A34,美林时钟!A19:AB278,28,TRUE)</f>
        <v>滞涨</v>
      </c>
      <c r="F34" t="s">
        <v>112</v>
      </c>
      <c r="G34" t="s">
        <v>130</v>
      </c>
      <c r="H34" t="s">
        <v>126</v>
      </c>
      <c r="I34" t="s">
        <v>118</v>
      </c>
      <c r="J34" s="115" cm="1">
        <f t="array" ref="J34">INDEX(股债表现与四个维度!$A:$T,MATCH($A34,股债表现与四个维度!$A:$A,0),MATCH(J$3&amp;J$4,股债表现与四个维度!$2:$2&amp;股债表现与四个维度!$3:$3,0))</f>
        <v>0.2</v>
      </c>
      <c r="K34" s="115" cm="1">
        <f t="array" ref="K34">INDEX(股债表现与四个维度!$A:$T,MATCH($A34,股债表现与四个维度!$A:$A,0),MATCH(K$3&amp;K$4,股债表现与四个维度!$2:$2&amp;股债表现与四个维度!$3:$3,0))</f>
        <v>0.6</v>
      </c>
      <c r="L34" s="115" cm="1">
        <f t="array" ref="L34">INDEX(股债表现与四个维度!$A:$T,MATCH($A34,股债表现与四个维度!$A:$A,0),MATCH(L$3&amp;L$4,股债表现与四个维度!$2:$2&amp;股债表现与四个维度!$3:$3,0))</f>
        <v>-4.7619047619047616E-2</v>
      </c>
      <c r="M34" s="115" cm="1">
        <f t="array" ref="M34">INDEX(股债表现与四个维度!$A:$T,MATCH($A34,股债表现与四个维度!$A:$A,0),MATCH(M$3&amp;M$4,股债表现与四个维度!$2:$2&amp;股债表现与四个维度!$3:$3,0))</f>
        <v>0.2857142857142857</v>
      </c>
      <c r="N34" s="115" cm="1">
        <f t="array" ref="N34">INDEX(股债表现与四个维度!$A:$T,MATCH($A34,股债表现与四个维度!$A:$A,0),MATCH(N$3&amp;N$4,股债表现与四个维度!$2:$2&amp;股债表现与四个维度!$3:$3,0))</f>
        <v>3.8461538461538464E-2</v>
      </c>
      <c r="O34" s="115" cm="1">
        <f t="array" ref="O34">INDEX(股债表现与四个维度!$A:$T,MATCH($A34,股债表现与四个维度!$A:$A,0),MATCH(O$3&amp;O$4,股债表现与四个维度!$2:$2&amp;股债表现与四个维度!$3:$3,0))</f>
        <v>0.46153846153846156</v>
      </c>
      <c r="P34" s="115" cm="1">
        <f t="array" ref="P34">INDEX(股债表现与四个维度!$A:$T,MATCH($A34,股债表现与四个维度!$A:$A,0),MATCH(P$3&amp;P$4,股债表现与四个维度!$2:$2&amp;股债表现与四个维度!$3:$3,0))</f>
        <v>0</v>
      </c>
      <c r="Q34" s="115" cm="1">
        <f t="array" ref="Q34">INDEX(股债表现与四个维度!$A:$T,MATCH($A34,股债表现与四个维度!$A:$A,0),MATCH(Q$3&amp;Q$4,股债表现与四个维度!$2:$2&amp;股债表现与四个维度!$3:$3,0))</f>
        <v>0.31818181818181818</v>
      </c>
      <c r="R34" s="115" cm="1">
        <f t="array" ref="R34">INDEX(股债表现与四个维度!$A:$T,MATCH($A34,股债表现与四个维度!$A:$A,0),MATCH(R$3&amp;R$4,股债表现与四个维度!$2:$2&amp;股债表现与四个维度!$3:$3,0))</f>
        <v>-0.14285714285714285</v>
      </c>
      <c r="S34" s="115" cm="1">
        <f t="array" ref="S34">INDEX(股债表现与四个维度!$A:$T,MATCH($A34,股债表现与四个维度!$A:$A,0),MATCH(S$3&amp;S$4,股债表现与四个维度!$2:$2&amp;股债表现与四个维度!$3:$3,0))</f>
        <v>0.42857142857142855</v>
      </c>
      <c r="T34">
        <f>SUMIFS($J34:$S34,$J34:$S34,"&lt;&gt;"&amp;"#N/A",$J$4:$S$4,T$4)</f>
        <v>4.7985347985348009E-2</v>
      </c>
      <c r="U34">
        <f>SUMIFS($J34:$S34,$J34:$S34,"&lt;&gt;"&amp;"#N/A",$J$4:$S$4,U$4)</f>
        <v>2.0940059940059941</v>
      </c>
      <c r="V34">
        <f t="shared" si="6"/>
        <v>-2.0460206460206463</v>
      </c>
      <c r="W34" s="114">
        <f t="shared" si="10"/>
        <v>-1.474425443724815</v>
      </c>
      <c r="X34" s="114">
        <f t="shared" si="10"/>
        <v>-1.447847330431294</v>
      </c>
      <c r="Y34">
        <f t="shared" si="7"/>
        <v>-2.2078798521802372</v>
      </c>
      <c r="Z34">
        <f t="shared" si="8"/>
        <v>-5.9292294840318158</v>
      </c>
      <c r="AA34">
        <f t="shared" si="9"/>
        <v>-1.4462161497632728</v>
      </c>
    </row>
    <row r="35" spans="1:27" x14ac:dyDescent="0.35">
      <c r="A35" s="141">
        <v>45473</v>
      </c>
      <c r="B35" s="120">
        <v>-5.1273772152469501</v>
      </c>
      <c r="C35" s="121">
        <v>-4.7655639097745004</v>
      </c>
      <c r="D35" s="120">
        <v>0.24279531199151699</v>
      </c>
      <c r="E35" t="str">
        <f>VLOOKUP(A35,美林时钟!A20:AB279,28,TRUE)</f>
        <v>滞涨</v>
      </c>
      <c r="F35" t="s">
        <v>112</v>
      </c>
      <c r="G35" t="s">
        <v>130</v>
      </c>
      <c r="H35" t="s">
        <v>114</v>
      </c>
      <c r="I35" t="s">
        <v>115</v>
      </c>
      <c r="J35" s="115" cm="1">
        <f t="array" ref="J35">INDEX(股债表现与四个维度!$A:$T,MATCH($A35,股债表现与四个维度!$A:$A,0),MATCH(J$3&amp;J$4,股债表现与四个维度!$2:$2&amp;股债表现与四个维度!$3:$3,0))</f>
        <v>0.33333333333333331</v>
      </c>
      <c r="K35" s="115" cm="1">
        <f t="array" ref="K35">INDEX(股债表现与四个维度!$A:$T,MATCH($A35,股债表现与四个维度!$A:$A,0),MATCH(K$3&amp;K$4,股债表现与四个维度!$2:$2&amp;股债表现与四个维度!$3:$3,0))</f>
        <v>0.77777777777777779</v>
      </c>
      <c r="L35" s="115" cm="1">
        <f t="array" ref="L35">INDEX(股债表现与四个维度!$A:$T,MATCH($A35,股债表现与四个维度!$A:$A,0),MATCH(L$3&amp;L$4,股债表现与四个维度!$2:$2&amp;股债表现与四个维度!$3:$3,0))</f>
        <v>-2.4390243902439025E-2</v>
      </c>
      <c r="M35" s="115" cm="1">
        <f t="array" ref="M35">INDEX(股债表现与四个维度!$A:$T,MATCH($A35,股债表现与四个维度!$A:$A,0),MATCH(M$3&amp;M$4,股债表现与四个维度!$2:$2&amp;股债表现与四个维度!$3:$3,0))</f>
        <v>0.31707317073170732</v>
      </c>
      <c r="N35" s="115" cm="1">
        <f t="array" ref="N35">INDEX(股债表现与四个维度!$A:$T,MATCH($A35,股债表现与四个维度!$A:$A,0),MATCH(N$3&amp;N$4,股债表现与四个维度!$2:$2&amp;股债表现与四个维度!$3:$3,0))</f>
        <v>3.8461538461538464E-2</v>
      </c>
      <c r="O35" s="115" cm="1">
        <f t="array" ref="O35">INDEX(股债表现与四个维度!$A:$T,MATCH($A35,股债表现与四个维度!$A:$A,0),MATCH(O$3&amp;O$4,股债表现与四个维度!$2:$2&amp;股债表现与四个维度!$3:$3,0))</f>
        <v>0.46153846153846156</v>
      </c>
      <c r="P35" s="115" cm="1">
        <f t="array" ref="P35">INDEX(股债表现与四个维度!$A:$T,MATCH($A35,股债表现与四个维度!$A:$A,0),MATCH(P$3&amp;P$4,股债表现与四个维度!$2:$2&amp;股债表现与四个维度!$3:$3,0))</f>
        <v>4.7619047619047616E-2</v>
      </c>
      <c r="Q35" s="115" cm="1">
        <f t="array" ref="Q35">INDEX(股债表现与四个维度!$A:$T,MATCH($A35,股债表现与四个维度!$A:$A,0),MATCH(Q$3&amp;Q$4,股债表现与四个维度!$2:$2&amp;股债表现与四个维度!$3:$3,0))</f>
        <v>0.38095238095238093</v>
      </c>
      <c r="R35" s="115" cm="1">
        <f t="array" ref="R35">INDEX(股债表现与四个维度!$A:$T,MATCH($A35,股债表现与四个维度!$A:$A,0),MATCH(R$3&amp;R$4,股债表现与四个维度!$2:$2&amp;股债表现与四个维度!$3:$3,0))</f>
        <v>-0.1</v>
      </c>
      <c r="S35" s="115" cm="1">
        <f t="array" ref="S35">INDEX(股债表现与四个维度!$A:$T,MATCH($A35,股债表现与四个维度!$A:$A,0),MATCH(S$3&amp;S$4,股债表现与四个维度!$2:$2&amp;股债表现与四个维度!$3:$3,0))</f>
        <v>0.6</v>
      </c>
      <c r="T35">
        <f>SUMIFS($J35:$S35,$J35:$S35,"&lt;&gt;"&amp;"#N/A",$J$4:$S$4,T$4)</f>
        <v>0.29502367551148034</v>
      </c>
      <c r="U35">
        <f>SUMIFS($J35:$S35,$J35:$S35,"&lt;&gt;"&amp;"#N/A",$J$4:$S$4,U$4)</f>
        <v>2.5373417910003275</v>
      </c>
      <c r="V35">
        <f t="shared" si="6"/>
        <v>-2.242318115488847</v>
      </c>
      <c r="W35" s="114">
        <f t="shared" si="10"/>
        <v>-9.8929411250214514</v>
      </c>
      <c r="X35" s="114">
        <f t="shared" si="10"/>
        <v>-4.5227685977829832</v>
      </c>
      <c r="Y35">
        <f t="shared" si="7"/>
        <v>-2.020826832186041</v>
      </c>
      <c r="Z35">
        <f t="shared" si="8"/>
        <v>-6.8747600002178793</v>
      </c>
      <c r="AA35">
        <f t="shared" si="9"/>
        <v>-1.6221611999830923</v>
      </c>
    </row>
    <row r="36" spans="1:27" x14ac:dyDescent="0.35">
      <c r="A36" s="141">
        <v>45443</v>
      </c>
      <c r="B36" s="1">
        <v>-1.20586171251295</v>
      </c>
      <c r="C36" s="1">
        <v>2.1025974025979699</v>
      </c>
      <c r="D36" s="1">
        <v>0.39</v>
      </c>
      <c r="E36" t="s">
        <v>10</v>
      </c>
      <c r="F36" t="s">
        <v>112</v>
      </c>
      <c r="G36" s="114" t="s">
        <v>113</v>
      </c>
      <c r="H36" t="s">
        <v>114</v>
      </c>
      <c r="I36" t="s">
        <v>115</v>
      </c>
      <c r="J36" s="115" cm="1">
        <f t="array" ref="J36">INDEX(股债表现与四个维度!$A:$T,MATCH($A36,股债表现与四个维度!$A:$A,0),MATCH(J$3&amp;J$4,股债表现与四个维度!$2:$2&amp;股债表现与四个维度!$3:$3,0))</f>
        <v>0.25</v>
      </c>
      <c r="K36" s="115" cm="1">
        <f t="array" ref="K36">INDEX(股债表现与四个维度!$A:$T,MATCH($A36,股债表现与四个维度!$A:$A,0),MATCH(K$3&amp;K$4,股债表现与四个维度!$2:$2&amp;股债表现与四个维度!$3:$3,0))</f>
        <v>0.75</v>
      </c>
      <c r="L36" s="115" cm="1">
        <f t="array" ref="L36">INDEX(股债表现与四个维度!$A:$T,MATCH($A36,股债表现与四个维度!$A:$A,0),MATCH(L$3&amp;L$4,股债表现与四个维度!$2:$2&amp;股债表现与四个维度!$3:$3,0))</f>
        <v>-0.05</v>
      </c>
      <c r="M36" s="115" cm="1">
        <f t="array" ref="M36">INDEX(股债表现与四个维度!$A:$T,MATCH($A36,股债表现与四个维度!$A:$A,0),MATCH(M$3&amp;M$4,股债表现与四个维度!$2:$2&amp;股债表现与四个维度!$3:$3,0))</f>
        <v>0.3</v>
      </c>
      <c r="N36" s="115" cm="1">
        <f t="array" ref="N36">INDEX(股债表现与四个维度!$A:$T,MATCH($A36,股债表现与四个维度!$A:$A,0),MATCH(N$3&amp;N$4,股债表现与四个维度!$2:$2&amp;股债表现与四个维度!$3:$3,0))</f>
        <v>3.8461538461538464E-2</v>
      </c>
      <c r="O36" s="115" cm="1">
        <f t="array" ref="O36">INDEX(股债表现与四个维度!$A:$T,MATCH($A36,股债表现与四个维度!$A:$A,0),MATCH(O$3&amp;O$4,股债表现与四个维度!$2:$2&amp;股债表现与四个维度!$3:$3,0))</f>
        <v>0.46153846153846156</v>
      </c>
      <c r="P36" s="115" cm="1">
        <f t="array" ref="P36">INDEX(股债表现与四个维度!$A:$T,MATCH($A36,股债表现与四个维度!$A:$A,0),MATCH(P$3&amp;P$4,股债表现与四个维度!$2:$2&amp;股债表现与四个维度!$3:$3,0))</f>
        <v>0</v>
      </c>
      <c r="Q36" s="115" cm="1">
        <f t="array" ref="Q36">INDEX(股债表现与四个维度!$A:$T,MATCH($A36,股债表现与四个维度!$A:$A,0),MATCH(Q$3&amp;Q$4,股债表现与四个维度!$2:$2&amp;股债表现与四个维度!$3:$3,0))</f>
        <v>0.35</v>
      </c>
      <c r="R36" s="115" cm="1">
        <f t="array" ref="R36">INDEX(股债表现与四个维度!$A:$T,MATCH($A36,股债表现与四个维度!$A:$A,0),MATCH(R$3&amp;R$4,股债表现与四个维度!$2:$2&amp;股债表现与四个维度!$3:$3,0))</f>
        <v>-0.22222222222222221</v>
      </c>
      <c r="S36" s="115" cm="1">
        <f t="array" ref="S36">INDEX(股债表现与四个维度!$A:$T,MATCH($A36,股债表现与四个维度!$A:$A,0),MATCH(S$3&amp;S$4,股债表现与四个维度!$2:$2&amp;股债表现与四个维度!$3:$3,0))</f>
        <v>0.55555555555555558</v>
      </c>
      <c r="T36">
        <f>SUMIFS($J36:$S36,$J36:$S36,"&lt;&gt;"&amp;"#N/A",$J$4:$S$4,T$4)</f>
        <v>1.6239316239316265E-2</v>
      </c>
      <c r="U36">
        <f>SUMIFS($J36:$S36,$J36:$S36,"&lt;&gt;"&amp;"#N/A",$J$4:$S$4,U$4)</f>
        <v>2.4170940170940174</v>
      </c>
      <c r="V36">
        <f t="shared" ref="V36:V99" si="11">T36-U36</f>
        <v>-2.4008547008547012</v>
      </c>
      <c r="W36" s="114">
        <f t="shared" si="10"/>
        <v>0.89673569008501985</v>
      </c>
      <c r="X36" s="114">
        <f t="shared" ref="X36:X99" si="12">B36-D36</f>
        <v>-1.5958617125129502</v>
      </c>
      <c r="Y36">
        <f t="shared" ref="Y36:AA36" si="13">AVERAGE(V36:V41)</f>
        <v>-1.8498160316271772</v>
      </c>
      <c r="Z36">
        <f t="shared" si="13"/>
        <v>-5.6043878602727917</v>
      </c>
      <c r="AA36">
        <f t="shared" si="13"/>
        <v>-0.831618452536247</v>
      </c>
    </row>
    <row r="37" spans="1:27" x14ac:dyDescent="0.35">
      <c r="A37" s="141">
        <v>45412</v>
      </c>
      <c r="B37" s="1">
        <v>1.02018669301041</v>
      </c>
      <c r="C37" s="1">
        <v>-2.5316450216450002</v>
      </c>
      <c r="D37">
        <v>0.45</v>
      </c>
      <c r="E37" t="s">
        <v>10</v>
      </c>
      <c r="F37" t="s">
        <v>112</v>
      </c>
      <c r="G37" t="s">
        <v>113</v>
      </c>
      <c r="H37" t="s">
        <v>114</v>
      </c>
      <c r="I37" t="s">
        <v>115</v>
      </c>
      <c r="J37" s="115" cm="1">
        <f t="array" ref="J37">INDEX(股债表现与四个维度!$A:$T,MATCH($A37,股债表现与四个维度!$A:$A,0),MATCH(J$3&amp;J$4,股债表现与四个维度!$2:$2&amp;股债表现与四个维度!$3:$3,0))</f>
        <v>0.14285714285714285</v>
      </c>
      <c r="K37" s="115" cm="1">
        <f t="array" ref="K37">INDEX(股债表现与四个维度!$A:$T,MATCH($A37,股债表现与四个维度!$A:$A,0),MATCH(K$3&amp;K$4,股债表现与四个维度!$2:$2&amp;股债表现与四个维度!$3:$3,0))</f>
        <v>0.7142857142857143</v>
      </c>
      <c r="L37" s="115" cm="1">
        <f t="array" ref="L37">INDEX(股债表现与四个维度!$A:$T,MATCH($A37,股债表现与四个维度!$A:$A,0),MATCH(L$3&amp;L$4,股债表现与四个维度!$2:$2&amp;股债表现与四个维度!$3:$3,0))</f>
        <v>-7.6923076923076927E-2</v>
      </c>
      <c r="M37" s="115" cm="1">
        <f t="array" ref="M37">INDEX(股债表现与四个维度!$A:$T,MATCH($A37,股债表现与四个维度!$A:$A,0),MATCH(M$3&amp;M$4,股债表现与四个维度!$2:$2&amp;股债表现与四个维度!$3:$3,0))</f>
        <v>0.28205128205128205</v>
      </c>
      <c r="N37" s="115" cm="1">
        <f t="array" ref="N37">INDEX(股债表现与四个维度!$A:$T,MATCH($A37,股债表现与四个维度!$A:$A,0),MATCH(N$3&amp;N$4,股债表现与四个维度!$2:$2&amp;股债表现与四个维度!$3:$3,0))</f>
        <v>0</v>
      </c>
      <c r="O37" s="115" cm="1">
        <f t="array" ref="O37">INDEX(股债表现与四个维度!$A:$T,MATCH($A37,股债表现与四个维度!$A:$A,0),MATCH(O$3&amp;O$4,股债表现与四个维度!$2:$2&amp;股债表现与四个维度!$3:$3,0))</f>
        <v>0.44</v>
      </c>
      <c r="P37" s="115" cm="1">
        <f t="array" ref="P37">INDEX(股债表现与四个维度!$A:$T,MATCH($A37,股债表现与四个维度!$A:$A,0),MATCH(P$3&amp;P$4,股债表现与四个维度!$2:$2&amp;股债表现与四个维度!$3:$3,0))</f>
        <v>-5.2631578947368418E-2</v>
      </c>
      <c r="Q37" s="115" cm="1">
        <f t="array" ref="Q37">INDEX(股债表现与四个维度!$A:$T,MATCH($A37,股债表现与四个维度!$A:$A,0),MATCH(Q$3&amp;Q$4,股债表现与四个维度!$2:$2&amp;股债表现与四个维度!$3:$3,0))</f>
        <v>0.31578947368421051</v>
      </c>
      <c r="R37" s="115" cm="1">
        <f t="array" ref="R37">INDEX(股债表现与四个维度!$A:$T,MATCH($A37,股债表现与四个维度!$A:$A,0),MATCH(R$3&amp;R$4,股债表现与四个维度!$2:$2&amp;股债表现与四个维度!$3:$3,0))</f>
        <v>-0.375</v>
      </c>
      <c r="S37" s="115" cm="1">
        <f t="array" ref="S37">INDEX(股债表现与四个维度!$A:$T,MATCH($A37,股债表现与四个维度!$A:$A,0),MATCH(S$3&amp;S$4,股债表现与四个维度!$2:$2&amp;股债表现与四个维度!$3:$3,0))</f>
        <v>0.5</v>
      </c>
      <c r="T37">
        <f>SUMIFS($J37:$S37,$J37:$S37,"&lt;&gt;"&amp;"#N/A",$J$4:$S$4,T$4)</f>
        <v>-0.3616975130133025</v>
      </c>
      <c r="U37">
        <f>SUMIFS($J37:$S37,$J37:$S37,"&lt;&gt;"&amp;"#N/A",$J$4:$S$4,U$4)</f>
        <v>2.2521264700212069</v>
      </c>
      <c r="V37">
        <f>T37-U37</f>
        <v>-2.6138239830345094</v>
      </c>
      <c r="W37" s="114">
        <f t="shared" ref="W37:W99" si="14">B37+C37</f>
        <v>-1.5114583286345902</v>
      </c>
      <c r="X37" s="114">
        <f t="shared" si="12"/>
        <v>0.57018669301041003</v>
      </c>
      <c r="Y37">
        <f t="shared" ref="Y37:AA37" si="15">AVERAGE(V37:V42)</f>
        <v>-1.6840842421453874</v>
      </c>
      <c r="Z37">
        <f t="shared" si="15"/>
        <v>-5.2939375056678051</v>
      </c>
      <c r="AA37">
        <f t="shared" si="15"/>
        <v>-0.91933607469126366</v>
      </c>
    </row>
    <row r="38" spans="1:27" x14ac:dyDescent="0.35">
      <c r="A38" s="106">
        <v>45382</v>
      </c>
      <c r="B38" s="1">
        <v>1.35112906932993</v>
      </c>
      <c r="C38" s="1">
        <v>-14.8439357864365</v>
      </c>
      <c r="D38">
        <v>0.19</v>
      </c>
      <c r="E38" t="s">
        <v>10</v>
      </c>
      <c r="F38" t="s">
        <v>112</v>
      </c>
      <c r="G38" t="s">
        <v>113</v>
      </c>
      <c r="H38" t="s">
        <v>114</v>
      </c>
      <c r="I38" t="s">
        <v>115</v>
      </c>
      <c r="J38" s="115" cm="1">
        <f t="array" ref="J38">INDEX(股债表现与四个维度!$A:$T,MATCH($A38,股债表现与四个维度!$A:$A,0),MATCH(J$3&amp;J$4,股债表现与四个维度!$2:$2&amp;股债表现与四个维度!$3:$3,0))</f>
        <v>0.14285714285714285</v>
      </c>
      <c r="K38" s="115" cm="1">
        <f t="array" ref="K38">INDEX(股债表现与四个维度!$A:$T,MATCH($A38,股债表现与四个维度!$A:$A,0),MATCH(K$3&amp;K$4,股债表现与四个维度!$2:$2&amp;股债表现与四个维度!$3:$3,0))</f>
        <v>0.7142857142857143</v>
      </c>
      <c r="L38" s="115" cm="1">
        <f t="array" ref="L38">INDEX(股债表现与四个维度!$A:$T,MATCH($A38,股债表现与四个维度!$A:$A,0),MATCH(L$3&amp;L$4,股债表现与四个维度!$2:$2&amp;股债表现与四个维度!$3:$3,0))</f>
        <v>-0.10526315789473684</v>
      </c>
      <c r="M38" s="115" cm="1">
        <f t="array" ref="M38">INDEX(股债表现与四个维度!$A:$T,MATCH($A38,股债表现与四个维度!$A:$A,0),MATCH(M$3&amp;M$4,股债表现与四个维度!$2:$2&amp;股债表现与四个维度!$3:$3,0))</f>
        <v>0.26315789473684209</v>
      </c>
      <c r="N38" s="115" cm="1">
        <f t="array" ref="N38">INDEX(股债表现与四个维度!$A:$T,MATCH($A38,股债表现与四个维度!$A:$A,0),MATCH(N$3&amp;N$4,股债表现与四个维度!$2:$2&amp;股债表现与四个维度!$3:$3,0))</f>
        <v>0</v>
      </c>
      <c r="O38" s="115" cm="1">
        <f t="array" ref="O38">INDEX(股债表现与四个维度!$A:$T,MATCH($A38,股债表现与四个维度!$A:$A,0),MATCH(O$3&amp;O$4,股债表现与四个维度!$2:$2&amp;股债表现与四个维度!$3:$3,0))</f>
        <v>0.4</v>
      </c>
      <c r="P38" s="115" cm="1">
        <f t="array" ref="P38">INDEX(股债表现与四个维度!$A:$T,MATCH($A38,股债表现与四个维度!$A:$A,0),MATCH(P$3&amp;P$4,股债表现与四个维度!$2:$2&amp;股债表现与四个维度!$3:$3,0))</f>
        <v>-5.2631578947368418E-2</v>
      </c>
      <c r="Q38" s="115" cm="1">
        <f t="array" ref="Q38">INDEX(股债表现与四个维度!$A:$T,MATCH($A38,股债表现与四个维度!$A:$A,0),MATCH(Q$3&amp;Q$4,股债表现与四个维度!$2:$2&amp;股债表现与四个维度!$3:$3,0))</f>
        <v>0.31578947368421051</v>
      </c>
      <c r="R38" s="115" cm="1">
        <f t="array" ref="R38">INDEX(股债表现与四个维度!$A:$T,MATCH($A38,股债表现与四个维度!$A:$A,0),MATCH(R$3&amp;R$4,股债表现与四个维度!$2:$2&amp;股债表现与四个维度!$3:$3,0))</f>
        <v>-0.5714285714285714</v>
      </c>
      <c r="S38" s="115" cm="1">
        <f t="array" ref="S38">INDEX(股债表现与四个维度!$A:$T,MATCH($A38,股债表现与四个维度!$A:$A,0),MATCH(S$3&amp;S$4,股债表现与四个维度!$2:$2&amp;股债表现与四个维度!$3:$3,0))</f>
        <v>0.42857142857142855</v>
      </c>
      <c r="T38">
        <f>SUMIFS($J38:$S38,$J38:$S38,"&lt;&gt;"&amp;"#N/A",$J$4:$S$4,T$4)</f>
        <v>-0.5864661654135338</v>
      </c>
      <c r="U38">
        <f>SUMIFS($J38:$S38,$J38:$S38,"&lt;&gt;"&amp;"#N/A",$J$4:$S$4,U$4)</f>
        <v>2.1218045112781954</v>
      </c>
      <c r="V38">
        <f>T38-U38</f>
        <v>-2.7082706766917291</v>
      </c>
      <c r="W38" s="114">
        <f t="shared" si="14"/>
        <v>-13.49280671710657</v>
      </c>
      <c r="X38" s="114">
        <f t="shared" si="12"/>
        <v>1.1611290693299301</v>
      </c>
      <c r="Y38">
        <f t="shared" ref="Y38:AA38" si="16">AVERAGE(V38:V43)</f>
        <v>-1.2461303093230336</v>
      </c>
      <c r="Z38">
        <f t="shared" si="16"/>
        <v>-4.4443731404850135</v>
      </c>
      <c r="AA38">
        <f t="shared" si="16"/>
        <v>-1.172737908768142</v>
      </c>
    </row>
    <row r="39" spans="1:27" x14ac:dyDescent="0.35">
      <c r="A39" s="106">
        <v>45351</v>
      </c>
      <c r="B39" s="1">
        <v>-2.07213502019275</v>
      </c>
      <c r="C39" s="1">
        <v>-8.0283459595957396</v>
      </c>
      <c r="D39">
        <v>0.77</v>
      </c>
      <c r="E39" t="s">
        <v>9</v>
      </c>
      <c r="F39" t="s">
        <v>112</v>
      </c>
      <c r="G39" t="s">
        <v>113</v>
      </c>
      <c r="H39" t="s">
        <v>116</v>
      </c>
      <c r="I39" t="s">
        <v>115</v>
      </c>
      <c r="J39" s="115" cm="1">
        <f t="array" ref="J39">INDEX(股债表现与四个维度!$A:$T,MATCH($A39,股债表现与四个维度!$A:$A,0),MATCH(J$3&amp;J$4,股债表现与四个维度!$2:$2&amp;股债表现与四个维度!$3:$3,0))</f>
        <v>0.1</v>
      </c>
      <c r="K39" s="115" cm="1">
        <f t="array" ref="K39">INDEX(股债表现与四个维度!$A:$T,MATCH($A39,股债表现与四个维度!$A:$A,0),MATCH(K$3&amp;K$4,股债表现与四个维度!$2:$2&amp;股债表现与四个维度!$3:$3,0))</f>
        <v>-0.1</v>
      </c>
      <c r="L39" s="115" cm="1">
        <f t="array" ref="L39">INDEX(股债表现与四个维度!$A:$T,MATCH($A39,股债表现与四个维度!$A:$A,0),MATCH(L$3&amp;L$4,股债表现与四个维度!$2:$2&amp;股债表现与四个维度!$3:$3,0))</f>
        <v>-8.1081081081081086E-2</v>
      </c>
      <c r="M39" s="115" cm="1">
        <f t="array" ref="M39">INDEX(股债表现与四个维度!$A:$T,MATCH($A39,股债表现与四个维度!$A:$A,0),MATCH(M$3&amp;M$4,股债表现与四个维度!$2:$2&amp;股债表现与四个维度!$3:$3,0))</f>
        <v>0.24324324324324326</v>
      </c>
      <c r="N39" s="115" cm="1">
        <f t="array" ref="N39">INDEX(股债表现与四个维度!$A:$T,MATCH($A39,股债表现与四个维度!$A:$A,0),MATCH(N$3&amp;N$4,股债表现与四个维度!$2:$2&amp;股债表现与四个维度!$3:$3,0))</f>
        <v>0.08</v>
      </c>
      <c r="O39" s="115" cm="1">
        <f t="array" ref="O39">INDEX(股债表现与四个维度!$A:$T,MATCH($A39,股债表现与四个维度!$A:$A,0),MATCH(O$3&amp;O$4,股债表现与四个维度!$2:$2&amp;股债表现与四个维度!$3:$3,0))</f>
        <v>0.4</v>
      </c>
      <c r="P39" s="115" cm="1">
        <f t="array" ref="P39">INDEX(股债表现与四个维度!$A:$T,MATCH($A39,股债表现与四个维度!$A:$A,0),MATCH(P$3&amp;P$4,股债表现与四个维度!$2:$2&amp;股债表现与四个维度!$3:$3,0))</f>
        <v>0.16666666666666666</v>
      </c>
      <c r="Q39" s="115" cm="1">
        <f t="array" ref="Q39">INDEX(股债表现与四个维度!$A:$T,MATCH($A39,股债表现与四个维度!$A:$A,0),MATCH(Q$3&amp;Q$4,股债表现与四个维度!$2:$2&amp;股债表现与四个维度!$3:$3,0))</f>
        <v>0.125</v>
      </c>
      <c r="R39" s="115" cm="1">
        <f t="array" ref="R39">INDEX(股债表现与四个维度!$A:$T,MATCH($A39,股债表现与四个维度!$A:$A,0),MATCH(R$3&amp;R$4,股债表现与四个维度!$2:$2&amp;股债表现与四个维度!$3:$3,0))</f>
        <v>-0.5</v>
      </c>
      <c r="S39" s="115" cm="1">
        <f t="array" ref="S39">INDEX(股债表现与四个维度!$A:$T,MATCH($A39,股债表现与四个维度!$A:$A,0),MATCH(S$3&amp;S$4,股债表现与四个维度!$2:$2&amp;股债表现与四个维度!$3:$3,0))</f>
        <v>0.33333333333333331</v>
      </c>
      <c r="T39">
        <f>SUMIFS($J39:$S39,$J39:$S39,"&lt;&gt;"&amp;"#N/A",$J$4:$S$4,T$4)</f>
        <v>-0.23441441441441441</v>
      </c>
      <c r="U39">
        <f>SUMIFS($J39:$S39,$J39:$S39,"&lt;&gt;"&amp;"#N/A",$J$4:$S$4,U$4)</f>
        <v>1.0015765765765765</v>
      </c>
      <c r="V39">
        <f t="shared" si="11"/>
        <v>-1.235990990990991</v>
      </c>
      <c r="W39" s="114">
        <f>B39+C39</f>
        <v>-10.10048097978849</v>
      </c>
      <c r="X39" s="114">
        <f t="shared" si="12"/>
        <v>-2.84213502019275</v>
      </c>
      <c r="Y39">
        <f t="shared" ref="Y39:AA39" si="17">AVERAGE(V39:V44)</f>
        <v>-0.86496174341762566</v>
      </c>
      <c r="Z39">
        <f t="shared" si="17"/>
        <v>-3.7673703898571471</v>
      </c>
      <c r="AA39">
        <f t="shared" si="17"/>
        <v>-2.333544331656022</v>
      </c>
    </row>
    <row r="40" spans="1:27" x14ac:dyDescent="0.35">
      <c r="A40" s="106">
        <v>45291</v>
      </c>
      <c r="B40" s="1">
        <v>-2.0535176317502102</v>
      </c>
      <c r="C40" s="1">
        <v>-5.0940909090909896</v>
      </c>
      <c r="D40">
        <v>0.45</v>
      </c>
      <c r="E40" t="s">
        <v>9</v>
      </c>
      <c r="F40" t="s">
        <v>112</v>
      </c>
      <c r="G40" t="s">
        <v>113</v>
      </c>
      <c r="H40" t="s">
        <v>114</v>
      </c>
      <c r="I40" t="s">
        <v>115</v>
      </c>
      <c r="J40" s="115" cm="1">
        <f t="array" ref="J40">INDEX(股债表现与四个维度!$A:$T,MATCH($A40,股债表现与四个维度!$A:$A,0),MATCH(J$3&amp;J$4,股债表现与四个维度!$2:$2&amp;股债表现与四个维度!$3:$3,0))</f>
        <v>0.16666666666666666</v>
      </c>
      <c r="K40" s="115" cm="1">
        <f t="array" ref="K40">INDEX(股债表现与四个维度!$A:$T,MATCH($A40,股债表现与四个维度!$A:$A,0),MATCH(K$3&amp;K$4,股债表现与四个维度!$2:$2&amp;股债表现与四个维度!$3:$3,0))</f>
        <v>-0.22222222222222221</v>
      </c>
      <c r="L40" s="115" cm="1">
        <f t="array" ref="L40">INDEX(股债表现与四个维度!$A:$T,MATCH($A40,股债表现与四个维度!$A:$A,0),MATCH(L$3&amp;L$4,股债表现与四个维度!$2:$2&amp;股债表现与四个维度!$3:$3,0))</f>
        <v>-5.4054054054054057E-2</v>
      </c>
      <c r="M40" s="115" cm="1">
        <f t="array" ref="M40">INDEX(股债表现与四个维度!$A:$T,MATCH($A40,股债表现与四个维度!$A:$A,0),MATCH(M$3&amp;M$4,股债表现与四个维度!$2:$2&amp;股债表现与四个维度!$3:$3,0))</f>
        <v>0.24324324324324326</v>
      </c>
      <c r="N40" s="115" cm="1">
        <f t="array" ref="N40">INDEX(股债表现与四个维度!$A:$T,MATCH($A40,股债表现与四个维度!$A:$A,0),MATCH(N$3&amp;N$4,股债表现与四个维度!$2:$2&amp;股债表现与四个维度!$3:$3,0))</f>
        <v>0.12</v>
      </c>
      <c r="O40" s="115" cm="1">
        <f t="array" ref="O40">INDEX(股债表现与四个维度!$A:$T,MATCH($A40,股债表现与四个维度!$A:$A,0),MATCH(O$3&amp;O$4,股债表现与四个维度!$2:$2&amp;股债表现与四个维度!$3:$3,0))</f>
        <v>0.4</v>
      </c>
      <c r="P40" s="115" cm="1">
        <f t="array" ref="P40">INDEX(股债表现与四个维度!$A:$T,MATCH($A40,股债表现与四个维度!$A:$A,0),MATCH(P$3&amp;P$4,股债表现与四个维度!$2:$2&amp;股债表现与四个维度!$3:$3,0))</f>
        <v>0</v>
      </c>
      <c r="Q40" s="115" cm="1">
        <f t="array" ref="Q40">INDEX(股债表现与四个维度!$A:$T,MATCH($A40,股债表现与四个维度!$A:$A,0),MATCH(Q$3&amp;Q$4,股债表现与四个维度!$2:$2&amp;股债表现与四个维度!$3:$3,0))</f>
        <v>0.23529411764705882</v>
      </c>
      <c r="R40" s="115" cm="1">
        <f t="array" ref="R40">INDEX(股债表现与四个维度!$A:$T,MATCH($A40,股债表现与四个维度!$A:$A,0),MATCH(R$3&amp;R$4,股债表现与四个维度!$2:$2&amp;股债表现与四个维度!$3:$3,0))</f>
        <v>-0.5</v>
      </c>
      <c r="S40" s="115" cm="1">
        <f t="array" ref="S40">INDEX(股债表现与四个维度!$A:$T,MATCH($A40,股债表现与四个维度!$A:$A,0),MATCH(S$3&amp;S$4,股债表现与四个维度!$2:$2&amp;股债表现与四个维度!$3:$3,0))</f>
        <v>0</v>
      </c>
      <c r="T40">
        <f>SUMIFS($J40:$S40,$J40:$S40,"&lt;&gt;"&amp;"#N/A",$J$4:$S$4,T$4)</f>
        <v>-0.26738738738738743</v>
      </c>
      <c r="U40">
        <f>SUMIFS($J40:$S40,$J40:$S40,"&lt;&gt;"&amp;"#N/A",$J$4:$S$4,U$4)</f>
        <v>0.65631513866807989</v>
      </c>
      <c r="V40">
        <f t="shared" si="11"/>
        <v>-0.92370252605546732</v>
      </c>
      <c r="W40" s="114">
        <f t="shared" si="14"/>
        <v>-7.1476085408411993</v>
      </c>
      <c r="X40" s="114">
        <f t="shared" si="12"/>
        <v>-2.5035176317502104</v>
      </c>
      <c r="Y40">
        <f t="shared" ref="Y40:AA40" si="18">AVERAGE(V40:V45)</f>
        <v>-0.77144220739808966</v>
      </c>
      <c r="Z40">
        <f t="shared" si="18"/>
        <v>-2.1617524016444456</v>
      </c>
      <c r="AA40">
        <f t="shared" si="18"/>
        <v>-1.5061427335347772</v>
      </c>
    </row>
    <row r="41" spans="1:27" x14ac:dyDescent="0.35">
      <c r="A41" s="106">
        <v>45260</v>
      </c>
      <c r="B41" s="1">
        <v>0.35048788689808802</v>
      </c>
      <c r="C41" s="1">
        <v>-2.62119617224901</v>
      </c>
      <c r="D41">
        <v>0.13</v>
      </c>
      <c r="E41" t="s">
        <v>9</v>
      </c>
      <c r="F41" t="s">
        <v>112</v>
      </c>
      <c r="G41" t="s">
        <v>113</v>
      </c>
      <c r="H41" t="s">
        <v>114</v>
      </c>
      <c r="I41" t="s">
        <v>115</v>
      </c>
      <c r="J41" s="115" cm="1">
        <f t="array" ref="J41">INDEX(股债表现与四个维度!$A:$T,MATCH($A41,股债表现与四个维度!$A:$A,0),MATCH(J$3&amp;J$4,股债表现与四个维度!$2:$2&amp;股债表现与四个维度!$3:$3,0))</f>
        <v>0.23529411764705882</v>
      </c>
      <c r="K41" s="115" cm="1">
        <f t="array" ref="K41">INDEX(股债表现与四个维度!$A:$T,MATCH($A41,股债表现与四个维度!$A:$A,0),MATCH(K$3&amp;K$4,股债表现与四个维度!$2:$2&amp;股债表现与四个维度!$3:$3,0))</f>
        <v>-0.17647058823529413</v>
      </c>
      <c r="L41" s="115" cm="1">
        <f t="array" ref="L41">INDEX(股债表现与四个维度!$A:$T,MATCH($A41,股债表现与四个维度!$A:$A,0),MATCH(L$3&amp;L$4,股债表现与四个维度!$2:$2&amp;股债表现与四个维度!$3:$3,0))</f>
        <v>-5.4054054054054057E-2</v>
      </c>
      <c r="M41" s="115" cm="1">
        <f t="array" ref="M41">INDEX(股债表现与四个维度!$A:$T,MATCH($A41,股债表现与四个维度!$A:$A,0),MATCH(M$3&amp;M$4,股债表现与四个维度!$2:$2&amp;股债表现与四个维度!$3:$3,0))</f>
        <v>0.29729729729729731</v>
      </c>
      <c r="N41" s="115" cm="1">
        <f t="array" ref="N41">INDEX(股债表现与四个维度!$A:$T,MATCH($A41,股债表现与四个维度!$A:$A,0),MATCH(N$3&amp;N$4,股债表现与四个维度!$2:$2&amp;股债表现与四个维度!$3:$3,0))</f>
        <v>0.12</v>
      </c>
      <c r="O41" s="115" cm="1">
        <f t="array" ref="O41">INDEX(股债表现与四个维度!$A:$T,MATCH($A41,股债表现与四个维度!$A:$A,0),MATCH(O$3&amp;O$4,股债表现与四个维度!$2:$2&amp;股债表现与四个维度!$3:$3,0))</f>
        <v>0.48</v>
      </c>
      <c r="P41" s="115" cm="1">
        <f t="array" ref="P41">INDEX(股债表现与四个维度!$A:$T,MATCH($A41,股债表现与四个维度!$A:$A,0),MATCH(P$3&amp;P$4,股债表现与四个维度!$2:$2&amp;股债表现与四个维度!$3:$3,0))</f>
        <v>6.25E-2</v>
      </c>
      <c r="Q41" s="115" cm="1">
        <f t="array" ref="Q41">INDEX(股债表现与四个维度!$A:$T,MATCH($A41,股债表现与四个维度!$A:$A,0),MATCH(Q$3&amp;Q$4,股债表现与四个维度!$2:$2&amp;股债表现与四个维度!$3:$3,0))</f>
        <v>0.3125</v>
      </c>
      <c r="R41" s="115" cm="1">
        <f t="array" ref="R41">INDEX(股债表现与四个维度!$A:$T,MATCH($A41,股债表现与四个维度!$A:$A,0),MATCH(R$3&amp;R$4,股债表现与四个维度!$2:$2&amp;股债表现与四个维度!$3:$3,0))</f>
        <v>-0.33333333333333331</v>
      </c>
      <c r="S41" s="115" cm="1">
        <f t="array" ref="S41">INDEX(股债表现与四个维度!$A:$T,MATCH($A41,股债表现与四个维度!$A:$A,0),MATCH(S$3&amp;S$4,股债表现与四个维度!$2:$2&amp;股债表现与四个维度!$3:$3,0))</f>
        <v>0.33333333333333331</v>
      </c>
      <c r="T41">
        <f>SUMIFS($J41:$S41,$J41:$S41,"&lt;&gt;"&amp;"#N/A",$J$4:$S$4,T$4)</f>
        <v>3.0406730259671444E-2</v>
      </c>
      <c r="U41">
        <f>SUMIFS($J41:$S41,$J41:$S41,"&lt;&gt;"&amp;"#N/A",$J$4:$S$4,U$4)</f>
        <v>1.2466600423953365</v>
      </c>
      <c r="V41">
        <f t="shared" si="11"/>
        <v>-1.2162533121356649</v>
      </c>
      <c r="W41" s="114">
        <f t="shared" si="14"/>
        <v>-2.270708285350922</v>
      </c>
      <c r="X41" s="114">
        <f t="shared" si="12"/>
        <v>0.22048788689808801</v>
      </c>
      <c r="Y41">
        <f t="shared" ref="Y41:AA41" si="19">AVERAGE(V41:V46)</f>
        <v>-0.79189289203995072</v>
      </c>
      <c r="Z41">
        <f t="shared" si="19"/>
        <v>-1.5478393039443203</v>
      </c>
      <c r="AA41">
        <f t="shared" si="19"/>
        <v>-0.87743526354031898</v>
      </c>
    </row>
    <row r="42" spans="1:27" x14ac:dyDescent="0.35">
      <c r="A42" s="106">
        <v>45230</v>
      </c>
      <c r="B42" s="1">
        <v>-2.1621674454430502</v>
      </c>
      <c r="C42" s="1">
        <v>4.9216052631579901</v>
      </c>
      <c r="D42">
        <v>-0.04</v>
      </c>
      <c r="E42" t="s">
        <v>9</v>
      </c>
      <c r="F42" t="s">
        <v>112</v>
      </c>
      <c r="G42" t="s">
        <v>113</v>
      </c>
      <c r="H42" t="s">
        <v>114</v>
      </c>
      <c r="I42" t="s">
        <v>115</v>
      </c>
      <c r="J42" s="115" cm="1">
        <f t="array" ref="J42">INDEX(股债表现与四个维度!$A:$T,MATCH($A42,股债表现与四个维度!$A:$A,0),MATCH(J$3&amp;J$4,股债表现与四个维度!$2:$2&amp;股债表现与四个维度!$3:$3,0))</f>
        <v>0.3125</v>
      </c>
      <c r="K42" s="115" cm="1">
        <f t="array" ref="K42">INDEX(股债表现与四个维度!$A:$T,MATCH($A42,股债表现与四个维度!$A:$A,0),MATCH(K$3&amp;K$4,股债表现与四个维度!$2:$2&amp;股债表现与四个维度!$3:$3,0))</f>
        <v>-0.125</v>
      </c>
      <c r="L42" s="115" cm="1">
        <f t="array" ref="L42">INDEX(股债表现与四个维度!$A:$T,MATCH($A42,股债表现与四个维度!$A:$A,0),MATCH(L$3&amp;L$4,股债表现与四个维度!$2:$2&amp;股债表现与四个维度!$3:$3,0))</f>
        <v>0</v>
      </c>
      <c r="M42" s="115" cm="1">
        <f t="array" ref="M42">INDEX(股债表现与四个维度!$A:$T,MATCH($A42,股债表现与四个维度!$A:$A,0),MATCH(M$3&amp;M$4,股债表现与四个维度!$2:$2&amp;股债表现与四个维度!$3:$3,0))</f>
        <v>0.29729729729729731</v>
      </c>
      <c r="N42" s="115" cm="1">
        <f t="array" ref="N42">INDEX(股债表现与四个维度!$A:$T,MATCH($A42,股债表现与四个维度!$A:$A,0),MATCH(N$3&amp;N$4,股债表现与四个维度!$2:$2&amp;股债表现与四个维度!$3:$3,0))</f>
        <v>0.2</v>
      </c>
      <c r="O42" s="115" cm="1">
        <f t="array" ref="O42">INDEX(股债表现与四个维度!$A:$T,MATCH($A42,股债表现与四个维度!$A:$A,0),MATCH(O$3&amp;O$4,股债表现与四个维度!$2:$2&amp;股债表现与四个维度!$3:$3,0))</f>
        <v>0.48</v>
      </c>
      <c r="P42" s="115" cm="1">
        <f t="array" ref="P42">INDEX(股债表现与四个维度!$A:$T,MATCH($A42,股债表现与四个维度!$A:$A,0),MATCH(P$3&amp;P$4,股债表现与四个维度!$2:$2&amp;股债表现与四个维度!$3:$3,0))</f>
        <v>0.13333333333333333</v>
      </c>
      <c r="Q42" s="115" cm="1">
        <f t="array" ref="Q42">INDEX(股债表现与四个维度!$A:$T,MATCH($A42,股债表现与四个维度!$A:$A,0),MATCH(Q$3&amp;Q$4,股债表现与四个维度!$2:$2&amp;股债表现与四个维度!$3:$3,0))</f>
        <v>0.4</v>
      </c>
      <c r="R42" s="115" cm="1">
        <f t="array" ref="R42">INDEX(股债表现与四个维度!$A:$T,MATCH($A42,股债表现与四个维度!$A:$A,0),MATCH(R$3&amp;R$4,股债表现与四个维度!$2:$2&amp;股债表现与四个维度!$3:$3,0))</f>
        <v>0</v>
      </c>
      <c r="S42" s="115" cm="1">
        <f t="array" ref="S42">INDEX(股债表现与四个维度!$A:$T,MATCH($A42,股债表现与四个维度!$A:$A,0),MATCH(S$3&amp;S$4,股债表现与四个维度!$2:$2&amp;股债表现与四个维度!$3:$3,0))</f>
        <v>1</v>
      </c>
      <c r="T42">
        <f>SUMIFS($J42:$S42,$J42:$S42,"&lt;&gt;"&amp;"#N/A",$J$4:$S$4,T$4)</f>
        <v>0.64583333333333326</v>
      </c>
      <c r="U42">
        <f>SUMIFS($J42:$S42,$J42:$S42,"&lt;&gt;"&amp;"#N/A",$J$4:$S$4,U$4)</f>
        <v>2.0522972972972973</v>
      </c>
      <c r="V42">
        <f t="shared" si="11"/>
        <v>-1.406463963963964</v>
      </c>
      <c r="W42" s="114">
        <f t="shared" si="14"/>
        <v>2.7594378177149399</v>
      </c>
      <c r="X42" s="114">
        <f t="shared" si="12"/>
        <v>-2.1221674454430501</v>
      </c>
      <c r="Y42">
        <f t="shared" ref="Y42:AA42" si="20">AVERAGE(V42:V47)</f>
        <v>-0.64542370502896806</v>
      </c>
      <c r="Z42">
        <f t="shared" si="20"/>
        <v>-3.575511612982917</v>
      </c>
      <c r="AA42">
        <f t="shared" si="20"/>
        <v>-1.5095291568425837</v>
      </c>
    </row>
    <row r="43" spans="1:27" x14ac:dyDescent="0.35">
      <c r="A43" s="106">
        <v>45199</v>
      </c>
      <c r="B43" s="1">
        <v>-1.0902243114508601</v>
      </c>
      <c r="C43" s="1">
        <v>4.6761521739130201</v>
      </c>
      <c r="D43">
        <v>-0.14000000000000001</v>
      </c>
      <c r="E43" t="s">
        <v>9</v>
      </c>
      <c r="F43" t="s">
        <v>112</v>
      </c>
      <c r="G43" t="s">
        <v>113</v>
      </c>
      <c r="H43" t="s">
        <v>114</v>
      </c>
      <c r="I43" t="s">
        <v>115</v>
      </c>
      <c r="J43" s="115" cm="1">
        <f t="array" ref="J43">INDEX(股债表现与四个维度!$A:$T,MATCH($A43,股债表现与四个维度!$A:$A,0),MATCH(J$3&amp;J$4,股债表现与四个维度!$2:$2&amp;股债表现与四个维度!$3:$3,0))</f>
        <v>0.4</v>
      </c>
      <c r="K43" s="115" cm="1">
        <f t="array" ref="K43">INDEX(股债表现与四个维度!$A:$T,MATCH($A43,股债表现与四个维度!$A:$A,0),MATCH(K$3&amp;K$4,股债表现与四个维度!$2:$2&amp;股债表现与四个维度!$3:$3,0))</f>
        <v>-0.2</v>
      </c>
      <c r="L43" s="115" cm="1">
        <f t="array" ref="L43">INDEX(股债表现与四个维度!$A:$T,MATCH($A43,股债表现与四个维度!$A:$A,0),MATCH(L$3&amp;L$4,股债表现与四个维度!$2:$2&amp;股债表现与四个维度!$3:$3,0))</f>
        <v>0</v>
      </c>
      <c r="M43" s="115" cm="1">
        <f t="array" ref="M43">INDEX(股债表现与四个维度!$A:$T,MATCH($A43,股债表现与四个维度!$A:$A,0),MATCH(M$3&amp;M$4,股债表现与四个维度!$2:$2&amp;股债表现与四个维度!$3:$3,0))</f>
        <v>0.24324324324324326</v>
      </c>
      <c r="N43" s="115" cm="1">
        <f t="array" ref="N43">INDEX(股债表现与四个维度!$A:$T,MATCH($A43,股债表现与四个维度!$A:$A,0),MATCH(N$3&amp;N$4,股债表现与四个维度!$2:$2&amp;股债表现与四个维度!$3:$3,0))</f>
        <v>0.2</v>
      </c>
      <c r="O43" s="115" cm="1">
        <f t="array" ref="O43">INDEX(股债表现与四个维度!$A:$T,MATCH($A43,股债表现与四个维度!$A:$A,0),MATCH(O$3&amp;O$4,股债表现与四个维度!$2:$2&amp;股债表现与四个维度!$3:$3,0))</f>
        <v>0.4</v>
      </c>
      <c r="P43" s="115" cm="1">
        <f t="array" ref="P43">INDEX(股债表现与四个维度!$A:$T,MATCH($A43,股债表现与四个维度!$A:$A,0),MATCH(P$3&amp;P$4,股债表现与四个维度!$2:$2&amp;股债表现与四个维度!$3:$3,0))</f>
        <v>0.21428571428571427</v>
      </c>
      <c r="Q43" s="115" cm="1">
        <f t="array" ref="Q43">INDEX(股债表现与四个维度!$A:$T,MATCH($A43,股债表现与四个维度!$A:$A,0),MATCH(Q$3&amp;Q$4,股债表现与四个维度!$2:$2&amp;股债表现与四个维度!$3:$3,0))</f>
        <v>0.35714285714285715</v>
      </c>
      <c r="R43" s="115" cm="1">
        <f t="array" ref="R43">INDEX(股债表现与四个维度!$A:$T,MATCH($A43,股债表现与四个维度!$A:$A,0),MATCH(R$3&amp;R$4,股债表现与四个维度!$2:$2&amp;股债表现与四个维度!$3:$3,0))</f>
        <v>1</v>
      </c>
      <c r="S43" s="115" cm="1">
        <f t="array" ref="S43">INDEX(股债表现与四个维度!$A:$T,MATCH($A43,股债表现与四个维度!$A:$A,0),MATCH(S$3&amp;S$4,股债表现与四个维度!$2:$2&amp;股债表现与四个维度!$3:$3,0))</f>
        <v>1</v>
      </c>
      <c r="T43">
        <f>SUMIFS($J43:$S43,$J43:$S43,"&lt;&gt;"&amp;"#N/A",$J$4:$S$4,T$4)</f>
        <v>1.8142857142857145</v>
      </c>
      <c r="U43">
        <f>SUMIFS($J43:$S43,$J43:$S43,"&lt;&gt;"&amp;"#N/A",$J$4:$S$4,U$4)</f>
        <v>1.8003861003861004</v>
      </c>
      <c r="V43">
        <f t="shared" si="11"/>
        <v>1.3899613899614138E-2</v>
      </c>
      <c r="W43" s="114">
        <f t="shared" si="14"/>
        <v>3.5859278624621602</v>
      </c>
      <c r="X43" s="114">
        <f t="shared" si="12"/>
        <v>-0.95022431145086006</v>
      </c>
      <c r="Y43">
        <f t="shared" ref="Y43:AA43" si="21">AVERAGE(V43:V48)</f>
        <v>-0.39051039886566191</v>
      </c>
      <c r="Z43">
        <f t="shared" si="21"/>
        <v>-4.9593523160539705</v>
      </c>
      <c r="AA43">
        <f t="shared" si="21"/>
        <v>-1.451609562430807</v>
      </c>
    </row>
    <row r="44" spans="1:27" x14ac:dyDescent="0.35">
      <c r="A44" s="106">
        <v>45169</v>
      </c>
      <c r="B44" s="1">
        <v>-5.6137094679973503</v>
      </c>
      <c r="C44" s="1">
        <v>-3.8170807453420199</v>
      </c>
      <c r="D44">
        <v>0.19</v>
      </c>
      <c r="E44" t="s">
        <v>9</v>
      </c>
      <c r="F44" t="s">
        <v>112</v>
      </c>
      <c r="G44" t="s">
        <v>113</v>
      </c>
      <c r="H44" t="s">
        <v>114</v>
      </c>
      <c r="I44" t="s">
        <v>115</v>
      </c>
      <c r="J44" s="115" cm="1">
        <f t="array" ref="J44">INDEX(股债表现与四个维度!$A:$T,MATCH($A44,股债表现与四个维度!$A:$A,0),MATCH(J$3&amp;J$4,股债表现与四个维度!$2:$2&amp;股债表现与四个维度!$3:$3,0))</f>
        <v>0.35714285714285715</v>
      </c>
      <c r="K44" s="115" cm="1">
        <f t="array" ref="K44">INDEX(股债表现与四个维度!$A:$T,MATCH($A44,股债表现与四个维度!$A:$A,0),MATCH(K$3&amp;K$4,股债表现与四个维度!$2:$2&amp;股债表现与四个维度!$3:$3,0))</f>
        <v>-0.2857142857142857</v>
      </c>
      <c r="L44" s="115" cm="1">
        <f t="array" ref="L44">INDEX(股债表现与四个维度!$A:$T,MATCH($A44,股债表现与四个维度!$A:$A,0),MATCH(L$3&amp;L$4,股债表现与四个维度!$2:$2&amp;股债表现与四个维度!$3:$3,0))</f>
        <v>-2.7027027027027029E-2</v>
      </c>
      <c r="M44" s="115" cm="1">
        <f t="array" ref="M44">INDEX(股债表现与四个维度!$A:$T,MATCH($A44,股债表现与四个维度!$A:$A,0),MATCH(M$3&amp;M$4,股债表现与四个维度!$2:$2&amp;股债表现与四个维度!$3:$3,0))</f>
        <v>0.24324324324324326</v>
      </c>
      <c r="N44" s="115" cm="1">
        <f t="array" ref="N44">INDEX(股债表现与四个维度!$A:$T,MATCH($A44,股债表现与四个维度!$A:$A,0),MATCH(N$3&amp;N$4,股债表现与四个维度!$2:$2&amp;股债表现与四个维度!$3:$3,0))</f>
        <v>0.16</v>
      </c>
      <c r="O44" s="115" cm="1">
        <f t="array" ref="O44">INDEX(股债表现与四个维度!$A:$T,MATCH($A44,股债表现与四个维度!$A:$A,0),MATCH(O$3&amp;O$4,股债表现与四个维度!$2:$2&amp;股债表现与四个维度!$3:$3,0))</f>
        <v>0.4</v>
      </c>
      <c r="P44" s="115" cm="1">
        <f t="array" ref="P44">INDEX(股债表现与四个维度!$A:$T,MATCH($A44,股债表现与四个维度!$A:$A,0),MATCH(P$3&amp;P$4,股债表现与四个维度!$2:$2&amp;股债表现与四个维度!$3:$3,0))</f>
        <v>0.15384615384615385</v>
      </c>
      <c r="Q44" s="115" cm="1">
        <f t="array" ref="Q44">INDEX(股债表现与四个维度!$A:$T,MATCH($A44,股债表现与四个维度!$A:$A,0),MATCH(Q$3&amp;Q$4,股债表现与四个维度!$2:$2&amp;股债表现与四个维度!$3:$3,0))</f>
        <v>0.30769230769230771</v>
      </c>
      <c r="R44" s="115" cm="1">
        <f t="array" ref="R44">INDEX(股债表现与四个维度!$A:$T,MATCH($A44,股债表现与四个维度!$A:$A,0),MATCH(R$3&amp;R$4,股债表现与四个维度!$2:$2&amp;股债表现与四个维度!$3:$3,0))</f>
        <v>-0.2</v>
      </c>
      <c r="S44" s="115" cm="1">
        <f t="array" ref="S44">INDEX(股债表现与四个维度!$A:$T,MATCH($A44,股债表现与四个维度!$A:$A,0),MATCH(S$3&amp;S$4,股债表现与四个维度!$2:$2&amp;股债表现与四个维度!$3:$3,0))</f>
        <v>0.2</v>
      </c>
      <c r="T44">
        <f>SUMIFS($J44:$S44,$J44:$S44,"&lt;&gt;"&amp;"#N/A",$J$4:$S$4,T$4)</f>
        <v>0.443961983961984</v>
      </c>
      <c r="U44">
        <f>SUMIFS($J44:$S44,$J44:$S44,"&lt;&gt;"&amp;"#N/A",$J$4:$S$4,U$4)</f>
        <v>0.86522126522126519</v>
      </c>
      <c r="V44">
        <f t="shared" si="11"/>
        <v>-0.42125928125928119</v>
      </c>
      <c r="W44" s="114">
        <f t="shared" si="14"/>
        <v>-9.4307902133393711</v>
      </c>
      <c r="X44" s="114">
        <f t="shared" si="12"/>
        <v>-5.8037094679973507</v>
      </c>
      <c r="Y44">
        <f t="shared" ref="Y44:AA44" si="22">AVERAGE(V44:V49)</f>
        <v>-0.40977377989374886</v>
      </c>
      <c r="Z44">
        <f t="shared" si="22"/>
        <v>-6.0941734215010435</v>
      </c>
      <c r="AA44">
        <f t="shared" si="22"/>
        <v>-1.4959165777007104</v>
      </c>
    </row>
    <row r="45" spans="1:27" x14ac:dyDescent="0.35">
      <c r="A45" s="106">
        <v>45138</v>
      </c>
      <c r="B45" s="1">
        <v>2.4722745685347198</v>
      </c>
      <c r="C45" s="1">
        <v>-2.9390476190469998</v>
      </c>
      <c r="D45">
        <v>0.35</v>
      </c>
      <c r="E45" t="s">
        <v>9</v>
      </c>
      <c r="F45" t="s">
        <v>112</v>
      </c>
      <c r="G45" t="s">
        <v>113</v>
      </c>
      <c r="H45" t="s">
        <v>114</v>
      </c>
      <c r="I45" t="s">
        <v>115</v>
      </c>
      <c r="J45" s="115" cm="1">
        <f t="array" ref="J45">INDEX(股债表现与四个维度!$A:$T,MATCH($A45,股债表现与四个维度!$A:$A,0),MATCH(J$3&amp;J$4,股债表现与四个维度!$2:$2&amp;股债表现与四个维度!$3:$3,0))</f>
        <v>0.35714285714285715</v>
      </c>
      <c r="K45" s="115" cm="1">
        <f t="array" ref="K45">INDEX(股债表现与四个维度!$A:$T,MATCH($A45,股债表现与四个维度!$A:$A,0),MATCH(K$3&amp;K$4,股债表现与四个维度!$2:$2&amp;股债表现与四个维度!$3:$3,0))</f>
        <v>-0.2857142857142857</v>
      </c>
      <c r="L45" s="115" cm="1">
        <f t="array" ref="L45">INDEX(股债表现与四个维度!$A:$T,MATCH($A45,股债表现与四个维度!$A:$A,0),MATCH(L$3&amp;L$4,股债表现与四个维度!$2:$2&amp;股债表现与四个维度!$3:$3,0))</f>
        <v>-8.1081081081081086E-2</v>
      </c>
      <c r="M45" s="115" cm="1">
        <f t="array" ref="M45">INDEX(股债表现与四个维度!$A:$T,MATCH($A45,股债表现与四个维度!$A:$A,0),MATCH(M$3&amp;M$4,股债表现与四个维度!$2:$2&amp;股债表现与四个维度!$3:$3,0))</f>
        <v>0.24324324324324326</v>
      </c>
      <c r="N45" s="115" cm="1">
        <f t="array" ref="N45">INDEX(股债表现与四个维度!$A:$T,MATCH($A45,股债表现与四个维度!$A:$A,0),MATCH(N$3&amp;N$4,股债表现与四个维度!$2:$2&amp;股债表现与四个维度!$3:$3,0))</f>
        <v>0.11538461538461539</v>
      </c>
      <c r="O45" s="115" cm="1">
        <f t="array" ref="O45">INDEX(股债表现与四个维度!$A:$T,MATCH($A45,股债表现与四个维度!$A:$A,0),MATCH(O$3&amp;O$4,股债表现与四个维度!$2:$2&amp;股债表现与四个维度!$3:$3,0))</f>
        <v>0.42307692307692307</v>
      </c>
      <c r="P45" s="115" cm="1">
        <f t="array" ref="P45">INDEX(股债表现与四个维度!$A:$T,MATCH($A45,股债表现与四个维度!$A:$A,0),MATCH(P$3&amp;P$4,股债表现与四个维度!$2:$2&amp;股债表现与四个维度!$3:$3,0))</f>
        <v>7.1428571428571425E-2</v>
      </c>
      <c r="Q45" s="115" cm="1">
        <f t="array" ref="Q45">INDEX(股债表现与四个维度!$A:$T,MATCH($A45,股债表现与四个维度!$A:$A,0),MATCH(Q$3&amp;Q$4,股债表现与四个维度!$2:$2&amp;股债表现与四个维度!$3:$3,0))</f>
        <v>0.35714285714285715</v>
      </c>
      <c r="R45" s="115" cm="1">
        <f t="array" ref="R45">INDEX(股债表现与四个维度!$A:$T,MATCH($A45,股债表现与四个维度!$A:$A,0),MATCH(R$3&amp;R$4,股债表现与四个维度!$2:$2&amp;股债表现与四个维度!$3:$3,0))</f>
        <v>-0.2</v>
      </c>
      <c r="S45" s="115" cm="1">
        <f t="array" ref="S45">INDEX(股债表现与四个维度!$A:$T,MATCH($A45,股债表现与四个维度!$A:$A,0),MATCH(S$3&amp;S$4,股债表现与四个维度!$2:$2&amp;股债表现与四个维度!$3:$3,0))</f>
        <v>0.2</v>
      </c>
      <c r="T45">
        <f>SUMIFS($J45:$S45,$J45:$S45,"&lt;&gt;"&amp;"#N/A",$J$4:$S$4,T$4)</f>
        <v>0.26287496287496287</v>
      </c>
      <c r="U45">
        <f>SUMIFS($J45:$S45,$J45:$S45,"&lt;&gt;"&amp;"#N/A",$J$4:$S$4,U$4)</f>
        <v>0.93774873774873768</v>
      </c>
      <c r="V45">
        <f t="shared" si="11"/>
        <v>-0.67487377487377476</v>
      </c>
      <c r="W45" s="114">
        <f t="shared" si="14"/>
        <v>-0.46677305051228002</v>
      </c>
      <c r="X45" s="114">
        <f t="shared" si="12"/>
        <v>2.1222745685347197</v>
      </c>
      <c r="Y45">
        <f t="shared" ref="Y45:AA45" si="23">AVERAGE(V45:V50)</f>
        <v>-0.44441917512737944</v>
      </c>
      <c r="Z45">
        <f t="shared" si="23"/>
        <v>-3.6917901846594465</v>
      </c>
      <c r="AA45">
        <f t="shared" si="23"/>
        <v>4.7752315915631526E-2</v>
      </c>
    </row>
    <row r="46" spans="1:27" x14ac:dyDescent="0.35">
      <c r="A46" s="106">
        <v>45107</v>
      </c>
      <c r="B46" s="1">
        <v>1.5787271882165399</v>
      </c>
      <c r="C46" s="1">
        <v>-5.0428571428569899</v>
      </c>
      <c r="D46">
        <v>0.31</v>
      </c>
      <c r="E46" t="s">
        <v>8</v>
      </c>
      <c r="F46" t="s">
        <v>112</v>
      </c>
      <c r="G46" t="s">
        <v>117</v>
      </c>
      <c r="H46" t="s">
        <v>116</v>
      </c>
      <c r="I46" t="s">
        <v>118</v>
      </c>
      <c r="J46" s="115" cm="1">
        <f t="array" ref="J46">INDEX(股债表现与四个维度!$A:$T,MATCH($A46,股债表现与四个维度!$A:$A,0),MATCH(J$3&amp;J$4,股债表现与四个维度!$2:$2&amp;股债表现与四个维度!$3:$3,0))</f>
        <v>-6.25E-2</v>
      </c>
      <c r="K46" s="115" cm="1">
        <f t="array" ref="K46">INDEX(股债表现与四个维度!$A:$T,MATCH($A46,股债表现与四个维度!$A:$A,0),MATCH(K$3&amp;K$4,股债表现与四个维度!$2:$2&amp;股债表现与四个维度!$3:$3,0))</f>
        <v>0.25</v>
      </c>
      <c r="L46" s="115" cm="1">
        <f t="array" ref="L46">INDEX(股债表现与四个维度!$A:$T,MATCH($A46,股债表现与四个维度!$A:$A,0),MATCH(L$3&amp;L$4,股债表现与四个维度!$2:$2&amp;股债表现与四个维度!$3:$3,0))</f>
        <v>-5.4054054054054057E-2</v>
      </c>
      <c r="M46" s="115" cm="1">
        <f t="array" ref="M46">INDEX(股债表现与四个维度!$A:$T,MATCH($A46,股债表现与四个维度!$A:$A,0),MATCH(M$3&amp;M$4,股债表现与四个维度!$2:$2&amp;股债表现与四个维度!$3:$3,0))</f>
        <v>0.21621621621621623</v>
      </c>
      <c r="N46" s="115" cm="1">
        <f t="array" ref="N46">INDEX(股债表现与四个维度!$A:$T,MATCH($A46,股债表现与四个维度!$A:$A,0),MATCH(N$3&amp;N$4,股债表现与四个维度!$2:$2&amp;股债表现与四个维度!$3:$3,0))</f>
        <v>0.05</v>
      </c>
      <c r="O46" s="115" cm="1">
        <f t="array" ref="O46">INDEX(股债表现与四个维度!$A:$T,MATCH($A46,股债表现与四个维度!$A:$A,0),MATCH(O$3&amp;O$4,股债表现与四个维度!$2:$2&amp;股债表现与四个维度!$3:$3,0))</f>
        <v>0.25</v>
      </c>
      <c r="P46" s="115" cm="1">
        <f t="array" ref="P46">INDEX(股债表现与四个维度!$A:$T,MATCH($A46,股债表现与四个维度!$A:$A,0),MATCH(P$3&amp;P$4,股债表现与四个维度!$2:$2&amp;股债表现与四个维度!$3:$3,0))</f>
        <v>0.18181818181818182</v>
      </c>
      <c r="Q46" s="115" cm="1">
        <f t="array" ref="Q46">INDEX(股债表现与四个维度!$A:$T,MATCH($A46,股债表现与四个维度!$A:$A,0),MATCH(Q$3&amp;Q$4,股债表现与四个维度!$2:$2&amp;股债表现与四个维度!$3:$3,0))</f>
        <v>4.5454545454545456E-2</v>
      </c>
      <c r="R46" s="115" cm="1">
        <f t="array" ref="R46">INDEX(股债表现与四个维度!$A:$T,MATCH($A46,股债表现与四个维度!$A:$A,0),MATCH(R$3&amp;R$4,股债表现与四个维度!$2:$2&amp;股债表现与四个维度!$3:$3,0))</f>
        <v>-0.2</v>
      </c>
      <c r="S46" s="115" cm="1">
        <f t="array" ref="S46">INDEX(股债表现与四个维度!$A:$T,MATCH($A46,股债表现与四个维度!$A:$A,0),MATCH(S$3&amp;S$4,股债表现与四个维度!$2:$2&amp;股债表现与四个维度!$3:$3,0))</f>
        <v>0.2</v>
      </c>
      <c r="T46">
        <f>SUMIFS($J46:$S46,$J46:$S46,"&lt;&gt;"&amp;"#N/A",$J$4:$S$4,T$4)</f>
        <v>-8.4735872235872242E-2</v>
      </c>
      <c r="U46">
        <f>SUMIFS($J46:$S46,$J46:$S46,"&lt;&gt;"&amp;"#N/A",$J$4:$S$4,U$4)</f>
        <v>0.9616707616707616</v>
      </c>
      <c r="V46">
        <f t="shared" si="11"/>
        <v>-1.0464066339066338</v>
      </c>
      <c r="W46" s="114">
        <f t="shared" si="14"/>
        <v>-3.46412995464045</v>
      </c>
      <c r="X46" s="114">
        <f t="shared" si="12"/>
        <v>1.2687271882165398</v>
      </c>
      <c r="Y46">
        <f t="shared" ref="Y46:AA46" si="24">AVERAGE(V46:V51)</f>
        <v>-0.58278607731007104</v>
      </c>
      <c r="Z46">
        <f t="shared" si="24"/>
        <v>-2.4406587166589415</v>
      </c>
      <c r="AA46">
        <f t="shared" si="24"/>
        <v>-0.62850689303969354</v>
      </c>
    </row>
    <row r="47" spans="1:27" x14ac:dyDescent="0.35">
      <c r="A47" s="106">
        <v>45077</v>
      </c>
      <c r="B47" s="1">
        <v>-3.3120754729155002</v>
      </c>
      <c r="C47" s="1">
        <v>-11.124666666667</v>
      </c>
      <c r="D47">
        <v>0.26</v>
      </c>
      <c r="E47" t="s">
        <v>8</v>
      </c>
      <c r="F47" t="s">
        <v>112</v>
      </c>
      <c r="G47" t="s">
        <v>117</v>
      </c>
      <c r="H47" t="s">
        <v>116</v>
      </c>
      <c r="I47" t="s">
        <v>118</v>
      </c>
      <c r="J47" s="115" cm="1">
        <f t="array" ref="J47">INDEX(股债表现与四个维度!$A:$T,MATCH($A47,股债表现与四个维度!$A:$A,0),MATCH(J$3&amp;J$4,股债表现与四个维度!$2:$2&amp;股债表现与四个维度!$3:$3,0))</f>
        <v>0</v>
      </c>
      <c r="K47" s="115" cm="1">
        <f t="array" ref="K47">INDEX(股债表现与四个维度!$A:$T,MATCH($A47,股债表现与四个维度!$A:$A,0),MATCH(K$3&amp;K$4,股债表现与四个维度!$2:$2&amp;股债表现与四个维度!$3:$3,0))</f>
        <v>0.2</v>
      </c>
      <c r="L47" s="115" cm="1">
        <f t="array" ref="L47">INDEX(股债表现与四个维度!$A:$T,MATCH($A47,股债表现与四个维度!$A:$A,0),MATCH(L$3&amp;L$4,股债表现与四个维度!$2:$2&amp;股债表现与四个维度!$3:$3,0))</f>
        <v>-5.4054054054054057E-2</v>
      </c>
      <c r="M47" s="115" cm="1">
        <f t="array" ref="M47">INDEX(股债表现与四个维度!$A:$T,MATCH($A47,股债表现与四个维度!$A:$A,0),MATCH(M$3&amp;M$4,股债表现与四个维度!$2:$2&amp;股债表现与四个维度!$3:$3,0))</f>
        <v>0.21621621621621623</v>
      </c>
      <c r="N47" s="115" cm="1">
        <f t="array" ref="N47">INDEX(股债表现与四个维度!$A:$T,MATCH($A47,股债表现与四个维度!$A:$A,0),MATCH(N$3&amp;N$4,股债表现与四个维度!$2:$2&amp;股债表现与四个维度!$3:$3,0))</f>
        <v>0.10526315789473684</v>
      </c>
      <c r="O47" s="115" cm="1">
        <f t="array" ref="O47">INDEX(股债表现与四个维度!$A:$T,MATCH($A47,股债表现与四个维度!$A:$A,0),MATCH(O$3&amp;O$4,股债表现与四个维度!$2:$2&amp;股债表现与四个维度!$3:$3,0))</f>
        <v>0.21052631578947367</v>
      </c>
      <c r="P47" s="115" cm="1">
        <f t="array" ref="P47">INDEX(股债表现与四个维度!$A:$T,MATCH($A47,股债表现与四个维度!$A:$A,0),MATCH(P$3&amp;P$4,股债表现与四个维度!$2:$2&amp;股债表现与四个维度!$3:$3,0))</f>
        <v>0.23809523809523808</v>
      </c>
      <c r="Q47" s="115" cm="1">
        <f t="array" ref="Q47">INDEX(股债表现与四个维度!$A:$T,MATCH($A47,股债表现与四个维度!$A:$A,0),MATCH(Q$3&amp;Q$4,股债表现与四个维度!$2:$2&amp;股债表现与四个维度!$3:$3,0))</f>
        <v>0</v>
      </c>
      <c r="R47" s="115" cm="1">
        <f t="array" ref="R47">INDEX(股债表现与四个维度!$A:$T,MATCH($A47,股债表现与四个维度!$A:$A,0),MATCH(R$3&amp;R$4,股债表现与四个维度!$2:$2&amp;股债表现与四个维度!$3:$3,0))</f>
        <v>0</v>
      </c>
      <c r="S47" s="115" cm="1">
        <f t="array" ref="S47">INDEX(股债表现与四个维度!$A:$T,MATCH($A47,股债表现与四个维度!$A:$A,0),MATCH(S$3&amp;S$4,股债表现与四个维度!$2:$2&amp;股债表现与四个维度!$3:$3,0))</f>
        <v>0</v>
      </c>
      <c r="T47">
        <f>SUMIFS($J47:$S47,$J47:$S47,"&lt;&gt;"&amp;"#N/A",$J$4:$S$4,T$4)</f>
        <v>0.28930434193592086</v>
      </c>
      <c r="U47">
        <f>SUMIFS($J47:$S47,$J47:$S47,"&lt;&gt;"&amp;"#N/A",$J$4:$S$4,U$4)</f>
        <v>0.62674253200568986</v>
      </c>
      <c r="V47">
        <f t="shared" si="11"/>
        <v>-0.337438190069769</v>
      </c>
      <c r="W47" s="114">
        <f t="shared" si="14"/>
        <v>-14.436742139582501</v>
      </c>
      <c r="X47" s="114">
        <f t="shared" si="12"/>
        <v>-3.5720754729155004</v>
      </c>
      <c r="Y47">
        <f t="shared" ref="Y47:AA47" si="25">AVERAGE(V47:V52)</f>
        <v>-0.66536141815154093</v>
      </c>
      <c r="Z47">
        <f t="shared" si="25"/>
        <v>0.46714585051953134</v>
      </c>
      <c r="AA47">
        <f t="shared" si="25"/>
        <v>0.53977266211377817</v>
      </c>
    </row>
    <row r="48" spans="1:27" x14ac:dyDescent="0.35">
      <c r="A48" s="106">
        <v>45046</v>
      </c>
      <c r="B48" s="1">
        <v>-1.4446498789723901</v>
      </c>
      <c r="C48" s="1">
        <v>-4.0989565217389901</v>
      </c>
      <c r="D48">
        <v>0.33</v>
      </c>
      <c r="E48" t="s">
        <v>8</v>
      </c>
      <c r="F48" t="s">
        <v>112</v>
      </c>
      <c r="G48" t="s">
        <v>117</v>
      </c>
      <c r="H48" t="s">
        <v>116</v>
      </c>
      <c r="I48" t="s">
        <v>118</v>
      </c>
      <c r="J48" s="115" cm="1">
        <f t="array" ref="J48">INDEX(股债表现与四个维度!$A:$T,MATCH($A48,股债表现与四个维度!$A:$A,0),MATCH(J$3&amp;J$4,股债表现与四个维度!$2:$2&amp;股债表现与四个维度!$3:$3,0))</f>
        <v>0</v>
      </c>
      <c r="K48" s="115" cm="1">
        <f t="array" ref="K48">INDEX(股债表现与四个维度!$A:$T,MATCH($A48,股债表现与四个维度!$A:$A,0),MATCH(K$3&amp;K$4,股债表现与四个维度!$2:$2&amp;股债表现与四个维度!$3:$3,0))</f>
        <v>0.14285714285714285</v>
      </c>
      <c r="L48" s="115" cm="1">
        <f t="array" ref="L48">INDEX(股债表现与四个维度!$A:$T,MATCH($A48,股债表现与四个维度!$A:$A,0),MATCH(L$3&amp;L$4,股债表现与四个维度!$2:$2&amp;股债表现与四个维度!$3:$3,0))</f>
        <v>-5.5555555555555552E-2</v>
      </c>
      <c r="M48" s="115" cm="1">
        <f t="array" ref="M48">INDEX(股债表现与四个维度!$A:$T,MATCH($A48,股债表现与四个维度!$A:$A,0),MATCH(M$3&amp;M$4,股债表现与四个维度!$2:$2&amp;股债表现与四个维度!$3:$3,0))</f>
        <v>0.19444444444444445</v>
      </c>
      <c r="N48" s="115" cm="1">
        <f t="array" ref="N48">INDEX(股债表现与四个维度!$A:$T,MATCH($A48,股债表现与四个维度!$A:$A,0),MATCH(N$3&amp;N$4,股债表现与四个维度!$2:$2&amp;股债表现与四个维度!$3:$3,0))</f>
        <v>0.1111111111111111</v>
      </c>
      <c r="O48" s="115" cm="1">
        <f t="array" ref="O48">INDEX(股债表现与四个维度!$A:$T,MATCH($A48,股债表现与四个维度!$A:$A,0),MATCH(O$3&amp;O$4,股债表现与四个维度!$2:$2&amp;股债表现与四个维度!$3:$3,0))</f>
        <v>0.16666666666666666</v>
      </c>
      <c r="P48" s="115" cm="1">
        <f t="array" ref="P48">INDEX(股债表现与四个维度!$A:$T,MATCH($A48,股债表现与四个维度!$A:$A,0),MATCH(P$3&amp;P$4,股债表现与四个维度!$2:$2&amp;股债表现与四个维度!$3:$3,0))</f>
        <v>0.23809523809523808</v>
      </c>
      <c r="Q48" s="115" cm="1">
        <f t="array" ref="Q48">INDEX(股债表现与四个维度!$A:$T,MATCH($A48,股债表现与四个维度!$A:$A,0),MATCH(Q$3&amp;Q$4,股债表现与四个维度!$2:$2&amp;股债表现与四个维度!$3:$3,0))</f>
        <v>0</v>
      </c>
      <c r="R48" s="115" cm="1">
        <f t="array" ref="R48">INDEX(股债表现与四个维度!$A:$T,MATCH($A48,股债表现与四个维度!$A:$A,0),MATCH(R$3&amp;R$4,股债表现与四个维度!$2:$2&amp;股债表现与四个维度!$3:$3,0))</f>
        <v>0</v>
      </c>
      <c r="S48" s="115" cm="1">
        <f t="array" ref="S48">INDEX(股债表现与四个维度!$A:$T,MATCH($A48,股债表现与四个维度!$A:$A,0),MATCH(S$3&amp;S$4,股债表现与四个维度!$2:$2&amp;股债表现与四个维度!$3:$3,0))</f>
        <v>-0.33333333333333331</v>
      </c>
      <c r="T48">
        <f>SUMIFS($J48:$S48,$J48:$S48,"&lt;&gt;"&amp;"#N/A",$J$4:$S$4,T$4)</f>
        <v>0.29365079365079361</v>
      </c>
      <c r="U48">
        <f>SUMIFS($J48:$S48,$J48:$S48,"&lt;&gt;"&amp;"#N/A",$J$4:$S$4,U$4)</f>
        <v>0.17063492063492064</v>
      </c>
      <c r="V48">
        <f t="shared" si="11"/>
        <v>0.12301587301587297</v>
      </c>
      <c r="W48" s="114">
        <f t="shared" si="14"/>
        <v>-5.5436064007113801</v>
      </c>
      <c r="X48" s="114">
        <f t="shared" si="12"/>
        <v>-1.7746498789723901</v>
      </c>
      <c r="Y48">
        <f t="shared" ref="Y48:AA48" si="26">AVERAGE(V48:V53)</f>
        <v>-0.80832806901292864</v>
      </c>
      <c r="Z48">
        <f t="shared" si="26"/>
        <v>3.2550282578419751</v>
      </c>
      <c r="AA48">
        <f t="shared" si="26"/>
        <v>0.68591168319272489</v>
      </c>
    </row>
    <row r="49" spans="1:27" x14ac:dyDescent="0.35">
      <c r="A49" s="106">
        <v>45016</v>
      </c>
      <c r="B49" s="1">
        <v>-0.82606640307028001</v>
      </c>
      <c r="C49" s="1">
        <v>-2.3969323671499998</v>
      </c>
      <c r="D49">
        <v>0.39</v>
      </c>
      <c r="E49" t="s">
        <v>8</v>
      </c>
      <c r="F49" t="s">
        <v>112</v>
      </c>
      <c r="G49" t="s">
        <v>117</v>
      </c>
      <c r="H49" t="s">
        <v>119</v>
      </c>
      <c r="I49" t="s">
        <v>118</v>
      </c>
      <c r="J49" s="115" cm="1">
        <f t="array" ref="J49">INDEX(股债表现与四个维度!$A:$T,MATCH($A49,股债表现与四个维度!$A:$A,0),MATCH(J$3&amp;J$4,股债表现与四个维度!$2:$2&amp;股债表现与四个维度!$3:$3,0))</f>
        <v>-7.1428571428571425E-2</v>
      </c>
      <c r="K49" s="115" cm="1">
        <f t="array" ref="K49">INDEX(股债表现与四个维度!$A:$T,MATCH($A49,股债表现与四个维度!$A:$A,0),MATCH(K$3&amp;K$4,股债表现与四个维度!$2:$2&amp;股债表现与四个维度!$3:$3,0))</f>
        <v>0.21428571428571427</v>
      </c>
      <c r="L49" s="115" cm="1">
        <f t="array" ref="L49">INDEX(股债表现与四个维度!$A:$T,MATCH($A49,股债表现与四个维度!$A:$A,0),MATCH(L$3&amp;L$4,股债表现与四个维度!$2:$2&amp;股债表现与四个维度!$3:$3,0))</f>
        <v>-5.7142857142857141E-2</v>
      </c>
      <c r="M49" s="115" cm="1">
        <f t="array" ref="M49">INDEX(股债表现与四个维度!$A:$T,MATCH($A49,股债表现与四个维度!$A:$A,0),MATCH(M$3&amp;M$4,股债表现与四个维度!$2:$2&amp;股债表现与四个维度!$3:$3,0))</f>
        <v>0.2</v>
      </c>
      <c r="N49" s="115" cm="1">
        <f t="array" ref="N49">INDEX(股债表现与四个维度!$A:$T,MATCH($A49,股债表现与四个维度!$A:$A,0),MATCH(N$3&amp;N$4,股债表现与四个维度!$2:$2&amp;股债表现与四个维度!$3:$3,0))</f>
        <v>0.11764705882352941</v>
      </c>
      <c r="O49" s="115" cm="1">
        <f t="array" ref="O49">INDEX(股债表现与四个维度!$A:$T,MATCH($A49,股债表现与四个维度!$A:$A,0),MATCH(O$3&amp;O$4,股债表现与四个维度!$2:$2&amp;股债表现与四个维度!$3:$3,0))</f>
        <v>0.17647058823529413</v>
      </c>
      <c r="P49" s="115" cm="1">
        <f t="array" ref="P49">INDEX(股债表现与四个维度!$A:$T,MATCH($A49,股债表现与四个维度!$A:$A,0),MATCH(P$3&amp;P$4,股债表现与四个维度!$2:$2&amp;股债表现与四个维度!$3:$3,0))</f>
        <v>-0.25</v>
      </c>
      <c r="Q49" s="115" cm="1">
        <f t="array" ref="Q49">INDEX(股债表现与四个维度!$A:$T,MATCH($A49,股债表现与四个维度!$A:$A,0),MATCH(Q$3&amp;Q$4,股债表现与四个维度!$2:$2&amp;股债表现与四个维度!$3:$3,0))</f>
        <v>-0.25</v>
      </c>
      <c r="R49" s="115" cm="1">
        <f t="array" ref="R49">INDEX(股债表现与四个维度!$A:$T,MATCH($A49,股债表现与四个维度!$A:$A,0),MATCH(R$3&amp;R$4,股债表现与四个维度!$2:$2&amp;股债表现与四个维度!$3:$3,0))</f>
        <v>0</v>
      </c>
      <c r="S49" s="115" cm="1">
        <f t="array" ref="S49">INDEX(股债表现与四个维度!$A:$T,MATCH($A49,股债表现与四个维度!$A:$A,0),MATCH(S$3&amp;S$4,股债表现与四个维度!$2:$2&amp;股债表现与四个维度!$3:$3,0))</f>
        <v>-0.5</v>
      </c>
      <c r="T49">
        <f>SUMIFS($J49:$S49,$J49:$S49,"&lt;&gt;"&amp;"#N/A",$J$4:$S$4,T$4)</f>
        <v>-0.26092436974789912</v>
      </c>
      <c r="U49">
        <f>SUMIFS($J49:$S49,$J49:$S49,"&lt;&gt;"&amp;"#N/A",$J$4:$S$4,U$4)</f>
        <v>-0.15924369747899159</v>
      </c>
      <c r="V49">
        <f t="shared" si="11"/>
        <v>-0.10168067226890753</v>
      </c>
      <c r="W49" s="114">
        <f t="shared" si="14"/>
        <v>-3.22299877022028</v>
      </c>
      <c r="X49" s="114">
        <f t="shared" si="12"/>
        <v>-1.2160664030702799</v>
      </c>
      <c r="Y49">
        <f t="shared" ref="Y49:AA49" si="27">AVERAGE(V49:V54)</f>
        <v>-0.70828594488358354</v>
      </c>
      <c r="Z49">
        <f t="shared" si="27"/>
        <v>2.8913535805445765</v>
      </c>
      <c r="AA49">
        <f t="shared" si="27"/>
        <v>-0.25980785262767681</v>
      </c>
    </row>
    <row r="50" spans="1:27" x14ac:dyDescent="0.35">
      <c r="A50" s="106">
        <v>44985</v>
      </c>
      <c r="B50" s="1">
        <v>3.6783038937007002</v>
      </c>
      <c r="C50" s="1">
        <v>1.3052053140095099</v>
      </c>
      <c r="D50">
        <v>0.22</v>
      </c>
      <c r="E50" t="s">
        <v>8</v>
      </c>
      <c r="F50" t="s">
        <v>112</v>
      </c>
      <c r="G50" t="s">
        <v>117</v>
      </c>
      <c r="H50" t="s">
        <v>119</v>
      </c>
      <c r="I50" t="s">
        <v>118</v>
      </c>
      <c r="J50" s="115" cm="1">
        <f t="array" ref="J50">INDEX(股债表现与四个维度!$A:$T,MATCH($A50,股债表现与四个维度!$A:$A,0),MATCH(J$3&amp;J$4,股债表现与四个维度!$2:$2&amp;股债表现与四个维度!$3:$3,0))</f>
        <v>0</v>
      </c>
      <c r="K50" s="115" cm="1">
        <f t="array" ref="K50">INDEX(股债表现与四个维度!$A:$T,MATCH($A50,股债表现与四个维度!$A:$A,0),MATCH(K$3&amp;K$4,股债表现与四个维度!$2:$2&amp;股债表现与四个维度!$3:$3,0))</f>
        <v>0.13333333333333333</v>
      </c>
      <c r="L50" s="115" cm="1">
        <f t="array" ref="L50">INDEX(股债表现与四个维度!$A:$T,MATCH($A50,股债表现与四个维度!$A:$A,0),MATCH(L$3&amp;L$4,股债表现与四个维度!$2:$2&amp;股债表现与四个维度!$3:$3,0))</f>
        <v>-8.8235294117647065E-2</v>
      </c>
      <c r="M50" s="115" cm="1">
        <f t="array" ref="M50">INDEX(股债表现与四个维度!$A:$T,MATCH($A50,股债表现与四个维度!$A:$A,0),MATCH(M$3&amp;M$4,股债表现与四个维度!$2:$2&amp;股债表现与四个维度!$3:$3,0))</f>
        <v>0.20588235294117646</v>
      </c>
      <c r="N50" s="115" cm="1">
        <f t="array" ref="N50">INDEX(股债表现与四个维度!$A:$T,MATCH($A50,股债表现与四个维度!$A:$A,0),MATCH(N$3&amp;N$4,股债表现与四个维度!$2:$2&amp;股债表现与四个维度!$3:$3,0))</f>
        <v>0.11764705882352941</v>
      </c>
      <c r="O50" s="115" cm="1">
        <f t="array" ref="O50">INDEX(股债表现与四个维度!$A:$T,MATCH($A50,股债表现与四个维度!$A:$A,0),MATCH(O$3&amp;O$4,股债表现与四个维度!$2:$2&amp;股债表现与四个维度!$3:$3,0))</f>
        <v>0.17647058823529413</v>
      </c>
      <c r="P50" s="115" cm="1">
        <f t="array" ref="P50">INDEX(股债表现与四个维度!$A:$T,MATCH($A50,股债表现与四个维度!$A:$A,0),MATCH(P$3&amp;P$4,股债表现与四个维度!$2:$2&amp;股债表现与四个维度!$3:$3,0))</f>
        <v>-0.42857142857142855</v>
      </c>
      <c r="Q50" s="115" cm="1">
        <f t="array" ref="Q50">INDEX(股债表现与四个维度!$A:$T,MATCH($A50,股债表现与四个维度!$A:$A,0),MATCH(Q$3&amp;Q$4,股债表现与四个维度!$2:$2&amp;股债表现与四个维度!$3:$3,0))</f>
        <v>-0.2857142857142857</v>
      </c>
      <c r="R50" s="115" cm="1">
        <f t="array" ref="R50">INDEX(股债表现与四个维度!$A:$T,MATCH($A50,股债表现与四个维度!$A:$A,0),MATCH(R$3&amp;R$4,股债表现与四个维度!$2:$2&amp;股债表现与四个维度!$3:$3,0))</f>
        <v>-1</v>
      </c>
      <c r="S50" s="115" cm="1">
        <f t="array" ref="S50">INDEX(股债表现与四个维度!$A:$T,MATCH($A50,股债表现与四个维度!$A:$A,0),MATCH(S$3&amp;S$4,股债表现与四个维度!$2:$2&amp;股债表现与四个维度!$3:$3,0))</f>
        <v>-1</v>
      </c>
      <c r="T50">
        <f>SUMIFS($J50:$S50,$J50:$S50,"&lt;&gt;"&amp;"#N/A",$J$4:$S$4,T$4)</f>
        <v>-1.3991596638655461</v>
      </c>
      <c r="U50">
        <f>SUMIFS($J50:$S50,$J50:$S50,"&lt;&gt;"&amp;"#N/A",$J$4:$S$4,U$4)</f>
        <v>-0.77002801120448172</v>
      </c>
      <c r="V50">
        <f t="shared" si="11"/>
        <v>-0.62913165266106441</v>
      </c>
      <c r="W50" s="114">
        <f t="shared" si="14"/>
        <v>4.9835092077102097</v>
      </c>
      <c r="X50" s="114">
        <f t="shared" si="12"/>
        <v>3.4583038937007</v>
      </c>
      <c r="Y50">
        <f t="shared" ref="Y50:AA50" si="28">AVERAGE(V50:V55)</f>
        <v>-0.30840265823559082</v>
      </c>
      <c r="Z50">
        <f t="shared" si="28"/>
        <v>0.74669906477686432</v>
      </c>
      <c r="AA50">
        <f t="shared" si="28"/>
        <v>-0.57458946754438844</v>
      </c>
    </row>
    <row r="51" spans="1:27" x14ac:dyDescent="0.35">
      <c r="A51" s="106">
        <v>44926</v>
      </c>
      <c r="B51" s="1">
        <v>-2.1152806851972299</v>
      </c>
      <c r="C51" s="1">
        <v>9.1552964426879804</v>
      </c>
      <c r="D51">
        <v>-0.18</v>
      </c>
      <c r="E51" t="s">
        <v>7</v>
      </c>
      <c r="F51" t="s">
        <v>112</v>
      </c>
      <c r="G51" t="s">
        <v>120</v>
      </c>
      <c r="H51" t="s">
        <v>119</v>
      </c>
      <c r="I51" t="s">
        <v>118</v>
      </c>
      <c r="J51" s="115" cm="1">
        <f t="array" ref="J51">INDEX(股债表现与四个维度!$A:$T,MATCH($A51,股债表现与四个维度!$A:$A,0),MATCH(J$3&amp;J$4,股债表现与四个维度!$2:$2&amp;股债表现与四个维度!$3:$3,0))</f>
        <v>-5.2631578947368418E-2</v>
      </c>
      <c r="K51" s="115" cm="1">
        <f t="array" ref="K51">INDEX(股债表现与四个维度!$A:$T,MATCH($A51,股债表现与四个维度!$A:$A,0),MATCH(K$3&amp;K$4,股债表现与四个维度!$2:$2&amp;股债表现与四个维度!$3:$3,0))</f>
        <v>0.26315789473684209</v>
      </c>
      <c r="L51" s="115" cm="1">
        <f t="array" ref="L51">INDEX(股债表现与四个维度!$A:$T,MATCH($A51,股债表现与四个维度!$A:$A,0),MATCH(L$3&amp;L$4,股债表现与四个维度!$2:$2&amp;股债表现与四个维度!$3:$3,0))</f>
        <v>-9.375E-2</v>
      </c>
      <c r="M51" s="115" cm="1">
        <f t="array" ref="M51">INDEX(股债表现与四个维度!$A:$T,MATCH($A51,股债表现与四个维度!$A:$A,0),MATCH(M$3&amp;M$4,股债表现与四个维度!$2:$2&amp;股债表现与四个维度!$3:$3,0))</f>
        <v>0.28125</v>
      </c>
      <c r="N51" s="115" cm="1">
        <f t="array" ref="N51">INDEX(股债表现与四个维度!$A:$T,MATCH($A51,股债表现与四个维度!$A:$A,0),MATCH(N$3&amp;N$4,股债表现与四个维度!$2:$2&amp;股债表现与四个维度!$3:$3,0))</f>
        <v>-0.14285714285714285</v>
      </c>
      <c r="O51" s="115" cm="1">
        <f t="array" ref="O51">INDEX(股债表现与四个维度!$A:$T,MATCH($A51,股债表现与四个维度!$A:$A,0),MATCH(O$3&amp;O$4,股债表现与四个维度!$2:$2&amp;股债表现与四个维度!$3:$3,0))</f>
        <v>-0.42857142857142855</v>
      </c>
      <c r="P51" s="115" cm="1">
        <f t="array" ref="P51">INDEX(股债表现与四个维度!$A:$T,MATCH($A51,股债表现与四个维度!$A:$A,0),MATCH(P$3&amp;P$4,股债表现与四个维度!$2:$2&amp;股债表现与四个维度!$3:$3,0))</f>
        <v>-0.6</v>
      </c>
      <c r="Q51" s="115" cm="1">
        <f t="array" ref="Q51">INDEX(股债表现与四个维度!$A:$T,MATCH($A51,股债表现与四个维度!$A:$A,0),MATCH(Q$3&amp;Q$4,股债表现与四个维度!$2:$2&amp;股债表现与四个维度!$3:$3,0))</f>
        <v>0</v>
      </c>
      <c r="R51" s="115" cm="1">
        <f t="array" ref="R51">INDEX(股债表现与四个维度!$A:$T,MATCH($A51,股债表现与四个维度!$A:$A,0),MATCH(R$3&amp;R$4,股债表现与四个维度!$2:$2&amp;股债表现与四个维度!$3:$3,0))</f>
        <v>-0.33333333333333331</v>
      </c>
      <c r="S51" s="115" cm="1">
        <f t="array" ref="S51">INDEX(股债表现与四个维度!$A:$T,MATCH($A51,股债表现与四个维度!$A:$A,0),MATCH(S$3&amp;S$4,股债表现与四个维度!$2:$2&amp;股债表现与四个维度!$3:$3,0))</f>
        <v>0.16666666666666666</v>
      </c>
      <c r="T51">
        <f>SUMIFS($J51:$S51,$J51:$S51,"&lt;&gt;"&amp;"#N/A",$J$4:$S$4,T$4)</f>
        <v>-1.2225720551378445</v>
      </c>
      <c r="U51">
        <f>SUMIFS($J51:$S51,$J51:$S51,"&lt;&gt;"&amp;"#N/A",$J$4:$S$4,U$4)</f>
        <v>0.28250313283208017</v>
      </c>
      <c r="V51">
        <f t="shared" si="11"/>
        <v>-1.5050751879699247</v>
      </c>
      <c r="W51" s="114">
        <f t="shared" si="14"/>
        <v>7.0400157574907505</v>
      </c>
      <c r="X51" s="114">
        <f t="shared" si="12"/>
        <v>-1.93528068519723</v>
      </c>
      <c r="Y51">
        <f t="shared" ref="Y51:AA51" si="29">AVERAGE(V51:V56)</f>
        <v>-0.10910293834763581</v>
      </c>
      <c r="Z51">
        <f t="shared" si="29"/>
        <v>-0.25689076530757898</v>
      </c>
      <c r="AA51">
        <f t="shared" si="29"/>
        <v>-1.6641371421192452</v>
      </c>
    </row>
    <row r="52" spans="1:27" x14ac:dyDescent="0.35">
      <c r="A52" s="106">
        <v>44895</v>
      </c>
      <c r="B52" s="1">
        <v>7.8584045191373697</v>
      </c>
      <c r="C52" s="1">
        <v>6.1242929292930199</v>
      </c>
      <c r="D52">
        <v>-0.42</v>
      </c>
      <c r="E52" t="s">
        <v>7</v>
      </c>
      <c r="F52" t="s">
        <v>112</v>
      </c>
      <c r="G52" t="s">
        <v>120</v>
      </c>
      <c r="H52" t="s">
        <v>119</v>
      </c>
      <c r="I52" t="s">
        <v>121</v>
      </c>
      <c r="J52" s="115" cm="1">
        <f t="array" ref="J52">INDEX(股债表现与四个维度!$A:$T,MATCH($A52,股债表现与四个维度!$A:$A,0),MATCH(J$3&amp;J$4,股债表现与四个维度!$2:$2&amp;股债表现与四个维度!$3:$3,0))</f>
        <v>0</v>
      </c>
      <c r="K52" s="115" cm="1">
        <f t="array" ref="K52">INDEX(股债表现与四个维度!$A:$T,MATCH($A52,股债表现与四个维度!$A:$A,0),MATCH(K$3&amp;K$4,股债表现与四个维度!$2:$2&amp;股债表现与四个维度!$3:$3,0))</f>
        <v>0.33333333333333331</v>
      </c>
      <c r="L52" s="115" cm="1">
        <f t="array" ref="L52">INDEX(股债表现与四个维度!$A:$T,MATCH($A52,股债表现与四个维度!$A:$A,0),MATCH(L$3&amp;L$4,股债表现与四个维度!$2:$2&amp;股债表现与四个维度!$3:$3,0))</f>
        <v>-6.4516129032258063E-2</v>
      </c>
      <c r="M52" s="115" cm="1">
        <f t="array" ref="M52">INDEX(股债表现与四个维度!$A:$T,MATCH($A52,股债表现与四个维度!$A:$A,0),MATCH(M$3&amp;M$4,股债表现与四个维度!$2:$2&amp;股债表现与四个维度!$3:$3,0))</f>
        <v>0.32258064516129031</v>
      </c>
      <c r="N52" s="115" cm="1">
        <f t="array" ref="N52">INDEX(股债表现与四个维度!$A:$T,MATCH($A52,股债表现与四个维度!$A:$A,0),MATCH(N$3&amp;N$4,股债表现与四个维度!$2:$2&amp;股债表现与四个维度!$3:$3,0))</f>
        <v>0</v>
      </c>
      <c r="O52" s="115" cm="1">
        <f t="array" ref="O52">INDEX(股债表现与四个维度!$A:$T,MATCH($A52,股债表现与四个维度!$A:$A,0),MATCH(O$3&amp;O$4,股债表现与四个维度!$2:$2&amp;股债表现与四个维度!$3:$3,0))</f>
        <v>-0.42857142857142855</v>
      </c>
      <c r="P52" s="115" cm="1">
        <f t="array" ref="P52">INDEX(股债表现与四个维度!$A:$T,MATCH($A52,股债表现与四个维度!$A:$A,0),MATCH(P$3&amp;P$4,股债表现与四个维度!$2:$2&amp;股债表现与四个维度!$3:$3,0))</f>
        <v>-0.5</v>
      </c>
      <c r="Q52" s="115" cm="1">
        <f t="array" ref="Q52">INDEX(股债表现与四个维度!$A:$T,MATCH($A52,股债表现与四个维度!$A:$A,0),MATCH(Q$3&amp;Q$4,股债表现与四个维度!$2:$2&amp;股债表现与四个维度!$3:$3,0))</f>
        <v>0.25</v>
      </c>
      <c r="R52" s="115" cm="1">
        <f t="array" ref="R52">INDEX(股债表现与四个维度!$A:$T,MATCH($A52,股债表现与四个维度!$A:$A,0),MATCH(R$3&amp;R$4,股债表现与四个维度!$2:$2&amp;股债表现与四个维度!$3:$3,0))</f>
        <v>-0.33333333333333331</v>
      </c>
      <c r="S52" s="115" cm="1">
        <f t="array" ref="S52">INDEX(股债表现与四个维度!$A:$T,MATCH($A52,股债表现与四个维度!$A:$A,0),MATCH(S$3&amp;S$4,股债表现与四个维度!$2:$2&amp;股债表现与四个维度!$3:$3,0))</f>
        <v>0.16666666666666666</v>
      </c>
      <c r="T52">
        <f>SUMIFS($J52:$S52,$J52:$S52,"&lt;&gt;"&amp;"#N/A",$J$4:$S$4,T$4)</f>
        <v>-0.89784946236559127</v>
      </c>
      <c r="U52">
        <f>SUMIFS($J52:$S52,$J52:$S52,"&lt;&gt;"&amp;"#N/A",$J$4:$S$4,U$4)</f>
        <v>0.64400921658986177</v>
      </c>
      <c r="V52">
        <f t="shared" si="11"/>
        <v>-1.5418586789554531</v>
      </c>
      <c r="W52" s="114">
        <f t="shared" si="14"/>
        <v>13.98269744843039</v>
      </c>
      <c r="X52" s="114">
        <f t="shared" si="12"/>
        <v>8.2784045191373696</v>
      </c>
      <c r="Y52">
        <f t="shared" ref="Y52:AA52" si="30">AVERAGE(V52:V57)</f>
        <v>-0.18593988470212605</v>
      </c>
      <c r="Z52">
        <f t="shared" si="30"/>
        <v>0.15060607213014934</v>
      </c>
      <c r="AA52">
        <f t="shared" si="30"/>
        <v>0.19674243576647812</v>
      </c>
    </row>
    <row r="53" spans="1:27" x14ac:dyDescent="0.35">
      <c r="A53" s="106">
        <v>44865</v>
      </c>
      <c r="B53" s="1">
        <v>-2.54524134644182</v>
      </c>
      <c r="C53" s="1">
        <v>4.8357936507939803</v>
      </c>
      <c r="D53">
        <v>0.15</v>
      </c>
      <c r="E53" t="s">
        <v>7</v>
      </c>
      <c r="F53" t="s">
        <v>112</v>
      </c>
      <c r="G53" t="s">
        <v>120</v>
      </c>
      <c r="H53" t="s">
        <v>119</v>
      </c>
      <c r="I53" t="s">
        <v>121</v>
      </c>
      <c r="J53" s="115" cm="1">
        <f t="array" ref="J53">INDEX(股债表现与四个维度!$A:$T,MATCH($A53,股债表现与四个维度!$A:$A,0),MATCH(J$3&amp;J$4,股债表现与四个维度!$2:$2&amp;股债表现与四个维度!$3:$3,0))</f>
        <v>0</v>
      </c>
      <c r="K53" s="115" cm="1">
        <f t="array" ref="K53">INDEX(股债表现与四个维度!$A:$T,MATCH($A53,股债表现与四个维度!$A:$A,0),MATCH(K$3&amp;K$4,股债表现与四个维度!$2:$2&amp;股债表现与四个维度!$3:$3,0))</f>
        <v>0.33333333333333331</v>
      </c>
      <c r="L53" s="115" cm="1">
        <f t="array" ref="L53">INDEX(股债表现与四个维度!$A:$T,MATCH($A53,股债表现与四个维度!$A:$A,0),MATCH(L$3&amp;L$4,股债表现与四个维度!$2:$2&amp;股债表现与四个维度!$3:$3,0))</f>
        <v>-3.3333333333333333E-2</v>
      </c>
      <c r="M53" s="115" cm="1">
        <f t="array" ref="M53">INDEX(股债表现与四个维度!$A:$T,MATCH($A53,股债表现与四个维度!$A:$A,0),MATCH(M$3&amp;M$4,股债表现与四个维度!$2:$2&amp;股债表现与四个维度!$3:$3,0))</f>
        <v>0.33333333333333331</v>
      </c>
      <c r="N53" s="115" cm="1">
        <f t="array" ref="N53">INDEX(股债表现与四个维度!$A:$T,MATCH($A53,股债表现与四个维度!$A:$A,0),MATCH(N$3&amp;N$4,股债表现与四个维度!$2:$2&amp;股债表现与四个维度!$3:$3,0))</f>
        <v>0.14285714285714285</v>
      </c>
      <c r="O53" s="115" cm="1">
        <f t="array" ref="O53">INDEX(股债表现与四个维度!$A:$T,MATCH($A53,股债表现与四个维度!$A:$A,0),MATCH(O$3&amp;O$4,股债表现与四个维度!$2:$2&amp;股债表现与四个维度!$3:$3,0))</f>
        <v>-0.42857142857142855</v>
      </c>
      <c r="P53" s="115" cm="1">
        <f t="array" ref="P53">INDEX(股债表现与四个维度!$A:$T,MATCH($A53,股债表现与四个维度!$A:$A,0),MATCH(P$3&amp;P$4,股债表现与四个维度!$2:$2&amp;股债表现与四个维度!$3:$3,0))</f>
        <v>-0.33333333333333331</v>
      </c>
      <c r="Q53" s="115" cm="1">
        <f t="array" ref="Q53">INDEX(股债表现与四个维度!$A:$T,MATCH($A53,股债表现与四个维度!$A:$A,0),MATCH(Q$3&amp;Q$4,股债表现与四个维度!$2:$2&amp;股债表现与四个维度!$3:$3,0))</f>
        <v>0.33333333333333331</v>
      </c>
      <c r="R53" s="115" cm="1">
        <f t="array" ref="R53">INDEX(股债表现与四个维度!$A:$T,MATCH($A53,股债表现与四个维度!$A:$A,0),MATCH(R$3&amp;R$4,股债表现与四个维度!$2:$2&amp;股债表现与四个维度!$3:$3,0))</f>
        <v>-0.2</v>
      </c>
      <c r="S53" s="115" cm="1">
        <f t="array" ref="S53">INDEX(股债表现与四个维度!$A:$T,MATCH($A53,股债表现与四个维度!$A:$A,0),MATCH(S$3&amp;S$4,股债表现与四个维度!$2:$2&amp;股债表现与四个维度!$3:$3,0))</f>
        <v>0.2</v>
      </c>
      <c r="T53">
        <f>SUMIFS($J53:$S53,$J53:$S53,"&lt;&gt;"&amp;"#N/A",$J$4:$S$4,T$4)</f>
        <v>-0.4238095238095238</v>
      </c>
      <c r="U53">
        <f>SUMIFS($J53:$S53,$J53:$S53,"&lt;&gt;"&amp;"#N/A",$J$4:$S$4,U$4)</f>
        <v>0.77142857142857135</v>
      </c>
      <c r="V53">
        <f t="shared" si="11"/>
        <v>-1.1952380952380952</v>
      </c>
      <c r="W53" s="114">
        <f t="shared" si="14"/>
        <v>2.2905523043521603</v>
      </c>
      <c r="X53" s="114">
        <f t="shared" si="12"/>
        <v>-2.6952413464418199</v>
      </c>
      <c r="Y53">
        <f t="shared" ref="Y53:AA53" si="31">AVERAGE(V53:V58)</f>
        <v>-0.22302937227548458</v>
      </c>
      <c r="Z53">
        <f t="shared" si="31"/>
        <v>-1.4148032011093534</v>
      </c>
      <c r="AA53">
        <f t="shared" si="31"/>
        <v>-0.30005452386068682</v>
      </c>
    </row>
    <row r="54" spans="1:27" x14ac:dyDescent="0.35">
      <c r="A54" s="106">
        <v>44834</v>
      </c>
      <c r="B54" s="1">
        <v>-7.5689670938948002</v>
      </c>
      <c r="C54" s="1">
        <v>-0.15668737060097199</v>
      </c>
      <c r="D54">
        <v>-0.12</v>
      </c>
      <c r="E54" t="s">
        <v>8</v>
      </c>
      <c r="F54" t="s">
        <v>112</v>
      </c>
      <c r="G54" t="s">
        <v>120</v>
      </c>
      <c r="H54" t="s">
        <v>119</v>
      </c>
      <c r="I54" t="s">
        <v>121</v>
      </c>
      <c r="J54" s="115" cm="1">
        <f t="array" ref="J54">INDEX(股债表现与四个维度!$A:$T,MATCH($A54,股债表现与四个维度!$A:$A,0),MATCH(J$3&amp;J$4,股债表现与四个维度!$2:$2&amp;股债表现与四个维度!$3:$3,0))</f>
        <v>0.17647058823529413</v>
      </c>
      <c r="K54" s="115" cm="1">
        <f t="array" ref="K54">INDEX(股债表现与四个维度!$A:$T,MATCH($A54,股债表现与四个维度!$A:$A,0),MATCH(K$3&amp;K$4,股债表现与四个维度!$2:$2&amp;股债表现与四个维度!$3:$3,0))</f>
        <v>0</v>
      </c>
      <c r="L54" s="115" cm="1">
        <f t="array" ref="L54">INDEX(股债表现与四个维度!$A:$T,MATCH($A54,股债表现与四个维度!$A:$A,0),MATCH(L$3&amp;L$4,股债表现与四个维度!$2:$2&amp;股债表现与四个维度!$3:$3,0))</f>
        <v>0</v>
      </c>
      <c r="M54" s="115" cm="1">
        <f t="array" ref="M54">INDEX(股债表现与四个维度!$A:$T,MATCH($A54,股债表现与四个维度!$A:$A,0),MATCH(M$3&amp;M$4,股债表现与四个维度!$2:$2&amp;股债表现与四个维度!$3:$3,0))</f>
        <v>0.31034482758620691</v>
      </c>
      <c r="N54" s="115" cm="1">
        <f t="array" ref="N54">INDEX(股债表现与四个维度!$A:$T,MATCH($A54,股债表现与四个维度!$A:$A,0),MATCH(N$3&amp;N$4,股债表现与四个维度!$2:$2&amp;股债表现与四个维度!$3:$3,0))</f>
        <v>0.2857142857142857</v>
      </c>
      <c r="O54" s="115" cm="1">
        <f t="array" ref="O54">INDEX(股债表现与四个维度!$A:$T,MATCH($A54,股债表现与四个维度!$A:$A,0),MATCH(O$3&amp;O$4,股债表现与四个维度!$2:$2&amp;股债表现与四个维度!$3:$3,0))</f>
        <v>-0.5714285714285714</v>
      </c>
      <c r="P54" s="115" cm="1">
        <f t="array" ref="P54">INDEX(股债表现与四个维度!$A:$T,MATCH($A54,股债表现与四个维度!$A:$A,0),MATCH(P$3&amp;P$4,股债表现与四个维度!$2:$2&amp;股债表现与四个维度!$3:$3,0))</f>
        <v>0</v>
      </c>
      <c r="Q54" s="115" cm="1">
        <f t="array" ref="Q54">INDEX(股债表现与四个维度!$A:$T,MATCH($A54,股债表现与四个维度!$A:$A,0),MATCH(Q$3&amp;Q$4,股债表现与四个维度!$2:$2&amp;股债表现与四个维度!$3:$3,0))</f>
        <v>0</v>
      </c>
      <c r="R54" s="115" cm="1">
        <f t="array" ref="R54">INDEX(股债表现与四个维度!$A:$T,MATCH($A54,股债表现与四个维度!$A:$A,0),MATCH(R$3&amp;R$4,股债表现与四个维度!$2:$2&amp;股债表现与四个维度!$3:$3,0))</f>
        <v>0</v>
      </c>
      <c r="S54" s="115" cm="1">
        <f t="array" ref="S54">INDEX(股债表现与四个维度!$A:$T,MATCH($A54,股债表现与四个维度!$A:$A,0),MATCH(S$3&amp;S$4,股债表现与四个维度!$2:$2&amp;股债表现与四个维度!$3:$3,0))</f>
        <v>0</v>
      </c>
      <c r="T54">
        <f>SUMIFS($J54:$S54,$J54:$S54,"&lt;&gt;"&amp;"#N/A",$J$4:$S$4,T$4)</f>
        <v>0.46218487394957986</v>
      </c>
      <c r="U54">
        <f>SUMIFS($J54:$S54,$J54:$S54,"&lt;&gt;"&amp;"#N/A",$J$4:$S$4,U$4)</f>
        <v>-0.26108374384236449</v>
      </c>
      <c r="V54">
        <f t="shared" si="11"/>
        <v>0.72326861779194429</v>
      </c>
      <c r="W54" s="114">
        <f t="shared" si="14"/>
        <v>-7.7256544644957721</v>
      </c>
      <c r="X54" s="114">
        <f t="shared" si="12"/>
        <v>-7.4489670938948001</v>
      </c>
      <c r="Y54">
        <f t="shared" ref="Y54:AA54" si="32">AVERAGE(V54:V59)</f>
        <v>-0.32728793534983713</v>
      </c>
      <c r="Z54">
        <f t="shared" si="32"/>
        <v>-3.5281459512937823</v>
      </c>
      <c r="AA54">
        <f t="shared" si="32"/>
        <v>-1.4699299402516151</v>
      </c>
    </row>
    <row r="55" spans="1:27" x14ac:dyDescent="0.35">
      <c r="A55" s="106">
        <v>44804</v>
      </c>
      <c r="B55" s="1">
        <v>-2.8647560925705502</v>
      </c>
      <c r="C55" s="1">
        <v>-13.226169772256</v>
      </c>
      <c r="D55">
        <v>0.24</v>
      </c>
      <c r="E55" t="s">
        <v>8</v>
      </c>
      <c r="F55" t="s">
        <v>112</v>
      </c>
      <c r="G55" t="s">
        <v>120</v>
      </c>
      <c r="H55" t="s">
        <v>119</v>
      </c>
      <c r="I55" t="s">
        <v>121</v>
      </c>
      <c r="J55" s="115" cm="1">
        <f t="array" ref="J55">INDEX(股债表现与四个维度!$A:$T,MATCH($A55,股债表现与四个维度!$A:$A,0),MATCH(J$3&amp;J$4,股债表现与四个维度!$2:$2&amp;股债表现与四个维度!$3:$3,0))</f>
        <v>0.25</v>
      </c>
      <c r="K55" s="115" cm="1">
        <f t="array" ref="K55">INDEX(股债表现与四个维度!$A:$T,MATCH($A55,股债表现与四个维度!$A:$A,0),MATCH(K$3&amp;K$4,股债表现与四个维度!$2:$2&amp;股债表现与四个维度!$3:$3,0))</f>
        <v>0</v>
      </c>
      <c r="L55" s="115" cm="1">
        <f t="array" ref="L55">INDEX(股债表现与四个维度!$A:$T,MATCH($A55,股债表现与四个维度!$A:$A,0),MATCH(L$3&amp;L$4,股债表现与四个维度!$2:$2&amp;股债表现与四个维度!$3:$3,0))</f>
        <v>3.5714285714285712E-2</v>
      </c>
      <c r="M55" s="115" cm="1">
        <f t="array" ref="M55">INDEX(股债表现与四个维度!$A:$T,MATCH($A55,股债表现与四个维度!$A:$A,0),MATCH(M$3&amp;M$4,股债表现与四个维度!$2:$2&amp;股债表现与四个维度!$3:$3,0))</f>
        <v>0.32142857142857145</v>
      </c>
      <c r="N55" s="115" cm="1">
        <f t="array" ref="N55">INDEX(股债表现与四个维度!$A:$T,MATCH($A55,股债表现与四个维度!$A:$A,0),MATCH(N$3&amp;N$4,股债表现与四个维度!$2:$2&amp;股债表现与四个维度!$3:$3,0))</f>
        <v>0.42857142857142855</v>
      </c>
      <c r="O55" s="115" cm="1">
        <f t="array" ref="O55">INDEX(股债表现与四个维度!$A:$T,MATCH($A55,股债表现与四个维度!$A:$A,0),MATCH(O$3&amp;O$4,股债表现与四个维度!$2:$2&amp;股债表现与四个维度!$3:$3,0))</f>
        <v>-0.5714285714285714</v>
      </c>
      <c r="P55" s="115" cm="1">
        <f t="array" ref="P55">INDEX(股债表现与四个维度!$A:$T,MATCH($A55,股债表现与四个维度!$A:$A,0),MATCH(P$3&amp;P$4,股债表现与四个维度!$2:$2&amp;股债表现与四个维度!$3:$3,0))</f>
        <v>1</v>
      </c>
      <c r="Q55" s="115" cm="1">
        <f t="array" ref="Q55">INDEX(股债表现与四个维度!$A:$T,MATCH($A55,股债表现与四个维度!$A:$A,0),MATCH(Q$3&amp;Q$4,股债表现与四个维度!$2:$2&amp;股债表现与四个维度!$3:$3,0))</f>
        <v>0</v>
      </c>
      <c r="R55" s="115" cm="1">
        <f t="array" ref="R55">INDEX(股债表现与四个维度!$A:$T,MATCH($A55,股债表现与四个维度!$A:$A,0),MATCH(R$3&amp;R$4,股债表现与四个维度!$2:$2&amp;股债表现与四个维度!$3:$3,0))</f>
        <v>0.33333333333333331</v>
      </c>
      <c r="S55" s="115" cm="1">
        <f t="array" ref="S55">INDEX(股债表现与四个维度!$A:$T,MATCH($A55,股债表现与四个维度!$A:$A,0),MATCH(S$3&amp;S$4,股债表现与四个维度!$2:$2&amp;股债表现与四个维度!$3:$3,0))</f>
        <v>0</v>
      </c>
      <c r="T55">
        <f>SUMIFS($J55:$S55,$J55:$S55,"&lt;&gt;"&amp;"#N/A",$J$4:$S$4,T$4)</f>
        <v>2.0476190476190474</v>
      </c>
      <c r="U55">
        <f>SUMIFS($J55:$S55,$J55:$S55,"&lt;&gt;"&amp;"#N/A",$J$4:$S$4,U$4)</f>
        <v>-0.24999999999999994</v>
      </c>
      <c r="V55">
        <f t="shared" si="11"/>
        <v>2.2976190476190474</v>
      </c>
      <c r="W55" s="114">
        <f t="shared" si="14"/>
        <v>-16.090925864826552</v>
      </c>
      <c r="X55" s="114">
        <f t="shared" si="12"/>
        <v>-3.1047560925705504</v>
      </c>
      <c r="Y55">
        <f t="shared" ref="Y55:AA55" si="33">AVERAGE(V55:V60)</f>
        <v>-0.80717247953899374</v>
      </c>
      <c r="Z55">
        <f t="shared" si="33"/>
        <v>-2.8104242486772257</v>
      </c>
      <c r="AA55">
        <f t="shared" si="33"/>
        <v>-1.4121018064757231</v>
      </c>
    </row>
    <row r="56" spans="1:27" x14ac:dyDescent="0.35">
      <c r="A56" s="106">
        <v>44773</v>
      </c>
      <c r="B56" s="1">
        <v>-2.6689821537484399</v>
      </c>
      <c r="C56" s="1">
        <v>1.6309523809519899</v>
      </c>
      <c r="D56">
        <v>0.41</v>
      </c>
      <c r="E56" t="s">
        <v>8</v>
      </c>
      <c r="F56" t="s">
        <v>112</v>
      </c>
      <c r="G56" t="s">
        <v>120</v>
      </c>
      <c r="H56" t="s">
        <v>119</v>
      </c>
      <c r="I56" t="s">
        <v>121</v>
      </c>
      <c r="J56" s="115" cm="1">
        <f t="array" ref="J56">INDEX(股债表现与四个维度!$A:$T,MATCH($A56,股债表现与四个维度!$A:$A,0),MATCH(J$3&amp;J$4,股债表现与四个维度!$2:$2&amp;股债表现与四个维度!$3:$3,0))</f>
        <v>0.2</v>
      </c>
      <c r="K56" s="115" cm="1">
        <f t="array" ref="K56">INDEX(股债表现与四个维度!$A:$T,MATCH($A56,股债表现与四个维度!$A:$A,0),MATCH(K$3&amp;K$4,股债表现与四个维度!$2:$2&amp;股债表现与四个维度!$3:$3,0))</f>
        <v>0</v>
      </c>
      <c r="L56" s="115" cm="1">
        <f t="array" ref="L56">INDEX(股债表现与四个维度!$A:$T,MATCH($A56,股债表现与四个维度!$A:$A,0),MATCH(L$3&amp;L$4,股债表现与四个维度!$2:$2&amp;股债表现与四个维度!$3:$3,0))</f>
        <v>0</v>
      </c>
      <c r="M56" s="115" cm="1">
        <f t="array" ref="M56">INDEX(股债表现与四个维度!$A:$T,MATCH($A56,股债表现与四个维度!$A:$A,0),MATCH(M$3&amp;M$4,股债表现与四个维度!$2:$2&amp;股债表现与四个维度!$3:$3,0))</f>
        <v>0.33333333333333331</v>
      </c>
      <c r="N56" s="115" cm="1">
        <f t="array" ref="N56">INDEX(股债表现与四个维度!$A:$T,MATCH($A56,股债表现与四个维度!$A:$A,0),MATCH(N$3&amp;N$4,股债表现与四个维度!$2:$2&amp;股债表现与四个维度!$3:$3,0))</f>
        <v>0.42857142857142855</v>
      </c>
      <c r="O56" s="115" cm="1">
        <f t="array" ref="O56">INDEX(股债表现与四个维度!$A:$T,MATCH($A56,股债表现与四个维度!$A:$A,0),MATCH(O$3&amp;O$4,股债表现与四个维度!$2:$2&amp;股债表现与四个维度!$3:$3,0))</f>
        <v>-0.5714285714285714</v>
      </c>
      <c r="P56" s="115" cm="1">
        <f t="array" ref="P56">INDEX(股债表现与四个维度!$A:$T,MATCH($A56,股债表现与四个维度!$A:$A,0),MATCH(P$3&amp;P$4,股债表现与四个维度!$2:$2&amp;股债表现与四个维度!$3:$3,0))</f>
        <v>0</v>
      </c>
      <c r="Q56" s="115" cm="1">
        <f t="array" ref="Q56">INDEX(股债表现与四个维度!$A:$T,MATCH($A56,股债表现与四个维度!$A:$A,0),MATCH(Q$3&amp;Q$4,股债表现与四个维度!$2:$2&amp;股债表现与四个维度!$3:$3,0))</f>
        <v>0.3</v>
      </c>
      <c r="R56" s="115" cm="1">
        <f t="array" ref="R56">INDEX(股债表现与四个维度!$A:$T,MATCH($A56,股债表现与四个维度!$A:$A,0),MATCH(R$3&amp;R$4,股债表现与四个维度!$2:$2&amp;股债表现与四个维度!$3:$3,0))</f>
        <v>0</v>
      </c>
      <c r="S56" s="115" cm="1">
        <f t="array" ref="S56">INDEX(股债表现与四个维度!$A:$T,MATCH($A56,股债表现与四个维度!$A:$A,0),MATCH(S$3&amp;S$4,股债表现与四个维度!$2:$2&amp;股债表现与四个维度!$3:$3,0))</f>
        <v>0</v>
      </c>
      <c r="T56">
        <f>SUMIFS($J56:$S56,$J56:$S56,"&lt;&gt;"&amp;"#N/A",$J$4:$S$4,T$4)</f>
        <v>0.62857142857142856</v>
      </c>
      <c r="U56">
        <f>SUMIFS($J56:$S56,$J56:$S56,"&lt;&gt;"&amp;"#N/A",$J$4:$S$4,U$4)</f>
        <v>6.1904761904761907E-2</v>
      </c>
      <c r="V56">
        <f t="shared" si="11"/>
        <v>0.56666666666666665</v>
      </c>
      <c r="W56" s="114">
        <f t="shared" si="14"/>
        <v>-1.03802977279645</v>
      </c>
      <c r="X56" s="114">
        <f t="shared" si="12"/>
        <v>-3.0789821537484401</v>
      </c>
      <c r="Y56">
        <f t="shared" ref="Y56:AA56" si="34">AVERAGE(V56:V61)</f>
        <v>-1.4132283659657239</v>
      </c>
      <c r="Z56">
        <f t="shared" si="34"/>
        <v>-1.2633680015639603</v>
      </c>
      <c r="AA56">
        <f t="shared" si="34"/>
        <v>-1.4775539164189564</v>
      </c>
    </row>
    <row r="57" spans="1:27" x14ac:dyDescent="0.35">
      <c r="A57" s="106">
        <v>44742</v>
      </c>
      <c r="B57" s="1">
        <v>9.6799967821171098</v>
      </c>
      <c r="C57" s="1">
        <v>-0.19499999999998999</v>
      </c>
      <c r="D57">
        <v>0.45</v>
      </c>
      <c r="E57" t="s">
        <v>8</v>
      </c>
      <c r="F57" t="s">
        <v>112</v>
      </c>
      <c r="G57" t="s">
        <v>113</v>
      </c>
      <c r="H57" t="s">
        <v>119</v>
      </c>
      <c r="I57" t="s">
        <v>121</v>
      </c>
      <c r="J57" s="115" cm="1">
        <f t="array" ref="J57">INDEX(股债表现与四个维度!$A:$T,MATCH($A57,股债表现与四个维度!$A:$A,0),MATCH(J$3&amp;J$4,股债表现与四个维度!$2:$2&amp;股债表现与四个维度!$3:$3,0))</f>
        <v>0.2</v>
      </c>
      <c r="K57" s="115" cm="1">
        <f t="array" ref="K57">INDEX(股债表现与四个维度!$A:$T,MATCH($A57,股债表现与四个维度!$A:$A,0),MATCH(K$3&amp;K$4,股债表现与四个维度!$2:$2&amp;股债表现与四个维度!$3:$3,0))</f>
        <v>0</v>
      </c>
      <c r="L57" s="115" cm="1">
        <f t="array" ref="L57">INDEX(股债表现与四个维度!$A:$T,MATCH($A57,股债表现与四个维度!$A:$A,0),MATCH(L$3&amp;L$4,股债表现与四个维度!$2:$2&amp;股债表现与四个维度!$3:$3,0))</f>
        <v>-3.8461538461538464E-2</v>
      </c>
      <c r="M57" s="115" cm="1">
        <f t="array" ref="M57">INDEX(股债表现与四个维度!$A:$T,MATCH($A57,股债表现与四个维度!$A:$A,0),MATCH(M$3&amp;M$4,股债表现与四个维度!$2:$2&amp;股债表现与四个维度!$3:$3,0))</f>
        <v>0.34615384615384615</v>
      </c>
      <c r="N57" s="115" cm="1">
        <f t="array" ref="N57">INDEX(股债表现与四个维度!$A:$T,MATCH($A57,股债表现与四个维度!$A:$A,0),MATCH(N$3&amp;N$4,股债表现与四个维度!$2:$2&amp;股债表现与四个维度!$3:$3,0))</f>
        <v>0</v>
      </c>
      <c r="O57" s="115" cm="1">
        <f t="array" ref="O57">INDEX(股债表现与四个维度!$A:$T,MATCH($A57,股债表现与四个维度!$A:$A,0),MATCH(O$3&amp;O$4,股债表现与四个维度!$2:$2&amp;股债表现与四个维度!$3:$3,0))</f>
        <v>0.48148148148148145</v>
      </c>
      <c r="P57" s="115" cm="1">
        <f t="array" ref="P57">INDEX(股债表现与四个维度!$A:$T,MATCH($A57,股债表现与四个维度!$A:$A,0),MATCH(P$3&amp;P$4,股债表现与四个维度!$2:$2&amp;股债表现与四个维度!$3:$3,0))</f>
        <v>0</v>
      </c>
      <c r="Q57" s="115" cm="1">
        <f t="array" ref="Q57">INDEX(股债表现与四个维度!$A:$T,MATCH($A57,股债表现与四个维度!$A:$A,0),MATCH(Q$3&amp;Q$4,股债表现与四个维度!$2:$2&amp;股债表现与四个维度!$3:$3,0))</f>
        <v>0.3</v>
      </c>
      <c r="R57" s="115" cm="1">
        <f t="array" ref="R57">INDEX(股债表现与四个维度!$A:$T,MATCH($A57,股债表现与四个维度!$A:$A,0),MATCH(R$3&amp;R$4,股债表现与四个维度!$2:$2&amp;股债表现与四个维度!$3:$3,0))</f>
        <v>-1</v>
      </c>
      <c r="S57" s="115" cm="1">
        <f t="array" ref="S57">INDEX(股债表现与四个维度!$A:$T,MATCH($A57,股债表现与四个维度!$A:$A,0),MATCH(S$3&amp;S$4,股债表现与四个维度!$2:$2&amp;股债表现与四个维度!$3:$3,0))</f>
        <v>0</v>
      </c>
      <c r="T57">
        <f>SUMIFS($J57:$S57,$J57:$S57,"&lt;&gt;"&amp;"#N/A",$J$4:$S$4,T$4)</f>
        <v>-0.83846153846153848</v>
      </c>
      <c r="U57">
        <f>SUMIFS($J57:$S57,$J57:$S57,"&lt;&gt;"&amp;"#N/A",$J$4:$S$4,U$4)</f>
        <v>1.1276353276353277</v>
      </c>
      <c r="V57">
        <f t="shared" si="11"/>
        <v>-1.9660968660968661</v>
      </c>
      <c r="W57" s="114">
        <f t="shared" si="14"/>
        <v>9.4849967821171202</v>
      </c>
      <c r="X57" s="114">
        <f t="shared" si="12"/>
        <v>9.2299967821171105</v>
      </c>
      <c r="Y57">
        <f t="shared" ref="Y57:AA57" si="35">AVERAGE(V57:V62)</f>
        <v>-1.7622182649556228</v>
      </c>
      <c r="Z57">
        <f t="shared" si="35"/>
        <v>-2.0379954649329135</v>
      </c>
      <c r="AA57">
        <f t="shared" si="35"/>
        <v>-0.85287903961608336</v>
      </c>
    </row>
    <row r="58" spans="1:27" x14ac:dyDescent="0.35">
      <c r="A58" s="106">
        <v>44712</v>
      </c>
      <c r="B58" s="1">
        <v>5.8976227613743797</v>
      </c>
      <c r="C58" s="1">
        <v>-1.30738095238101</v>
      </c>
      <c r="D58">
        <v>0.6</v>
      </c>
      <c r="E58" t="s">
        <v>7</v>
      </c>
      <c r="F58" t="s">
        <v>112</v>
      </c>
      <c r="G58" t="s">
        <v>113</v>
      </c>
      <c r="H58" t="s">
        <v>114</v>
      </c>
      <c r="I58" t="s">
        <v>121</v>
      </c>
      <c r="J58" s="115" cm="1">
        <f t="array" ref="J58">INDEX(股债表现与四个维度!$A:$T,MATCH($A58,股债表现与四个维度!$A:$A,0),MATCH(J$3&amp;J$4,股债表现与四个维度!$2:$2&amp;股债表现与四个维度!$3:$3,0))</f>
        <v>4.7619047619047616E-2</v>
      </c>
      <c r="K58" s="115" cm="1">
        <f t="array" ref="K58">INDEX(股债表现与四个维度!$A:$T,MATCH($A58,股债表现与四个维度!$A:$A,0),MATCH(K$3&amp;K$4,股债表现与四个维度!$2:$2&amp;股债表现与四个维度!$3:$3,0))</f>
        <v>0.19047619047619047</v>
      </c>
      <c r="L58" s="115" cm="1">
        <f t="array" ref="L58">INDEX(股债表现与四个维度!$A:$T,MATCH($A58,股债表现与四个维度!$A:$A,0),MATCH(L$3&amp;L$4,股债表现与四个维度!$2:$2&amp;股债表现与四个维度!$3:$3,0))</f>
        <v>0</v>
      </c>
      <c r="M58" s="115" cm="1">
        <f t="array" ref="M58">INDEX(股债表现与四个维度!$A:$T,MATCH($A58,股债表现与四个维度!$A:$A,0),MATCH(M$3&amp;M$4,股债表现与四个维度!$2:$2&amp;股债表现与四个维度!$3:$3,0))</f>
        <v>0.36</v>
      </c>
      <c r="N58" s="115" cm="1">
        <f t="array" ref="N58">INDEX(股债表现与四个维度!$A:$T,MATCH($A58,股债表现与四个维度!$A:$A,0),MATCH(N$3&amp;N$4,股债表现与四个维度!$2:$2&amp;股债表现与四个维度!$3:$3,0))</f>
        <v>3.8461538461538464E-2</v>
      </c>
      <c r="O58" s="115" cm="1">
        <f t="array" ref="O58">INDEX(股债表现与四个维度!$A:$T,MATCH($A58,股债表现与四个维度!$A:$A,0),MATCH(O$3&amp;O$4,股债表现与四个维度!$2:$2&amp;股债表现与四个维度!$3:$3,0))</f>
        <v>0.5</v>
      </c>
      <c r="P58" s="115" cm="1">
        <f t="array" ref="P58">INDEX(股债表现与四个维度!$A:$T,MATCH($A58,股债表现与四个维度!$A:$A,0),MATCH(P$3&amp;P$4,股债表现与四个维度!$2:$2&amp;股债表现与四个维度!$3:$3,0))</f>
        <v>0</v>
      </c>
      <c r="Q58" s="115" cm="1">
        <f t="array" ref="Q58">INDEX(股债表现与四个维度!$A:$T,MATCH($A58,股债表现与四个维度!$A:$A,0),MATCH(Q$3&amp;Q$4,股债表现与四个维度!$2:$2&amp;股债表现与四个维度!$3:$3,0))</f>
        <v>0.3</v>
      </c>
      <c r="R58" s="115" cm="1">
        <f t="array" ref="R58">INDEX(股债表现与四个维度!$A:$T,MATCH($A58,股债表现与四个维度!$A:$A,0),MATCH(R$3&amp;R$4,股债表现与四个维度!$2:$2&amp;股债表现与四个维度!$3:$3,0))</f>
        <v>0.125</v>
      </c>
      <c r="S58" s="115" cm="1">
        <f t="array" ref="S58">INDEX(股债表现与四个维度!$A:$T,MATCH($A58,股债表现与四个维度!$A:$A,0),MATCH(S$3&amp;S$4,股债表现与四个维度!$2:$2&amp;股债表现与四个维度!$3:$3,0))</f>
        <v>0.625</v>
      </c>
      <c r="T58">
        <f>SUMIFS($J58:$S58,$J58:$S58,"&lt;&gt;"&amp;"#N/A",$J$4:$S$4,T$4)</f>
        <v>0.21108058608058608</v>
      </c>
      <c r="U58">
        <f>SUMIFS($J58:$S58,$J58:$S58,"&lt;&gt;"&amp;"#N/A",$J$4:$S$4,U$4)</f>
        <v>1.9754761904761906</v>
      </c>
      <c r="V58">
        <f t="shared" si="11"/>
        <v>-1.7643956043956046</v>
      </c>
      <c r="W58" s="114">
        <f t="shared" si="14"/>
        <v>4.5902418089933699</v>
      </c>
      <c r="X58" s="114">
        <f t="shared" si="12"/>
        <v>5.29762276137438</v>
      </c>
      <c r="Y58">
        <f t="shared" ref="Y58:AA58" si="36">AVERAGE(V58:V63)</f>
        <v>-1.7890809084849331</v>
      </c>
      <c r="Z58">
        <f t="shared" si="36"/>
        <v>-4.3111329475404672</v>
      </c>
      <c r="AA58">
        <f t="shared" si="36"/>
        <v>-1.95538817997763</v>
      </c>
    </row>
    <row r="59" spans="1:27" x14ac:dyDescent="0.35">
      <c r="A59" s="106">
        <v>44681</v>
      </c>
      <c r="B59" s="1">
        <v>-9.5144938447873901</v>
      </c>
      <c r="C59" s="1">
        <v>-0.87501035196702004</v>
      </c>
      <c r="D59">
        <v>0.2</v>
      </c>
      <c r="E59" t="s">
        <v>7</v>
      </c>
      <c r="F59" t="s">
        <v>112</v>
      </c>
      <c r="G59" t="s">
        <v>113</v>
      </c>
      <c r="H59" t="s">
        <v>114</v>
      </c>
      <c r="I59" t="s">
        <v>121</v>
      </c>
      <c r="J59" s="115" cm="1">
        <f t="array" ref="J59">INDEX(股债表现与四个维度!$A:$T,MATCH($A59,股债表现与四个维度!$A:$A,0),MATCH(J$3&amp;J$4,股债表现与四个维度!$2:$2&amp;股债表现与四个维度!$3:$3,0))</f>
        <v>0.1</v>
      </c>
      <c r="K59" s="115" cm="1">
        <f t="array" ref="K59">INDEX(股债表现与四个维度!$A:$T,MATCH($A59,股债表现与四个维度!$A:$A,0),MATCH(K$3&amp;K$4,股债表现与四个维度!$2:$2&amp;股债表现与四个维度!$3:$3,0))</f>
        <v>0.25</v>
      </c>
      <c r="L59" s="115" cm="1">
        <f t="array" ref="L59">INDEX(股债表现与四个维度!$A:$T,MATCH($A59,股债表现与四个维度!$A:$A,0),MATCH(L$3&amp;L$4,股债表现与四个维度!$2:$2&amp;股债表现与四个维度!$3:$3,0))</f>
        <v>4.1666666666666664E-2</v>
      </c>
      <c r="M59" s="115" cm="1">
        <f t="array" ref="M59">INDEX(股债表现与四个维度!$A:$T,MATCH($A59,股债表现与四个维度!$A:$A,0),MATCH(M$3&amp;M$4,股债表现与四个维度!$2:$2&amp;股债表现与四个维度!$3:$3,0))</f>
        <v>0.41666666666666669</v>
      </c>
      <c r="N59" s="115" cm="1">
        <f t="array" ref="N59">INDEX(股债表现与四个维度!$A:$T,MATCH($A59,股债表现与四个维度!$A:$A,0),MATCH(N$3&amp;N$4,股债表现与四个维度!$2:$2&amp;股债表现与四个维度!$3:$3,0))</f>
        <v>0.08</v>
      </c>
      <c r="O59" s="115" cm="1">
        <f t="array" ref="O59">INDEX(股债表现与四个维度!$A:$T,MATCH($A59,股债表现与四个维度!$A:$A,0),MATCH(O$3&amp;O$4,股债表现与四个维度!$2:$2&amp;股债表现与四个维度!$3:$3,0))</f>
        <v>0.56000000000000005</v>
      </c>
      <c r="P59" s="115" cm="1">
        <f t="array" ref="P59">INDEX(股债表现与四个维度!$A:$T,MATCH($A59,股债表现与四个维度!$A:$A,0),MATCH(P$3&amp;P$4,股债表现与四个维度!$2:$2&amp;股债表现与四个维度!$3:$3,0))</f>
        <v>5.2631578947368418E-2</v>
      </c>
      <c r="Q59" s="115" cm="1">
        <f t="array" ref="Q59">INDEX(股债表现与四个维度!$A:$T,MATCH($A59,股债表现与四个维度!$A:$A,0),MATCH(Q$3&amp;Q$4,股债表现与四个维度!$2:$2&amp;股债表现与四个维度!$3:$3,0))</f>
        <v>0.36842105263157893</v>
      </c>
      <c r="R59" s="115" cm="1">
        <f t="array" ref="R59">INDEX(股债表现与四个维度!$A:$T,MATCH($A59,股债表现与四个维度!$A:$A,0),MATCH(R$3&amp;R$4,股债表现与四个维度!$2:$2&amp;股债表现与四个维度!$3:$3,0))</f>
        <v>0.125</v>
      </c>
      <c r="S59" s="115" cm="1">
        <f t="array" ref="S59">INDEX(股债表现与四个维度!$A:$T,MATCH($A59,股债表现与四个维度!$A:$A,0),MATCH(S$3&amp;S$4,股债表现与四个维度!$2:$2&amp;股债表现与四个维度!$3:$3,0))</f>
        <v>0.625</v>
      </c>
      <c r="T59">
        <f>SUMIFS($J59:$S59,$J59:$S59,"&lt;&gt;"&amp;"#N/A",$J$4:$S$4,T$4)</f>
        <v>0.3992982456140351</v>
      </c>
      <c r="U59">
        <f>SUMIFS($J59:$S59,$J59:$S59,"&lt;&gt;"&amp;"#N/A",$J$4:$S$4,U$4)</f>
        <v>2.2200877192982458</v>
      </c>
      <c r="V59">
        <f t="shared" si="11"/>
        <v>-1.8207894736842107</v>
      </c>
      <c r="W59" s="114">
        <f t="shared" si="14"/>
        <v>-10.389504196754411</v>
      </c>
      <c r="X59" s="114">
        <f t="shared" si="12"/>
        <v>-9.7144938447873894</v>
      </c>
      <c r="Y59">
        <f t="shared" ref="Y59:AA59" si="37">AVERAGE(V59:V64)</f>
        <v>-1.6619965308742397</v>
      </c>
      <c r="Z59">
        <f t="shared" si="37"/>
        <v>-3.2566891998903795</v>
      </c>
      <c r="AA59">
        <f t="shared" si="37"/>
        <v>-2.8143180848188778</v>
      </c>
    </row>
    <row r="60" spans="1:27" x14ac:dyDescent="0.35">
      <c r="A60" s="106">
        <v>44651</v>
      </c>
      <c r="B60" s="1">
        <v>-7.5219982912394503</v>
      </c>
      <c r="C60" s="1">
        <v>4.1026740424430201</v>
      </c>
      <c r="D60">
        <v>-0.42</v>
      </c>
      <c r="E60" t="s">
        <v>7</v>
      </c>
      <c r="F60" t="s">
        <v>112</v>
      </c>
      <c r="G60" t="s">
        <v>113</v>
      </c>
      <c r="H60" t="s">
        <v>114</v>
      </c>
      <c r="I60" t="s">
        <v>122</v>
      </c>
      <c r="J60" s="115" cm="1">
        <f t="array" ref="J60">INDEX(股债表现与四个维度!$A:$T,MATCH($A60,股债表现与四个维度!$A:$A,0),MATCH(J$3&amp;J$4,股债表现与四个维度!$2:$2&amp;股债表现与四个维度!$3:$3,0))</f>
        <v>0.1</v>
      </c>
      <c r="K60" s="115" cm="1">
        <f t="array" ref="K60">INDEX(股债表现与四个维度!$A:$T,MATCH($A60,股债表现与四个维度!$A:$A,0),MATCH(K$3&amp;K$4,股债表现与四个维度!$2:$2&amp;股债表现与四个维度!$3:$3,0))</f>
        <v>0.25</v>
      </c>
      <c r="L60" s="115" cm="1">
        <f t="array" ref="L60">INDEX(股债表现与四个维度!$A:$T,MATCH($A60,股债表现与四个维度!$A:$A,0),MATCH(L$3&amp;L$4,股债表现与四个维度!$2:$2&amp;股债表现与四个维度!$3:$3,0))</f>
        <v>0</v>
      </c>
      <c r="M60" s="115" cm="1">
        <f t="array" ref="M60">INDEX(股债表现与四个维度!$A:$T,MATCH($A60,股债表现与四个维度!$A:$A,0),MATCH(M$3&amp;M$4,股债表现与四个维度!$2:$2&amp;股债表现与四个维度!$3:$3,0))</f>
        <v>0.47826086956521741</v>
      </c>
      <c r="N60" s="115" cm="1">
        <f t="array" ref="N60">INDEX(股债表现与四个维度!$A:$T,MATCH($A60,股债表现与四个维度!$A:$A,0),MATCH(N$3&amp;N$4,股债表现与四个维度!$2:$2&amp;股债表现与四个维度!$3:$3,0))</f>
        <v>4.1666666666666664E-2</v>
      </c>
      <c r="O60" s="115" cm="1">
        <f t="array" ref="O60">INDEX(股债表现与四个维度!$A:$T,MATCH($A60,股债表现与四个维度!$A:$A,0),MATCH(O$3&amp;O$4,股债表现与四个维度!$2:$2&amp;股债表现与四个维度!$3:$3,0))</f>
        <v>0.625</v>
      </c>
      <c r="P60" s="115" cm="1">
        <f t="array" ref="P60">INDEX(股债表现与四个维度!$A:$T,MATCH($A60,股债表现与四个维度!$A:$A,0),MATCH(P$3&amp;P$4,股债表现与四个维度!$2:$2&amp;股债表现与四个维度!$3:$3,0))</f>
        <v>0</v>
      </c>
      <c r="Q60" s="115" cm="1">
        <f t="array" ref="Q60">INDEX(股债表现与四个维度!$A:$T,MATCH($A60,股债表现与四个维度!$A:$A,0),MATCH(Q$3&amp;Q$4,股债表现与四个维度!$2:$2&amp;股债表现与四个维度!$3:$3,0))</f>
        <v>0.44444444444444442</v>
      </c>
      <c r="R60" s="115" cm="1">
        <f t="array" ref="R60">INDEX(股债表现与四个维度!$A:$T,MATCH($A60,股债表现与四个维度!$A:$A,0),MATCH(R$3&amp;R$4,股债表现与四个维度!$2:$2&amp;股债表现与四个维度!$3:$3,0))</f>
        <v>0.125</v>
      </c>
      <c r="S60" s="115" cm="1">
        <f t="array" ref="S60">INDEX(股债表现与四个维度!$A:$T,MATCH($A60,股债表现与四个维度!$A:$A,0),MATCH(S$3&amp;S$4,股债表现与四个维度!$2:$2&amp;股债表现与四个维度!$3:$3,0))</f>
        <v>0.625</v>
      </c>
      <c r="T60">
        <f>SUMIFS($J60:$S60,$J60:$S60,"&lt;&gt;"&amp;"#N/A",$J$4:$S$4,T$4)</f>
        <v>0.26666666666666666</v>
      </c>
      <c r="U60">
        <f>SUMIFS($J60:$S60,$J60:$S60,"&lt;&gt;"&amp;"#N/A",$J$4:$S$4,U$4)</f>
        <v>2.4227053140096615</v>
      </c>
      <c r="V60">
        <f t="shared" si="11"/>
        <v>-2.1560386473429949</v>
      </c>
      <c r="W60" s="114">
        <f t="shared" si="14"/>
        <v>-3.4193242487964302</v>
      </c>
      <c r="X60" s="114">
        <f t="shared" si="12"/>
        <v>-7.1019982912394504</v>
      </c>
      <c r="Y60">
        <f t="shared" ref="Y60:AA60" si="38">AVERAGE(V60:V65)</f>
        <v>-1.8376982852602044</v>
      </c>
      <c r="Z60">
        <f t="shared" si="38"/>
        <v>-1.4852444758630308</v>
      </c>
      <c r="AA60">
        <f t="shared" si="38"/>
        <v>-1.3753750861193694</v>
      </c>
    </row>
    <row r="61" spans="1:27" x14ac:dyDescent="0.35">
      <c r="A61" s="106">
        <v>44620</v>
      </c>
      <c r="B61" s="1">
        <v>-3.4574687522299499</v>
      </c>
      <c r="C61" s="1">
        <v>-3.3511196299170098</v>
      </c>
      <c r="D61">
        <v>0.04</v>
      </c>
      <c r="E61" t="s">
        <v>8</v>
      </c>
      <c r="F61" t="s">
        <v>112</v>
      </c>
      <c r="G61" t="s">
        <v>113</v>
      </c>
      <c r="H61" t="s">
        <v>114</v>
      </c>
      <c r="I61" t="s">
        <v>122</v>
      </c>
      <c r="J61" s="115" cm="1">
        <f t="array" ref="J61">INDEX(股债表现与四个维度!$A:$T,MATCH($A61,股债表现与四个维度!$A:$A,0),MATCH(J$3&amp;J$4,股债表现与四个维度!$2:$2&amp;股债表现与四个维度!$3:$3,0))</f>
        <v>0.23076923076923078</v>
      </c>
      <c r="K61" s="115" cm="1">
        <f t="array" ref="K61">INDEX(股债表现与四个维度!$A:$T,MATCH($A61,股债表现与四个维度!$A:$A,0),MATCH(K$3&amp;K$4,股债表现与四个维度!$2:$2&amp;股债表现与四个维度!$3:$3,0))</f>
        <v>0</v>
      </c>
      <c r="L61" s="115" cm="1">
        <f t="array" ref="L61">INDEX(股债表现与四个维度!$A:$T,MATCH($A61,股债表现与四个维度!$A:$A,0),MATCH(L$3&amp;L$4,股债表现与四个维度!$2:$2&amp;股债表现与四个维度!$3:$3,0))</f>
        <v>4.5454545454545456E-2</v>
      </c>
      <c r="M61" s="115" cm="1">
        <f t="array" ref="M61">INDEX(股债表现与四个维度!$A:$T,MATCH($A61,股债表现与四个维度!$A:$A,0),MATCH(M$3&amp;M$4,股债表现与四个维度!$2:$2&amp;股债表现与四个维度!$3:$3,0))</f>
        <v>0.45454545454545453</v>
      </c>
      <c r="N61" s="115" cm="1">
        <f t="array" ref="N61">INDEX(股债表现与四个维度!$A:$T,MATCH($A61,股债表现与四个维度!$A:$A,0),MATCH(N$3&amp;N$4,股债表现与四个维度!$2:$2&amp;股债表现与四个维度!$3:$3,0))</f>
        <v>8.6956521739130432E-2</v>
      </c>
      <c r="O61" s="115" cm="1">
        <f t="array" ref="O61">INDEX(股债表现与四个维度!$A:$T,MATCH($A61,股债表现与四个维度!$A:$A,0),MATCH(O$3&amp;O$4,股债表现与四个维度!$2:$2&amp;股债表现与四个维度!$3:$3,0))</f>
        <v>0.60869565217391308</v>
      </c>
      <c r="P61" s="115" cm="1">
        <f t="array" ref="P61">INDEX(股债表现与四个维度!$A:$T,MATCH($A61,股债表现与四个维度!$A:$A,0),MATCH(P$3&amp;P$4,股债表现与四个维度!$2:$2&amp;股债表现与四个维度!$3:$3,0))</f>
        <v>5.8823529411764705E-2</v>
      </c>
      <c r="Q61" s="115" cm="1">
        <f t="array" ref="Q61">INDEX(股债表现与四个维度!$A:$T,MATCH($A61,股债表现与四个维度!$A:$A,0),MATCH(Q$3&amp;Q$4,股债表现与四个维度!$2:$2&amp;股债表现与四个维度!$3:$3,0))</f>
        <v>0.41176470588235292</v>
      </c>
      <c r="R61" s="115" cm="1">
        <f t="array" ref="R61">INDEX(股债表现与四个维度!$A:$T,MATCH($A61,股债表现与四个维度!$A:$A,0),MATCH(R$3&amp;R$4,股债表现与四个维度!$2:$2&amp;股债表现与四个维度!$3:$3,0))</f>
        <v>0.2857142857142857</v>
      </c>
      <c r="S61" s="115" cm="1">
        <f t="array" ref="S61">INDEX(股债表现与四个维度!$A:$T,MATCH($A61,股债表现与四个维度!$A:$A,0),MATCH(S$3&amp;S$4,股债表现与四个维度!$2:$2&amp;股债表现与四个维度!$3:$3,0))</f>
        <v>0.5714285714285714</v>
      </c>
      <c r="T61">
        <f>SUMIFS($J61:$S61,$J61:$S61,"&lt;&gt;"&amp;"#N/A",$J$4:$S$4,T$4)</f>
        <v>0.70771811308895716</v>
      </c>
      <c r="U61">
        <f>SUMIFS($J61:$S61,$J61:$S61,"&lt;&gt;"&amp;"#N/A",$J$4:$S$4,U$4)</f>
        <v>2.0464343840302917</v>
      </c>
      <c r="V61">
        <f t="shared" si="11"/>
        <v>-1.3387162709413345</v>
      </c>
      <c r="W61" s="114">
        <f t="shared" si="14"/>
        <v>-6.8085883821469597</v>
      </c>
      <c r="X61" s="114">
        <f t="shared" si="12"/>
        <v>-3.4974687522299499</v>
      </c>
      <c r="Y61">
        <f t="shared" ref="Y61:AA61" si="39">AVERAGE(V61:V66)</f>
        <v>-1.7266396413371108</v>
      </c>
      <c r="Z61">
        <f t="shared" si="39"/>
        <v>-2.1570659445475378</v>
      </c>
      <c r="AA61">
        <f t="shared" si="39"/>
        <v>0.28552184620946047</v>
      </c>
    </row>
    <row r="62" spans="1:27" x14ac:dyDescent="0.35">
      <c r="A62" s="106">
        <v>44561</v>
      </c>
      <c r="B62" s="1">
        <v>1.0390671070688</v>
      </c>
      <c r="C62" s="1">
        <v>-6.7248616600789699</v>
      </c>
      <c r="D62">
        <v>0.37</v>
      </c>
      <c r="E62" t="s">
        <v>8</v>
      </c>
      <c r="F62" t="s">
        <v>112</v>
      </c>
      <c r="G62" t="s">
        <v>113</v>
      </c>
      <c r="H62" t="s">
        <v>114</v>
      </c>
      <c r="I62" t="s">
        <v>122</v>
      </c>
      <c r="J62" s="115" cm="1">
        <f t="array" ref="J62">INDEX(股债表现与四个维度!$A:$T,MATCH($A62,股债表现与四个维度!$A:$A,0),MATCH(J$3&amp;J$4,股债表现与四个维度!$2:$2&amp;股债表现与四个维度!$3:$3,0))</f>
        <v>9.0909090909090912E-2</v>
      </c>
      <c r="K62" s="115" cm="1">
        <f t="array" ref="K62">INDEX(股债表现与四个维度!$A:$T,MATCH($A62,股债表现与四个维度!$A:$A,0),MATCH(K$3&amp;K$4,股债表现与四个维度!$2:$2&amp;股债表现与四个维度!$3:$3,0))</f>
        <v>-0.18181818181818182</v>
      </c>
      <c r="L62" s="115" cm="1">
        <f t="array" ref="L62">INDEX(股债表现与四个维度!$A:$T,MATCH($A62,股债表现与四个维度!$A:$A,0),MATCH(L$3&amp;L$4,股债表现与四个维度!$2:$2&amp;股债表现与四个维度!$3:$3,0))</f>
        <v>-9.5238095238095233E-2</v>
      </c>
      <c r="M62" s="115" cm="1">
        <f t="array" ref="M62">INDEX(股债表现与四个维度!$A:$T,MATCH($A62,股债表现与四个维度!$A:$A,0),MATCH(M$3&amp;M$4,股债表现与四个维度!$2:$2&amp;股债表现与四个维度!$3:$3,0))</f>
        <v>0.33333333333333331</v>
      </c>
      <c r="N62" s="115" cm="1">
        <f t="array" ref="N62">INDEX(股债表现与四个维度!$A:$T,MATCH($A62,股债表现与四个维度!$A:$A,0),MATCH(N$3&amp;N$4,股债表现与四个维度!$2:$2&amp;股债表现与四个维度!$3:$3,0))</f>
        <v>0</v>
      </c>
      <c r="O62" s="115" cm="1">
        <f t="array" ref="O62">INDEX(股债表现与四个维度!$A:$T,MATCH($A62,股债表现与四个维度!$A:$A,0),MATCH(O$3&amp;O$4,股债表现与四个维度!$2:$2&amp;股债表现与四个维度!$3:$3,0))</f>
        <v>0.5714285714285714</v>
      </c>
      <c r="P62" s="115" cm="1">
        <f t="array" ref="P62">INDEX(股债表现与四个维度!$A:$T,MATCH($A62,股债表现与四个维度!$A:$A,0),MATCH(P$3&amp;P$4,股债表现与四个维度!$2:$2&amp;股债表现与四个维度!$3:$3,0))</f>
        <v>-6.6666666666666666E-2</v>
      </c>
      <c r="Q62" s="115" cm="1">
        <f t="array" ref="Q62">INDEX(股债表现与四个维度!$A:$T,MATCH($A62,股债表现与四个维度!$A:$A,0),MATCH(Q$3&amp;Q$4,股债表现与四个维度!$2:$2&amp;股债表现与四个维度!$3:$3,0))</f>
        <v>0.33333333333333331</v>
      </c>
      <c r="R62" s="115" cm="1">
        <f t="array" ref="R62">INDEX(股债表现与四个维度!$A:$T,MATCH($A62,股债表现与四个维度!$A:$A,0),MATCH(R$3&amp;R$4,股债表现与四个维度!$2:$2&amp;股债表现与四个维度!$3:$3,0))</f>
        <v>0</v>
      </c>
      <c r="S62" s="115" cm="1">
        <f t="array" ref="S62">INDEX(股债表现与四个维度!$A:$T,MATCH($A62,股债表现与四个维度!$A:$A,0),MATCH(S$3&amp;S$4,股债表现与四个维度!$2:$2&amp;股债表现与四个维度!$3:$3,0))</f>
        <v>0.4</v>
      </c>
      <c r="T62">
        <f>SUMIFS($J62:$S62,$J62:$S62,"&lt;&gt;"&amp;"#N/A",$J$4:$S$4,T$4)</f>
        <v>-7.0995670995670987E-2</v>
      </c>
      <c r="U62">
        <f>SUMIFS($J62:$S62,$J62:$S62,"&lt;&gt;"&amp;"#N/A",$J$4:$S$4,U$4)</f>
        <v>1.4562770562770564</v>
      </c>
      <c r="V62">
        <f t="shared" si="11"/>
        <v>-1.5272727272727273</v>
      </c>
      <c r="W62" s="114">
        <f t="shared" si="14"/>
        <v>-5.6857945530101697</v>
      </c>
      <c r="X62" s="114">
        <f t="shared" si="12"/>
        <v>0.66906710706880002</v>
      </c>
      <c r="Y62">
        <f t="shared" ref="Y62:AA62" si="40">AVERAGE(V62:V67)</f>
        <v>-1.9153258184024438</v>
      </c>
      <c r="Z62">
        <f t="shared" si="40"/>
        <v>-3.7707672482944194</v>
      </c>
      <c r="AA62">
        <f t="shared" si="40"/>
        <v>0.24402571236807705</v>
      </c>
    </row>
    <row r="63" spans="1:27" x14ac:dyDescent="0.35">
      <c r="A63" s="106">
        <v>44530</v>
      </c>
      <c r="B63" s="1">
        <v>3.14494193994783</v>
      </c>
      <c r="C63" s="1">
        <v>-7.29877005347603</v>
      </c>
      <c r="D63">
        <v>0.53</v>
      </c>
      <c r="E63" t="s">
        <v>8</v>
      </c>
      <c r="F63" t="s">
        <v>112</v>
      </c>
      <c r="G63" t="s">
        <v>113</v>
      </c>
      <c r="H63" t="s">
        <v>114</v>
      </c>
      <c r="I63" t="s">
        <v>122</v>
      </c>
      <c r="J63" s="115" cm="1">
        <f t="array" ref="J63">INDEX(股债表现与四个维度!$A:$T,MATCH($A63,股债表现与四个维度!$A:$A,0),MATCH(J$3&amp;J$4,股债表现与四个维度!$2:$2&amp;股债表现与四个维度!$3:$3,0))</f>
        <v>9.0909090909090912E-2</v>
      </c>
      <c r="K63" s="115" cm="1">
        <f t="array" ref="K63">INDEX(股债表现与四个维度!$A:$T,MATCH($A63,股债表现与四个维度!$A:$A,0),MATCH(K$3&amp;K$4,股债表现与四个维度!$2:$2&amp;股债表现与四个维度!$3:$3,0))</f>
        <v>-0.18181818181818182</v>
      </c>
      <c r="L63" s="115" cm="1">
        <f t="array" ref="L63">INDEX(股债表现与四个维度!$A:$T,MATCH($A63,股债表现与四个维度!$A:$A,0),MATCH(L$3&amp;L$4,股债表现与四个维度!$2:$2&amp;股债表现与四个维度!$3:$3,0))</f>
        <v>-0.1</v>
      </c>
      <c r="M63" s="115" cm="1">
        <f t="array" ref="M63">INDEX(股债表现与四个维度!$A:$T,MATCH($A63,股债表现与四个维度!$A:$A,0),MATCH(M$3&amp;M$4,股债表现与四个维度!$2:$2&amp;股债表现与四个维度!$3:$3,0))</f>
        <v>0.4</v>
      </c>
      <c r="N63" s="115" cm="1">
        <f t="array" ref="N63">INDEX(股债表现与四个维度!$A:$T,MATCH($A63,股债表现与四个维度!$A:$A,0),MATCH(N$3&amp;N$4,股债表现与四个维度!$2:$2&amp;股债表现与四个维度!$3:$3,0))</f>
        <v>0</v>
      </c>
      <c r="O63" s="115" cm="1">
        <f t="array" ref="O63">INDEX(股债表现与四个维度!$A:$T,MATCH($A63,股债表现与四个维度!$A:$A,0),MATCH(O$3&amp;O$4,股债表现与四个维度!$2:$2&amp;股债表现与四个维度!$3:$3,0))</f>
        <v>0.65</v>
      </c>
      <c r="P63" s="115" cm="1">
        <f t="array" ref="P63">INDEX(股债表现与四个维度!$A:$T,MATCH($A63,股债表现与四个维度!$A:$A,0),MATCH(P$3&amp;P$4,股债表现与四个维度!$2:$2&amp;股债表现与四个维度!$3:$3,0))</f>
        <v>-7.1428571428571425E-2</v>
      </c>
      <c r="Q63" s="115" cm="1">
        <f t="array" ref="Q63">INDEX(股债表现与四个维度!$A:$T,MATCH($A63,股债表现与四个维度!$A:$A,0),MATCH(Q$3&amp;Q$4,股债表现与四个维度!$2:$2&amp;股债表现与四个维度!$3:$3,0))</f>
        <v>0.42857142857142855</v>
      </c>
      <c r="R63" s="115" cm="1">
        <f t="array" ref="R63">INDEX(股债表现与四个维度!$A:$T,MATCH($A63,股债表现与四个维度!$A:$A,0),MATCH(R$3&amp;R$4,股债表现与四个维度!$2:$2&amp;股债表现与四个维度!$3:$3,0))</f>
        <v>0</v>
      </c>
      <c r="S63" s="115" cm="1">
        <f t="array" ref="S63">INDEX(股债表现与四个维度!$A:$T,MATCH($A63,股债表现与四个维度!$A:$A,0),MATCH(S$3&amp;S$4,股债表现与四个维度!$2:$2&amp;股债表现与四个维度!$3:$3,0))</f>
        <v>0.75</v>
      </c>
      <c r="T63">
        <f>SUMIFS($J63:$S63,$J63:$S63,"&lt;&gt;"&amp;"#N/A",$J$4:$S$4,T$4)</f>
        <v>-8.0519480519480519E-2</v>
      </c>
      <c r="U63">
        <f>SUMIFS($J63:$S63,$J63:$S63,"&lt;&gt;"&amp;"#N/A",$J$4:$S$4,U$4)</f>
        <v>2.046753246753247</v>
      </c>
      <c r="V63">
        <f t="shared" si="11"/>
        <v>-2.1272727272727274</v>
      </c>
      <c r="W63" s="114">
        <f t="shared" si="14"/>
        <v>-4.1538281135282</v>
      </c>
      <c r="X63" s="114">
        <f t="shared" si="12"/>
        <v>2.6149419399478298</v>
      </c>
      <c r="Y63">
        <f t="shared" ref="Y63:AA63" si="41">AVERAGE(V63:V68)</f>
        <v>-2.1126322157088411</v>
      </c>
      <c r="Z63">
        <f t="shared" si="41"/>
        <v>-2.9350306649329845</v>
      </c>
      <c r="AA63">
        <f t="shared" si="41"/>
        <v>0.33413998897451869</v>
      </c>
    </row>
    <row r="64" spans="1:27" x14ac:dyDescent="0.35">
      <c r="A64" s="106">
        <v>44500</v>
      </c>
      <c r="B64" s="1">
        <v>0.34404333232689299</v>
      </c>
      <c r="C64" s="1">
        <v>10.572860962567001</v>
      </c>
      <c r="D64">
        <v>0.2</v>
      </c>
      <c r="E64" t="s">
        <v>9</v>
      </c>
      <c r="F64" t="s">
        <v>112</v>
      </c>
      <c r="G64" t="s">
        <v>113</v>
      </c>
      <c r="H64" t="s">
        <v>114</v>
      </c>
      <c r="I64" t="s">
        <v>122</v>
      </c>
      <c r="J64" s="115" cm="1">
        <f t="array" ref="J64">INDEX(股债表现与四个维度!$A:$T,MATCH($A64,股债表现与四个维度!$A:$A,0),MATCH(J$3&amp;J$4,股债表现与四个维度!$2:$2&amp;股债表现与四个维度!$3:$3,0))</f>
        <v>0.3</v>
      </c>
      <c r="K64" s="115" cm="1">
        <f t="array" ref="K64">INDEX(股债表现与四个维度!$A:$T,MATCH($A64,股债表现与四个维度!$A:$A,0),MATCH(K$3&amp;K$4,股债表现与四个维度!$2:$2&amp;股债表现与四个维度!$3:$3,0))</f>
        <v>-0.3</v>
      </c>
      <c r="L64" s="115" cm="1">
        <f t="array" ref="L64">INDEX(股债表现与四个维度!$A:$T,MATCH($A64,股债表现与四个维度!$A:$A,0),MATCH(L$3&amp;L$4,股债表现与四个维度!$2:$2&amp;股债表现与四个维度!$3:$3,0))</f>
        <v>-5.2631578947368418E-2</v>
      </c>
      <c r="M64" s="115" cm="1">
        <f t="array" ref="M64">INDEX(股债表现与四个维度!$A:$T,MATCH($A64,股债表现与四个维度!$A:$A,0),MATCH(M$3&amp;M$4,股债表现与四个维度!$2:$2&amp;股债表现与四个维度!$3:$3,0))</f>
        <v>0.42105263157894735</v>
      </c>
      <c r="N64" s="115" cm="1">
        <f t="array" ref="N64">INDEX(股债表现与四个维度!$A:$T,MATCH($A64,股债表现与四个维度!$A:$A,0),MATCH(N$3&amp;N$4,股债表现与四个维度!$2:$2&amp;股债表现与四个维度!$3:$3,0))</f>
        <v>0</v>
      </c>
      <c r="O64" s="115" cm="1">
        <f t="array" ref="O64">INDEX(股债表现与四个维度!$A:$T,MATCH($A64,股债表现与四个维度!$A:$A,0),MATCH(O$3&amp;O$4,股债表现与四个维度!$2:$2&amp;股债表现与四个维度!$3:$3,0))</f>
        <v>0</v>
      </c>
      <c r="P64" s="115" cm="1">
        <f t="array" ref="P64">INDEX(股债表现与四个维度!$A:$T,MATCH($A64,股债表现与四个维度!$A:$A,0),MATCH(P$3&amp;P$4,股债表现与四个维度!$2:$2&amp;股债表现与四个维度!$3:$3,0))</f>
        <v>0</v>
      </c>
      <c r="Q64" s="115" cm="1">
        <f t="array" ref="Q64">INDEX(股债表现与四个维度!$A:$T,MATCH($A64,股债表现与四个维度!$A:$A,0),MATCH(Q$3&amp;Q$4,股债表现与四个维度!$2:$2&amp;股债表现与四个维度!$3:$3,0))</f>
        <v>0.46153846153846156</v>
      </c>
      <c r="R64" s="115" cm="1">
        <f t="array" ref="R64">INDEX(股债表现与四个维度!$A:$T,MATCH($A64,股债表现与四个维度!$A:$A,0),MATCH(R$3&amp;R$4,股债表现与四个维度!$2:$2&amp;股债表现与四个维度!$3:$3,0))</f>
        <v>0.33333333333333331</v>
      </c>
      <c r="S64" s="115" cm="1">
        <f t="array" ref="S64">INDEX(股债表现与四个维度!$A:$T,MATCH($A64,股债表现与四个维度!$A:$A,0),MATCH(S$3&amp;S$4,股债表现与四个维度!$2:$2&amp;股债表现与四个维度!$3:$3,0))</f>
        <v>1</v>
      </c>
      <c r="T64">
        <f>SUMIFS($J64:$S64,$J64:$S64,"&lt;&gt;"&amp;"#N/A",$J$4:$S$4,T$4)</f>
        <v>0.58070175438596494</v>
      </c>
      <c r="U64">
        <f>SUMIFS($J64:$S64,$J64:$S64,"&lt;&gt;"&amp;"#N/A",$J$4:$S$4,U$4)</f>
        <v>1.582591093117409</v>
      </c>
      <c r="V64">
        <f t="shared" si="11"/>
        <v>-1.001889338731444</v>
      </c>
      <c r="W64" s="114">
        <f t="shared" si="14"/>
        <v>10.916904294893893</v>
      </c>
      <c r="X64" s="114">
        <f t="shared" si="12"/>
        <v>0.14404333232689298</v>
      </c>
      <c r="Y64">
        <f t="shared" ref="Y64:AA64" si="42">AVERAGE(V64:V69)</f>
        <v>-2.2571608352374604</v>
      </c>
      <c r="Z64">
        <f t="shared" si="42"/>
        <v>-2.5273300318917777</v>
      </c>
      <c r="AA64">
        <f t="shared" si="42"/>
        <v>0.66749617131671879</v>
      </c>
    </row>
    <row r="65" spans="1:27" x14ac:dyDescent="0.35">
      <c r="A65" s="106">
        <v>44469</v>
      </c>
      <c r="B65" s="1">
        <v>-1.0308358525903401</v>
      </c>
      <c r="C65" s="1">
        <v>1.27000000000002</v>
      </c>
      <c r="D65">
        <v>0.05</v>
      </c>
      <c r="E65" t="s">
        <v>10</v>
      </c>
      <c r="F65" t="s">
        <v>112</v>
      </c>
      <c r="G65" t="s">
        <v>113</v>
      </c>
      <c r="H65" t="s">
        <v>114</v>
      </c>
      <c r="I65" t="s">
        <v>122</v>
      </c>
      <c r="J65" s="115" cm="1">
        <f t="array" ref="J65">INDEX(股债表现与四个维度!$A:$T,MATCH($A65,股债表现与四个维度!$A:$A,0),MATCH(J$3&amp;J$4,股债表现与四个维度!$2:$2&amp;股债表现与四个维度!$3:$3,0))</f>
        <v>-0.125</v>
      </c>
      <c r="K65" s="115" cm="1">
        <f t="array" ref="K65">INDEX(股债表现与四个维度!$A:$T,MATCH($A65,股债表现与四个维度!$A:$A,0),MATCH(K$3&amp;K$4,股债表现与四个维度!$2:$2&amp;股债表现与四个维度!$3:$3,0))</f>
        <v>0.75</v>
      </c>
      <c r="L65" s="115" cm="1">
        <f t="array" ref="L65">INDEX(股债表现与四个维度!$A:$T,MATCH($A65,股债表现与四个维度!$A:$A,0),MATCH(L$3&amp;L$4,股债表现与四个维度!$2:$2&amp;股债表现与四个维度!$3:$3,0))</f>
        <v>-0.1111111111111111</v>
      </c>
      <c r="M65" s="115" cm="1">
        <f t="array" ref="M65">INDEX(股债表现与四个维度!$A:$T,MATCH($A65,股债表现与四个维度!$A:$A,0),MATCH(M$3&amp;M$4,股债表现与四个维度!$2:$2&amp;股债表现与四个维度!$3:$3,0))</f>
        <v>0.3888888888888889</v>
      </c>
      <c r="N65" s="115" cm="1">
        <f t="array" ref="N65">INDEX(股债表现与四个维度!$A:$T,MATCH($A65,股债表现与四个维度!$A:$A,0),MATCH(N$3&amp;N$4,股债表现与四个维度!$2:$2&amp;股债表现与四个维度!$3:$3,0))</f>
        <v>0</v>
      </c>
      <c r="O65" s="115" cm="1">
        <f t="array" ref="O65">INDEX(股债表现与四个维度!$A:$T,MATCH($A65,股债表现与四个维度!$A:$A,0),MATCH(O$3&amp;O$4,股债表现与四个维度!$2:$2&amp;股债表现与四个维度!$3:$3,0))</f>
        <v>0</v>
      </c>
      <c r="P65" s="115" cm="1">
        <f t="array" ref="P65">INDEX(股债表现与四个维度!$A:$T,MATCH($A65,股债表现与四个维度!$A:$A,0),MATCH(P$3&amp;P$4,股债表现与四个维度!$2:$2&amp;股债表现与四个维度!$3:$3,0))</f>
        <v>-8.3333333333333329E-2</v>
      </c>
      <c r="Q65" s="115" cm="1">
        <f t="array" ref="Q65">INDEX(股债表现与四个维度!$A:$T,MATCH($A65,股债表现与四个维度!$A:$A,0),MATCH(Q$3&amp;Q$4,股债表现与四个维度!$2:$2&amp;股债表现与四个维度!$3:$3,0))</f>
        <v>0.41666666666666669</v>
      </c>
      <c r="R65" s="115" cm="1">
        <f t="array" ref="R65">INDEX(股债表现与四个维度!$A:$T,MATCH($A65,股债表现与四个维度!$A:$A,0),MATCH(R$3&amp;R$4,股债表现与四个维度!$2:$2&amp;股债表现与四个维度!$3:$3,0))</f>
        <v>0</v>
      </c>
      <c r="S65" s="115" cm="1">
        <f t="array" ref="S65">INDEX(股债表现与四个维度!$A:$T,MATCH($A65,股债表现与四个维度!$A:$A,0),MATCH(S$3&amp;S$4,股债表现与四个维度!$2:$2&amp;股债表现与四个维度!$3:$3,0))</f>
        <v>1</v>
      </c>
      <c r="T65">
        <f>SUMIFS($J65:$S65,$J65:$S65,"&lt;&gt;"&amp;"#N/A",$J$4:$S$4,T$4)</f>
        <v>-0.31944444444444442</v>
      </c>
      <c r="U65">
        <f>SUMIFS($J65:$S65,$J65:$S65,"&lt;&gt;"&amp;"#N/A",$J$4:$S$4,U$4)</f>
        <v>2.5555555555555554</v>
      </c>
      <c r="V65">
        <f t="shared" si="11"/>
        <v>-2.875</v>
      </c>
      <c r="W65" s="114">
        <f t="shared" si="14"/>
        <v>0.23916414740967995</v>
      </c>
      <c r="X65" s="114">
        <f t="shared" si="12"/>
        <v>-1.0808358525903401</v>
      </c>
      <c r="Y65">
        <f t="shared" ref="Y65:AA65" si="43">AVERAGE(V65:V70)</f>
        <v>-2.444149139331028</v>
      </c>
      <c r="Z65">
        <f t="shared" si="43"/>
        <v>-4.811402502300262</v>
      </c>
      <c r="AA65">
        <f t="shared" si="43"/>
        <v>0.9342661406510665</v>
      </c>
    </row>
    <row r="66" spans="1:27" x14ac:dyDescent="0.35">
      <c r="A66" s="106">
        <v>44439</v>
      </c>
      <c r="B66" s="1">
        <v>3.2233833027335299</v>
      </c>
      <c r="C66" s="1">
        <v>-10.673636363637</v>
      </c>
      <c r="D66">
        <v>0.36</v>
      </c>
      <c r="E66" t="s">
        <v>10</v>
      </c>
      <c r="F66" t="s">
        <v>112</v>
      </c>
      <c r="G66" t="s">
        <v>113</v>
      </c>
      <c r="H66" t="s">
        <v>114</v>
      </c>
      <c r="I66" t="s">
        <v>122</v>
      </c>
      <c r="J66" s="115" cm="1">
        <f t="array" ref="J66">INDEX(股债表现与四个维度!$A:$T,MATCH($A66,股债表现与四个维度!$A:$A,0),MATCH(J$3&amp;J$4,股债表现与四个维度!$2:$2&amp;股债表现与四个维度!$3:$3,0))</f>
        <v>0</v>
      </c>
      <c r="K66" s="115" cm="1">
        <f t="array" ref="K66">INDEX(股债表现与四个维度!$A:$T,MATCH($A66,股债表现与四个维度!$A:$A,0),MATCH(K$3&amp;K$4,股债表现与四个维度!$2:$2&amp;股债表现与四个维度!$3:$3,0))</f>
        <v>0.7142857142857143</v>
      </c>
      <c r="L66" s="115" cm="1">
        <f t="array" ref="L66">INDEX(股债表现与四个维度!$A:$T,MATCH($A66,股债表现与四个维度!$A:$A,0),MATCH(L$3&amp;L$4,股债表现与四个维度!$2:$2&amp;股债表现与四个维度!$3:$3,0))</f>
        <v>-5.8823529411764705E-2</v>
      </c>
      <c r="M66" s="115" cm="1">
        <f t="array" ref="M66">INDEX(股债表现与四个维度!$A:$T,MATCH($A66,股债表现与四个维度!$A:$A,0),MATCH(M$3&amp;M$4,股债表现与四个维度!$2:$2&amp;股债表现与四个维度!$3:$3,0))</f>
        <v>0.35294117647058826</v>
      </c>
      <c r="N66" s="115" cm="1">
        <f t="array" ref="N66">INDEX(股债表现与四个维度!$A:$T,MATCH($A66,股债表现与四个维度!$A:$A,0),MATCH(N$3&amp;N$4,股债表现与四个维度!$2:$2&amp;股债表现与四个维度!$3:$3,0))</f>
        <v>0</v>
      </c>
      <c r="O66" s="115" cm="1">
        <f t="array" ref="O66">INDEX(股债表现与四个维度!$A:$T,MATCH($A66,股债表现与四个维度!$A:$A,0),MATCH(O$3&amp;O$4,股债表现与四个维度!$2:$2&amp;股债表现与四个维度!$3:$3,0))</f>
        <v>0</v>
      </c>
      <c r="P66" s="115" cm="1">
        <f t="array" ref="P66">INDEX(股债表现与四个维度!$A:$T,MATCH($A66,股债表现与四个维度!$A:$A,0),MATCH(P$3&amp;P$4,股债表现与四个维度!$2:$2&amp;股债表现与四个维度!$3:$3,0))</f>
        <v>0</v>
      </c>
      <c r="Q66" s="115" cm="1">
        <f t="array" ref="Q66">INDEX(股债表现与四个维度!$A:$T,MATCH($A66,股债表现与四个维度!$A:$A,0),MATCH(Q$3&amp;Q$4,股债表现与四个维度!$2:$2&amp;股债表现与四个维度!$3:$3,0))</f>
        <v>0.36363636363636365</v>
      </c>
      <c r="R66" s="115" cm="1">
        <f t="array" ref="R66">INDEX(股债表现与四个维度!$A:$T,MATCH($A66,股债表现与四个维度!$A:$A,0),MATCH(R$3&amp;R$4,股债表现与四个维度!$2:$2&amp;股债表现与四个维度!$3:$3,0))</f>
        <v>1</v>
      </c>
      <c r="S66" s="115" cm="1">
        <f t="array" ref="S66">INDEX(股债表现与四个维度!$A:$T,MATCH($A66,股债表现与四个维度!$A:$A,0),MATCH(S$3&amp;S$4,股债表现与四个维度!$2:$2&amp;股债表现与四个维度!$3:$3,0))</f>
        <v>1</v>
      </c>
      <c r="T66">
        <f>SUMIFS($J66:$S66,$J66:$S66,"&lt;&gt;"&amp;"#N/A",$J$4:$S$4,T$4)</f>
        <v>0.94117647058823528</v>
      </c>
      <c r="U66">
        <f>SUMIFS($J66:$S66,$J66:$S66,"&lt;&gt;"&amp;"#N/A",$J$4:$S$4,U$4)</f>
        <v>2.430863254392666</v>
      </c>
      <c r="V66">
        <f t="shared" si="11"/>
        <v>-1.4896867838044308</v>
      </c>
      <c r="W66" s="114">
        <f t="shared" si="14"/>
        <v>-7.4502530609034698</v>
      </c>
      <c r="X66" s="114">
        <f t="shared" si="12"/>
        <v>2.86338330273353</v>
      </c>
      <c r="Y66">
        <f t="shared" ref="Y66:AA66" si="44">AVERAGE(V66:V71)</f>
        <v>-2.2880818878690397</v>
      </c>
      <c r="Z66">
        <f t="shared" si="44"/>
        <v>-4.7060883065040899</v>
      </c>
      <c r="AA66">
        <f t="shared" si="44"/>
        <v>0.54149146176690655</v>
      </c>
    </row>
    <row r="67" spans="1:27" x14ac:dyDescent="0.35">
      <c r="A67" s="106">
        <v>44408</v>
      </c>
      <c r="B67" s="1">
        <v>-3.0964455552782502</v>
      </c>
      <c r="C67" s="1">
        <v>-13.394350649350001</v>
      </c>
      <c r="D67">
        <v>0.65</v>
      </c>
      <c r="E67" t="s">
        <v>10</v>
      </c>
      <c r="F67" t="s">
        <v>112</v>
      </c>
      <c r="G67" t="s">
        <v>113</v>
      </c>
      <c r="H67" t="s">
        <v>114</v>
      </c>
      <c r="I67" t="s">
        <v>122</v>
      </c>
      <c r="J67" s="115" cm="1">
        <f t="array" ref="J67">INDEX(股债表现与四个维度!$A:$T,MATCH($A67,股债表现与四个维度!$A:$A,0),MATCH(J$3&amp;J$4,股债表现与四个维度!$2:$2&amp;股债表现与四个维度!$3:$3,0))</f>
        <v>-0.16666666666666666</v>
      </c>
      <c r="K67" s="115" cm="1">
        <f t="array" ref="K67">INDEX(股债表现与四个维度!$A:$T,MATCH($A67,股债表现与四个维度!$A:$A,0),MATCH(K$3&amp;K$4,股债表现与四个维度!$2:$2&amp;股债表现与四个维度!$3:$3,0))</f>
        <v>0.66666666666666663</v>
      </c>
      <c r="L67" s="115" cm="1">
        <f t="array" ref="L67">INDEX(股债表现与四个维度!$A:$T,MATCH($A67,股债表现与四个维度!$A:$A,0),MATCH(L$3&amp;L$4,股债表现与四个维度!$2:$2&amp;股债表现与四个维度!$3:$3,0))</f>
        <v>-0.125</v>
      </c>
      <c r="M67" s="115" cm="1">
        <f t="array" ref="M67">INDEX(股债表现与四个维度!$A:$T,MATCH($A67,股债表现与四个维度!$A:$A,0),MATCH(M$3&amp;M$4,股债表现与四个维度!$2:$2&amp;股债表现与四个维度!$3:$3,0))</f>
        <v>0.3125</v>
      </c>
      <c r="N67" s="115" cm="1">
        <f t="array" ref="N67">INDEX(股债表现与四个维度!$A:$T,MATCH($A67,股债表现与四个维度!$A:$A,0),MATCH(N$3&amp;N$4,股债表现与四个维度!$2:$2&amp;股债表现与四个维度!$3:$3,0))</f>
        <v>0</v>
      </c>
      <c r="O67" s="115" cm="1">
        <f t="array" ref="O67">INDEX(股债表现与四个维度!$A:$T,MATCH($A67,股债表现与四个维度!$A:$A,0),MATCH(O$3&amp;O$4,股债表现与四个维度!$2:$2&amp;股债表现与四个维度!$3:$3,0))</f>
        <v>0</v>
      </c>
      <c r="P67" s="115" cm="1">
        <f t="array" ref="P67">INDEX(股债表现与四个维度!$A:$T,MATCH($A67,股债表现与四个维度!$A:$A,0),MATCH(P$3&amp;P$4,股债表现与四个维度!$2:$2&amp;股债表现与四个维度!$3:$3,0))</f>
        <v>-0.1</v>
      </c>
      <c r="Q67" s="115" cm="1">
        <f t="array" ref="Q67">INDEX(股债表现与四个维度!$A:$T,MATCH($A67,股债表现与四个维度!$A:$A,0),MATCH(Q$3&amp;Q$4,股债表现与四个维度!$2:$2&amp;股债表现与四个维度!$3:$3,0))</f>
        <v>0.3</v>
      </c>
      <c r="R67" s="115" cm="1">
        <f t="array" ref="R67">INDEX(股债表现与四个维度!$A:$T,MATCH($A67,股债表现与四个维度!$A:$A,0),MATCH(R$3&amp;R$4,股债表现与四个维度!$2:$2&amp;股债表现与四个维度!$3:$3,0))</f>
        <v>-0.2</v>
      </c>
      <c r="S67" s="115" cm="1">
        <f t="array" ref="S67">INDEX(股债表现与四个维度!$A:$T,MATCH($A67,股债表现与四个维度!$A:$A,0),MATCH(S$3&amp;S$4,股债表现与四个维度!$2:$2&amp;股债表现与四个维度!$3:$3,0))</f>
        <v>0.6</v>
      </c>
      <c r="T67">
        <f>SUMIFS($J67:$S67,$J67:$S67,"&lt;&gt;"&amp;"#N/A",$J$4:$S$4,T$4)</f>
        <v>-0.59166666666666656</v>
      </c>
      <c r="U67">
        <f>SUMIFS($J67:$S67,$J67:$S67,"&lt;&gt;"&amp;"#N/A",$J$4:$S$4,U$4)</f>
        <v>1.8791666666666664</v>
      </c>
      <c r="V67">
        <f t="shared" si="11"/>
        <v>-2.4708333333333332</v>
      </c>
      <c r="W67" s="114">
        <f t="shared" si="14"/>
        <v>-16.49079620462825</v>
      </c>
      <c r="X67" s="114">
        <f t="shared" si="12"/>
        <v>-3.7464455552782501</v>
      </c>
      <c r="Y67">
        <f t="shared" ref="Y67:AA67" si="45">AVERAGE(V67:V72)</f>
        <v>-1.8609730060387955</v>
      </c>
      <c r="Z67">
        <f t="shared" si="45"/>
        <v>-3.8759556122304555</v>
      </c>
      <c r="AA67">
        <f t="shared" si="45"/>
        <v>2.4990069006374672E-2</v>
      </c>
    </row>
    <row r="68" spans="1:27" x14ac:dyDescent="0.35">
      <c r="A68" s="106">
        <v>44377</v>
      </c>
      <c r="B68" s="1">
        <v>1.4197527667074501</v>
      </c>
      <c r="C68" s="1">
        <v>-2.0911278195490102</v>
      </c>
      <c r="D68">
        <v>0.21</v>
      </c>
      <c r="E68" t="s">
        <v>10</v>
      </c>
      <c r="F68" t="s">
        <v>112</v>
      </c>
      <c r="G68" t="s">
        <v>113</v>
      </c>
      <c r="H68" t="s">
        <v>114</v>
      </c>
      <c r="I68" t="s">
        <v>122</v>
      </c>
      <c r="J68" s="115" cm="1">
        <f t="array" ref="J68">INDEX(股债表现与四个维度!$A:$T,MATCH($A68,股债表现与四个维度!$A:$A,0),MATCH(J$3&amp;J$4,股债表现与四个维度!$2:$2&amp;股债表现与四个维度!$3:$3,0))</f>
        <v>-0.4</v>
      </c>
      <c r="K68" s="115" cm="1">
        <f t="array" ref="K68">INDEX(股债表现与四个维度!$A:$T,MATCH($A68,股债表现与四个维度!$A:$A,0),MATCH(K$3&amp;K$4,股债表现与四个维度!$2:$2&amp;股债表现与四个维度!$3:$3,0))</f>
        <v>0.6</v>
      </c>
      <c r="L68" s="115" cm="1">
        <f t="array" ref="L68">INDEX(股债表现与四个维度!$A:$T,MATCH($A68,股债表现与四个维度!$A:$A,0),MATCH(L$3&amp;L$4,股债表现与四个维度!$2:$2&amp;股债表现与四个维度!$3:$3,0))</f>
        <v>-0.2</v>
      </c>
      <c r="M68" s="115" cm="1">
        <f t="array" ref="M68">INDEX(股债表现与四个维度!$A:$T,MATCH($A68,股债表现与四个维度!$A:$A,0),MATCH(M$3&amp;M$4,股债表现与四个维度!$2:$2&amp;股债表现与四个维度!$3:$3,0))</f>
        <v>0.26666666666666666</v>
      </c>
      <c r="N68" s="115" cm="1">
        <f t="array" ref="N68">INDEX(股债表现与四个维度!$A:$T,MATCH($A68,股债表现与四个维度!$A:$A,0),MATCH(N$3&amp;N$4,股债表现与四个维度!$2:$2&amp;股债表现与四个维度!$3:$3,0))</f>
        <v>0</v>
      </c>
      <c r="O68" s="115" cm="1">
        <f t="array" ref="O68">INDEX(股债表现与四个维度!$A:$T,MATCH($A68,股债表现与四个维度!$A:$A,0),MATCH(O$3&amp;O$4,股债表现与四个维度!$2:$2&amp;股债表现与四个维度!$3:$3,0))</f>
        <v>0</v>
      </c>
      <c r="P68" s="115" cm="1">
        <f t="array" ref="P68">INDEX(股债表现与四个维度!$A:$T,MATCH($A68,股债表现与四个维度!$A:$A,0),MATCH(P$3&amp;P$4,股债表现与四个维度!$2:$2&amp;股债表现与四个维度!$3:$3,0))</f>
        <v>-0.22222222222222221</v>
      </c>
      <c r="Q68" s="115" cm="1">
        <f t="array" ref="Q68">INDEX(股债表现与四个维度!$A:$T,MATCH($A68,股债表现与四个维度!$A:$A,0),MATCH(Q$3&amp;Q$4,股债表现与四个维度!$2:$2&amp;股债表现与四个维度!$3:$3,0))</f>
        <v>0.22222222222222221</v>
      </c>
      <c r="R68" s="115" cm="1">
        <f t="array" ref="R68">INDEX(股债表现与四个维度!$A:$T,MATCH($A68,股债表现与四个维度!$A:$A,0),MATCH(R$3&amp;R$4,股债表现与四个维度!$2:$2&amp;股债表现与四个维度!$3:$3,0))</f>
        <v>-0.2</v>
      </c>
      <c r="S68" s="115" cm="1">
        <f t="array" ref="S68">INDEX(股债表现与四个维度!$A:$T,MATCH($A68,股债表现与四个维度!$A:$A,0),MATCH(S$3&amp;S$4,股债表现与四个维度!$2:$2&amp;股债表现与四个维度!$3:$3,0))</f>
        <v>0.6</v>
      </c>
      <c r="T68">
        <f>SUMIFS($J68:$S68,$J68:$S68,"&lt;&gt;"&amp;"#N/A",$J$4:$S$4,T$4)</f>
        <v>-1.0222222222222224</v>
      </c>
      <c r="U68">
        <f>SUMIFS($J68:$S68,$J68:$S68,"&lt;&gt;"&amp;"#N/A",$J$4:$S$4,U$4)</f>
        <v>1.6888888888888891</v>
      </c>
      <c r="V68">
        <f t="shared" si="11"/>
        <v>-2.7111111111111112</v>
      </c>
      <c r="W68" s="114">
        <f t="shared" si="14"/>
        <v>-0.67137505284156007</v>
      </c>
      <c r="X68" s="114">
        <f t="shared" si="12"/>
        <v>1.2097527667074501</v>
      </c>
      <c r="Y68">
        <f t="shared" ref="Y68:AA68" si="46">AVERAGE(V68:V73)</f>
        <v>-1.3289920118867486</v>
      </c>
      <c r="Z68">
        <f t="shared" si="46"/>
        <v>-0.81172608612409203</v>
      </c>
      <c r="AA68">
        <f t="shared" si="46"/>
        <v>1.0443813053832398</v>
      </c>
    </row>
    <row r="69" spans="1:27" x14ac:dyDescent="0.35">
      <c r="A69" s="106">
        <v>44347</v>
      </c>
      <c r="B69" s="1">
        <v>5.1350790340010297</v>
      </c>
      <c r="C69" s="1">
        <v>-6.8427033492819902</v>
      </c>
      <c r="D69">
        <v>0.52</v>
      </c>
      <c r="E69" t="s">
        <v>10</v>
      </c>
      <c r="F69" t="s">
        <v>112</v>
      </c>
      <c r="G69" t="s">
        <v>113</v>
      </c>
      <c r="H69" t="s">
        <v>114</v>
      </c>
      <c r="I69" t="s">
        <v>123</v>
      </c>
      <c r="J69" s="115" cm="1">
        <f t="array" ref="J69">INDEX(股债表现与四个维度!$A:$T,MATCH($A69,股债表现与四个维度!$A:$A,0),MATCH(J$3&amp;J$4,股债表现与四个维度!$2:$2&amp;股债表现与四个维度!$3:$3,0))</f>
        <v>-0.75</v>
      </c>
      <c r="K69" s="115" cm="1">
        <f t="array" ref="K69">INDEX(股债表现与四个维度!$A:$T,MATCH($A69,股债表现与四个维度!$A:$A,0),MATCH(K$3&amp;K$4,股债表现与四个维度!$2:$2&amp;股债表现与四个维度!$3:$3,0))</f>
        <v>0.5</v>
      </c>
      <c r="L69" s="115" cm="1">
        <f t="array" ref="L69">INDEX(股债表现与四个维度!$A:$T,MATCH($A69,股债表现与四个维度!$A:$A,0),MATCH(L$3&amp;L$4,股债表现与四个维度!$2:$2&amp;股债表现与四个维度!$3:$3,0))</f>
        <v>-0.2857142857142857</v>
      </c>
      <c r="M69" s="115" cm="1">
        <f t="array" ref="M69">INDEX(股债表现与四个维度!$A:$T,MATCH($A69,股债表现与四个维度!$A:$A,0),MATCH(M$3&amp;M$4,股债表现与四个维度!$2:$2&amp;股债表现与四个维度!$3:$3,0))</f>
        <v>0.21428571428571427</v>
      </c>
      <c r="N69" s="115" cm="1">
        <f t="array" ref="N69">INDEX(股债表现与四个维度!$A:$T,MATCH($A69,股债表现与四个维度!$A:$A,0),MATCH(N$3&amp;N$4,股债表现与四个维度!$2:$2&amp;股债表现与四个维度!$3:$3,0))</f>
        <v>0</v>
      </c>
      <c r="O69" s="115" cm="1">
        <f t="array" ref="O69">INDEX(股债表现与四个维度!$A:$T,MATCH($A69,股债表现与四个维度!$A:$A,0),MATCH(O$3&amp;O$4,股债表现与四个维度!$2:$2&amp;股债表现与四个维度!$3:$3,0))</f>
        <v>0</v>
      </c>
      <c r="P69" s="115" cm="1">
        <f t="array" ref="P69">INDEX(股债表现与四个维度!$A:$T,MATCH($A69,股债表现与四个维度!$A:$A,0),MATCH(P$3&amp;P$4,股债表现与四个维度!$2:$2&amp;股债表现与四个维度!$3:$3,0))</f>
        <v>-0.22222222222222221</v>
      </c>
      <c r="Q69" s="115" cm="1">
        <f t="array" ref="Q69">INDEX(股债表现与四个维度!$A:$T,MATCH($A69,股债表现与四个维度!$A:$A,0),MATCH(Q$3&amp;Q$4,股债表现与四个维度!$2:$2&amp;股债表现与四个维度!$3:$3,0))</f>
        <v>0.22222222222222221</v>
      </c>
      <c r="R69" s="115" cm="1">
        <f t="array" ref="R69">INDEX(股债表现与四个维度!$A:$T,MATCH($A69,股债表现与四个维度!$A:$A,0),MATCH(R$3&amp;R$4,股债表现与四个维度!$2:$2&amp;股债表现与四个维度!$3:$3,0))</f>
        <v>-0.2</v>
      </c>
      <c r="S69" s="115" cm="1">
        <f t="array" ref="S69">INDEX(股债表现与四个维度!$A:$T,MATCH($A69,股债表现与四个维度!$A:$A,0),MATCH(S$3&amp;S$4,股债表现与四个维度!$2:$2&amp;股债表现与四个维度!$3:$3,0))</f>
        <v>0.6</v>
      </c>
      <c r="T69">
        <f>SUMIFS($J69:$S69,$J69:$S69,"&lt;&gt;"&amp;"#N/A",$J$4:$S$4,T$4)</f>
        <v>-1.4579365079365079</v>
      </c>
      <c r="U69">
        <f>SUMIFS($J69:$S69,$J69:$S69,"&lt;&gt;"&amp;"#N/A",$J$4:$S$4,U$4)</f>
        <v>1.5365079365079364</v>
      </c>
      <c r="V69">
        <f t="shared" si="11"/>
        <v>-2.9944444444444445</v>
      </c>
      <c r="W69" s="114">
        <f t="shared" si="14"/>
        <v>-1.7076243152809605</v>
      </c>
      <c r="X69" s="114">
        <f t="shared" si="12"/>
        <v>4.6150790340010293</v>
      </c>
      <c r="Y69">
        <f t="shared" ref="Y69:AA69" si="47">AVERAGE(V69:V74)</f>
        <v>-0.64556121266647581</v>
      </c>
      <c r="Z69">
        <f t="shared" si="47"/>
        <v>1.0038950263651596</v>
      </c>
      <c r="AA69">
        <f t="shared" si="47"/>
        <v>1.5148611332884896</v>
      </c>
    </row>
    <row r="70" spans="1:27" x14ac:dyDescent="0.35">
      <c r="A70" s="106">
        <v>44316</v>
      </c>
      <c r="B70" s="1">
        <v>2.2146631483329799</v>
      </c>
      <c r="C70" s="1">
        <v>-5.0021936758899903</v>
      </c>
      <c r="D70">
        <v>0.47</v>
      </c>
      <c r="E70" t="s">
        <v>10</v>
      </c>
      <c r="F70" t="s">
        <v>112</v>
      </c>
      <c r="G70" t="s">
        <v>117</v>
      </c>
      <c r="H70" t="s">
        <v>116</v>
      </c>
      <c r="I70" t="s">
        <v>123</v>
      </c>
      <c r="J70" s="115" cm="1">
        <f t="array" ref="J70">INDEX(股债表现与四个维度!$A:$T,MATCH($A70,股债表现与四个维度!$A:$A,0),MATCH(J$3&amp;J$4,股债表现与四个维度!$2:$2&amp;股债表现与四个维度!$3:$3,0))</f>
        <v>-0.66666666666666663</v>
      </c>
      <c r="K70" s="115" cm="1">
        <f t="array" ref="K70">INDEX(股债表现与四个维度!$A:$T,MATCH($A70,股债表现与四个维度!$A:$A,0),MATCH(K$3&amp;K$4,股债表现与四个维度!$2:$2&amp;股债表现与四个维度!$3:$3,0))</f>
        <v>0.66666666666666663</v>
      </c>
      <c r="L70" s="115" cm="1">
        <f t="array" ref="L70">INDEX(股债表现与四个维度!$A:$T,MATCH($A70,股债表现与四个维度!$A:$A,0),MATCH(L$3&amp;L$4,股债表现与四个维度!$2:$2&amp;股债表现与四个维度!$3:$3,0))</f>
        <v>-0.23076923076923078</v>
      </c>
      <c r="M70" s="115" cm="1">
        <f t="array" ref="M70">INDEX(股债表现与四个维度!$A:$T,MATCH($A70,股债表现与四个维度!$A:$A,0),MATCH(M$3&amp;M$4,股债表现与四个维度!$2:$2&amp;股债表现与四个维度!$3:$3,0))</f>
        <v>0.23076923076923078</v>
      </c>
      <c r="N70" s="115" cm="1">
        <f t="array" ref="N70">INDEX(股债表现与四个维度!$A:$T,MATCH($A70,股债表现与四个维度!$A:$A,0),MATCH(N$3&amp;N$4,股债表现与四个维度!$2:$2&amp;股债表现与四个维度!$3:$3,0))</f>
        <v>0</v>
      </c>
      <c r="O70" s="115" cm="1">
        <f t="array" ref="O70">INDEX(股债表现与四个维度!$A:$T,MATCH($A70,股债表现与四个维度!$A:$A,0),MATCH(O$3&amp;O$4,股债表现与四个维度!$2:$2&amp;股债表现与四个维度!$3:$3,0))</f>
        <v>0</v>
      </c>
      <c r="P70" s="115" cm="1">
        <f t="array" ref="P70">INDEX(股债表现与四个维度!$A:$T,MATCH($A70,股债表现与四个维度!$A:$A,0),MATCH(P$3&amp;P$4,股债表现与四个维度!$2:$2&amp;股债表现与四个维度!$3:$3,0))</f>
        <v>0.26315789473684209</v>
      </c>
      <c r="Q70" s="115" cm="1">
        <f t="array" ref="Q70">INDEX(股债表现与四个维度!$A:$T,MATCH($A70,股债表现与四个维度!$A:$A,0),MATCH(Q$3&amp;Q$4,股债表现与四个维度!$2:$2&amp;股债表现与四个维度!$3:$3,0))</f>
        <v>-0.15789473684210525</v>
      </c>
      <c r="R70" s="115" cm="1">
        <f t="array" ref="R70">INDEX(股债表现与四个维度!$A:$T,MATCH($A70,股债表现与四个维度!$A:$A,0),MATCH(R$3&amp;R$4,股债表现与四个维度!$2:$2&amp;股债表现与四个维度!$3:$3,0))</f>
        <v>0</v>
      </c>
      <c r="S70" s="115" cm="1">
        <f t="array" ref="S70">INDEX(股债表现与四个维度!$A:$T,MATCH($A70,股债表现与四个维度!$A:$A,0),MATCH(S$3&amp;S$4,股债表现与四个维度!$2:$2&amp;股债表现与四个维度!$3:$3,0))</f>
        <v>0.75</v>
      </c>
      <c r="T70">
        <f>SUMIFS($J70:$S70,$J70:$S70,"&lt;&gt;"&amp;"#N/A",$J$4:$S$4,T$4)</f>
        <v>-0.63427800269905532</v>
      </c>
      <c r="U70">
        <f>SUMIFS($J70:$S70,$J70:$S70,"&lt;&gt;"&amp;"#N/A",$J$4:$S$4,U$4)</f>
        <v>1.489541160593792</v>
      </c>
      <c r="V70">
        <f t="shared" si="11"/>
        <v>-2.1238191632928474</v>
      </c>
      <c r="W70" s="114">
        <f t="shared" si="14"/>
        <v>-2.7875305275570104</v>
      </c>
      <c r="X70" s="114">
        <f t="shared" si="12"/>
        <v>1.74466314833298</v>
      </c>
      <c r="Y70">
        <f t="shared" ref="Y70:AA70" si="48">AVERAGE(V70:V75)</f>
        <v>7.5269458783390683E-2</v>
      </c>
      <c r="Z70">
        <f t="shared" si="48"/>
        <v>2.7966174367462813</v>
      </c>
      <c r="AA70">
        <f t="shared" si="48"/>
        <v>0.86453281495294643</v>
      </c>
    </row>
    <row r="71" spans="1:27" x14ac:dyDescent="0.35">
      <c r="A71" s="106">
        <v>44286</v>
      </c>
      <c r="B71" s="1">
        <v>-3.1374839258953</v>
      </c>
      <c r="C71" s="1">
        <v>4.0085332480820099</v>
      </c>
      <c r="D71">
        <v>0.3</v>
      </c>
      <c r="E71" t="s">
        <v>10</v>
      </c>
      <c r="F71" t="s">
        <v>112</v>
      </c>
      <c r="G71" t="s">
        <v>117</v>
      </c>
      <c r="H71" t="s">
        <v>116</v>
      </c>
      <c r="I71" t="s">
        <v>123</v>
      </c>
      <c r="J71" s="115" cm="1">
        <f t="array" ref="J71">INDEX(股债表现与四个维度!$A:$T,MATCH($A71,股债表现与四个维度!$A:$A,0),MATCH(J$3&amp;J$4,股债表现与四个维度!$2:$2&amp;股债表现与四个维度!$3:$3,0))</f>
        <v>-0.75</v>
      </c>
      <c r="K71" s="115" cm="1">
        <f t="array" ref="K71">INDEX(股债表现与四个维度!$A:$T,MATCH($A71,股债表现与四个维度!$A:$A,0),MATCH(K$3&amp;K$4,股债表现与四个维度!$2:$2&amp;股债表现与四个维度!$3:$3,0))</f>
        <v>0.25</v>
      </c>
      <c r="L71" s="115" cm="1">
        <f t="array" ref="L71">INDEX(股债表现与四个维度!$A:$T,MATCH($A71,股债表现与四个维度!$A:$A,0),MATCH(L$3&amp;L$4,股债表现与四个维度!$2:$2&amp;股债表现与四个维度!$3:$3,0))</f>
        <v>-0.25</v>
      </c>
      <c r="M71" s="115" cm="1">
        <f t="array" ref="M71">INDEX(股债表现与四个维度!$A:$T,MATCH($A71,股债表现与四个维度!$A:$A,0),MATCH(M$3&amp;M$4,股债表现与四个维度!$2:$2&amp;股债表现与四个维度!$3:$3,0))</f>
        <v>0.33333333333333331</v>
      </c>
      <c r="N71" s="115" cm="1">
        <f t="array" ref="N71">INDEX(股债表现与四个维度!$A:$T,MATCH($A71,股债表现与四个维度!$A:$A,0),MATCH(N$3&amp;N$4,股债表现与四个维度!$2:$2&amp;股债表现与四个维度!$3:$3,0))</f>
        <v>0</v>
      </c>
      <c r="O71" s="115" cm="1">
        <f t="array" ref="O71">INDEX(股债表现与四个维度!$A:$T,MATCH($A71,股债表现与四个维度!$A:$A,0),MATCH(O$3&amp;O$4,股债表现与四个维度!$2:$2&amp;股债表现与四个维度!$3:$3,0))</f>
        <v>0</v>
      </c>
      <c r="P71" s="115" cm="1">
        <f t="array" ref="P71">INDEX(股债表现与四个维度!$A:$T,MATCH($A71,股债表现与四个维度!$A:$A,0),MATCH(P$3&amp;P$4,股债表现与四个维度!$2:$2&amp;股债表现与四个维度!$3:$3,0))</f>
        <v>0.23684210526315788</v>
      </c>
      <c r="Q71" s="115" cm="1">
        <f t="array" ref="Q71">INDEX(股债表现与四个维度!$A:$T,MATCH($A71,股债表现与四个维度!$A:$A,0),MATCH(Q$3&amp;Q$4,股债表现与四个维度!$2:$2&amp;股债表现与四个维度!$3:$3,0))</f>
        <v>-0.15789473684210525</v>
      </c>
      <c r="R71" s="115" cm="1">
        <f t="array" ref="R71">INDEX(股债表现与四个维度!$A:$T,MATCH($A71,股债表现与四个维度!$A:$A,0),MATCH(R$3&amp;R$4,股债表现与四个维度!$2:$2&amp;股债表现与四个维度!$3:$3,0))</f>
        <v>0</v>
      </c>
      <c r="S71" s="115" cm="1">
        <f t="array" ref="S71">INDEX(股债表现与四个维度!$A:$T,MATCH($A71,股债表现与四个维度!$A:$A,0),MATCH(S$3&amp;S$4,股债表现与四个维度!$2:$2&amp;股债表现与四个维度!$3:$3,0))</f>
        <v>0.75</v>
      </c>
      <c r="T71">
        <f>SUMIFS($J71:$S71,$J71:$S71,"&lt;&gt;"&amp;"#N/A",$J$4:$S$4,T$4)</f>
        <v>-0.76315789473684215</v>
      </c>
      <c r="U71">
        <f>SUMIFS($J71:$S71,$J71:$S71,"&lt;&gt;"&amp;"#N/A",$J$4:$S$4,U$4)</f>
        <v>1.1754385964912279</v>
      </c>
      <c r="V71">
        <f t="shared" si="11"/>
        <v>-1.9385964912280702</v>
      </c>
      <c r="W71" s="114">
        <f t="shared" si="14"/>
        <v>0.87104932218670994</v>
      </c>
      <c r="X71" s="114">
        <f t="shared" si="12"/>
        <v>-3.4374839258952998</v>
      </c>
      <c r="Y71">
        <f t="shared" ref="Y71:AA71" si="49">AVERAGE(V71:V76)</f>
        <v>0.5854893193321985</v>
      </c>
      <c r="Z71">
        <f t="shared" si="49"/>
        <v>4.3750379947544262</v>
      </c>
      <c r="AA71">
        <f t="shared" si="49"/>
        <v>-0.42279526246157345</v>
      </c>
    </row>
    <row r="72" spans="1:27" x14ac:dyDescent="0.35">
      <c r="A72" s="106">
        <v>44255</v>
      </c>
      <c r="B72" s="1">
        <v>-5.5625053829661E-2</v>
      </c>
      <c r="C72" s="1">
        <v>-2.4138318414320001</v>
      </c>
      <c r="D72">
        <v>0.18</v>
      </c>
      <c r="E72" t="s">
        <v>9</v>
      </c>
      <c r="F72" t="s">
        <v>112</v>
      </c>
      <c r="G72" t="s">
        <v>117</v>
      </c>
      <c r="H72" t="s">
        <v>116</v>
      </c>
      <c r="I72" t="s">
        <v>124</v>
      </c>
      <c r="J72" s="115" cm="1">
        <f t="array" ref="J72">INDEX(股债表现与四个维度!$A:$T,MATCH($A72,股债表现与四个维度!$A:$A,0),MATCH(J$3&amp;J$4,股债表现与四个维度!$2:$2&amp;股债表现与四个维度!$3:$3,0))</f>
        <v>0.33333333333333331</v>
      </c>
      <c r="K72" s="115" cm="1">
        <f t="array" ref="K72">INDEX(股债表现与四个维度!$A:$T,MATCH($A72,股债表现与四个维度!$A:$A,0),MATCH(K$3&amp;K$4,股债表现与四个维度!$2:$2&amp;股债表现与四个维度!$3:$3,0))</f>
        <v>-0.25</v>
      </c>
      <c r="L72" s="115" cm="1">
        <f t="array" ref="L72">INDEX(股债表现与四个维度!$A:$T,MATCH($A72,股债表现与四个维度!$A:$A,0),MATCH(L$3&amp;L$4,股债表现与四个维度!$2:$2&amp;股债表现与四个维度!$3:$3,0))</f>
        <v>-0.27272727272727271</v>
      </c>
      <c r="M72" s="115" cm="1">
        <f t="array" ref="M72">INDEX(股债表现与四个维度!$A:$T,MATCH($A72,股债表现与四个维度!$A:$A,0),MATCH(M$3&amp;M$4,股债表现与四个维度!$2:$2&amp;股债表现与四个维度!$3:$3,0))</f>
        <v>0.27272727272727271</v>
      </c>
      <c r="N72" s="115"/>
      <c r="O72" s="115"/>
      <c r="P72" s="115" cm="1">
        <f t="array" ref="P72">INDEX(股债表现与四个维度!$A:$T,MATCH($A72,股债表现与四个维度!$A:$A,0),MATCH(P$3&amp;P$4,股债表现与四个维度!$2:$2&amp;股债表现与四个维度!$3:$3,0))</f>
        <v>0.21052631578947367</v>
      </c>
      <c r="Q72" s="115" cm="1">
        <f t="array" ref="Q72">INDEX(股债表现与四个维度!$A:$T,MATCH($A72,股债表现与四个维度!$A:$A,0),MATCH(Q$3&amp;Q$4,股债表现与四个维度!$2:$2&amp;股债表现与四个维度!$3:$3,0))</f>
        <v>-0.15789473684210525</v>
      </c>
      <c r="R72" s="115" cm="1">
        <f t="array" ref="R72">INDEX(股债表现与四个维度!$A:$T,MATCH($A72,股债表现与四个维度!$A:$A,0),MATCH(R$3&amp;R$4,股债表现与四个维度!$2:$2&amp;股债表现与四个维度!$3:$3,0))</f>
        <v>0.33333333333333331</v>
      </c>
      <c r="S72" s="115" cm="1">
        <f t="array" ref="S72">INDEX(股债表现与四个维度!$A:$T,MATCH($A72,股债表现与四个维度!$A:$A,0),MATCH(S$3&amp;S$4,股债表现与四个维度!$2:$2&amp;股债表现与四个维度!$3:$3,0))</f>
        <v>-0.33333333333333331</v>
      </c>
      <c r="T72">
        <f>SUMIFS($J72:$S72,$J72:$S72,"&lt;&gt;"&amp;"#N/A",$J$4:$S$4,T$4)</f>
        <v>0.6044657097288676</v>
      </c>
      <c r="U72">
        <f>SUMIFS($J72:$S72,$J72:$S72,"&lt;&gt;"&amp;"#N/A",$J$4:$S$4,U$4)</f>
        <v>-0.46850079744816586</v>
      </c>
      <c r="V72">
        <f t="shared" si="11"/>
        <v>1.0729665071770333</v>
      </c>
      <c r="W72" s="114">
        <f t="shared" si="14"/>
        <v>-2.4694568952616613</v>
      </c>
      <c r="X72" s="114">
        <f t="shared" si="12"/>
        <v>-0.23562505382966098</v>
      </c>
      <c r="Y72">
        <f t="shared" ref="Y72:AA72" si="50">AVERAGE(V72:V77)</f>
        <v>0.99577893225339043</v>
      </c>
      <c r="Z72">
        <f t="shared" si="50"/>
        <v>5.1721961386757327</v>
      </c>
      <c r="AA72">
        <f t="shared" si="50"/>
        <v>0.46653043108840309</v>
      </c>
    </row>
    <row r="73" spans="1:27" x14ac:dyDescent="0.35">
      <c r="A73" s="106">
        <v>44196</v>
      </c>
      <c r="B73" s="1">
        <v>3.10990186298294</v>
      </c>
      <c r="C73" s="1">
        <v>-1.2153209109730101</v>
      </c>
      <c r="D73">
        <v>0.74</v>
      </c>
      <c r="E73" t="s">
        <v>9</v>
      </c>
      <c r="F73" t="s">
        <v>112</v>
      </c>
      <c r="G73" t="s">
        <v>117</v>
      </c>
      <c r="H73" t="s">
        <v>116</v>
      </c>
      <c r="I73" t="s">
        <v>124</v>
      </c>
      <c r="J73" s="115" cm="1">
        <f t="array" ref="J73">INDEX(股债表现与四个维度!$A:$T,MATCH($A73,股债表现与四个维度!$A:$A,0),MATCH(J$3&amp;J$4,股债表现与四个维度!$2:$2&amp;股债表现与四个维度!$3:$3,0))</f>
        <v>0.27272727272727271</v>
      </c>
      <c r="K73" s="115" cm="1">
        <f t="array" ref="K73">INDEX(股债表现与四个维度!$A:$T,MATCH($A73,股债表现与四个维度!$A:$A,0),MATCH(K$3&amp;K$4,股债表现与四个维度!$2:$2&amp;股债表现与四个维度!$3:$3,0))</f>
        <v>-0.22727272727272727</v>
      </c>
      <c r="L73" s="115" cm="1">
        <f t="array" ref="L73">INDEX(股债表现与四个维度!$A:$T,MATCH($A73,股债表现与四个维度!$A:$A,0),MATCH(L$3&amp;L$4,股债表现与四个维度!$2:$2&amp;股债表现与四个维度!$3:$3,0))</f>
        <v>-0.4</v>
      </c>
      <c r="M73" s="115" cm="1">
        <f t="array" ref="M73">INDEX(股债表现与四个维度!$A:$T,MATCH($A73,股债表现与四个维度!$A:$A,0),MATCH(M$3&amp;M$4,股债表现与四个维度!$2:$2&amp;股债表现与四个维度!$3:$3,0))</f>
        <v>0.3</v>
      </c>
      <c r="N73" s="115"/>
      <c r="O73" s="115"/>
      <c r="P73" s="115" cm="1">
        <f t="array" ref="P73">INDEX(股债表现与四个维度!$A:$T,MATCH($A73,股债表现与四个维度!$A:$A,0),MATCH(P$3&amp;P$4,股债表现与四个维度!$2:$2&amp;股债表现与四个维度!$3:$3,0))</f>
        <v>0.21052631578947367</v>
      </c>
      <c r="Q73" s="115" cm="1">
        <f t="array" ref="Q73">INDEX(股债表现与四个维度!$A:$T,MATCH($A73,股债表现与四个维度!$A:$A,0),MATCH(Q$3&amp;Q$4,股债表现与四个维度!$2:$2&amp;股债表现与四个维度!$3:$3,0))</f>
        <v>-0.13157894736842105</v>
      </c>
      <c r="R73" s="115" cm="1">
        <f t="array" ref="R73">INDEX(股债表现与四个维度!$A:$T,MATCH($A73,股债表现与四个维度!$A:$A,0),MATCH(R$3&amp;R$4,股债表现与四个维度!$2:$2&amp;股债表现与四个维度!$3:$3,0))</f>
        <v>0.26315789473684209</v>
      </c>
      <c r="S73" s="115" cm="1">
        <f t="array" ref="S73">INDEX(股债表现与四个维度!$A:$T,MATCH($A73,股债表现与四个维度!$A:$A,0),MATCH(S$3&amp;S$4,股债表现与四个维度!$2:$2&amp;股债表现与四个维度!$3:$3,0))</f>
        <v>-0.31578947368421051</v>
      </c>
      <c r="T73">
        <f>SUMIFS($J73:$S73,$J73:$S73,"&lt;&gt;"&amp;"#N/A",$J$4:$S$4,T$4)</f>
        <v>0.34641148325358845</v>
      </c>
      <c r="U73">
        <f>SUMIFS($J73:$S73,$J73:$S73,"&lt;&gt;"&amp;"#N/A",$J$4:$S$4,U$4)</f>
        <v>-0.37464114832535883</v>
      </c>
      <c r="V73">
        <f t="shared" si="11"/>
        <v>0.72105263157894728</v>
      </c>
      <c r="W73" s="114">
        <f t="shared" si="14"/>
        <v>1.8945809520099299</v>
      </c>
      <c r="X73" s="114">
        <f t="shared" si="12"/>
        <v>2.3699018629829398</v>
      </c>
      <c r="Y73">
        <f t="shared" ref="Y73:AA73" si="51">AVERAGE(V73:V78)</f>
        <v>0.84900129840145311</v>
      </c>
      <c r="Z73">
        <f t="shared" si="51"/>
        <v>9.7990632527877271</v>
      </c>
      <c r="AA73">
        <f t="shared" si="51"/>
        <v>2.6647913411245634</v>
      </c>
    </row>
    <row r="74" spans="1:27" x14ac:dyDescent="0.35">
      <c r="A74" s="106">
        <v>44165</v>
      </c>
      <c r="B74" s="1">
        <v>3.9826317341389501</v>
      </c>
      <c r="C74" s="1">
        <v>6.2397198879550002</v>
      </c>
      <c r="D74">
        <v>-0.05</v>
      </c>
      <c r="E74" t="s">
        <v>9</v>
      </c>
      <c r="F74" t="s">
        <v>125</v>
      </c>
      <c r="G74" t="s">
        <v>117</v>
      </c>
      <c r="H74" t="s">
        <v>116</v>
      </c>
      <c r="I74" t="s">
        <v>124</v>
      </c>
      <c r="J74" s="115" cm="1">
        <f t="array" ref="J74">INDEX(股债表现与四个维度!$A:$T,MATCH($A74,股债表现与四个维度!$A:$A,0),MATCH(J$3&amp;J$4,股债表现与四个维度!$2:$2&amp;股债表现与四个维度!$3:$3,0))</f>
        <v>0.23809523809523808</v>
      </c>
      <c r="K74" s="115" cm="1">
        <f t="array" ref="K74">INDEX(股债表现与四个维度!$A:$T,MATCH($A74,股债表现与四个维度!$A:$A,0),MATCH(K$3&amp;K$4,股债表现与四个维度!$2:$2&amp;股债表现与四个维度!$3:$3,0))</f>
        <v>-0.19047619047619047</v>
      </c>
      <c r="L74" s="115" cm="1">
        <f t="array" ref="L74">INDEX(股债表现与四个维度!$A:$T,MATCH($A74,股债表现与四个维度!$A:$A,0),MATCH(L$3&amp;L$4,股债表现与四个维度!$2:$2&amp;股债表现与四个维度!$3:$3,0))</f>
        <v>0.22857142857142856</v>
      </c>
      <c r="M74" s="115" cm="1">
        <f t="array" ref="M74">INDEX(股债表现与四个维度!$A:$T,MATCH($A74,股债表现与四个维度!$A:$A,0),MATCH(M$3&amp;M$4,股债表现与四个维度!$2:$2&amp;股债表现与四个维度!$3:$3,0))</f>
        <v>5.7142857142857141E-2</v>
      </c>
      <c r="N74" s="115"/>
      <c r="O74" s="115"/>
      <c r="P74" s="115" cm="1">
        <f t="array" ref="P74">INDEX(股债表现与四个维度!$A:$T,MATCH($A74,股债表现与四个维度!$A:$A,0),MATCH(P$3&amp;P$4,股债表现与四个维度!$2:$2&amp;股债表现与四个维度!$3:$3,0))</f>
        <v>0.21052631578947367</v>
      </c>
      <c r="Q74" s="115" cm="1">
        <f t="array" ref="Q74">INDEX(股债表现与四个维度!$A:$T,MATCH($A74,股债表现与四个维度!$A:$A,0),MATCH(Q$3&amp;Q$4,股债表现与四个维度!$2:$2&amp;股债表现与四个维度!$3:$3,0))</f>
        <v>-7.8947368421052627E-2</v>
      </c>
      <c r="R74" s="115" cm="1">
        <f t="array" ref="R74">INDEX(股债表现与四个维度!$A:$T,MATCH($A74,股债表现与四个维度!$A:$A,0),MATCH(R$3&amp;R$4,股债表现与四个维度!$2:$2&amp;股债表现与四个维度!$3:$3,0))</f>
        <v>0.22222222222222221</v>
      </c>
      <c r="S74" s="115" cm="1">
        <f t="array" ref="S74">INDEX(股债表现与四个维度!$A:$T,MATCH($A74,股债表现与四个维度!$A:$A,0),MATCH(S$3&amp;S$4,股债表现与四个维度!$2:$2&amp;股债表现与四个维度!$3:$3,0))</f>
        <v>-0.27777777777777779</v>
      </c>
      <c r="T74">
        <f>SUMIFS($J74:$S74,$J74:$S74,"&lt;&gt;"&amp;"#N/A",$J$4:$S$4,T$4)</f>
        <v>0.89941520467836256</v>
      </c>
      <c r="U74">
        <f>SUMIFS($J74:$S74,$J74:$S74,"&lt;&gt;"&amp;"#N/A",$J$4:$S$4,U$4)</f>
        <v>-0.49005847953216375</v>
      </c>
      <c r="V74">
        <f t="shared" si="11"/>
        <v>1.3894736842105262</v>
      </c>
      <c r="W74" s="114">
        <f t="shared" si="14"/>
        <v>10.222351622093949</v>
      </c>
      <c r="X74" s="114">
        <f t="shared" si="12"/>
        <v>4.0326317341389499</v>
      </c>
      <c r="Y74">
        <f t="shared" ref="Y74:AA74" si="52">AVERAGE(V74:V79)</f>
        <v>0.74506042015716945</v>
      </c>
      <c r="Z74">
        <f t="shared" si="52"/>
        <v>13.317510566382566</v>
      </c>
      <c r="AA74">
        <f t="shared" si="52"/>
        <v>3.7511279431579019</v>
      </c>
    </row>
    <row r="75" spans="1:27" x14ac:dyDescent="0.35">
      <c r="A75" s="106">
        <v>44135</v>
      </c>
      <c r="B75" s="1">
        <v>1.0531091239877699</v>
      </c>
      <c r="C75" s="1">
        <v>7.9956010230179997</v>
      </c>
      <c r="D75">
        <v>0.34</v>
      </c>
      <c r="E75" t="s">
        <v>9</v>
      </c>
      <c r="F75" t="s">
        <v>125</v>
      </c>
      <c r="G75" t="s">
        <v>120</v>
      </c>
      <c r="H75" t="s">
        <v>116</v>
      </c>
      <c r="I75" t="s">
        <v>124</v>
      </c>
      <c r="J75" s="115" cm="1">
        <f t="array" ref="J75">INDEX(股债表现与四个维度!$A:$T,MATCH($A75,股债表现与四个维度!$A:$A,0),MATCH(J$3&amp;J$4,股债表现与四个维度!$2:$2&amp;股债表现与四个维度!$3:$3,0))</f>
        <v>0.3</v>
      </c>
      <c r="K75" s="115" cm="1">
        <f t="array" ref="K75">INDEX(股债表现与四个维度!$A:$T,MATCH($A75,股债表现与四个维度!$A:$A,0),MATCH(K$3&amp;K$4,股债表现与四个维度!$2:$2&amp;股债表现与四个维度!$3:$3,0))</f>
        <v>-0.15</v>
      </c>
      <c r="L75" s="115" cm="1">
        <f t="array" ref="L75">INDEX(股债表现与四个维度!$A:$T,MATCH($A75,股债表现与四个维度!$A:$A,0),MATCH(L$3&amp;L$4,股债表现与四个维度!$2:$2&amp;股债表现与四个维度!$3:$3,0))</f>
        <v>0.22857142857142856</v>
      </c>
      <c r="M75" s="115" cm="1">
        <f t="array" ref="M75">INDEX(股债表现与四个维度!$A:$T,MATCH($A75,股债表现与四个维度!$A:$A,0),MATCH(M$3&amp;M$4,股债表现与四个维度!$2:$2&amp;股债表现与四个维度!$3:$3,0))</f>
        <v>0.11428571428571428</v>
      </c>
      <c r="N75" s="115"/>
      <c r="O75" s="115"/>
      <c r="P75" s="115" cm="1">
        <f t="array" ref="P75">INDEX(股债表现与四个维度!$A:$T,MATCH($A75,股债表现与四个维度!$A:$A,0),MATCH(P$3&amp;P$4,股债表现与四个维度!$2:$2&amp;股债表现与四个维度!$3:$3,0))</f>
        <v>0.21052631578947367</v>
      </c>
      <c r="Q75" s="115" cm="1">
        <f t="array" ref="Q75">INDEX(股债表现与四个维度!$A:$T,MATCH($A75,股债表现与四个维度!$A:$A,0),MATCH(Q$3&amp;Q$4,股债表现与四个维度!$2:$2&amp;股债表现与四个维度!$3:$3,0))</f>
        <v>-2.6315789473684209E-2</v>
      </c>
      <c r="R75" s="115" cm="1">
        <f t="array" ref="R75">INDEX(股债表现与四个维度!$A:$T,MATCH($A75,股债表现与四个维度!$A:$A,0),MATCH(R$3&amp;R$4,股债表现与四个维度!$2:$2&amp;股债表现与四个维度!$3:$3,0))</f>
        <v>0.29411764705882354</v>
      </c>
      <c r="S75" s="115" cm="1">
        <f t="array" ref="S75">INDEX(股债表现与四个维度!$A:$T,MATCH($A75,股债表现与四个维度!$A:$A,0),MATCH(S$3&amp;S$4,股债表现与四个维度!$2:$2&amp;股债表现与四个维度!$3:$3,0))</f>
        <v>-0.23529411764705882</v>
      </c>
      <c r="T75">
        <f>SUMIFS($J75:$S75,$J75:$S75,"&lt;&gt;"&amp;"#N/A",$J$4:$S$4,T$4)</f>
        <v>1.0332153914197257</v>
      </c>
      <c r="U75">
        <f>SUMIFS($J75:$S75,$J75:$S75,"&lt;&gt;"&amp;"#N/A",$J$4:$S$4,U$4)</f>
        <v>-0.29732419283502876</v>
      </c>
      <c r="V75">
        <f t="shared" si="11"/>
        <v>1.3305395842547545</v>
      </c>
      <c r="W75" s="114">
        <f t="shared" si="14"/>
        <v>9.0487101470057691</v>
      </c>
      <c r="X75" s="114">
        <f t="shared" si="12"/>
        <v>0.71310912398776982</v>
      </c>
      <c r="Y75">
        <f t="shared" ref="Y75:AA75" si="53">AVERAGE(V75:V80)</f>
        <v>0.54955650886378438</v>
      </c>
      <c r="Z75">
        <f t="shared" si="53"/>
        <v>14.022070621392965</v>
      </c>
      <c r="AA75">
        <f t="shared" si="53"/>
        <v>3.2890224930508016</v>
      </c>
    </row>
    <row r="76" spans="1:27" x14ac:dyDescent="0.35">
      <c r="A76" s="106">
        <v>44104</v>
      </c>
      <c r="B76" s="1">
        <v>-5.9693053161541396</v>
      </c>
      <c r="C76" s="1">
        <v>12.652298136645999</v>
      </c>
      <c r="D76">
        <v>0.01</v>
      </c>
      <c r="E76" t="s">
        <v>9</v>
      </c>
      <c r="F76" t="s">
        <v>125</v>
      </c>
      <c r="G76" t="s">
        <v>120</v>
      </c>
      <c r="H76" t="s">
        <v>116</v>
      </c>
      <c r="I76" t="s">
        <v>124</v>
      </c>
      <c r="J76" s="115" cm="1">
        <f t="array" ref="J76">INDEX(股债表现与四个维度!$A:$T,MATCH($A76,股债表现与四个维度!$A:$A,0),MATCH(J$3&amp;J$4,股债表现与四个维度!$2:$2&amp;股债表现与四个维度!$3:$3,0))</f>
        <v>0.26315789473684209</v>
      </c>
      <c r="K76" s="115" cm="1">
        <f t="array" ref="K76">INDEX(股债表现与四个维度!$A:$T,MATCH($A76,股债表现与四个维度!$A:$A,0),MATCH(K$3&amp;K$4,股债表现与四个维度!$2:$2&amp;股债表现与四个维度!$3:$3,0))</f>
        <v>-0.10526315789473684</v>
      </c>
      <c r="L76" s="115" cm="1">
        <f t="array" ref="L76">INDEX(股债表现与四个维度!$A:$T,MATCH($A76,股债表现与四个维度!$A:$A,0),MATCH(L$3&amp;L$4,股债表现与四个维度!$2:$2&amp;股债表现与四个维度!$3:$3,0))</f>
        <v>0.17142857142857143</v>
      </c>
      <c r="M76" s="115" cm="1">
        <f t="array" ref="M76">INDEX(股债表现与四个维度!$A:$T,MATCH($A76,股债表现与四个维度!$A:$A,0),MATCH(M$3&amp;M$4,股债表现与四个维度!$2:$2&amp;股债表现与四个维度!$3:$3,0))</f>
        <v>0.17142857142857143</v>
      </c>
      <c r="N76" s="115"/>
      <c r="O76" s="115"/>
      <c r="P76" s="115" cm="1">
        <f t="array" ref="P76">INDEX(股债表现与四个维度!$A:$T,MATCH($A76,股债表现与四个维度!$A:$A,0),MATCH(P$3&amp;P$4,股债表现与四个维度!$2:$2&amp;股债表现与四个维度!$3:$3,0))</f>
        <v>0.15789473684210525</v>
      </c>
      <c r="Q76" s="115" cm="1">
        <f t="array" ref="Q76">INDEX(股债表现与四个维度!$A:$T,MATCH($A76,股债表现与四个维度!$A:$A,0),MATCH(Q$3&amp;Q$4,股债表现与四个维度!$2:$2&amp;股债表现与四个维度!$3:$3,0))</f>
        <v>2.6315789473684209E-2</v>
      </c>
      <c r="R76" s="115" cm="1">
        <f t="array" ref="R76">INDEX(股债表现与四个维度!$A:$T,MATCH($A76,股债表现与四个维度!$A:$A,0),MATCH(R$3&amp;R$4,股债表现与四个维度!$2:$2&amp;股债表现与四个维度!$3:$3,0))</f>
        <v>0.25</v>
      </c>
      <c r="S76" s="115" cm="1">
        <f t="array" ref="S76">INDEX(股债表现与四个维度!$A:$T,MATCH($A76,股债表现与四个维度!$A:$A,0),MATCH(S$3&amp;S$4,股债表现与四个维度!$2:$2&amp;股债表现与四个维度!$3:$3,0))</f>
        <v>-0.1875</v>
      </c>
      <c r="T76">
        <f>SUMIFS($J76:$S76,$J76:$S76,"&lt;&gt;"&amp;"#N/A",$J$4:$S$4,T$4)</f>
        <v>0.84248120300751883</v>
      </c>
      <c r="U76">
        <f>SUMIFS($J76:$S76,$J76:$S76,"&lt;&gt;"&amp;"#N/A",$J$4:$S$4,U$4)</f>
        <v>-9.5018796992481197E-2</v>
      </c>
      <c r="V76">
        <f t="shared" si="11"/>
        <v>0.9375</v>
      </c>
      <c r="W76" s="114">
        <f t="shared" si="14"/>
        <v>6.6829928204918598</v>
      </c>
      <c r="X76" s="114">
        <f t="shared" si="12"/>
        <v>-5.9793053161541394</v>
      </c>
      <c r="Y76">
        <f t="shared" ref="Y76:AA76" si="54">AVERAGE(V76:V81)</f>
        <v>0.48898768205076254</v>
      </c>
      <c r="Z76">
        <f t="shared" si="54"/>
        <v>11.560079057935347</v>
      </c>
      <c r="AA76">
        <f t="shared" si="54"/>
        <v>3.8072068576718485</v>
      </c>
    </row>
    <row r="77" spans="1:27" x14ac:dyDescent="0.35">
      <c r="A77" s="106">
        <v>44074</v>
      </c>
      <c r="B77" s="1">
        <v>1.96847023540456</v>
      </c>
      <c r="C77" s="1">
        <v>3.6855279503099898</v>
      </c>
      <c r="D77">
        <v>7.0000000000000007E-2</v>
      </c>
      <c r="E77" t="s">
        <v>9</v>
      </c>
      <c r="F77" t="s">
        <v>125</v>
      </c>
      <c r="G77" t="s">
        <v>120</v>
      </c>
      <c r="H77" t="s">
        <v>116</v>
      </c>
      <c r="I77" t="s">
        <v>124</v>
      </c>
      <c r="J77" s="115" cm="1">
        <f t="array" ref="J77">INDEX(股债表现与四个维度!$A:$T,MATCH($A77,股债表现与四个维度!$A:$A,0),MATCH(J$3&amp;J$4,股债表现与四个维度!$2:$2&amp;股债表现与四个维度!$3:$3,0))</f>
        <v>0.22222222222222221</v>
      </c>
      <c r="K77" s="115" cm="1">
        <f t="array" ref="K77">INDEX(股债表现与四个维度!$A:$T,MATCH($A77,股债表现与四个维度!$A:$A,0),MATCH(K$3&amp;K$4,股债表现与四个维度!$2:$2&amp;股债表现与四个维度!$3:$3,0))</f>
        <v>-5.5555555555555552E-2</v>
      </c>
      <c r="L77" s="115" cm="1">
        <f t="array" ref="L77">INDEX(股债表现与四个维度!$A:$T,MATCH($A77,股债表现与四个维度!$A:$A,0),MATCH(L$3&amp;L$4,股债表现与四个维度!$2:$2&amp;股债表现与四个维度!$3:$3,0))</f>
        <v>0.11428571428571428</v>
      </c>
      <c r="M77" s="115" cm="1">
        <f t="array" ref="M77">INDEX(股债表现与四个维度!$A:$T,MATCH($A77,股债表现与四个维度!$A:$A,0),MATCH(M$3&amp;M$4,股债表现与四个维度!$2:$2&amp;股债表现与四个维度!$3:$3,0))</f>
        <v>0.22857142857142856</v>
      </c>
      <c r="N77" s="115"/>
      <c r="O77" s="115"/>
      <c r="P77" s="115" cm="1">
        <f t="array" ref="P77">INDEX(股债表现与四个维度!$A:$T,MATCH($A77,股债表现与四个维度!$A:$A,0),MATCH(P$3&amp;P$4,股债表现与四个维度!$2:$2&amp;股债表现与四个维度!$3:$3,0))</f>
        <v>0.10526315789473684</v>
      </c>
      <c r="Q77" s="115" cm="1">
        <f t="array" ref="Q77">INDEX(股债表现与四个维度!$A:$T,MATCH($A77,股债表现与四个维度!$A:$A,0),MATCH(Q$3&amp;Q$4,股债表现与四个维度!$2:$2&amp;股债表现与四个维度!$3:$3,0))</f>
        <v>7.8947368421052627E-2</v>
      </c>
      <c r="R77" s="115" cm="1">
        <f t="array" ref="R77">INDEX(股债表现与四个维度!$A:$T,MATCH($A77,股债表现与四个维度!$A:$A,0),MATCH(R$3&amp;R$4,股债表现与四个维度!$2:$2&amp;股债表现与四个维度!$3:$3,0))</f>
        <v>0.2</v>
      </c>
      <c r="S77" s="115" cm="1">
        <f t="array" ref="S77">INDEX(股债表现与四个维度!$A:$T,MATCH($A77,股债表现与四个维度!$A:$A,0),MATCH(S$3&amp;S$4,股债表现与四个维度!$2:$2&amp;股债表现与四个维度!$3:$3,0))</f>
        <v>-0.13333333333333333</v>
      </c>
      <c r="T77">
        <f>SUMIFS($J77:$S77,$J77:$S77,"&lt;&gt;"&amp;"#N/A",$J$4:$S$4,T$4)</f>
        <v>0.64177109440267333</v>
      </c>
      <c r="U77">
        <f>SUMIFS($J77:$S77,$J77:$S77,"&lt;&gt;"&amp;"#N/A",$J$4:$S$4,U$4)</f>
        <v>0.11862990810359228</v>
      </c>
      <c r="V77">
        <f t="shared" si="11"/>
        <v>0.52314118629908102</v>
      </c>
      <c r="W77" s="114">
        <f t="shared" si="14"/>
        <v>5.65399818571455</v>
      </c>
      <c r="X77" s="114">
        <f t="shared" si="12"/>
        <v>1.8984702354045599</v>
      </c>
      <c r="Y77">
        <f t="shared" ref="Y77:AA77" si="55">AVERAGE(V77:V82)</f>
        <v>0.49608079055516141</v>
      </c>
      <c r="Z77">
        <f t="shared" si="55"/>
        <v>4.2042652730346264</v>
      </c>
      <c r="AA77">
        <f t="shared" si="55"/>
        <v>3.6487117016061283</v>
      </c>
    </row>
    <row r="78" spans="1:27" x14ac:dyDescent="0.35">
      <c r="A78" s="106">
        <v>44043</v>
      </c>
      <c r="B78" s="1">
        <v>13.063940406387299</v>
      </c>
      <c r="C78" s="1">
        <v>12.227805383023</v>
      </c>
      <c r="D78">
        <v>0.11</v>
      </c>
      <c r="E78" t="s">
        <v>9</v>
      </c>
      <c r="F78" t="s">
        <v>125</v>
      </c>
      <c r="G78" t="s">
        <v>120</v>
      </c>
      <c r="H78" t="s">
        <v>116</v>
      </c>
      <c r="I78" t="s">
        <v>124</v>
      </c>
      <c r="J78" s="115" cm="1">
        <f t="array" ref="J78">INDEX(股债表现与四个维度!$A:$T,MATCH($A78,股债表现与四个维度!$A:$A,0),MATCH(J$3&amp;J$4,股债表现与四个维度!$2:$2&amp;股债表现与四个维度!$3:$3,0))</f>
        <v>0.17647058823529413</v>
      </c>
      <c r="K78" s="115" cm="1">
        <f t="array" ref="K78">INDEX(股债表现与四个维度!$A:$T,MATCH($A78,股债表现与四个维度!$A:$A,0),MATCH(K$3&amp;K$4,股债表现与四个维度!$2:$2&amp;股债表现与四个维度!$3:$3,0))</f>
        <v>0</v>
      </c>
      <c r="L78" s="115" cm="1">
        <f t="array" ref="L78">INDEX(股债表现与四个维度!$A:$T,MATCH($A78,股债表现与四个维度!$A:$A,0),MATCH(L$3&amp;L$4,股债表现与四个维度!$2:$2&amp;股债表现与四个维度!$3:$3,0))</f>
        <v>5.7142857142857141E-2</v>
      </c>
      <c r="M78" s="115" cm="1">
        <f t="array" ref="M78">INDEX(股债表现与四个维度!$A:$T,MATCH($A78,股债表现与四个维度!$A:$A,0),MATCH(M$3&amp;M$4,股债表现与四个维度!$2:$2&amp;股债表现与四个维度!$3:$3,0))</f>
        <v>0.22857142857142856</v>
      </c>
      <c r="N78" s="115"/>
      <c r="O78" s="115"/>
      <c r="P78" s="115" cm="1">
        <f t="array" ref="P78">INDEX(股债表现与四个维度!$A:$T,MATCH($A78,股债表现与四个维度!$A:$A,0),MATCH(P$3&amp;P$4,股债表现与四个维度!$2:$2&amp;股债表现与四个维度!$3:$3,0))</f>
        <v>8.1081081081081086E-2</v>
      </c>
      <c r="Q78" s="115" cm="1">
        <f t="array" ref="Q78">INDEX(股债表现与四个维度!$A:$T,MATCH($A78,股债表现与四个维度!$A:$A,0),MATCH(Q$3&amp;Q$4,股债表现与四个维度!$2:$2&amp;股债表现与四个维度!$3:$3,0))</f>
        <v>0.10810810810810811</v>
      </c>
      <c r="R78" s="115" cm="1">
        <f t="array" ref="R78">INDEX(股债表现与四个维度!$A:$T,MATCH($A78,股债表现与四个维度!$A:$A,0),MATCH(R$3&amp;R$4,股债表现与四个维度!$2:$2&amp;股债表现与四个维度!$3:$3,0))</f>
        <v>0.14285714285714285</v>
      </c>
      <c r="S78" s="115" cm="1">
        <f t="array" ref="S78">INDEX(股债表现与四个维度!$A:$T,MATCH($A78,股债表现与四个维度!$A:$A,0),MATCH(S$3&amp;S$4,股债表现与四个维度!$2:$2&amp;股债表现与四个维度!$3:$3,0))</f>
        <v>-7.1428571428571425E-2</v>
      </c>
      <c r="T78">
        <f>SUMIFS($J78:$S78,$J78:$S78,"&lt;&gt;"&amp;"#N/A",$J$4:$S$4,T$4)</f>
        <v>0.4575516693163752</v>
      </c>
      <c r="U78">
        <f>SUMIFS($J78:$S78,$J78:$S78,"&lt;&gt;"&amp;"#N/A",$J$4:$S$4,U$4)</f>
        <v>0.26525096525096525</v>
      </c>
      <c r="V78">
        <f t="shared" si="11"/>
        <v>0.19230070406540994</v>
      </c>
      <c r="W78" s="114">
        <f t="shared" si="14"/>
        <v>25.291745789410299</v>
      </c>
      <c r="X78" s="114">
        <f t="shared" si="12"/>
        <v>12.9539404063873</v>
      </c>
      <c r="Y78">
        <f t="shared" ref="Y78:AA78" si="56">AVERAGE(V78:V83)</f>
        <v>0.36920805315610816</v>
      </c>
      <c r="Z78">
        <f t="shared" si="56"/>
        <v>1.4823971411359553</v>
      </c>
      <c r="AA78">
        <f t="shared" si="56"/>
        <v>3.1456228493045395</v>
      </c>
    </row>
    <row r="79" spans="1:27" x14ac:dyDescent="0.35">
      <c r="A79" s="106">
        <v>44012</v>
      </c>
      <c r="B79" s="1">
        <v>8.4079214751829703</v>
      </c>
      <c r="C79" s="1">
        <v>14.597343358396</v>
      </c>
      <c r="D79">
        <v>-0.48</v>
      </c>
      <c r="E79" t="s">
        <v>9</v>
      </c>
      <c r="F79" t="s">
        <v>125</v>
      </c>
      <c r="G79" t="s">
        <v>120</v>
      </c>
      <c r="H79" t="s">
        <v>116</v>
      </c>
      <c r="I79" t="s">
        <v>124</v>
      </c>
      <c r="J79" s="115" cm="1">
        <f t="array" ref="J79">INDEX(股债表现与四个维度!$A:$T,MATCH($A79,股债表现与四个维度!$A:$A,0),MATCH(J$3&amp;J$4,股债表现与四个维度!$2:$2&amp;股债表现与四个维度!$3:$3,0))</f>
        <v>0.17647058823529413</v>
      </c>
      <c r="K79" s="115" cm="1">
        <f t="array" ref="K79">INDEX(股债表现与四个维度!$A:$T,MATCH($A79,股债表现与四个维度!$A:$A,0),MATCH(K$3&amp;K$4,股债表现与四个维度!$2:$2&amp;股债表现与四个维度!$3:$3,0))</f>
        <v>0</v>
      </c>
      <c r="L79" s="115" cm="1">
        <f t="array" ref="L79">INDEX(股债表现与四个维度!$A:$T,MATCH($A79,股债表现与四个维度!$A:$A,0),MATCH(L$3&amp;L$4,股债表现与四个维度!$2:$2&amp;股债表现与四个维度!$3:$3,0))</f>
        <v>5.8823529411764705E-2</v>
      </c>
      <c r="M79" s="115" cm="1">
        <f t="array" ref="M79">INDEX(股债表现与四个维度!$A:$T,MATCH($A79,股债表现与四个维度!$A:$A,0),MATCH(M$3&amp;M$4,股债表现与四个维度!$2:$2&amp;股债表现与四个维度!$3:$3,0))</f>
        <v>0.26470588235294118</v>
      </c>
      <c r="N79" s="115"/>
      <c r="O79" s="115"/>
      <c r="P79" s="115" cm="1">
        <f t="array" ref="P79">INDEX(股债表现与四个维度!$A:$T,MATCH($A79,股债表现与四个维度!$A:$A,0),MATCH(P$3&amp;P$4,股债表现与四个维度!$2:$2&amp;股债表现与四个维度!$3:$3,0))</f>
        <v>8.1081081081081086E-2</v>
      </c>
      <c r="Q79" s="115" cm="1">
        <f t="array" ref="Q79">INDEX(股债表现与四个维度!$A:$T,MATCH($A79,股债表现与四个维度!$A:$A,0),MATCH(Q$3&amp;Q$4,股债表现与四个维度!$2:$2&amp;股债表现与四个维度!$3:$3,0))</f>
        <v>0.10810810810810811</v>
      </c>
      <c r="R79" s="115" cm="1">
        <f t="array" ref="R79">INDEX(股债表现与四个维度!$A:$T,MATCH($A79,股债表现与四个维度!$A:$A,0),MATCH(R$3&amp;R$4,股债表现与四个维度!$2:$2&amp;股债表现与四个维度!$3:$3,0))</f>
        <v>0.15384615384615385</v>
      </c>
      <c r="S79" s="115" cm="1">
        <f t="array" ref="S79">INDEX(股债表现与四个维度!$A:$T,MATCH($A79,股债表现与四个维度!$A:$A,0),MATCH(S$3&amp;S$4,股债表现与四个维度!$2:$2&amp;股债表现与四个维度!$3:$3,0))</f>
        <v>0</v>
      </c>
      <c r="T79">
        <f>SUMIFS($J79:$S79,$J79:$S79,"&lt;&gt;"&amp;"#N/A",$J$4:$S$4,T$4)</f>
        <v>0.47022135257429376</v>
      </c>
      <c r="U79">
        <f>SUMIFS($J79:$S79,$J79:$S79,"&lt;&gt;"&amp;"#N/A",$J$4:$S$4,U$4)</f>
        <v>0.37281399046104929</v>
      </c>
      <c r="V79">
        <f t="shared" si="11"/>
        <v>9.7407362113244467E-2</v>
      </c>
      <c r="W79" s="114">
        <f t="shared" si="14"/>
        <v>23.00526483357897</v>
      </c>
      <c r="X79" s="114">
        <f t="shared" si="12"/>
        <v>8.8879214751829707</v>
      </c>
      <c r="Y79">
        <f t="shared" ref="Y79:AA79" si="57">AVERAGE(V79:V84)</f>
        <v>0.35672170537564279</v>
      </c>
      <c r="Z79">
        <f t="shared" si="57"/>
        <v>-2.2660857863620554</v>
      </c>
      <c r="AA79">
        <f t="shared" si="57"/>
        <v>2.1660562590925241</v>
      </c>
    </row>
    <row r="80" spans="1:27" x14ac:dyDescent="0.35">
      <c r="A80" s="106">
        <v>43982</v>
      </c>
      <c r="B80" s="1">
        <v>0.57999903349634796</v>
      </c>
      <c r="C80" s="1">
        <v>13.869712918659999</v>
      </c>
      <c r="D80">
        <v>-0.68</v>
      </c>
      <c r="E80" t="s">
        <v>8</v>
      </c>
      <c r="F80" t="s">
        <v>125</v>
      </c>
      <c r="G80" t="s">
        <v>120</v>
      </c>
      <c r="H80" t="s">
        <v>126</v>
      </c>
      <c r="I80" t="s">
        <v>124</v>
      </c>
      <c r="J80" s="115" cm="1">
        <f t="array" ref="J80">INDEX(股债表现与四个维度!$A:$T,MATCH($A80,股债表现与四个维度!$A:$A,0),MATCH(J$3&amp;J$4,股债表现与四个维度!$2:$2&amp;股债表现与四个维度!$3:$3,0))</f>
        <v>8.3333333333333329E-2</v>
      </c>
      <c r="K80" s="115" cm="1">
        <f t="array" ref="K80">INDEX(股债表现与四个维度!$A:$T,MATCH($A80,股债表现与四个维度!$A:$A,0),MATCH(K$3&amp;K$4,股债表现与四个维度!$2:$2&amp;股债表现与四个维度!$3:$3,0))</f>
        <v>-0.25</v>
      </c>
      <c r="L80" s="115" cm="1">
        <f t="array" ref="L80">INDEX(股债表现与四个维度!$A:$T,MATCH($A80,股债表现与四个维度!$A:$A,0),MATCH(L$3&amp;L$4,股债表现与四个维度!$2:$2&amp;股债表现与四个维度!$3:$3,0))</f>
        <v>3.0303030303030304E-2</v>
      </c>
      <c r="M80" s="115" cm="1">
        <f t="array" ref="M80">INDEX(股债表现与四个维度!$A:$T,MATCH($A80,股债表现与四个维度!$A:$A,0),MATCH(M$3&amp;M$4,股债表现与四个维度!$2:$2&amp;股债表现与四个维度!$3:$3,0))</f>
        <v>0.24242424242424243</v>
      </c>
      <c r="N80" s="115"/>
      <c r="O80" s="115"/>
      <c r="P80" s="115" cm="1">
        <f t="array" ref="P80">INDEX(股债表现与四个维度!$A:$T,MATCH($A80,股债表现与四个维度!$A:$A,0),MATCH(P$3&amp;P$4,股债表现与四个维度!$2:$2&amp;股债表现与四个维度!$3:$3,0))</f>
        <v>7.1428571428571425E-2</v>
      </c>
      <c r="Q80" s="115" cm="1">
        <f t="array" ref="Q80">INDEX(股债表现与四个维度!$A:$T,MATCH($A80,股债表现与四个维度!$A:$A,0),MATCH(Q$3&amp;Q$4,股债表现与四个维度!$2:$2&amp;股债表现与四个维度!$3:$3,0))</f>
        <v>0.14285714285714285</v>
      </c>
      <c r="R80" s="115" cm="1">
        <f t="array" ref="R80">INDEX(股债表现与四个维度!$A:$T,MATCH($A80,股债表现与四个维度!$A:$A,0),MATCH(R$3&amp;R$4,股债表现与四个维度!$2:$2&amp;股债表现与四个维度!$3:$3,0))</f>
        <v>8.3333333333333329E-2</v>
      </c>
      <c r="S80" s="115" cm="1">
        <f t="array" ref="S80">INDEX(股债表现与四个维度!$A:$T,MATCH($A80,股债表现与四个维度!$A:$A,0),MATCH(S$3&amp;S$4,股债表现与四个维度!$2:$2&amp;股债表现与四个维度!$3:$3,0))</f>
        <v>-8.3333333333333329E-2</v>
      </c>
      <c r="T80">
        <f>SUMIFS($J80:$S80,$J80:$S80,"&lt;&gt;"&amp;"#N/A",$J$4:$S$4,T$4)</f>
        <v>0.26839826839826836</v>
      </c>
      <c r="U80">
        <f>SUMIFS($J80:$S80,$J80:$S80,"&lt;&gt;"&amp;"#N/A",$J$4:$S$4,U$4)</f>
        <v>5.1948051948051951E-2</v>
      </c>
      <c r="V80">
        <f t="shared" si="11"/>
        <v>0.21645021645021639</v>
      </c>
      <c r="W80" s="114">
        <f t="shared" si="14"/>
        <v>14.449711952156347</v>
      </c>
      <c r="X80" s="114">
        <f t="shared" si="12"/>
        <v>1.259999033496348</v>
      </c>
      <c r="Y80">
        <f t="shared" ref="Y80:AA80" si="58">AVERAGE(V80:V85)</f>
        <v>0.34854448120577158</v>
      </c>
      <c r="Z80">
        <f t="shared" si="58"/>
        <v>-6.0482977203663779</v>
      </c>
      <c r="AA80">
        <f t="shared" si="58"/>
        <v>0.35358116719353744</v>
      </c>
    </row>
    <row r="81" spans="1:27" x14ac:dyDescent="0.35">
      <c r="A81" s="106">
        <v>43951</v>
      </c>
      <c r="B81" s="1">
        <v>5.2322153117140502</v>
      </c>
      <c r="C81" s="1">
        <v>-10.955454545454</v>
      </c>
      <c r="D81">
        <v>1.41</v>
      </c>
      <c r="E81" t="s">
        <v>8</v>
      </c>
      <c r="F81" t="s">
        <v>125</v>
      </c>
      <c r="G81" t="s">
        <v>113</v>
      </c>
      <c r="H81" t="s">
        <v>126</v>
      </c>
      <c r="I81" t="s">
        <v>124</v>
      </c>
      <c r="J81" s="115" cm="1">
        <f t="array" ref="J81">INDEX(股债表现与四个维度!$A:$T,MATCH($A81,股债表现与四个维度!$A:$A,0),MATCH(J$3&amp;J$4,股债表现与四个维度!$2:$2&amp;股债表现与四个维度!$3:$3,0))</f>
        <v>0.18181818181818182</v>
      </c>
      <c r="K81" s="115" cm="1">
        <f t="array" ref="K81">INDEX(股债表现与四个维度!$A:$T,MATCH($A81,股债表现与四个维度!$A:$A,0),MATCH(K$3&amp;K$4,股债表现与四个维度!$2:$2&amp;股债表现与四个维度!$3:$3,0))</f>
        <v>-0.36363636363636365</v>
      </c>
      <c r="L81" s="115" cm="1">
        <f t="array" ref="L81">INDEX(股债表现与四个维度!$A:$T,MATCH($A81,股债表现与四个维度!$A:$A,0),MATCH(L$3&amp;L$4,股债表现与四个维度!$2:$2&amp;股债表现与四个维度!$3:$3,0))</f>
        <v>6.25E-2</v>
      </c>
      <c r="M81" s="115" cm="1">
        <f t="array" ref="M81">INDEX(股债表现与四个维度!$A:$T,MATCH($A81,股债表现与四个维度!$A:$A,0),MATCH(M$3&amp;M$4,股债表现与四个维度!$2:$2&amp;股债表现与四个维度!$3:$3,0))</f>
        <v>0.21875</v>
      </c>
      <c r="N81" s="115"/>
      <c r="O81" s="115"/>
      <c r="P81" s="115" cm="1">
        <f t="array" ref="P81">INDEX(股债表现与四个维度!$A:$T,MATCH($A81,股债表现与四个维度!$A:$A,0),MATCH(P$3&amp;P$4,股债表现与四个维度!$2:$2&amp;股债表现与四个维度!$3:$3,0))</f>
        <v>0.21428571428571427</v>
      </c>
      <c r="Q81" s="115" cm="1">
        <f t="array" ref="Q81">INDEX(股债表现与四个维度!$A:$T,MATCH($A81,股债表现与四个维度!$A:$A,0),MATCH(Q$3&amp;Q$4,股债表现与四个维度!$2:$2&amp;股债表现与四个维度!$3:$3,0))</f>
        <v>0</v>
      </c>
      <c r="R81" s="115" cm="1">
        <f t="array" ref="R81">INDEX(股债表现与四个维度!$A:$T,MATCH($A81,股债表现与四个维度!$A:$A,0),MATCH(R$3&amp;R$4,股债表现与四个维度!$2:$2&amp;股债表现与四个维度!$3:$3,0))</f>
        <v>0.18181818181818182</v>
      </c>
      <c r="S81" s="115" cm="1">
        <f t="array" ref="S81">INDEX(股债表现与四个维度!$A:$T,MATCH($A81,股债表现与四个维度!$A:$A,0),MATCH(S$3&amp;S$4,股债表现与四个维度!$2:$2&amp;股债表现与四个维度!$3:$3,0))</f>
        <v>-0.18181818181818182</v>
      </c>
      <c r="T81">
        <f>SUMIFS($J81:$S81,$J81:$S81,"&lt;&gt;"&amp;"#N/A",$J$4:$S$4,T$4)</f>
        <v>0.64042207792207795</v>
      </c>
      <c r="U81">
        <f>SUMIFS($J81:$S81,$J81:$S81,"&lt;&gt;"&amp;"#N/A",$J$4:$S$4,U$4)</f>
        <v>-0.32670454545454547</v>
      </c>
      <c r="V81">
        <f t="shared" si="11"/>
        <v>0.96712662337662336</v>
      </c>
      <c r="W81" s="114">
        <f t="shared" si="14"/>
        <v>-5.7232392337399496</v>
      </c>
      <c r="X81" s="114">
        <f t="shared" si="12"/>
        <v>3.82221531171405</v>
      </c>
      <c r="Y81">
        <f t="shared" ref="Y81:AA81" si="59">AVERAGE(V81:V86)</f>
        <v>0.30534693800822837</v>
      </c>
      <c r="Z81">
        <f t="shared" si="59"/>
        <v>-6.4480708112948379</v>
      </c>
      <c r="AA81">
        <f t="shared" si="59"/>
        <v>0.28794569303424272</v>
      </c>
    </row>
    <row r="82" spans="1:27" x14ac:dyDescent="0.35">
      <c r="A82" s="106">
        <v>43921</v>
      </c>
      <c r="B82" s="1">
        <v>-6.5302762525484601</v>
      </c>
      <c r="C82" s="1">
        <v>-30.921613636364</v>
      </c>
      <c r="D82">
        <v>0.4</v>
      </c>
      <c r="E82" t="s">
        <v>8</v>
      </c>
      <c r="F82" t="s">
        <v>125</v>
      </c>
      <c r="G82" t="s">
        <v>113</v>
      </c>
      <c r="H82" t="s">
        <v>126</v>
      </c>
      <c r="I82" t="s">
        <v>124</v>
      </c>
      <c r="J82" s="115" cm="1">
        <f t="array" ref="J82">INDEX(股债表现与四个维度!$A:$T,MATCH($A82,股债表现与四个维度!$A:$A,0),MATCH(J$3&amp;J$4,股债表现与四个维度!$2:$2&amp;股债表现与四个维度!$3:$3,0))</f>
        <v>0.18181818181818182</v>
      </c>
      <c r="K82" s="115" cm="1">
        <f t="array" ref="K82">INDEX(股债表现与四个维度!$A:$T,MATCH($A82,股债表现与四个维度!$A:$A,0),MATCH(K$3&amp;K$4,股债表现与四个维度!$2:$2&amp;股债表现与四个维度!$3:$3,0))</f>
        <v>-0.36363636363636365</v>
      </c>
      <c r="L82" s="115" cm="1">
        <f t="array" ref="L82">INDEX(股债表现与四个维度!$A:$T,MATCH($A82,股债表现与四个维度!$A:$A,0),MATCH(L$3&amp;L$4,股债表现与四个维度!$2:$2&amp;股债表现与四个维度!$3:$3,0))</f>
        <v>6.4516129032258063E-2</v>
      </c>
      <c r="M82" s="115" cm="1">
        <f t="array" ref="M82">INDEX(股债表现与四个维度!$A:$T,MATCH($A82,股债表现与四个维度!$A:$A,0),MATCH(M$3&amp;M$4,股债表现与四个维度!$2:$2&amp;股债表现与四个维度!$3:$3,0))</f>
        <v>0.19354838709677419</v>
      </c>
      <c r="N82" s="115"/>
      <c r="O82" s="115"/>
      <c r="P82" s="115" cm="1">
        <f t="array" ref="P82">INDEX(股债表现与四个维度!$A:$T,MATCH($A82,股债表现与四个维度!$A:$A,0),MATCH(P$3&amp;P$4,股债表现与四个维度!$2:$2&amp;股债表现与四个维度!$3:$3,0))</f>
        <v>0.26666666666666666</v>
      </c>
      <c r="Q82" s="115" cm="1">
        <f t="array" ref="Q82">INDEX(股债表现与四个维度!$A:$T,MATCH($A82,股债表现与四个维度!$A:$A,0),MATCH(Q$3&amp;Q$4,股债表现与四个维度!$2:$2&amp;股债表现与四个维度!$3:$3,0))</f>
        <v>6.6666666666666666E-2</v>
      </c>
      <c r="R82" s="115" cm="1">
        <f t="array" ref="R82">INDEX(股债表现与四个维度!$A:$T,MATCH($A82,股债表现与四个维度!$A:$A,0),MATCH(R$3&amp;R$4,股债表现与四个维度!$2:$2&amp;股债表现与四个维度!$3:$3,0))</f>
        <v>0.18181818181818182</v>
      </c>
      <c r="S82" s="115" cm="1">
        <f t="array" ref="S82">INDEX(股债表现与四个维度!$A:$T,MATCH($A82,股债表现与四个维度!$A:$A,0),MATCH(S$3&amp;S$4,股债表现与四个维度!$2:$2&amp;股债表现与四个维度!$3:$3,0))</f>
        <v>-0.18181818181818182</v>
      </c>
      <c r="T82">
        <f>SUMIFS($J82:$S82,$J82:$S82,"&lt;&gt;"&amp;"#N/A",$J$4:$S$4,T$4)</f>
        <v>0.69481915933528837</v>
      </c>
      <c r="U82">
        <f>SUMIFS($J82:$S82,$J82:$S82,"&lt;&gt;"&amp;"#N/A",$J$4:$S$4,U$4)</f>
        <v>-0.28523949169110463</v>
      </c>
      <c r="V82">
        <f t="shared" si="11"/>
        <v>0.980058651026393</v>
      </c>
      <c r="W82" s="114">
        <f t="shared" si="14"/>
        <v>-37.451889888912461</v>
      </c>
      <c r="X82" s="114">
        <f t="shared" si="12"/>
        <v>-6.9302762525484605</v>
      </c>
      <c r="Y82">
        <f t="shared" ref="Y82:AA82" si="60">AVERAGE(V82:V87)</f>
        <v>0.15306415939392801</v>
      </c>
      <c r="Z82">
        <f t="shared" si="60"/>
        <v>-4.6700223450799898</v>
      </c>
      <c r="AA82">
        <f t="shared" si="60"/>
        <v>-0.25416817841324513</v>
      </c>
    </row>
    <row r="83" spans="1:27" x14ac:dyDescent="0.35">
      <c r="A83" s="106">
        <v>43890</v>
      </c>
      <c r="B83" s="1">
        <v>-0.140062878404973</v>
      </c>
      <c r="C83" s="1">
        <v>-10.537147727272499</v>
      </c>
      <c r="D83">
        <v>0.98</v>
      </c>
      <c r="E83" t="s">
        <v>9</v>
      </c>
      <c r="F83" t="s">
        <v>125</v>
      </c>
      <c r="G83" t="s">
        <v>113</v>
      </c>
      <c r="H83" t="s">
        <v>116</v>
      </c>
      <c r="I83" t="s">
        <v>123</v>
      </c>
      <c r="J83" s="115" cm="1">
        <f t="array" ref="J83">INDEX(股债表现与四个维度!$A:$T,MATCH($A83,股债表现与四个维度!$A:$A,0),MATCH(J$3&amp;J$4,股债表现与四个维度!$2:$2&amp;股债表现与四个维度!$3:$3,0))</f>
        <v>0.2</v>
      </c>
      <c r="K83" s="115" cm="1">
        <f t="array" ref="K83">INDEX(股债表现与四个维度!$A:$T,MATCH($A83,股债表现与四个维度!$A:$A,0),MATCH(K$3&amp;K$4,股债表现与四个维度!$2:$2&amp;股债表现与四个维度!$3:$3,0))</f>
        <v>-0.13333333333333333</v>
      </c>
      <c r="L83" s="115" cm="1">
        <f t="array" ref="L83">INDEX(股债表现与四个维度!$A:$T,MATCH($A83,股债表现与四个维度!$A:$A,0),MATCH(L$3&amp;L$4,股债表现与四个维度!$2:$2&amp;股债表现与四个维度!$3:$3,0))</f>
        <v>6.6666666666666666E-2</v>
      </c>
      <c r="M83" s="115" cm="1">
        <f t="array" ref="M83">INDEX(股债表现与四个维度!$A:$T,MATCH($A83,股债表现与四个维度!$A:$A,0),MATCH(M$3&amp;M$4,股债表现与四个维度!$2:$2&amp;股债表现与四个维度!$3:$3,0))</f>
        <v>0.16666666666666666</v>
      </c>
      <c r="N83" s="115"/>
      <c r="O83" s="115"/>
      <c r="P83" s="115" cm="1">
        <f t="array" ref="P83">INDEX(股债表现与四个维度!$A:$T,MATCH($A83,股债表现与四个维度!$A:$A,0),MATCH(P$3&amp;P$4,股债表现与四个维度!$2:$2&amp;股债表现与四个维度!$3:$3,0))</f>
        <v>8.5714285714285715E-2</v>
      </c>
      <c r="Q83" s="115" cm="1">
        <f t="array" ref="Q83">INDEX(股债表现与四个维度!$A:$T,MATCH($A83,股债表现与四个维度!$A:$A,0),MATCH(Q$3&amp;Q$4,股债表现与四个维度!$2:$2&amp;股债表现与四个维度!$3:$3,0))</f>
        <v>5.7142857142857141E-2</v>
      </c>
      <c r="R83" s="115" cm="1">
        <f t="array" ref="R83">INDEX(股债表现与四个维度!$A:$T,MATCH($A83,股债表现与四个维度!$A:$A,0),MATCH(R$3&amp;R$4,股债表现与四个维度!$2:$2&amp;股债表现与四个维度!$3:$3,0))</f>
        <v>0</v>
      </c>
      <c r="S83" s="115" cm="1">
        <f t="array" ref="S83">INDEX(股债表现与四个维度!$A:$T,MATCH($A83,股债表现与四个维度!$A:$A,0),MATCH(S$3&amp;S$4,股债表现与四个维度!$2:$2&amp;股债表现与四个维度!$3:$3,0))</f>
        <v>0.5</v>
      </c>
      <c r="T83">
        <f>SUMIFS($J83:$S83,$J83:$S83,"&lt;&gt;"&amp;"#N/A",$J$4:$S$4,T$4)</f>
        <v>0.35238095238095235</v>
      </c>
      <c r="U83">
        <f>SUMIFS($J83:$S83,$J83:$S83,"&lt;&gt;"&amp;"#N/A",$J$4:$S$4,U$4)</f>
        <v>0.59047619047619049</v>
      </c>
      <c r="V83">
        <f t="shared" si="11"/>
        <v>-0.23809523809523814</v>
      </c>
      <c r="W83" s="114">
        <f t="shared" si="14"/>
        <v>-10.677210605677471</v>
      </c>
      <c r="X83" s="114">
        <f t="shared" si="12"/>
        <v>-1.1200628784049731</v>
      </c>
      <c r="Y83">
        <f t="shared" ref="Y83:AA83" si="61">AVERAGE(V83:V88)</f>
        <v>-5.217574962796101E-2</v>
      </c>
      <c r="Z83">
        <f t="shared" si="61"/>
        <v>-0.57035718583562256</v>
      </c>
      <c r="AA83">
        <f t="shared" si="61"/>
        <v>0.70562000454645568</v>
      </c>
    </row>
    <row r="84" spans="1:27" x14ac:dyDescent="0.35">
      <c r="A84" s="106">
        <v>43830</v>
      </c>
      <c r="B84" s="1">
        <v>7.5465408651152099</v>
      </c>
      <c r="C84" s="1">
        <v>-4.7456926406929796</v>
      </c>
      <c r="D84">
        <v>0.47</v>
      </c>
      <c r="E84" t="s">
        <v>9</v>
      </c>
      <c r="F84" t="s">
        <v>125</v>
      </c>
      <c r="G84" t="s">
        <v>117</v>
      </c>
      <c r="H84" t="s">
        <v>116</v>
      </c>
      <c r="I84" t="s">
        <v>123</v>
      </c>
      <c r="J84" s="115" cm="1">
        <f t="array" ref="J84">INDEX(股债表现与四个维度!$A:$T,MATCH($A84,股债表现与四个维度!$A:$A,0),MATCH(J$3&amp;J$4,股债表现与四个维度!$2:$2&amp;股债表现与四个维度!$3:$3,0))</f>
        <v>0.23076923076923078</v>
      </c>
      <c r="K84" s="115" cm="1">
        <f t="array" ref="K84">INDEX(股债表现与四个维度!$A:$T,MATCH($A84,股债表现与四个维度!$A:$A,0),MATCH(K$3&amp;K$4,股债表现与四个维度!$2:$2&amp;股债表现与四个维度!$3:$3,0))</f>
        <v>-0.23076923076923078</v>
      </c>
      <c r="L84" s="115" cm="1">
        <f t="array" ref="L84">INDEX(股债表现与四个维度!$A:$T,MATCH($A84,股债表现与四个维度!$A:$A,0),MATCH(L$3&amp;L$4,股债表现与四个维度!$2:$2&amp;股债表现与四个维度!$3:$3,0))</f>
        <v>7.1428571428571425E-2</v>
      </c>
      <c r="M84" s="115" cm="1">
        <f t="array" ref="M84">INDEX(股债表现与四个维度!$A:$T,MATCH($A84,股债表现与四个维度!$A:$A,0),MATCH(M$3&amp;M$4,股债表现与四个维度!$2:$2&amp;股债表现与四个维度!$3:$3,0))</f>
        <v>0.14285714285714285</v>
      </c>
      <c r="N84" s="115"/>
      <c r="O84" s="115"/>
      <c r="P84" s="115" cm="1">
        <f t="array" ref="P84">INDEX(股债表现与四个维度!$A:$T,MATCH($A84,股债表现与四个维度!$A:$A,0),MATCH(P$3&amp;P$4,股债表现与四个维度!$2:$2&amp;股债表现与四个维度!$3:$3,0))</f>
        <v>9.0909090909090912E-2</v>
      </c>
      <c r="Q84" s="115" cm="1">
        <f t="array" ref="Q84">INDEX(股债表现与四个维度!$A:$T,MATCH($A84,股债表现与四个维度!$A:$A,0),MATCH(Q$3&amp;Q$4,股债表现与四个维度!$2:$2&amp;股债表现与四个维度!$3:$3,0))</f>
        <v>3.0303030303030304E-2</v>
      </c>
      <c r="R84" s="115" cm="1">
        <f t="array" ref="R84">INDEX(股债表现与四个维度!$A:$T,MATCH($A84,股债表现与四个维度!$A:$A,0),MATCH(R$3&amp;R$4,股债表现与四个维度!$2:$2&amp;股债表现与四个维度!$3:$3,0))</f>
        <v>0</v>
      </c>
      <c r="S84" s="115" cm="1">
        <f t="array" ref="S84">INDEX(股债表现与四个维度!$A:$T,MATCH($A84,股债表现与四个维度!$A:$A,0),MATCH(S$3&amp;S$4,股债表现与四个维度!$2:$2&amp;股债表现与四个维度!$3:$3,0))</f>
        <v>0.33333333333333331</v>
      </c>
      <c r="T84">
        <f>SUMIFS($J84:$S84,$J84:$S84,"&lt;&gt;"&amp;"#N/A",$J$4:$S$4,T$4)</f>
        <v>0.39310689310689317</v>
      </c>
      <c r="U84">
        <f>SUMIFS($J84:$S84,$J84:$S84,"&lt;&gt;"&amp;"#N/A",$J$4:$S$4,U$4)</f>
        <v>0.27572427572427571</v>
      </c>
      <c r="V84">
        <f t="shared" si="11"/>
        <v>0.11738261738261746</v>
      </c>
      <c r="W84" s="114">
        <f t="shared" si="14"/>
        <v>2.8008482244222304</v>
      </c>
      <c r="X84" s="114">
        <f t="shared" si="12"/>
        <v>7.0765408651152102</v>
      </c>
      <c r="Y84">
        <f t="shared" ref="Y84:AA84" si="62">AVERAGE(V84:V89)</f>
        <v>-5.6527409776722611E-2</v>
      </c>
      <c r="Z84">
        <f t="shared" si="62"/>
        <v>7.111399527372475E-2</v>
      </c>
      <c r="AA84">
        <f t="shared" si="62"/>
        <v>0.78855817390221983</v>
      </c>
    </row>
    <row r="85" spans="1:27" x14ac:dyDescent="0.35">
      <c r="A85" s="106">
        <v>43799</v>
      </c>
      <c r="B85" s="1">
        <v>-1.50692907621095</v>
      </c>
      <c r="C85" s="1">
        <v>1.8189223057639901</v>
      </c>
      <c r="D85">
        <v>0.48</v>
      </c>
      <c r="E85" t="s">
        <v>9</v>
      </c>
      <c r="F85" t="s">
        <v>125</v>
      </c>
      <c r="G85" t="s">
        <v>117</v>
      </c>
      <c r="H85" t="s">
        <v>116</v>
      </c>
      <c r="I85" t="s">
        <v>123</v>
      </c>
      <c r="J85" s="115" cm="1">
        <f t="array" ref="J85">INDEX(股债表现与四个维度!$A:$T,MATCH($A85,股债表现与四个维度!$A:$A,0),MATCH(J$3&amp;J$4,股债表现与四个维度!$2:$2&amp;股债表现与四个维度!$3:$3,0))</f>
        <v>0.23076923076923078</v>
      </c>
      <c r="K85" s="115" cm="1">
        <f t="array" ref="K85">INDEX(股债表现与四个维度!$A:$T,MATCH($A85,股债表现与四个维度!$A:$A,0),MATCH(K$3&amp;K$4,股债表现与四个维度!$2:$2&amp;股债表现与四个维度!$3:$3,0))</f>
        <v>-0.23076923076923078</v>
      </c>
      <c r="L85" s="115" cm="1">
        <f t="array" ref="L85">INDEX(股债表现与四个维度!$A:$T,MATCH($A85,股债表现与四个维度!$A:$A,0),MATCH(L$3&amp;L$4,股债表现与四个维度!$2:$2&amp;股债表现与四个维度!$3:$3,0))</f>
        <v>7.407407407407407E-2</v>
      </c>
      <c r="M85" s="115" cm="1">
        <f t="array" ref="M85">INDEX(股债表现与四个维度!$A:$T,MATCH($A85,股债表现与四个维度!$A:$A,0),MATCH(M$3&amp;M$4,股债表现与四个维度!$2:$2&amp;股债表现与四个维度!$3:$3,0))</f>
        <v>0.18518518518518517</v>
      </c>
      <c r="N85" s="115"/>
      <c r="O85" s="115"/>
      <c r="P85" s="115" cm="1">
        <f t="array" ref="P85">INDEX(股债表现与四个维度!$A:$T,MATCH($A85,股债表现与四个维度!$A:$A,0),MATCH(P$3&amp;P$4,股债表现与四个维度!$2:$2&amp;股债表现与四个维度!$3:$3,0))</f>
        <v>9.375E-2</v>
      </c>
      <c r="Q85" s="115" cm="1">
        <f t="array" ref="Q85">INDEX(股债表现与四个维度!$A:$T,MATCH($A85,股债表现与四个维度!$A:$A,0),MATCH(Q$3&amp;Q$4,股债表现与四个维度!$2:$2&amp;股债表现与四个维度!$3:$3,0))</f>
        <v>6.25E-2</v>
      </c>
      <c r="R85" s="115" cm="1">
        <f t="array" ref="R85">INDEX(股债表现与四个维度!$A:$T,MATCH($A85,股债表现与四个维度!$A:$A,0),MATCH(R$3&amp;R$4,股债表现与四个维度!$2:$2&amp;股债表现与四个维度!$3:$3,0))</f>
        <v>0</v>
      </c>
      <c r="S85" s="115" cm="1">
        <f t="array" ref="S85">INDEX(股债表现与四个维度!$A:$T,MATCH($A85,股债表现与四个维度!$A:$A,0),MATCH(S$3&amp;S$4,股债表现与四个维度!$2:$2&amp;股债表现与四个维度!$3:$3,0))</f>
        <v>0.33333333333333331</v>
      </c>
      <c r="T85">
        <f>SUMIFS($J85:$S85,$J85:$S85,"&lt;&gt;"&amp;"#N/A",$J$4:$S$4,T$4)</f>
        <v>0.39859330484330485</v>
      </c>
      <c r="U85">
        <f>SUMIFS($J85:$S85,$J85:$S85,"&lt;&gt;"&amp;"#N/A",$J$4:$S$4,U$4)</f>
        <v>0.35024928774928771</v>
      </c>
      <c r="V85">
        <f t="shared" si="11"/>
        <v>4.8344017094017144E-2</v>
      </c>
      <c r="W85" s="114">
        <f t="shared" si="14"/>
        <v>0.3119932295530401</v>
      </c>
      <c r="X85" s="114">
        <f t="shared" si="12"/>
        <v>-1.9869290762109499</v>
      </c>
      <c r="Y85">
        <f t="shared" ref="Y85:AA85" si="63">AVERAGE(V85:V90)</f>
        <v>-6.5502385418364936E-2</v>
      </c>
      <c r="Z85">
        <f t="shared" si="63"/>
        <v>-1.0190250648631038</v>
      </c>
      <c r="AA85">
        <f t="shared" si="63"/>
        <v>0.10129239545439302</v>
      </c>
    </row>
    <row r="86" spans="1:27" x14ac:dyDescent="0.35">
      <c r="A86" s="106">
        <v>43769</v>
      </c>
      <c r="B86" s="1">
        <v>0.81618618854058</v>
      </c>
      <c r="C86" s="1">
        <v>11.234887218044999</v>
      </c>
      <c r="D86">
        <v>-0.05</v>
      </c>
      <c r="E86" t="s">
        <v>8</v>
      </c>
      <c r="F86" t="s">
        <v>125</v>
      </c>
      <c r="G86" t="s">
        <v>117</v>
      </c>
      <c r="H86" t="s">
        <v>116</v>
      </c>
      <c r="I86" t="s">
        <v>127</v>
      </c>
      <c r="J86" s="115" cm="1">
        <f t="array" ref="J86">INDEX(股债表现与四个维度!$A:$T,MATCH($A86,股债表现与四个维度!$A:$A,0),MATCH(J$3&amp;J$4,股债表现与四个维度!$2:$2&amp;股债表现与四个维度!$3:$3,0))</f>
        <v>0.22222222222222221</v>
      </c>
      <c r="K86" s="115" cm="1">
        <f t="array" ref="K86">INDEX(股债表现与四个维度!$A:$T,MATCH($A86,股债表现与四个维度!$A:$A,0),MATCH(K$3&amp;K$4,股债表现与四个维度!$2:$2&amp;股债表现与四个维度!$3:$3,0))</f>
        <v>-0.22222222222222221</v>
      </c>
      <c r="L86" s="115" cm="1">
        <f t="array" ref="L86">INDEX(股债表现与四个维度!$A:$T,MATCH($A86,股债表现与四个维度!$A:$A,0),MATCH(L$3&amp;L$4,股债表现与四个维度!$2:$2&amp;股债表现与四个维度!$3:$3,0))</f>
        <v>7.6923076923076927E-2</v>
      </c>
      <c r="M86" s="115" cm="1">
        <f t="array" ref="M86">INDEX(股债表现与四个维度!$A:$T,MATCH($A86,股债表现与四个维度!$A:$A,0),MATCH(M$3&amp;M$4,股债表现与四个维度!$2:$2&amp;股债表现与四个维度!$3:$3,0))</f>
        <v>0.23076923076923078</v>
      </c>
      <c r="N86" s="115"/>
      <c r="O86" s="115"/>
      <c r="P86" s="115" cm="1">
        <f t="array" ref="P86">INDEX(股债表现与四个维度!$A:$T,MATCH($A86,股债表现与四个维度!$A:$A,0),MATCH(P$3&amp;P$4,股债表现与四个维度!$2:$2&amp;股债表现与四个维度!$3:$3,0))</f>
        <v>9.6774193548387094E-2</v>
      </c>
      <c r="Q86" s="115" cm="1">
        <f t="array" ref="Q86">INDEX(股债表现与四个维度!$A:$T,MATCH($A86,股债表现与四个维度!$A:$A,0),MATCH(Q$3&amp;Q$4,股债表现与四个维度!$2:$2&amp;股债表现与四个维度!$3:$3,0))</f>
        <v>9.6774193548387094E-2</v>
      </c>
      <c r="R86" s="115" cm="1">
        <f t="array" ref="R86">INDEX(股债表现与四个维度!$A:$T,MATCH($A86,股债表现与四个维度!$A:$A,0),MATCH(R$3&amp;R$4,股债表现与四个维度!$2:$2&amp;股债表现与四个维度!$3:$3,0))</f>
        <v>0</v>
      </c>
      <c r="S86" s="115" cm="1">
        <f t="array" ref="S86">INDEX(股债表现与四个维度!$A:$T,MATCH($A86,股债表现与四个维度!$A:$A,0),MATCH(S$3&amp;S$4,股债表现与四个维度!$2:$2&amp;股债表现与四个维度!$3:$3,0))</f>
        <v>0.33333333333333331</v>
      </c>
      <c r="T86">
        <f>SUMIFS($J86:$S86,$J86:$S86,"&lt;&gt;"&amp;"#N/A",$J$4:$S$4,T$4)</f>
        <v>0.3959194926936862</v>
      </c>
      <c r="U86">
        <f>SUMIFS($J86:$S86,$J86:$S86,"&lt;&gt;"&amp;"#N/A",$J$4:$S$4,U$4)</f>
        <v>0.43865453542872901</v>
      </c>
      <c r="V86">
        <f t="shared" si="11"/>
        <v>-4.2735042735042805E-2</v>
      </c>
      <c r="W86" s="114">
        <f t="shared" si="14"/>
        <v>12.05107340658558</v>
      </c>
      <c r="X86" s="114">
        <f t="shared" si="12"/>
        <v>0.86618618854058005</v>
      </c>
      <c r="Y86">
        <f t="shared" ref="Y86:AA86" si="64">AVERAGE(V86:V91)</f>
        <v>-6.3956082874255374E-2</v>
      </c>
      <c r="Z86">
        <f t="shared" si="64"/>
        <v>-2.6512148532778053</v>
      </c>
      <c r="AA86">
        <f t="shared" si="64"/>
        <v>-0.69946445455380524</v>
      </c>
    </row>
    <row r="87" spans="1:27" x14ac:dyDescent="0.35">
      <c r="A87" s="106">
        <v>43738</v>
      </c>
      <c r="B87" s="1">
        <v>0.76953208302912302</v>
      </c>
      <c r="C87" s="1">
        <v>4.1755194805200198</v>
      </c>
      <c r="D87">
        <v>0.2</v>
      </c>
      <c r="E87" t="s">
        <v>8</v>
      </c>
      <c r="F87" t="s">
        <v>125</v>
      </c>
      <c r="G87" t="s">
        <v>117</v>
      </c>
      <c r="H87" t="s">
        <v>116</v>
      </c>
      <c r="I87" t="s">
        <v>127</v>
      </c>
      <c r="J87" s="115" cm="1">
        <f t="array" ref="J87">INDEX(股债表现与四个维度!$A:$T,MATCH($A87,股债表现与四个维度!$A:$A,0),MATCH(J$3&amp;J$4,股债表现与四个维度!$2:$2&amp;股债表现与四个维度!$3:$3,0))</f>
        <v>0.22222222222222221</v>
      </c>
      <c r="K87" s="115" cm="1">
        <f t="array" ref="K87">INDEX(股债表现与四个维度!$A:$T,MATCH($A87,股债表现与四个维度!$A:$A,0),MATCH(K$3&amp;K$4,股债表现与四个维度!$2:$2&amp;股债表现与四个维度!$3:$3,0))</f>
        <v>-0.22222222222222221</v>
      </c>
      <c r="L87" s="115" cm="1">
        <f t="array" ref="L87">INDEX(股债表现与四个维度!$A:$T,MATCH($A87,股债表现与四个维度!$A:$A,0),MATCH(L$3&amp;L$4,股债表现与四个维度!$2:$2&amp;股债表现与四个维度!$3:$3,0))</f>
        <v>0.08</v>
      </c>
      <c r="M87" s="115" cm="1">
        <f t="array" ref="M87">INDEX(股债表现与四个维度!$A:$T,MATCH($A87,股债表现与四个维度!$A:$A,0),MATCH(M$3&amp;M$4,股债表现与四个维度!$2:$2&amp;股债表现与四个维度!$3:$3,0))</f>
        <v>0.2</v>
      </c>
      <c r="N87" s="115"/>
      <c r="O87" s="115"/>
      <c r="P87" s="115" cm="1">
        <f t="array" ref="P87">INDEX(股债表现与四个维度!$A:$T,MATCH($A87,股债表现与四个维度!$A:$A,0),MATCH(P$3&amp;P$4,股债表现与四个维度!$2:$2&amp;股债表现与四个维度!$3:$3,0))</f>
        <v>0.1</v>
      </c>
      <c r="Q87" s="115" cm="1">
        <f t="array" ref="Q87">INDEX(股债表现与四个维度!$A:$T,MATCH($A87,股债表现与四个维度!$A:$A,0),MATCH(Q$3&amp;Q$4,股债表现与四个维度!$2:$2&amp;股债表现与四个维度!$3:$3,0))</f>
        <v>6.6666666666666666E-2</v>
      </c>
      <c r="R87" s="115" cm="1">
        <f t="array" ref="R87">INDEX(股债表现与四个维度!$A:$T,MATCH($A87,股债表现与四个维度!$A:$A,0),MATCH(R$3&amp;R$4,股债表现与四个维度!$2:$2&amp;股债表现与四个维度!$3:$3,0))</f>
        <v>0</v>
      </c>
      <c r="S87" s="115" cm="1">
        <f t="array" ref="S87">INDEX(股债表现与四个维度!$A:$T,MATCH($A87,股债表现与四个维度!$A:$A,0),MATCH(S$3&amp;S$4,股债表现与四个维度!$2:$2&amp;股债表现与四个维度!$3:$3,0))</f>
        <v>0.30434782608695654</v>
      </c>
      <c r="T87">
        <f>SUMIFS($J87:$S87,$J87:$S87,"&lt;&gt;"&amp;"#N/A",$J$4:$S$4,T$4)</f>
        <v>0.40222222222222226</v>
      </c>
      <c r="U87">
        <f>SUMIFS($J87:$S87,$J87:$S87,"&lt;&gt;"&amp;"#N/A",$J$4:$S$4,U$4)</f>
        <v>0.34879227053140099</v>
      </c>
      <c r="V87">
        <f t="shared" si="11"/>
        <v>5.3429951690821265E-2</v>
      </c>
      <c r="W87" s="114">
        <f t="shared" si="14"/>
        <v>4.9450515635491428</v>
      </c>
      <c r="X87" s="114">
        <f t="shared" si="12"/>
        <v>0.56953208302912306</v>
      </c>
      <c r="Y87">
        <f t="shared" ref="Y87:AA87" si="65">AVERAGE(V87:V92)</f>
        <v>-5.590764982582231E-2</v>
      </c>
      <c r="Z87">
        <f t="shared" si="65"/>
        <v>-1.5248339435419609</v>
      </c>
      <c r="AA87">
        <f t="shared" si="65"/>
        <v>-1.0338815625896272</v>
      </c>
    </row>
    <row r="88" spans="1:27" x14ac:dyDescent="0.35">
      <c r="A88" s="106">
        <v>43708</v>
      </c>
      <c r="B88" s="1">
        <v>-0.74154715479025601</v>
      </c>
      <c r="C88" s="1">
        <v>-12.112351778656</v>
      </c>
      <c r="D88">
        <v>0.43</v>
      </c>
      <c r="E88" t="s">
        <v>7</v>
      </c>
      <c r="F88" t="s">
        <v>125</v>
      </c>
      <c r="G88" t="s">
        <v>117</v>
      </c>
      <c r="H88" t="s">
        <v>116</v>
      </c>
      <c r="I88" t="s">
        <v>127</v>
      </c>
      <c r="J88" s="115" cm="1">
        <f t="array" ref="J88">INDEX(股债表现与四个维度!$A:$T,MATCH($A88,股债表现与四个维度!$A:$A,0),MATCH(J$3&amp;J$4,股债表现与四个维度!$2:$2&amp;股债表现与四个维度!$3:$3,0))</f>
        <v>0.2857142857142857</v>
      </c>
      <c r="K88" s="115" cm="1">
        <f t="array" ref="K88">INDEX(股债表现与四个维度!$A:$T,MATCH($A88,股债表现与四个维度!$A:$A,0),MATCH(K$3&amp;K$4,股债表现与四个维度!$2:$2&amp;股债表现与四个维度!$3:$3,0))</f>
        <v>0.25</v>
      </c>
      <c r="L88" s="115" cm="1">
        <f t="array" ref="L88">INDEX(股债表现与四个维度!$A:$T,MATCH($A88,股债表现与四个维度!$A:$A,0),MATCH(L$3&amp;L$4,股债表现与四个维度!$2:$2&amp;股债表现与四个维度!$3:$3,0))</f>
        <v>8.3333333333333329E-2</v>
      </c>
      <c r="M88" s="115" cm="1">
        <f t="array" ref="M88">INDEX(股债表现与四个维度!$A:$T,MATCH($A88,股债表现与四个维度!$A:$A,0),MATCH(M$3&amp;M$4,股债表现与四个维度!$2:$2&amp;股债表现与四个维度!$3:$3,0))</f>
        <v>0.16666666666666666</v>
      </c>
      <c r="N88" s="115"/>
      <c r="O88" s="115"/>
      <c r="P88" s="115" cm="1">
        <f t="array" ref="P88">INDEX(股债表现与四个维度!$A:$T,MATCH($A88,股债表现与四个维度!$A:$A,0),MATCH(P$3&amp;P$4,股债表现与四个维度!$2:$2&amp;股债表现与四个维度!$3:$3,0))</f>
        <v>0.10344827586206896</v>
      </c>
      <c r="Q88" s="115" cm="1">
        <f t="array" ref="Q88">INDEX(股债表现与四个维度!$A:$T,MATCH($A88,股债表现与四个维度!$A:$A,0),MATCH(Q$3&amp;Q$4,股债表现与四个维度!$2:$2&amp;股债表现与四个维度!$3:$3,0))</f>
        <v>3.4482758620689655E-2</v>
      </c>
      <c r="R88" s="115" cm="1">
        <f t="array" ref="R88">INDEX(股债表现与四个维度!$A:$T,MATCH($A88,股债表现与四个维度!$A:$A,0),MATCH(R$3&amp;R$4,股债表现与四个维度!$2:$2&amp;股债表现与四个维度!$3:$3,0))</f>
        <v>0</v>
      </c>
      <c r="S88" s="115" cm="1">
        <f t="array" ref="S88">INDEX(股债表现与四个维度!$A:$T,MATCH($A88,股债表现与四个维度!$A:$A,0),MATCH(S$3&amp;S$4,股债表现与四个维度!$2:$2&amp;股债表现与四个维度!$3:$3,0))</f>
        <v>0.27272727272727271</v>
      </c>
      <c r="T88">
        <f>SUMIFS($J88:$S88,$J88:$S88,"&lt;&gt;"&amp;"#N/A",$J$4:$S$4,T$4)</f>
        <v>0.47249589490968796</v>
      </c>
      <c r="U88">
        <f>SUMIFS($J88:$S88,$J88:$S88,"&lt;&gt;"&amp;"#N/A",$J$4:$S$4,U$4)</f>
        <v>0.72387669801462895</v>
      </c>
      <c r="V88">
        <f t="shared" si="11"/>
        <v>-0.25138080310494099</v>
      </c>
      <c r="W88" s="114">
        <f t="shared" si="14"/>
        <v>-12.853898933446256</v>
      </c>
      <c r="X88" s="114">
        <f t="shared" si="12"/>
        <v>-1.1715471547902561</v>
      </c>
      <c r="Y88">
        <f t="shared" ref="Y88:AA88" si="66">AVERAGE(V88:V93)</f>
        <v>-0.10784669750184672</v>
      </c>
      <c r="Z88">
        <f t="shared" si="66"/>
        <v>-0.76124949716965296</v>
      </c>
      <c r="AA88">
        <f t="shared" si="66"/>
        <v>0.13203704471985253</v>
      </c>
    </row>
    <row r="89" spans="1:27" x14ac:dyDescent="0.35">
      <c r="A89" s="106">
        <v>43677</v>
      </c>
      <c r="B89" s="1">
        <v>-0.112433862270389</v>
      </c>
      <c r="C89" s="1">
        <v>-6.7159496567510004</v>
      </c>
      <c r="D89">
        <v>0.51</v>
      </c>
      <c r="E89" t="s">
        <v>7</v>
      </c>
      <c r="F89" t="s">
        <v>125</v>
      </c>
      <c r="G89" t="s">
        <v>117</v>
      </c>
      <c r="H89" t="s">
        <v>116</v>
      </c>
      <c r="I89" t="s">
        <v>127</v>
      </c>
      <c r="J89" s="115" cm="1">
        <f t="array" ref="J89">INDEX(股债表现与四个维度!$A:$T,MATCH($A89,股债表现与四个维度!$A:$A,0),MATCH(J$3&amp;J$4,股债表现与四个维度!$2:$2&amp;股债表现与四个维度!$3:$3,0))</f>
        <v>0.25925925925925924</v>
      </c>
      <c r="K89" s="115" cm="1">
        <f t="array" ref="K89">INDEX(股债表现与四个维度!$A:$T,MATCH($A89,股债表现与四个维度!$A:$A,0),MATCH(K$3&amp;K$4,股债表现与四个维度!$2:$2&amp;股债表现与四个维度!$3:$3,0))</f>
        <v>0.22222222222222221</v>
      </c>
      <c r="L89" s="115" cm="1">
        <f t="array" ref="L89">INDEX(股债表现与四个维度!$A:$T,MATCH($A89,股债表现与四个维度!$A:$A,0),MATCH(L$3&amp;L$4,股债表现与四个维度!$2:$2&amp;股债表现与四个维度!$3:$3,0))</f>
        <v>4.3478260869565216E-2</v>
      </c>
      <c r="M89" s="115" cm="1">
        <f t="array" ref="M89">INDEX(股债表现与四个维度!$A:$T,MATCH($A89,股债表现与四个维度!$A:$A,0),MATCH(M$3&amp;M$4,股债表现与四个维度!$2:$2&amp;股债表现与四个维度!$3:$3,0))</f>
        <v>0.13043478260869565</v>
      </c>
      <c r="N89" s="115"/>
      <c r="O89" s="115"/>
      <c r="P89" s="115" cm="1">
        <f t="array" ref="P89">INDEX(股债表现与四个维度!$A:$T,MATCH($A89,股债表现与四个维度!$A:$A,0),MATCH(P$3&amp;P$4,股债表现与四个维度!$2:$2&amp;股债表现与四个维度!$3:$3,0))</f>
        <v>7.1428571428571425E-2</v>
      </c>
      <c r="Q89" s="115" cm="1">
        <f t="array" ref="Q89">INDEX(股债表现与四个维度!$A:$T,MATCH($A89,股债表现与四个维度!$A:$A,0),MATCH(Q$3&amp;Q$4,股债表现与四个维度!$2:$2&amp;股债表现与四个维度!$3:$3,0))</f>
        <v>0</v>
      </c>
      <c r="R89" s="115" cm="1">
        <f t="array" ref="R89">INDEX(股债表现与四个维度!$A:$T,MATCH($A89,股债表现与四个维度!$A:$A,0),MATCH(R$3&amp;R$4,股债表现与四个维度!$2:$2&amp;股债表现与四个维度!$3:$3,0))</f>
        <v>-4.7619047619047616E-2</v>
      </c>
      <c r="S89" s="115" cm="1">
        <f t="array" ref="S89">INDEX(股债表现与四个维度!$A:$T,MATCH($A89,股债表现与四个维度!$A:$A,0),MATCH(S$3&amp;S$4,股债表现与四个维度!$2:$2&amp;股债表现与四个维度!$3:$3,0))</f>
        <v>0.23809523809523808</v>
      </c>
      <c r="T89">
        <f>SUMIFS($J89:$S89,$J89:$S89,"&lt;&gt;"&amp;"#N/A",$J$4:$S$4,T$4)</f>
        <v>0.32654704393834827</v>
      </c>
      <c r="U89">
        <f>SUMIFS($J89:$S89,$J89:$S89,"&lt;&gt;"&amp;"#N/A",$J$4:$S$4,U$4)</f>
        <v>0.59075224292615602</v>
      </c>
      <c r="V89">
        <f t="shared" si="11"/>
        <v>-0.26420519898780775</v>
      </c>
      <c r="W89" s="114">
        <f t="shared" si="14"/>
        <v>-6.8283835190213891</v>
      </c>
      <c r="X89" s="114">
        <f t="shared" si="12"/>
        <v>-0.62243386227038899</v>
      </c>
      <c r="Y89">
        <f t="shared" ref="Y89:AA89" si="67">AVERAGE(V89:V94)</f>
        <v>-0.11819857423303382</v>
      </c>
      <c r="Z89">
        <f t="shared" si="67"/>
        <v>1.6613664795550387</v>
      </c>
      <c r="AA89">
        <f t="shared" si="67"/>
        <v>2.0205673921335454</v>
      </c>
    </row>
    <row r="90" spans="1:27" x14ac:dyDescent="0.35">
      <c r="A90" s="106">
        <v>43646</v>
      </c>
      <c r="B90" s="1">
        <v>3.3729461944282502</v>
      </c>
      <c r="C90" s="1">
        <v>-7.1129323308269896</v>
      </c>
      <c r="D90">
        <v>0.42</v>
      </c>
      <c r="E90" t="s">
        <v>7</v>
      </c>
      <c r="F90" t="s">
        <v>125</v>
      </c>
      <c r="G90" t="s">
        <v>117</v>
      </c>
      <c r="H90" t="s">
        <v>116</v>
      </c>
      <c r="I90" t="s">
        <v>127</v>
      </c>
      <c r="J90" s="115" cm="1">
        <f t="array" ref="J90">INDEX(股债表现与四个维度!$A:$T,MATCH($A90,股债表现与四个维度!$A:$A,0),MATCH(J$3&amp;J$4,股债表现与四个维度!$2:$2&amp;股债表现与四个维度!$3:$3,0))</f>
        <v>0.30769230769230771</v>
      </c>
      <c r="K90" s="115" cm="1">
        <f t="array" ref="K90">INDEX(股债表现与四个维度!$A:$T,MATCH($A90,股债表现与四个维度!$A:$A,0),MATCH(K$3&amp;K$4,股债表现与四个维度!$2:$2&amp;股债表现与四个维度!$3:$3,0))</f>
        <v>0.19230769230769232</v>
      </c>
      <c r="L90" s="115" cm="1">
        <f t="array" ref="L90">INDEX(股债表现与四个维度!$A:$T,MATCH($A90,股债表现与四个维度!$A:$A,0),MATCH(L$3&amp;L$4,股债表现与四个维度!$2:$2&amp;股债表现与四个维度!$3:$3,0))</f>
        <v>9.0909090909090912E-2</v>
      </c>
      <c r="M90" s="115" cm="1">
        <f t="array" ref="M90">INDEX(股债表现与四个维度!$A:$T,MATCH($A90,股债表现与四个维度!$A:$A,0),MATCH(M$3&amp;M$4,股债表现与四个维度!$2:$2&amp;股债表现与四个维度!$3:$3,0))</f>
        <v>9.0909090909090912E-2</v>
      </c>
      <c r="N90" s="115"/>
      <c r="O90" s="115"/>
      <c r="P90" s="115" cm="1">
        <f t="array" ref="P90">INDEX(股债表现与四个维度!$A:$T,MATCH($A90,股债表现与四个维度!$A:$A,0),MATCH(P$3&amp;P$4,股债表现与四个维度!$2:$2&amp;股债表现与四个维度!$3:$3,0))</f>
        <v>0.1111111111111111</v>
      </c>
      <c r="Q90" s="115" cm="1">
        <f t="array" ref="Q90">INDEX(股债表现与四个维度!$A:$T,MATCH($A90,股债表现与四个维度!$A:$A,0),MATCH(Q$3&amp;Q$4,股债表现与四个维度!$2:$2&amp;股债表现与四个维度!$3:$3,0))</f>
        <v>-3.7037037037037035E-2</v>
      </c>
      <c r="R90" s="115" cm="1">
        <f t="array" ref="R90">INDEX(股债表现与四个维度!$A:$T,MATCH($A90,股债表现与四个维度!$A:$A,0),MATCH(R$3&amp;R$4,股债表现与四个维度!$2:$2&amp;股债表现与四个维度!$3:$3,0))</f>
        <v>0</v>
      </c>
      <c r="S90" s="115" cm="1">
        <f t="array" ref="S90">INDEX(股债表现与四个维度!$A:$T,MATCH($A90,股债表现与四个维度!$A:$A,0),MATCH(S$3&amp;S$4,股债表现与四个维度!$2:$2&amp;股债表现与四个维度!$3:$3,0))</f>
        <v>0.2</v>
      </c>
      <c r="T90">
        <f>SUMIFS($J90:$S90,$J90:$S90,"&lt;&gt;"&amp;"#N/A",$J$4:$S$4,T$4)</f>
        <v>0.5097125097125097</v>
      </c>
      <c r="U90">
        <f>SUMIFS($J90:$S90,$J90:$S90,"&lt;&gt;"&amp;"#N/A",$J$4:$S$4,U$4)</f>
        <v>0.44617974617974621</v>
      </c>
      <c r="V90">
        <f t="shared" si="11"/>
        <v>6.3532763532763492E-2</v>
      </c>
      <c r="W90" s="114">
        <f t="shared" si="14"/>
        <v>-3.7399861363987394</v>
      </c>
      <c r="X90" s="114">
        <f t="shared" si="12"/>
        <v>2.9529461944282502</v>
      </c>
      <c r="Y90">
        <f t="shared" ref="Y90:AA90" si="68">AVERAGE(V90:V95)</f>
        <v>-1.2026139399720266E-3</v>
      </c>
      <c r="Z90">
        <f t="shared" si="68"/>
        <v>-0.23147398255573512</v>
      </c>
      <c r="AA90">
        <f t="shared" si="68"/>
        <v>1.2716694444114385</v>
      </c>
    </row>
    <row r="91" spans="1:27" x14ac:dyDescent="0.35">
      <c r="A91" s="106">
        <v>43616</v>
      </c>
      <c r="B91" s="1">
        <v>-6.38147017626014</v>
      </c>
      <c r="C91" s="1">
        <v>-3.0996753246750299</v>
      </c>
      <c r="D91">
        <v>0.41</v>
      </c>
      <c r="E91" t="s">
        <v>7</v>
      </c>
      <c r="F91" t="s">
        <v>125</v>
      </c>
      <c r="G91" t="s">
        <v>117</v>
      </c>
      <c r="H91" t="s">
        <v>116</v>
      </c>
      <c r="I91" t="s">
        <v>127</v>
      </c>
      <c r="J91" s="115" cm="1">
        <f t="array" ref="J91">INDEX(股债表现与四个维度!$A:$T,MATCH($A91,股债表现与四个维度!$A:$A,0),MATCH(J$3&amp;J$4,股债表现与四个维度!$2:$2&amp;股债表现与四个维度!$3:$3,0))</f>
        <v>0.36</v>
      </c>
      <c r="K91" s="115" cm="1">
        <f t="array" ref="K91">INDEX(股债表现与四个维度!$A:$T,MATCH($A91,股债表现与四个维度!$A:$A,0),MATCH(K$3&amp;K$4,股债表现与四个维度!$2:$2&amp;股债表现与四个维度!$3:$3,0))</f>
        <v>0.24</v>
      </c>
      <c r="L91" s="115" cm="1">
        <f t="array" ref="L91">INDEX(股债表现与四个维度!$A:$T,MATCH($A91,股债表现与四个维度!$A:$A,0),MATCH(L$3&amp;L$4,股债表现与四个维度!$2:$2&amp;股债表现与四个维度!$3:$3,0))</f>
        <v>0.14285714285714285</v>
      </c>
      <c r="M91" s="115" cm="1">
        <f t="array" ref="M91">INDEX(股债表现与四个维度!$A:$T,MATCH($A91,股债表现与四个维度!$A:$A,0),MATCH(M$3&amp;M$4,股债表现与四个维度!$2:$2&amp;股债表现与四个维度!$3:$3,0))</f>
        <v>0.14285714285714285</v>
      </c>
      <c r="N91" s="115"/>
      <c r="O91" s="115"/>
      <c r="P91" s="115" cm="1">
        <f t="array" ref="P91">INDEX(股债表现与四个维度!$A:$T,MATCH($A91,股债表现与四个维度!$A:$A,0),MATCH(P$3&amp;P$4,股债表现与四个维度!$2:$2&amp;股债表现与四个维度!$3:$3,0))</f>
        <v>0.1111111111111111</v>
      </c>
      <c r="Q91" s="115" cm="1">
        <f t="array" ref="Q91">INDEX(股债表现与四个维度!$A:$T,MATCH($A91,股债表现与四个维度!$A:$A,0),MATCH(Q$3&amp;Q$4,股债表现与四个维度!$2:$2&amp;股债表现与四个维度!$3:$3,0))</f>
        <v>-3.7037037037037035E-2</v>
      </c>
      <c r="R91" s="115" cm="1">
        <f t="array" ref="R91">INDEX(股债表现与四个维度!$A:$T,MATCH($A91,股债表现与四个维度!$A:$A,0),MATCH(R$3&amp;R$4,股债表现与四个维度!$2:$2&amp;股债表现与四个维度!$3:$3,0))</f>
        <v>5.2631578947368418E-2</v>
      </c>
      <c r="S91" s="115" cm="1">
        <f t="array" ref="S91">INDEX(股债表现与四个维度!$A:$T,MATCH($A91,股债表现与四个维度!$A:$A,0),MATCH(S$3&amp;S$4,股债表现与四个维度!$2:$2&amp;股债表现与四个维度!$3:$3,0))</f>
        <v>0.26315789473684209</v>
      </c>
      <c r="T91">
        <f>SUMIFS($J91:$S91,$J91:$S91,"&lt;&gt;"&amp;"#N/A",$J$4:$S$4,T$4)</f>
        <v>0.66659983291562241</v>
      </c>
      <c r="U91">
        <f>SUMIFS($J91:$S91,$J91:$S91,"&lt;&gt;"&amp;"#N/A",$J$4:$S$4,U$4)</f>
        <v>0.60897800055694784</v>
      </c>
      <c r="V91">
        <f t="shared" si="11"/>
        <v>5.7621832358674574E-2</v>
      </c>
      <c r="W91" s="114">
        <f t="shared" si="14"/>
        <v>-9.4811455009351704</v>
      </c>
      <c r="X91" s="114">
        <f t="shared" si="12"/>
        <v>-6.7914701762601402</v>
      </c>
      <c r="Y91">
        <f t="shared" ref="Y91:AA91" si="69">AVERAGE(V91:V96)</f>
        <v>0.15096944239875099</v>
      </c>
      <c r="Z91">
        <f t="shared" si="69"/>
        <v>-1.5253066369877086</v>
      </c>
      <c r="AA91">
        <f t="shared" si="69"/>
        <v>1.0236780345049667</v>
      </c>
    </row>
    <row r="92" spans="1:27" x14ac:dyDescent="0.35">
      <c r="A92" s="106">
        <v>43585</v>
      </c>
      <c r="B92" s="1">
        <v>-1.4403164596743501</v>
      </c>
      <c r="C92" s="1">
        <v>20.249675324675</v>
      </c>
      <c r="D92">
        <v>-0.3</v>
      </c>
      <c r="E92" t="s">
        <v>7</v>
      </c>
      <c r="F92" t="s">
        <v>125</v>
      </c>
      <c r="G92" t="s">
        <v>117</v>
      </c>
      <c r="H92" t="s">
        <v>126</v>
      </c>
      <c r="I92" t="s">
        <v>127</v>
      </c>
      <c r="J92" s="115" cm="1">
        <f t="array" ref="J92">INDEX(股债表现与四个维度!$A:$T,MATCH($A92,股债表现与四个维度!$A:$A,0),MATCH(J$3&amp;J$4,股债表现与四个维度!$2:$2&amp;股债表现与四个维度!$3:$3,0))</f>
        <v>0.33333333333333331</v>
      </c>
      <c r="K92" s="115" cm="1">
        <f t="array" ref="K92">INDEX(股债表现与四个维度!$A:$T,MATCH($A92,股债表现与四个维度!$A:$A,0),MATCH(K$3&amp;K$4,股债表现与四个维度!$2:$2&amp;股债表现与四个维度!$3:$3,0))</f>
        <v>0.25</v>
      </c>
      <c r="L92" s="115" cm="1">
        <f t="array" ref="L92">INDEX(股债表现与四个维度!$A:$T,MATCH($A92,股债表现与四个维度!$A:$A,0),MATCH(L$3&amp;L$4,股债表现与四个维度!$2:$2&amp;股债表现与四个维度!$3:$3,0))</f>
        <v>0.1</v>
      </c>
      <c r="M92" s="115" cm="1">
        <f t="array" ref="M92">INDEX(股债表现与四个维度!$A:$T,MATCH($A92,股债表现与四个维度!$A:$A,0),MATCH(M$3&amp;M$4,股债表现与四个维度!$2:$2&amp;股债表现与四个维度!$3:$3,0))</f>
        <v>0.15</v>
      </c>
      <c r="N92" s="115"/>
      <c r="O92" s="115"/>
      <c r="P92" s="115" cm="1">
        <f t="array" ref="P92">INDEX(股债表现与四个维度!$A:$T,MATCH($A92,股债表现与四个维度!$A:$A,0),MATCH(P$3&amp;P$4,股债表现与四个维度!$2:$2&amp;股债表现与四个维度!$3:$3,0))</f>
        <v>0.4375</v>
      </c>
      <c r="Q92" s="115" cm="1">
        <f t="array" ref="Q92">INDEX(股债表现与四个维度!$A:$T,MATCH($A92,股债表现与四个维度!$A:$A,0),MATCH(Q$3&amp;Q$4,股债表现与四个维度!$2:$2&amp;股债表现与四个维度!$3:$3,0))</f>
        <v>0.1875</v>
      </c>
      <c r="R92" s="115" cm="1">
        <f t="array" ref="R92">INDEX(股债表现与四个维度!$A:$T,MATCH($A92,股债表现与四个维度!$A:$A,0),MATCH(R$3&amp;R$4,股债表现与四个维度!$2:$2&amp;股债表现与四个维度!$3:$3,0))</f>
        <v>0</v>
      </c>
      <c r="S92" s="115" cm="1">
        <f t="array" ref="S92">INDEX(股债表现与四个维度!$A:$T,MATCH($A92,股债表现与四个维度!$A:$A,0),MATCH(S$3&amp;S$4,股债表现与四个维度!$2:$2&amp;股债表现与四个维度!$3:$3,0))</f>
        <v>0.27777777777777779</v>
      </c>
      <c r="T92">
        <f>SUMIFS($J92:$S92,$J92:$S92,"&lt;&gt;"&amp;"#N/A",$J$4:$S$4,T$4)</f>
        <v>0.87083333333333335</v>
      </c>
      <c r="U92">
        <f>SUMIFS($J92:$S92,$J92:$S92,"&lt;&gt;"&amp;"#N/A",$J$4:$S$4,U$4)</f>
        <v>0.86527777777777781</v>
      </c>
      <c r="V92">
        <f t="shared" si="11"/>
        <v>5.5555555555555358E-3</v>
      </c>
      <c r="W92" s="114">
        <f t="shared" si="14"/>
        <v>18.80935886500065</v>
      </c>
      <c r="X92" s="114">
        <f t="shared" si="12"/>
        <v>-1.14031645967435</v>
      </c>
      <c r="Y92">
        <f t="shared" ref="Y92:AA92" si="70">AVERAGE(V92:V97)</f>
        <v>0.22421604521819896</v>
      </c>
      <c r="Z92">
        <f t="shared" si="70"/>
        <v>-2.7017941391565823</v>
      </c>
      <c r="AA92">
        <f t="shared" si="70"/>
        <v>0.55036633801191803</v>
      </c>
    </row>
    <row r="93" spans="1:27" x14ac:dyDescent="0.35">
      <c r="A93" s="106">
        <v>43555</v>
      </c>
      <c r="B93" s="1">
        <v>7.9750437268859997</v>
      </c>
      <c r="C93" s="1">
        <v>1.55151451489699</v>
      </c>
      <c r="D93">
        <v>0.41</v>
      </c>
      <c r="E93" t="s">
        <v>7</v>
      </c>
      <c r="F93" t="s">
        <v>125</v>
      </c>
      <c r="G93" t="s">
        <v>117</v>
      </c>
      <c r="H93" t="s">
        <v>126</v>
      </c>
      <c r="I93" t="s">
        <v>127</v>
      </c>
      <c r="J93" s="115" cm="1">
        <f t="array" ref="J93">INDEX(股债表现与四个维度!$A:$T,MATCH($A93,股债表现与四个维度!$A:$A,0),MATCH(J$3&amp;J$4,股债表现与四个维度!$2:$2&amp;股债表现与四个维度!$3:$3,0))</f>
        <v>0.29166666666666669</v>
      </c>
      <c r="K93" s="115" cm="1">
        <f t="array" ref="K93">INDEX(股债表现与四个维度!$A:$T,MATCH($A93,股债表现与四个维度!$A:$A,0),MATCH(K$3&amp;K$4,股债表现与四个维度!$2:$2&amp;股债表现与四个维度!$3:$3,0))</f>
        <v>0.29166666666666669</v>
      </c>
      <c r="L93" s="115" cm="1">
        <f t="array" ref="L93">INDEX(股债表现与四个维度!$A:$T,MATCH($A93,股债表现与四个维度!$A:$A,0),MATCH(L$3&amp;L$4,股债表现与四个维度!$2:$2&amp;股债表现与四个维度!$3:$3,0))</f>
        <v>5.2631578947368418E-2</v>
      </c>
      <c r="M93" s="115" cm="1">
        <f t="array" ref="M93">INDEX(股债表现与四个维度!$A:$T,MATCH($A93,股债表现与四个维度!$A:$A,0),MATCH(M$3&amp;M$4,股债表现与四个维度!$2:$2&amp;股债表现与四个维度!$3:$3,0))</f>
        <v>0.15789473684210525</v>
      </c>
      <c r="N93" s="115"/>
      <c r="O93" s="115"/>
      <c r="P93" s="115" cm="1">
        <f t="array" ref="P93">INDEX(股债表现与四个维度!$A:$T,MATCH($A93,股债表现与四个维度!$A:$A,0),MATCH(P$3&amp;P$4,股债表现与四个维度!$2:$2&amp;股债表现与四个维度!$3:$3,0))</f>
        <v>0.4</v>
      </c>
      <c r="Q93" s="115" cm="1">
        <f t="array" ref="Q93">INDEX(股债表现与四个维度!$A:$T,MATCH($A93,股债表现与四个维度!$A:$A,0),MATCH(Q$3&amp;Q$4,股债表现与四个维度!$2:$2&amp;股债表现与四个维度!$3:$3,0))</f>
        <v>0.2</v>
      </c>
      <c r="R93" s="115" cm="1">
        <f t="array" ref="R93">INDEX(股债表现与四个维度!$A:$T,MATCH($A93,股债表现与四个维度!$A:$A,0),MATCH(R$3&amp;R$4,股债表现与四个维度!$2:$2&amp;股债表现与四个维度!$3:$3,0))</f>
        <v>-5.8823529411764705E-2</v>
      </c>
      <c r="S93" s="115" cm="1">
        <f t="array" ref="S93">INDEX(股债表现与四个维度!$A:$T,MATCH($A93,股债表现与四个维度!$A:$A,0),MATCH(S$3&amp;S$4,股债表现与四个维度!$2:$2&amp;股债表现与四个维度!$3:$3,0))</f>
        <v>0.29411764705882354</v>
      </c>
      <c r="T93">
        <f>SUMIFS($J93:$S93,$J93:$S93,"&lt;&gt;"&amp;"#N/A",$J$4:$S$4,T$4)</f>
        <v>0.68547471620227041</v>
      </c>
      <c r="U93">
        <f>SUMIFS($J93:$S93,$J93:$S93,"&lt;&gt;"&amp;"#N/A",$J$4:$S$4,U$4)</f>
        <v>0.9436790505675956</v>
      </c>
      <c r="V93">
        <f t="shared" si="11"/>
        <v>-0.25820433436532519</v>
      </c>
      <c r="W93" s="114">
        <f t="shared" si="14"/>
        <v>9.5265582417829897</v>
      </c>
      <c r="X93" s="114">
        <f t="shared" si="12"/>
        <v>7.5650437268859996</v>
      </c>
      <c r="Y93">
        <f t="shared" ref="Y93:AA93" si="71">AVERAGE(V93:V98)</f>
        <v>0.31309164330432337</v>
      </c>
      <c r="Z93">
        <f t="shared" si="71"/>
        <v>-4.4051662974450023</v>
      </c>
      <c r="AA93">
        <f t="shared" si="71"/>
        <v>0.92661225488499843</v>
      </c>
    </row>
    <row r="94" spans="1:27" x14ac:dyDescent="0.35">
      <c r="A94" s="106">
        <v>43524</v>
      </c>
      <c r="B94" s="1">
        <v>10.5296349296919</v>
      </c>
      <c r="C94" s="1">
        <v>-8.8478380027900094</v>
      </c>
      <c r="D94">
        <v>0.37</v>
      </c>
      <c r="E94" t="s">
        <v>7</v>
      </c>
      <c r="F94" t="s">
        <v>125</v>
      </c>
      <c r="G94" t="s">
        <v>113</v>
      </c>
      <c r="H94" t="s">
        <v>126</v>
      </c>
      <c r="I94" t="s">
        <v>127</v>
      </c>
      <c r="J94" s="115" cm="1">
        <f t="array" ref="J94">INDEX(股债表现与四个维度!$A:$T,MATCH($A94,股债表现与四个维度!$A:$A,0),MATCH(J$3&amp;J$4,股债表现与四个维度!$2:$2&amp;股债表现与四个维度!$3:$3,0))</f>
        <v>0.20833333333333334</v>
      </c>
      <c r="K94" s="115" cm="1">
        <f t="array" ref="K94">INDEX(股债表现与四个维度!$A:$T,MATCH($A94,股债表现与四个维度!$A:$A,0),MATCH(K$3&amp;K$4,股债表现与四个维度!$2:$2&amp;股债表现与四个维度!$3:$3,0))</f>
        <v>0.25</v>
      </c>
      <c r="L94" s="115" cm="1">
        <f t="array" ref="L94">INDEX(股债表现与四个维度!$A:$T,MATCH($A94,股债表现与四个维度!$A:$A,0),MATCH(L$3&amp;L$4,股债表现与四个维度!$2:$2&amp;股债表现与四个维度!$3:$3,0))</f>
        <v>0</v>
      </c>
      <c r="M94" s="115" cm="1">
        <f t="array" ref="M94">INDEX(股债表现与四个维度!$A:$T,MATCH($A94,股债表现与四个维度!$A:$A,0),MATCH(M$3&amp;M$4,股债表现与四个维度!$2:$2&amp;股债表现与四个维度!$3:$3,0))</f>
        <v>0.1111111111111111</v>
      </c>
      <c r="N94" s="115"/>
      <c r="O94" s="115"/>
      <c r="P94" s="115" cm="1">
        <f t="array" ref="P94">INDEX(股债表现与四个维度!$A:$T,MATCH($A94,股债表现与四个维度!$A:$A,0),MATCH(P$3&amp;P$4,股债表现与四个维度!$2:$2&amp;股债表现与四个维度!$3:$3,0))</f>
        <v>0.35714285714285715</v>
      </c>
      <c r="Q94" s="115" cm="1">
        <f t="array" ref="Q94">INDEX(股债表现与四个维度!$A:$T,MATCH($A94,股债表现与四个维度!$A:$A,0),MATCH(Q$3&amp;Q$4,股债表现与四个维度!$2:$2&amp;股债表现与四个维度!$3:$3,0))</f>
        <v>0.14285714285714285</v>
      </c>
      <c r="R94" s="115" cm="1">
        <f t="array" ref="R94">INDEX(股债表现与四个维度!$A:$T,MATCH($A94,股债表现与四个维度!$A:$A,0),MATCH(R$3&amp;R$4,股债表现与四个维度!$2:$2&amp;股债表现与四个维度!$3:$3,0))</f>
        <v>-0.125</v>
      </c>
      <c r="S94" s="115" cm="1">
        <f t="array" ref="S94">INDEX(股债表现与四个维度!$A:$T,MATCH($A94,股债表现与四个维度!$A:$A,0),MATCH(S$3&amp;S$4,股债表现与四个维度!$2:$2&amp;股债表现与四个维度!$3:$3,0))</f>
        <v>0.25</v>
      </c>
      <c r="T94">
        <f>SUMIFS($J94:$S94,$J94:$S94,"&lt;&gt;"&amp;"#N/A",$J$4:$S$4,T$4)</f>
        <v>0.44047619047619047</v>
      </c>
      <c r="U94">
        <f>SUMIFS($J94:$S94,$J94:$S94,"&lt;&gt;"&amp;"#N/A",$J$4:$S$4,U$4)</f>
        <v>0.75396825396825395</v>
      </c>
      <c r="V94">
        <f t="shared" si="11"/>
        <v>-0.31349206349206349</v>
      </c>
      <c r="W94" s="114">
        <f t="shared" si="14"/>
        <v>1.6817969269018906</v>
      </c>
      <c r="X94" s="114">
        <f t="shared" si="12"/>
        <v>10.159634929691901</v>
      </c>
      <c r="Y94">
        <f t="shared" ref="Y94:AA94" si="72">AVERAGE(V94:V99)</f>
        <v>0.50916802707420561</v>
      </c>
      <c r="Z94">
        <f t="shared" si="72"/>
        <v>-6.0656128337390198</v>
      </c>
      <c r="AA94">
        <f t="shared" si="72"/>
        <v>-1.413539042760193</v>
      </c>
    </row>
    <row r="95" spans="1:27" x14ac:dyDescent="0.35">
      <c r="A95" s="106">
        <v>43465</v>
      </c>
      <c r="B95" s="1">
        <v>-4.8358215486030298</v>
      </c>
      <c r="C95" s="1">
        <v>-13.349604743083001</v>
      </c>
      <c r="D95">
        <v>0.28000000000000003</v>
      </c>
      <c r="E95" t="s">
        <v>7</v>
      </c>
      <c r="F95" t="s">
        <v>112</v>
      </c>
      <c r="G95" t="s">
        <v>113</v>
      </c>
      <c r="H95" t="s">
        <v>126</v>
      </c>
      <c r="I95" t="s">
        <v>127</v>
      </c>
      <c r="J95" s="115" cm="1">
        <f t="array" ref="J95">INDEX(股债表现与四个维度!$A:$T,MATCH($A95,股债表现与四个维度!$A:$A,0),MATCH(J$3&amp;J$4,股债表现与四个维度!$2:$2&amp;股债表现与四个维度!$3:$3,0))</f>
        <v>0.20833333333333334</v>
      </c>
      <c r="K95" s="115" cm="1">
        <f t="array" ref="K95">INDEX(股债表现与四个维度!$A:$T,MATCH($A95,股债表现与四个维度!$A:$A,0),MATCH(K$3&amp;K$4,股债表现与四个维度!$2:$2&amp;股债表现与四个维度!$3:$3,0))</f>
        <v>8.3333333333333329E-2</v>
      </c>
      <c r="L95" s="115" cm="1">
        <f t="array" ref="L95">INDEX(股债表现与四个维度!$A:$T,MATCH($A95,股债表现与四个维度!$A:$A,0),MATCH(L$3&amp;L$4,股债表现与四个维度!$2:$2&amp;股债表现与四个维度!$3:$3,0))</f>
        <v>0.40909090909090912</v>
      </c>
      <c r="M95" s="115" cm="1">
        <f t="array" ref="M95">INDEX(股债表现与四个维度!$A:$T,MATCH($A95,股债表现与四个维度!$A:$A,0),MATCH(M$3&amp;M$4,股债表现与四个维度!$2:$2&amp;股债表现与四个维度!$3:$3,0))</f>
        <v>0.22727272727272727</v>
      </c>
      <c r="N95" s="115"/>
      <c r="O95" s="115"/>
      <c r="P95" s="115" cm="1">
        <f t="array" ref="P95">INDEX(股债表现与四个维度!$A:$T,MATCH($A95,股债表现与四个维度!$A:$A,0),MATCH(P$3&amp;P$4,股债表现与四个维度!$2:$2&amp;股债表现与四个维度!$3:$3,0))</f>
        <v>0.41666666666666669</v>
      </c>
      <c r="Q95" s="115" cm="1">
        <f t="array" ref="Q95">INDEX(股债表现与四个维度!$A:$T,MATCH($A95,股债表现与四个维度!$A:$A,0),MATCH(Q$3&amp;Q$4,股债表现与四个维度!$2:$2&amp;股债表现与四个维度!$3:$3,0))</f>
        <v>0</v>
      </c>
      <c r="R95" s="115" cm="1">
        <f t="array" ref="R95">INDEX(股债表现与四个维度!$A:$T,MATCH($A95,股债表现与四个维度!$A:$A,0),MATCH(R$3&amp;R$4,股债表现与四个维度!$2:$2&amp;股债表现与四个维度!$3:$3,0))</f>
        <v>-0.14285714285714285</v>
      </c>
      <c r="S95" s="115" cm="1">
        <f t="array" ref="S95">INDEX(股债表现与四个维度!$A:$T,MATCH($A95,股债表现与四个维度!$A:$A,0),MATCH(S$3&amp;S$4,股债表现与四个维度!$2:$2&amp;股债表现与四个维度!$3:$3,0))</f>
        <v>0.14285714285714285</v>
      </c>
      <c r="T95">
        <f>SUMIFS($J95:$S95,$J95:$S95,"&lt;&gt;"&amp;"#N/A",$J$4:$S$4,T$4)</f>
        <v>0.89123376623376638</v>
      </c>
      <c r="U95">
        <f>SUMIFS($J95:$S95,$J95:$S95,"&lt;&gt;"&amp;"#N/A",$J$4:$S$4,U$4)</f>
        <v>0.45346320346320346</v>
      </c>
      <c r="V95">
        <f t="shared" si="11"/>
        <v>0.43777056277056292</v>
      </c>
      <c r="W95" s="114">
        <f t="shared" si="14"/>
        <v>-18.185426291686031</v>
      </c>
      <c r="X95" s="114">
        <f t="shared" si="12"/>
        <v>-5.1158215486030301</v>
      </c>
      <c r="Y95">
        <f t="shared" ref="Y95:AA95" si="73">AVERAGE(V95:V100)</f>
        <v>0.7682716685307881</v>
      </c>
      <c r="Z95">
        <f t="shared" si="73"/>
        <v>-7.9495238451186694</v>
      </c>
      <c r="AA95">
        <f t="shared" si="73"/>
        <v>-3.2447412364230099</v>
      </c>
    </row>
    <row r="96" spans="1:27" x14ac:dyDescent="0.35">
      <c r="A96" s="106">
        <v>43434</v>
      </c>
      <c r="B96" s="1">
        <v>2.12499773498942</v>
      </c>
      <c r="C96" s="1">
        <v>-13.62797979798</v>
      </c>
      <c r="D96">
        <v>0.66</v>
      </c>
      <c r="E96" t="s">
        <v>7</v>
      </c>
      <c r="F96" t="s">
        <v>112</v>
      </c>
      <c r="G96" t="s">
        <v>113</v>
      </c>
      <c r="H96" t="s">
        <v>126</v>
      </c>
      <c r="I96" t="s">
        <v>127</v>
      </c>
      <c r="J96" s="115" cm="1">
        <f t="array" ref="J96">INDEX(股债表现与四个维度!$A:$T,MATCH($A96,股债表现与四个维度!$A:$A,0),MATCH(J$3&amp;J$4,股债表现与四个维度!$2:$2&amp;股债表现与四个维度!$3:$3,0))</f>
        <v>0.20833333333333334</v>
      </c>
      <c r="K96" s="115" cm="1">
        <f t="array" ref="K96">INDEX(股债表现与四个维度!$A:$T,MATCH($A96,股债表现与四个维度!$A:$A,0),MATCH(K$3&amp;K$4,股债表现与四个维度!$2:$2&amp;股债表现与四个维度!$3:$3,0))</f>
        <v>0</v>
      </c>
      <c r="L96" s="115" cm="1">
        <f t="array" ref="L96">INDEX(股债表现与四个维度!$A:$T,MATCH($A96,股债表现与四个维度!$A:$A,0),MATCH(L$3&amp;L$4,股债表现与四个维度!$2:$2&amp;股债表现与四个维度!$3:$3,0))</f>
        <v>0.47619047619047616</v>
      </c>
      <c r="M96" s="115" cm="1">
        <f t="array" ref="M96">INDEX(股债表现与四个维度!$A:$T,MATCH($A96,股债表现与四个维度!$A:$A,0),MATCH(M$3&amp;M$4,股债表现与四个维度!$2:$2&amp;股债表现与四个维度!$3:$3,0))</f>
        <v>0.19047619047619047</v>
      </c>
      <c r="N96" s="115"/>
      <c r="O96" s="115"/>
      <c r="P96" s="115" cm="1">
        <f t="array" ref="P96">INDEX(股债表现与四个维度!$A:$T,MATCH($A96,股债表现与四个维度!$A:$A,0),MATCH(P$3&amp;P$4,股债表现与四个维度!$2:$2&amp;股债表现与四个维度!$3:$3,0))</f>
        <v>0.54545454545454541</v>
      </c>
      <c r="Q96" s="115" cm="1">
        <f t="array" ref="Q96">INDEX(股债表现与四个维度!$A:$T,MATCH($A96,股债表现与四个维度!$A:$A,0),MATCH(Q$3&amp;Q$4,股债表现与四个维度!$2:$2&amp;股债表现与四个维度!$3:$3,0))</f>
        <v>-9.0909090909090912E-2</v>
      </c>
      <c r="R96" s="115" cm="1">
        <f t="array" ref="R96">INDEX(股债表现与四个维度!$A:$T,MATCH($A96,股债表现与四个维度!$A:$A,0),MATCH(R$3&amp;R$4,股债表现与四个维度!$2:$2&amp;股债表现与四个维度!$3:$3,0))</f>
        <v>-7.6923076923076927E-2</v>
      </c>
      <c r="S96" s="115" cm="1">
        <f t="array" ref="S96">INDEX(股债表现与四个维度!$A:$T,MATCH($A96,股债表现与四个维度!$A:$A,0),MATCH(S$3&amp;S$4,股债表现与四个维度!$2:$2&amp;股债表现与四个维度!$3:$3,0))</f>
        <v>7.6923076923076927E-2</v>
      </c>
      <c r="T96">
        <f>SUMIFS($J96:$S96,$J96:$S96,"&lt;&gt;"&amp;"#N/A",$J$4:$S$4,T$4)</f>
        <v>1.1530552780552781</v>
      </c>
      <c r="U96">
        <f>SUMIFS($J96:$S96,$J96:$S96,"&lt;&gt;"&amp;"#N/A",$J$4:$S$4,U$4)</f>
        <v>0.17649017649017648</v>
      </c>
      <c r="V96">
        <f t="shared" si="11"/>
        <v>0.97656510156510157</v>
      </c>
      <c r="W96" s="114">
        <f t="shared" si="14"/>
        <v>-11.502982062990579</v>
      </c>
      <c r="X96" s="114">
        <f t="shared" si="12"/>
        <v>1.4649977349894199</v>
      </c>
      <c r="Y96">
        <f t="shared" ref="Y96:AA96" si="74">AVERAGE(V96:V101)</f>
        <v>0.75929800330712283</v>
      </c>
      <c r="Z96">
        <f t="shared" si="74"/>
        <v>-7.2405978884713962</v>
      </c>
      <c r="AA96">
        <f t="shared" si="74"/>
        <v>-3.8314312218047384</v>
      </c>
    </row>
    <row r="97" spans="1:27" x14ac:dyDescent="0.35">
      <c r="A97" s="106">
        <v>43404</v>
      </c>
      <c r="B97" s="1">
        <v>-9.1413403552184302</v>
      </c>
      <c r="C97" s="1">
        <v>-7.3987301587299799</v>
      </c>
      <c r="D97">
        <v>0.49</v>
      </c>
      <c r="E97" t="s">
        <v>7</v>
      </c>
      <c r="F97" t="s">
        <v>112</v>
      </c>
      <c r="G97" t="s">
        <v>113</v>
      </c>
      <c r="H97" t="s">
        <v>126</v>
      </c>
      <c r="I97" t="s">
        <v>127</v>
      </c>
      <c r="J97" s="115" cm="1">
        <f t="array" ref="J97">INDEX(股债表现与四个维度!$A:$T,MATCH($A97,股债表现与四个维度!$A:$A,0),MATCH(J$3&amp;J$4,股债表现与四个维度!$2:$2&amp;股债表现与四个维度!$3:$3,0))</f>
        <v>0.17391304347826086</v>
      </c>
      <c r="K97" s="115" cm="1">
        <f t="array" ref="K97">INDEX(股债表现与四个维度!$A:$T,MATCH($A97,股债表现与四个维度!$A:$A,0),MATCH(K$3&amp;K$4,股债表现与四个维度!$2:$2&amp;股债表现与四个维度!$3:$3,0))</f>
        <v>4.3478260869565216E-2</v>
      </c>
      <c r="L97" s="115" cm="1">
        <f t="array" ref="L97">INDEX(股债表现与四个维度!$A:$T,MATCH($A97,股债表现与四个维度!$A:$A,0),MATCH(L$3&amp;L$4,股债表现与四个维度!$2:$2&amp;股债表现与四个维度!$3:$3,0))</f>
        <v>0.45</v>
      </c>
      <c r="M97" s="115" cm="1">
        <f t="array" ref="M97">INDEX(股债表现与四个维度!$A:$T,MATCH($A97,股债表现与四个维度!$A:$A,0),MATCH(M$3&amp;M$4,股债表现与四个维度!$2:$2&amp;股债表现与四个维度!$3:$3,0))</f>
        <v>0.25</v>
      </c>
      <c r="N97" s="115"/>
      <c r="O97" s="115"/>
      <c r="P97" s="115" cm="1">
        <f t="array" ref="P97">INDEX(股债表现与四个维度!$A:$T,MATCH($A97,股债表现与四个维度!$A:$A,0),MATCH(P$3&amp;P$4,股债表现与四个维度!$2:$2&amp;股债表现与四个维度!$3:$3,0))</f>
        <v>0.5</v>
      </c>
      <c r="Q97" s="115" cm="1">
        <f t="array" ref="Q97">INDEX(股债表现与四个维度!$A:$T,MATCH($A97,股债表现与四个维度!$A:$A,0),MATCH(Q$3&amp;Q$4,股债表现与四个维度!$2:$2&amp;股债表现与四个维度!$3:$3,0))</f>
        <v>0</v>
      </c>
      <c r="R97" s="115" cm="1">
        <f t="array" ref="R97">INDEX(股债表现与四个维度!$A:$T,MATCH($A97,股债表现与四个维度!$A:$A,0),MATCH(R$3&amp;R$4,股债表现与四个维度!$2:$2&amp;股债表现与四个维度!$3:$3,0))</f>
        <v>-0.16666666666666666</v>
      </c>
      <c r="S97" s="115" cm="1">
        <f t="array" ref="S97">INDEX(股债表现与四个维度!$A:$T,MATCH($A97,股债表现与四个维度!$A:$A,0),MATCH(S$3&amp;S$4,股债表现与四个维度!$2:$2&amp;股债表现与四个维度!$3:$3,0))</f>
        <v>0.16666666666666666</v>
      </c>
      <c r="T97">
        <f>SUMIFS($J97:$S97,$J97:$S97,"&lt;&gt;"&amp;"#N/A",$J$4:$S$4,T$4)</f>
        <v>0.9572463768115943</v>
      </c>
      <c r="U97">
        <f>SUMIFS($J97:$S97,$J97:$S97,"&lt;&gt;"&amp;"#N/A",$J$4:$S$4,U$4)</f>
        <v>0.46014492753623182</v>
      </c>
      <c r="V97">
        <f t="shared" si="11"/>
        <v>0.49710144927536248</v>
      </c>
      <c r="W97" s="114">
        <f t="shared" si="14"/>
        <v>-16.540070513948411</v>
      </c>
      <c r="X97" s="114">
        <f t="shared" si="12"/>
        <v>-9.6313403552184305</v>
      </c>
      <c r="Y97">
        <f t="shared" ref="Y97:AA97" si="75">AVERAGE(V97:V102)</f>
        <v>0.80047488198400174</v>
      </c>
      <c r="Z97">
        <f t="shared" si="75"/>
        <v>-5.0860696958057217</v>
      </c>
      <c r="AA97">
        <f t="shared" si="75"/>
        <v>-4.0887178439538925</v>
      </c>
    </row>
    <row r="98" spans="1:27" x14ac:dyDescent="0.35">
      <c r="A98" s="106">
        <v>43373</v>
      </c>
      <c r="B98" s="1">
        <v>1.3471590415641299</v>
      </c>
      <c r="C98" s="1">
        <v>7.2419668737059997</v>
      </c>
      <c r="D98">
        <v>0.23</v>
      </c>
      <c r="E98" t="s">
        <v>7</v>
      </c>
      <c r="F98" t="s">
        <v>112</v>
      </c>
      <c r="G98" t="s">
        <v>113</v>
      </c>
      <c r="H98" t="s">
        <v>126</v>
      </c>
      <c r="I98" t="s">
        <v>127</v>
      </c>
      <c r="J98" s="115" cm="1">
        <f t="array" ref="J98">INDEX(股债表现与四个维度!$A:$T,MATCH($A98,股债表现与四个维度!$A:$A,0),MATCH(J$3&amp;J$4,股债表现与四个维度!$2:$2&amp;股债表现与四个维度!$3:$3,0))</f>
        <v>0.22727272727272727</v>
      </c>
      <c r="K98" s="115" cm="1">
        <f t="array" ref="K98">INDEX(股债表现与四个维度!$A:$T,MATCH($A98,股债表现与四个维度!$A:$A,0),MATCH(K$3&amp;K$4,股债表现与四个维度!$2:$2&amp;股债表现与四个维度!$3:$3,0))</f>
        <v>9.0909090909090912E-2</v>
      </c>
      <c r="L98" s="115" cm="1">
        <f t="array" ref="L98">INDEX(股债表现与四个维度!$A:$T,MATCH($A98,股债表现与四个维度!$A:$A,0),MATCH(L$3&amp;L$4,股债表现与四个维度!$2:$2&amp;股债表现与四个维度!$3:$3,0))</f>
        <v>0.52631578947368418</v>
      </c>
      <c r="M98" s="115" cm="1">
        <f t="array" ref="M98">INDEX(股债表现与四个维度!$A:$T,MATCH($A98,股债表现与四个维度!$A:$A,0),MATCH(M$3&amp;M$4,股债表现与四个维度!$2:$2&amp;股债表现与四个维度!$3:$3,0))</f>
        <v>0.31578947368421051</v>
      </c>
      <c r="N98" s="115"/>
      <c r="O98" s="115"/>
      <c r="P98" s="115" cm="1">
        <f t="array" ref="P98">INDEX(股债表现与四个维度!$A:$T,MATCH($A98,股债表现与四个维度!$A:$A,0),MATCH(P$3&amp;P$4,股债表现与四个维度!$2:$2&amp;股债表现与四个维度!$3:$3,0))</f>
        <v>0.66666666666666663</v>
      </c>
      <c r="Q98" s="115" cm="1">
        <f t="array" ref="Q98">INDEX(股债表现与四个维度!$A:$T,MATCH($A98,股债表现与四个维度!$A:$A,0),MATCH(Q$3&amp;Q$4,股债表现与四个维度!$2:$2&amp;股债表现与四个维度!$3:$3,0))</f>
        <v>0.1111111111111111</v>
      </c>
      <c r="R98" s="115" cm="1">
        <f t="array" ref="R98">INDEX(股债表现与四个维度!$A:$T,MATCH($A98,股债表现与四个维度!$A:$A,0),MATCH(R$3&amp;R$4,股债表现与四个维度!$2:$2&amp;股债表现与四个维度!$3:$3,0))</f>
        <v>-9.0909090909090912E-2</v>
      </c>
      <c r="S98" s="115" cm="1">
        <f t="array" ref="S98">INDEX(股债表现与四个维度!$A:$T,MATCH($A98,股债表现与四个维度!$A:$A,0),MATCH(S$3&amp;S$4,股债表现与四个维度!$2:$2&amp;股债表现与四个维度!$3:$3,0))</f>
        <v>0.27272727272727271</v>
      </c>
      <c r="T98">
        <f>SUMIFS($J98:$S98,$J98:$S98,"&lt;&gt;"&amp;"#N/A",$J$4:$S$4,T$4)</f>
        <v>1.3293460925039873</v>
      </c>
      <c r="U98">
        <f>SUMIFS($J98:$S98,$J98:$S98,"&lt;&gt;"&amp;"#N/A",$J$4:$S$4,U$4)</f>
        <v>0.79053694843168532</v>
      </c>
      <c r="V98">
        <f t="shared" si="11"/>
        <v>0.53880914407230196</v>
      </c>
      <c r="W98" s="114">
        <f t="shared" si="14"/>
        <v>8.5891259152701291</v>
      </c>
      <c r="X98" s="114">
        <f t="shared" si="12"/>
        <v>1.1171590415641299</v>
      </c>
      <c r="Y98">
        <f t="shared" ref="Y98:AA98" si="76">AVERAGE(V98:V103)</f>
        <v>0.9704024182158858</v>
      </c>
      <c r="Z98">
        <f t="shared" si="76"/>
        <v>-5.3541228135804433</v>
      </c>
      <c r="AA98">
        <f t="shared" si="76"/>
        <v>-3.2119835639412782</v>
      </c>
    </row>
    <row r="99" spans="1:27" x14ac:dyDescent="0.35">
      <c r="A99" s="106">
        <v>43343</v>
      </c>
      <c r="B99" s="1">
        <v>-6.3558640589851496</v>
      </c>
      <c r="C99" s="1">
        <v>5.9197430830040298</v>
      </c>
      <c r="D99">
        <v>0.12</v>
      </c>
      <c r="E99" t="s">
        <v>7</v>
      </c>
      <c r="F99" t="s">
        <v>112</v>
      </c>
      <c r="G99" t="s">
        <v>113</v>
      </c>
      <c r="H99" t="s">
        <v>126</v>
      </c>
      <c r="I99" t="s">
        <v>127</v>
      </c>
      <c r="J99" s="115" cm="1">
        <f t="array" ref="J99">INDEX(股债表现与四个维度!$A:$T,MATCH($A99,股债表现与四个维度!$A:$A,0),MATCH(J$3&amp;J$4,股债表现与四个维度!$2:$2&amp;股债表现与四个维度!$3:$3,0))</f>
        <v>0.23809523809523808</v>
      </c>
      <c r="K99" s="115" cm="1">
        <f t="array" ref="K99">INDEX(股债表现与四个维度!$A:$T,MATCH($A99,股债表现与四个维度!$A:$A,0),MATCH(K$3&amp;K$4,股债表现与四个维度!$2:$2&amp;股债表现与四个维度!$3:$3,0))</f>
        <v>4.7619047619047616E-2</v>
      </c>
      <c r="L99" s="115" cm="1">
        <f t="array" ref="L99">INDEX(股债表现与四个维度!$A:$T,MATCH($A99,股债表现与四个维度!$A:$A,0),MATCH(L$3&amp;L$4,股债表现与四个维度!$2:$2&amp;股债表现与四个维度!$3:$3,0))</f>
        <v>0.55555555555555558</v>
      </c>
      <c r="M99" s="115" cm="1">
        <f t="array" ref="M99">INDEX(股债表现与四个维度!$A:$T,MATCH($A99,股债表现与四个维度!$A:$A,0),MATCH(M$3&amp;M$4,股债表现与四个维度!$2:$2&amp;股债表现与四个维度!$3:$3,0))</f>
        <v>0.27777777777777779</v>
      </c>
      <c r="N99" s="115"/>
      <c r="O99" s="115"/>
      <c r="P99" s="115" cm="1">
        <f t="array" ref="P99">INDEX(股债表现与四个维度!$A:$T,MATCH($A99,股债表现与四个维度!$A:$A,0),MATCH(P$3&amp;P$4,股债表现与四个维度!$2:$2&amp;股债表现与四个维度!$3:$3,0))</f>
        <v>0.75</v>
      </c>
      <c r="Q99" s="115" cm="1">
        <f t="array" ref="Q99">INDEX(股债表现与四个维度!$A:$T,MATCH($A99,股债表现与四个维度!$A:$A,0),MATCH(Q$3&amp;Q$4,股债表现与四个维度!$2:$2&amp;股债表现与四个维度!$3:$3,0))</f>
        <v>0</v>
      </c>
      <c r="R99" s="115" cm="1">
        <f t="array" ref="R99">INDEX(股债表现与四个维度!$A:$T,MATCH($A99,股债表现与四个维度!$A:$A,0),MATCH(R$3&amp;R$4,股债表现与四个维度!$2:$2&amp;股债表现与四个维度!$3:$3,0))</f>
        <v>-0.1</v>
      </c>
      <c r="S99" s="115" cm="1">
        <f t="array" ref="S99">INDEX(股债表现与四个维度!$A:$T,MATCH($A99,股债表现与四个维度!$A:$A,0),MATCH(S$3&amp;S$4,股债表现与四个维度!$2:$2&amp;股债表现与四个维度!$3:$3,0))</f>
        <v>0.2</v>
      </c>
      <c r="T99">
        <f>SUMIFS($J99:$S99,$J99:$S99,"&lt;&gt;"&amp;"#N/A",$J$4:$S$4,T$4)</f>
        <v>1.4436507936507936</v>
      </c>
      <c r="U99">
        <f>SUMIFS($J99:$S99,$J99:$S99,"&lt;&gt;"&amp;"#N/A",$J$4:$S$4,U$4)</f>
        <v>0.52539682539682542</v>
      </c>
      <c r="V99">
        <f t="shared" si="11"/>
        <v>0.91825396825396821</v>
      </c>
      <c r="W99" s="114">
        <f t="shared" si="14"/>
        <v>-0.43612097598111976</v>
      </c>
      <c r="X99" s="114">
        <f t="shared" si="12"/>
        <v>-6.4758640589851497</v>
      </c>
      <c r="Y99">
        <f t="shared" ref="Y99:AA99" si="77">AVERAGE(V99:V104)</f>
        <v>1.2552056372868394</v>
      </c>
      <c r="Z99">
        <f t="shared" si="77"/>
        <v>-8.6658068675433437</v>
      </c>
      <c r="AA99">
        <f t="shared" si="77"/>
        <v>-3.5014035311099287</v>
      </c>
    </row>
    <row r="100" spans="1:27" x14ac:dyDescent="0.35">
      <c r="A100" s="106">
        <v>43312</v>
      </c>
      <c r="B100" s="1">
        <v>0.30242176771500001</v>
      </c>
      <c r="C100" s="1">
        <v>-9.9240909090910101</v>
      </c>
      <c r="D100">
        <v>1.1299999999999999</v>
      </c>
      <c r="E100" t="s">
        <v>7</v>
      </c>
      <c r="F100" t="s">
        <v>112</v>
      </c>
      <c r="G100" t="s">
        <v>113</v>
      </c>
      <c r="H100" t="s">
        <v>126</v>
      </c>
      <c r="I100" t="s">
        <v>127</v>
      </c>
      <c r="J100" s="115" cm="1">
        <f t="array" ref="J100">INDEX(股债表现与四个维度!$A:$T,MATCH($A100,股债表现与四个维度!$A:$A,0),MATCH(J$3&amp;J$4,股债表现与四个维度!$2:$2&amp;股债表现与四个维度!$3:$3,0))</f>
        <v>0.23809523809523808</v>
      </c>
      <c r="K100" s="115" cm="1">
        <f t="array" ref="K100">INDEX(股债表现与四个维度!$A:$T,MATCH($A100,股债表现与四个维度!$A:$A,0),MATCH(K$3&amp;K$4,股债表现与四个维度!$2:$2&amp;股债表现与四个维度!$3:$3,0))</f>
        <v>4.7619047619047616E-2</v>
      </c>
      <c r="L100" s="115" cm="1">
        <f t="array" ref="L100">INDEX(股债表现与四个维度!$A:$T,MATCH($A100,股债表现与四个维度!$A:$A,0),MATCH(L$3&amp;L$4,股债表现与四个维度!$2:$2&amp;股债表现与四个维度!$3:$3,0))</f>
        <v>0.6470588235294118</v>
      </c>
      <c r="M100" s="115" cm="1">
        <f t="array" ref="M100">INDEX(股债表现与四个维度!$A:$T,MATCH($A100,股债表现与四个维度!$A:$A,0),MATCH(M$3&amp;M$4,股债表现与四个维度!$2:$2&amp;股债表现与四个维度!$3:$3,0))</f>
        <v>0.23529411764705882</v>
      </c>
      <c r="N100" s="115"/>
      <c r="O100" s="115"/>
      <c r="P100" s="115" cm="1">
        <f t="array" ref="P100">INDEX(股债表现与四个维度!$A:$T,MATCH($A100,股债表现与四个维度!$A:$A,0),MATCH(P$3&amp;P$4,股债表现与四个维度!$2:$2&amp;股债表现与四个维度!$3:$3,0))</f>
        <v>0.75</v>
      </c>
      <c r="Q100" s="115" cm="1">
        <f t="array" ref="Q100">INDEX(股债表现与四个维度!$A:$T,MATCH($A100,股债表现与四个维度!$A:$A,0),MATCH(Q$3&amp;Q$4,股债表现与四个维度!$2:$2&amp;股债表现与四个维度!$3:$3,0))</f>
        <v>0</v>
      </c>
      <c r="R100" s="115" cm="1">
        <f t="array" ref="R100">INDEX(股债表现与四个维度!$A:$T,MATCH($A100,股债表现与四个维度!$A:$A,0),MATCH(R$3&amp;R$4,股债表现与四个维度!$2:$2&amp;股债表现与四个维度!$3:$3,0))</f>
        <v>0</v>
      </c>
      <c r="S100" s="115" cm="1">
        <f t="array" ref="S100">INDEX(股债表现与四个维度!$A:$T,MATCH($A100,股债表现与四个维度!$A:$A,0),MATCH(S$3&amp;S$4,股债表现与四个维度!$2:$2&amp;股债表现与四个维度!$3:$3,0))</f>
        <v>0.1111111111111111</v>
      </c>
      <c r="T100">
        <f>SUMIFS($J100:$S100,$J100:$S100,"&lt;&gt;"&amp;"#N/A",$J$4:$S$4,T$4)</f>
        <v>1.6351540616246498</v>
      </c>
      <c r="U100">
        <f>SUMIFS($J100:$S100,$J100:$S100,"&lt;&gt;"&amp;"#N/A",$J$4:$S$4,U$4)</f>
        <v>0.39402427637721754</v>
      </c>
      <c r="V100">
        <f t="shared" ref="V100:V138" si="78">T100-U100</f>
        <v>1.2411297852474323</v>
      </c>
      <c r="W100" s="114">
        <f t="shared" ref="W100:W163" si="79">B100+C100</f>
        <v>-9.6216691413760103</v>
      </c>
      <c r="X100" s="114">
        <f t="shared" ref="X100:X163" si="80">B100-D100</f>
        <v>-0.82757823228499983</v>
      </c>
      <c r="Y100">
        <f t="shared" ref="Y100:AA100" si="81">AVERAGE(V100:V105)</f>
        <v>1.3657996728808748</v>
      </c>
      <c r="Z100">
        <f t="shared" si="81"/>
        <v>-8.7705343806941691</v>
      </c>
      <c r="AA100">
        <f t="shared" si="81"/>
        <v>-2.743955242121709</v>
      </c>
    </row>
    <row r="101" spans="1:27" x14ac:dyDescent="0.35">
      <c r="A101" s="106">
        <v>43281</v>
      </c>
      <c r="B101" s="1">
        <v>-8.3259614608933994</v>
      </c>
      <c r="C101" s="1">
        <v>-5.6059090909089901</v>
      </c>
      <c r="D101">
        <v>0.31</v>
      </c>
      <c r="E101" t="s">
        <v>10</v>
      </c>
      <c r="F101" t="s">
        <v>112</v>
      </c>
      <c r="G101" t="s">
        <v>113</v>
      </c>
      <c r="H101" t="s">
        <v>114</v>
      </c>
      <c r="I101" t="s">
        <v>127</v>
      </c>
      <c r="J101" s="115" cm="1">
        <f t="array" ref="J101">INDEX(股债表现与四个维度!$A:$T,MATCH($A101,股债表现与四个维度!$A:$A,0),MATCH(J$3&amp;J$4,股债表现与四个维度!$2:$2&amp;股债表现与四个维度!$3:$3,0))</f>
        <v>0.1111111111111111</v>
      </c>
      <c r="K101" s="115" cm="1">
        <f t="array" ref="K101">INDEX(股债表现与四个维度!$A:$T,MATCH($A101,股债表现与四个维度!$A:$A,0),MATCH(K$3&amp;K$4,股债表现与四个维度!$2:$2&amp;股债表现与四个维度!$3:$3,0))</f>
        <v>0.1111111111111111</v>
      </c>
      <c r="L101" s="115" cm="1">
        <f t="array" ref="L101">INDEX(股债表现与四个维度!$A:$T,MATCH($A101,股债表现与四个维度!$A:$A,0),MATCH(L$3&amp;L$4,股债表现与四个维度!$2:$2&amp;股债表现与四个维度!$3:$3,0))</f>
        <v>0.6875</v>
      </c>
      <c r="M101" s="115" cm="1">
        <f t="array" ref="M101">INDEX(股债表现与四个维度!$A:$T,MATCH($A101,股债表现与四个维度!$A:$A,0),MATCH(M$3&amp;M$4,股债表现与四个维度!$2:$2&amp;股债表现与四个维度!$3:$3,0))</f>
        <v>0.25</v>
      </c>
      <c r="N101" s="115"/>
      <c r="O101" s="115"/>
      <c r="P101" s="115" cm="1">
        <f t="array" ref="P101">INDEX(股债表现与四个维度!$A:$T,MATCH($A101,股债表现与四个维度!$A:$A,0),MATCH(P$3&amp;P$4,股债表现与四个维度!$2:$2&amp;股债表现与四个维度!$3:$3,0))</f>
        <v>0.35714285714285715</v>
      </c>
      <c r="Q101" s="115" cm="1">
        <f t="array" ref="Q101">INDEX(股债表现与四个维度!$A:$T,MATCH($A101,股债表现与四个维度!$A:$A,0),MATCH(Q$3&amp;Q$4,股债表现与四个维度!$2:$2&amp;股债表现与四个维度!$3:$3,0))</f>
        <v>0.2857142857142857</v>
      </c>
      <c r="R101" s="115" cm="1">
        <f t="array" ref="R101">INDEX(股债表现与四个维度!$A:$T,MATCH($A101,股债表现与四个维度!$A:$A,0),MATCH(R$3&amp;R$4,股债表现与四个维度!$2:$2&amp;股债表现与四个维度!$3:$3,0))</f>
        <v>0</v>
      </c>
      <c r="S101" s="115" cm="1">
        <f t="array" ref="S101">INDEX(股债表现与四个维度!$A:$T,MATCH($A101,股债表现与四个维度!$A:$A,0),MATCH(S$3&amp;S$4,股债表现与四个维度!$2:$2&amp;股债表现与四个维度!$3:$3,0))</f>
        <v>0.125</v>
      </c>
      <c r="T101">
        <f>SUMIFS($J101:$S101,$J101:$S101,"&lt;&gt;"&amp;"#N/A",$J$4:$S$4,T$4)</f>
        <v>1.1557539682539684</v>
      </c>
      <c r="U101">
        <f>SUMIFS($J101:$S101,$J101:$S101,"&lt;&gt;"&amp;"#N/A",$J$4:$S$4,U$4)</f>
        <v>0.77182539682539675</v>
      </c>
      <c r="V101">
        <f t="shared" si="78"/>
        <v>0.38392857142857162</v>
      </c>
      <c r="W101" s="114">
        <f t="shared" si="79"/>
        <v>-13.93187055180239</v>
      </c>
      <c r="X101" s="114">
        <f t="shared" si="80"/>
        <v>-8.6359614608933999</v>
      </c>
      <c r="Y101">
        <f t="shared" ref="Y101:AA101" si="82">AVERAGE(V101:V106)</f>
        <v>1.6668150790433398</v>
      </c>
      <c r="Z101">
        <f t="shared" si="82"/>
        <v>-7.6286185983098278</v>
      </c>
      <c r="AA101">
        <f t="shared" si="82"/>
        <v>-2.6892463108573677</v>
      </c>
    </row>
    <row r="102" spans="1:27" x14ac:dyDescent="0.35">
      <c r="A102" s="106">
        <v>43251</v>
      </c>
      <c r="B102" s="1">
        <v>-5.8721997905508701E-2</v>
      </c>
      <c r="C102" s="1">
        <v>1.4829090909089799</v>
      </c>
      <c r="D102">
        <v>0.02</v>
      </c>
      <c r="E102" t="s">
        <v>10</v>
      </c>
      <c r="F102" t="s">
        <v>112</v>
      </c>
      <c r="G102" t="s">
        <v>113</v>
      </c>
      <c r="H102" t="s">
        <v>114</v>
      </c>
      <c r="I102" t="s">
        <v>127</v>
      </c>
      <c r="J102" s="115" cm="1">
        <f t="array" ref="J102">INDEX(股债表现与四个维度!$A:$T,MATCH($A102,股债表现与四个维度!$A:$A,0),MATCH(J$3&amp;J$4,股债表现与四个维度!$2:$2&amp;股债表现与四个维度!$3:$3,0))</f>
        <v>0.25</v>
      </c>
      <c r="K102" s="115" cm="1">
        <f t="array" ref="K102">INDEX(股债表现与四个维度!$A:$T,MATCH($A102,股债表现与四个维度!$A:$A,0),MATCH(K$3&amp;K$4,股债表现与四个维度!$2:$2&amp;股债表现与四个维度!$3:$3,0))</f>
        <v>0</v>
      </c>
      <c r="L102" s="115" cm="1">
        <f t="array" ref="L102">INDEX(股债表现与四个维度!$A:$T,MATCH($A102,股债表现与四个维度!$A:$A,0),MATCH(L$3&amp;L$4,股债表现与四个维度!$2:$2&amp;股债表现与四个维度!$3:$3,0))</f>
        <v>0.8</v>
      </c>
      <c r="M102" s="115" cm="1">
        <f t="array" ref="M102">INDEX(股债表现与四个维度!$A:$T,MATCH($A102,股债表现与四个维度!$A:$A,0),MATCH(M$3&amp;M$4,股债表现与四个维度!$2:$2&amp;股债表现与四个维度!$3:$3,0))</f>
        <v>0.2</v>
      </c>
      <c r="N102" s="115"/>
      <c r="O102" s="115"/>
      <c r="P102" s="115" cm="1">
        <f t="array" ref="P102">INDEX(股债表现与四个维度!$A:$T,MATCH($A102,股债表现与四个维度!$A:$A,0),MATCH(P$3&amp;P$4,股债表现与四个维度!$2:$2&amp;股债表现与四个维度!$3:$3,0))</f>
        <v>0.46153846153846156</v>
      </c>
      <c r="Q102" s="115" cm="1">
        <f t="array" ref="Q102">INDEX(股债表现与四个维度!$A:$T,MATCH($A102,股债表现与四个维度!$A:$A,0),MATCH(Q$3&amp;Q$4,股债表现与四个维度!$2:$2&amp;股债表现与四个维度!$3:$3,0))</f>
        <v>0.23076923076923078</v>
      </c>
      <c r="R102" s="115" cm="1">
        <f t="array" ref="R102">INDEX(股债表现与四个维度!$A:$T,MATCH($A102,股债表现与四个维度!$A:$A,0),MATCH(R$3&amp;R$4,股债表现与四个维度!$2:$2&amp;股债表现与四个维度!$3:$3,0))</f>
        <v>0.14285714285714285</v>
      </c>
      <c r="S102" s="115" cm="1">
        <f t="array" ref="S102">INDEX(股债表现与四个维度!$A:$T,MATCH($A102,股债表现与四个维度!$A:$A,0),MATCH(S$3&amp;S$4,股债表现与四个维度!$2:$2&amp;股债表现与四个维度!$3:$3,0))</f>
        <v>0</v>
      </c>
      <c r="T102">
        <f>SUMIFS($J102:$S102,$J102:$S102,"&lt;&gt;"&amp;"#N/A",$J$4:$S$4,T$4)</f>
        <v>1.6543956043956043</v>
      </c>
      <c r="U102">
        <f>SUMIFS($J102:$S102,$J102:$S102,"&lt;&gt;"&amp;"#N/A",$J$4:$S$4,U$4)</f>
        <v>0.43076923076923079</v>
      </c>
      <c r="V102">
        <f t="shared" si="78"/>
        <v>1.2236263736263735</v>
      </c>
      <c r="W102" s="114">
        <f t="shared" si="79"/>
        <v>1.4241870930034712</v>
      </c>
      <c r="X102" s="114">
        <f t="shared" si="80"/>
        <v>-7.8721997905508698E-2</v>
      </c>
      <c r="Y102">
        <f t="shared" ref="Y102:AA102" si="83">AVERAGE(V102:V107)</f>
        <v>1.9461853797952198</v>
      </c>
      <c r="Z102">
        <f t="shared" si="83"/>
        <v>-2.7700009168434998</v>
      </c>
      <c r="AA102">
        <f t="shared" si="83"/>
        <v>-1.6684985046137044</v>
      </c>
    </row>
    <row r="103" spans="1:27" x14ac:dyDescent="0.35">
      <c r="A103" s="106">
        <v>43220</v>
      </c>
      <c r="B103" s="1">
        <v>-3.7209346751427401</v>
      </c>
      <c r="C103" s="1">
        <v>-14.427454545453999</v>
      </c>
      <c r="D103">
        <v>0.65</v>
      </c>
      <c r="E103" t="s">
        <v>10</v>
      </c>
      <c r="F103" t="s">
        <v>112</v>
      </c>
      <c r="G103" t="s">
        <v>113</v>
      </c>
      <c r="H103" t="s">
        <v>114</v>
      </c>
      <c r="I103" t="s">
        <v>127</v>
      </c>
      <c r="J103" s="115" cm="1">
        <f t="array" ref="J103">INDEX(股债表现与四个维度!$A:$T,MATCH($A103,股债表现与四个维度!$A:$A,0),MATCH(J$3&amp;J$4,股债表现与四个维度!$2:$2&amp;股债表现与四个维度!$3:$3,0))</f>
        <v>0.25</v>
      </c>
      <c r="K103" s="115" cm="1">
        <f t="array" ref="K103">INDEX(股债表现与四个维度!$A:$T,MATCH($A103,股债表现与四个维度!$A:$A,0),MATCH(K$3&amp;K$4,股债表现与四个维度!$2:$2&amp;股债表现与四个维度!$3:$3,0))</f>
        <v>0</v>
      </c>
      <c r="L103" s="115" cm="1">
        <f t="array" ref="L103">INDEX(股债表现与四个维度!$A:$T,MATCH($A103,股债表现与四个维度!$A:$A,0),MATCH(L$3&amp;L$4,股债表现与四个维度!$2:$2&amp;股债表现与四个维度!$3:$3,0))</f>
        <v>0.8</v>
      </c>
      <c r="M103" s="115" cm="1">
        <f t="array" ref="M103">INDEX(股债表现与四个维度!$A:$T,MATCH($A103,股债表现与四个维度!$A:$A,0),MATCH(M$3&amp;M$4,股债表现与四个维度!$2:$2&amp;股债表现与四个维度!$3:$3,0))</f>
        <v>0.2</v>
      </c>
      <c r="N103" s="115"/>
      <c r="O103" s="115"/>
      <c r="P103" s="115" cm="1">
        <f t="array" ref="P103">INDEX(股债表现与四个维度!$A:$T,MATCH($A103,股债表现与四个维度!$A:$A,0),MATCH(P$3&amp;P$4,股债表现与四个维度!$2:$2&amp;股债表现与四个维度!$3:$3,0))</f>
        <v>0.5</v>
      </c>
      <c r="Q103" s="115" cm="1">
        <f t="array" ref="Q103">INDEX(股债表现与四个维度!$A:$T,MATCH($A103,股债表现与四个维度!$A:$A,0),MATCH(Q$3&amp;Q$4,股债表现与四个维度!$2:$2&amp;股债表现与四个维度!$3:$3,0))</f>
        <v>0.16666666666666666</v>
      </c>
      <c r="R103" s="115" cm="1">
        <f t="array" ref="R103">INDEX(股债表现与四个维度!$A:$T,MATCH($A103,股债表现与四个维度!$A:$A,0),MATCH(R$3&amp;R$4,股债表现与四个维度!$2:$2&amp;股债表现与四个维度!$3:$3,0))</f>
        <v>0.16666666666666666</v>
      </c>
      <c r="S103" s="115" cm="1">
        <f t="array" ref="S103">INDEX(股债表现与四个维度!$A:$T,MATCH($A103,股债表现与四个维度!$A:$A,0),MATCH(S$3&amp;S$4,股债表现与四个维度!$2:$2&amp;股债表现与四个维度!$3:$3,0))</f>
        <v>-0.16666666666666666</v>
      </c>
      <c r="T103">
        <f>SUMIFS($J103:$S103,$J103:$S103,"&lt;&gt;"&amp;"#N/A",$J$4:$S$4,T$4)</f>
        <v>1.7166666666666668</v>
      </c>
      <c r="U103">
        <f>SUMIFS($J103:$S103,$J103:$S103,"&lt;&gt;"&amp;"#N/A",$J$4:$S$4,U$4)</f>
        <v>0.20000000000000004</v>
      </c>
      <c r="V103">
        <f t="shared" si="78"/>
        <v>1.5166666666666668</v>
      </c>
      <c r="W103" s="114">
        <f t="shared" si="79"/>
        <v>-18.148389220596741</v>
      </c>
      <c r="X103" s="114">
        <f t="shared" si="80"/>
        <v>-4.37093467514274</v>
      </c>
      <c r="Y103">
        <f t="shared" ref="Y103:AA103" si="84">AVERAGE(V103:V108)</f>
        <v>2.0030280741379145</v>
      </c>
      <c r="Z103">
        <f t="shared" si="84"/>
        <v>-0.8798203652803972</v>
      </c>
      <c r="AA103">
        <f t="shared" si="84"/>
        <v>-1.4944329263127731</v>
      </c>
    </row>
    <row r="104" spans="1:27" x14ac:dyDescent="0.35">
      <c r="A104" s="106">
        <v>43190</v>
      </c>
      <c r="B104" s="1">
        <v>-9.9360761447775406E-2</v>
      </c>
      <c r="C104" s="1">
        <v>-11.1816176470595</v>
      </c>
      <c r="D104">
        <v>0.52</v>
      </c>
      <c r="E104" t="s">
        <v>7</v>
      </c>
      <c r="F104" t="s">
        <v>128</v>
      </c>
      <c r="G104" t="s">
        <v>113</v>
      </c>
      <c r="H104" t="s">
        <v>114</v>
      </c>
      <c r="I104" t="s">
        <v>127</v>
      </c>
      <c r="J104" s="115" cm="1">
        <f t="array" ref="J104">INDEX(股债表现与四个维度!$A:$T,MATCH($A104,股债表现与四个维度!$A:$A,0),MATCH(J$3&amp;J$4,股债表现与四个维度!$2:$2&amp;股债表现与四个维度!$3:$3,0))</f>
        <v>0.25</v>
      </c>
      <c r="K104" s="115" cm="1">
        <f t="array" ref="K104">INDEX(股债表现与四个维度!$A:$T,MATCH($A104,股债表现与四个维度!$A:$A,0),MATCH(K$3&amp;K$4,股债表现与四个维度!$2:$2&amp;股债表现与四个维度!$3:$3,0))</f>
        <v>0</v>
      </c>
      <c r="L104" s="115" cm="1">
        <f t="array" ref="L104">INDEX(股债表现与四个维度!$A:$T,MATCH($A104,股债表现与四个维度!$A:$A,0),MATCH(L$3&amp;L$4,股债表现与四个维度!$2:$2&amp;股债表现与四个维度!$3:$3,0))</f>
        <v>0.13043478260869565</v>
      </c>
      <c r="M104" s="115" cm="1">
        <f t="array" ref="M104">INDEX(股债表现与四个维度!$A:$T,MATCH($A104,股债表现与四个维度!$A:$A,0),MATCH(M$3&amp;M$4,股债表现与四个维度!$2:$2&amp;股债表现与四个维度!$3:$3,0))</f>
        <v>-0.52173913043478259</v>
      </c>
      <c r="N104" s="115"/>
      <c r="O104" s="115"/>
      <c r="P104" s="115" cm="1">
        <f t="array" ref="P104">INDEX(股债表现与四个维度!$A:$T,MATCH($A104,股债表现与四个维度!$A:$A,0),MATCH(P$3&amp;P$4,股债表现与四个维度!$2:$2&amp;股债表现与四个维度!$3:$3,0))</f>
        <v>0.63636363636363635</v>
      </c>
      <c r="Q104" s="115" cm="1">
        <f t="array" ref="Q104">INDEX(股债表现与四个维度!$A:$T,MATCH($A104,股债表现与四个维度!$A:$A,0),MATCH(Q$3&amp;Q$4,股债表现与四个维度!$2:$2&amp;股债表现与四个维度!$3:$3,0))</f>
        <v>9.0909090909090912E-2</v>
      </c>
      <c r="R104" s="115" cm="1">
        <f t="array" ref="R104">INDEX(股债表现与四个维度!$A:$T,MATCH($A104,股债表现与四个维度!$A:$A,0),MATCH(R$3&amp;R$4,股债表现与四个维度!$2:$2&amp;股债表现与四个维度!$3:$3,0))</f>
        <v>0.4</v>
      </c>
      <c r="S104" s="115" cm="1">
        <f t="array" ref="S104">INDEX(股债表现与四个维度!$A:$T,MATCH($A104,股债表现与四个维度!$A:$A,0),MATCH(S$3&amp;S$4,股债表现与四个维度!$2:$2&amp;股债表现与四个维度!$3:$3,0))</f>
        <v>-0.4</v>
      </c>
      <c r="T104">
        <f>SUMIFS($J104:$S104,$J104:$S104,"&lt;&gt;"&amp;"#N/A",$J$4:$S$4,T$4)</f>
        <v>1.4167984189723319</v>
      </c>
      <c r="U104">
        <f>SUMIFS($J104:$S104,$J104:$S104,"&lt;&gt;"&amp;"#N/A",$J$4:$S$4,U$4)</f>
        <v>-0.83083003952569168</v>
      </c>
      <c r="V104">
        <f t="shared" si="78"/>
        <v>2.2476284584980237</v>
      </c>
      <c r="W104" s="114">
        <f t="shared" si="79"/>
        <v>-11.280978408507275</v>
      </c>
      <c r="X104" s="114">
        <f t="shared" si="80"/>
        <v>-0.61936076144777541</v>
      </c>
      <c r="Y104">
        <f t="shared" ref="Y104:AA104" si="85">AVERAGE(V104:V109)</f>
        <v>1.9676522571444499</v>
      </c>
      <c r="Z104">
        <f t="shared" si="85"/>
        <v>2.313006522492036</v>
      </c>
      <c r="AA104">
        <f t="shared" si="85"/>
        <v>-0.62276611759150491</v>
      </c>
    </row>
    <row r="105" spans="1:27" x14ac:dyDescent="0.35">
      <c r="A105" s="106">
        <v>43159</v>
      </c>
      <c r="B105" s="1">
        <v>-1.5711743250558301</v>
      </c>
      <c r="C105" s="1">
        <v>0.50668827016975304</v>
      </c>
      <c r="D105">
        <v>0.36</v>
      </c>
      <c r="E105" t="s">
        <v>8</v>
      </c>
      <c r="F105" t="s">
        <v>128</v>
      </c>
      <c r="G105" t="s">
        <v>120</v>
      </c>
      <c r="H105" t="s">
        <v>114</v>
      </c>
      <c r="I105" t="s">
        <v>127</v>
      </c>
      <c r="J105" s="115" cm="1">
        <f t="array" ref="J105">INDEX(股债表现与四个维度!$A:$T,MATCH($A105,股债表现与四个维度!$A:$A,0),MATCH(J$3&amp;J$4,股债表现与四个维度!$2:$2&amp;股债表现与四个维度!$3:$3,0))</f>
        <v>0</v>
      </c>
      <c r="K105" s="115" cm="1">
        <f t="array" ref="K105">INDEX(股债表现与四个维度!$A:$T,MATCH($A105,股债表现与四个维度!$A:$A,0),MATCH(K$3&amp;K$4,股债表现与四个维度!$2:$2&amp;股债表现与四个维度!$3:$3,0))</f>
        <v>-9.0909090909090912E-2</v>
      </c>
      <c r="L105" s="115" cm="1">
        <f t="array" ref="L105">INDEX(股债表现与四个维度!$A:$T,MATCH($A105,股债表现与四个维度!$A:$A,0),MATCH(L$3&amp;L$4,股债表现与四个维度!$2:$2&amp;股债表现与四个维度!$3:$3,0))</f>
        <v>9.0909090909090912E-2</v>
      </c>
      <c r="M105" s="115" cm="1">
        <f t="array" ref="M105">INDEX(股债表现与四个维度!$A:$T,MATCH($A105,股债表现与四个维度!$A:$A,0),MATCH(M$3&amp;M$4,股债表现与四个维度!$2:$2&amp;股债表现与四个维度!$3:$3,0))</f>
        <v>-0.5</v>
      </c>
      <c r="N105" s="115"/>
      <c r="O105" s="115"/>
      <c r="P105" s="115" cm="1">
        <f t="array" ref="P105">INDEX(股债表现与四个维度!$A:$T,MATCH($A105,股债表现与四个维度!$A:$A,0),MATCH(P$3&amp;P$4,股债表现与四个维度!$2:$2&amp;股债表现与四个维度!$3:$3,0))</f>
        <v>0.6</v>
      </c>
      <c r="Q105" s="115" cm="1">
        <f t="array" ref="Q105">INDEX(股债表现与四个维度!$A:$T,MATCH($A105,股债表现与四个维度!$A:$A,0),MATCH(Q$3&amp;Q$4,股债表现与四个维度!$2:$2&amp;股债表现与四个维度!$3:$3,0))</f>
        <v>0.2</v>
      </c>
      <c r="R105" s="115" cm="1">
        <f t="array" ref="R105">INDEX(股债表现与四个维度!$A:$T,MATCH($A105,股债表现与四个维度!$A:$A,0),MATCH(R$3&amp;R$4,股债表现与四个维度!$2:$2&amp;股债表现与四个维度!$3:$3,0))</f>
        <v>0.25</v>
      </c>
      <c r="S105" s="115" cm="1">
        <f t="array" ref="S105">INDEX(股债表现与四个维度!$A:$T,MATCH($A105,股债表现与四个维度!$A:$A,0),MATCH(S$3&amp;S$4,股债表现与四个维度!$2:$2&amp;股债表现与四个维度!$3:$3,0))</f>
        <v>-0.25</v>
      </c>
      <c r="T105">
        <f>SUMIFS($J105:$S105,$J105:$S105,"&lt;&gt;"&amp;"#N/A",$J$4:$S$4,T$4)</f>
        <v>0.94090909090909092</v>
      </c>
      <c r="U105">
        <f>SUMIFS($J105:$S105,$J105:$S105,"&lt;&gt;"&amp;"#N/A",$J$4:$S$4,U$4)</f>
        <v>-0.64090909090909087</v>
      </c>
      <c r="V105">
        <f t="shared" si="78"/>
        <v>1.5818181818181818</v>
      </c>
      <c r="W105" s="114">
        <f t="shared" si="79"/>
        <v>-1.0644860548860771</v>
      </c>
      <c r="X105" s="114">
        <f t="shared" si="80"/>
        <v>-1.9311743250558302</v>
      </c>
      <c r="Y105">
        <f t="shared" ref="Y105:AA105" si="86">AVERAGE(V105:V110)</f>
        <v>1.781807203983927</v>
      </c>
      <c r="Z105">
        <f t="shared" si="86"/>
        <v>5.3241646137665706</v>
      </c>
      <c r="AA105">
        <f t="shared" si="86"/>
        <v>-1.6177151068553997E-2</v>
      </c>
    </row>
    <row r="106" spans="1:27" x14ac:dyDescent="0.35">
      <c r="A106" s="106">
        <v>43100</v>
      </c>
      <c r="B106" s="1">
        <v>-0.26932464469895401</v>
      </c>
      <c r="C106" s="1">
        <v>-2.500849802371</v>
      </c>
      <c r="D106">
        <v>0.23</v>
      </c>
      <c r="E106" t="s">
        <v>8</v>
      </c>
      <c r="F106" t="s">
        <v>128</v>
      </c>
      <c r="G106" t="s">
        <v>120</v>
      </c>
      <c r="H106" t="s">
        <v>114</v>
      </c>
      <c r="I106" t="s">
        <v>127</v>
      </c>
      <c r="J106" s="115" cm="1">
        <f t="array" ref="J106">INDEX(股债表现与四个维度!$A:$T,MATCH($A106,股债表现与四个维度!$A:$A,0),MATCH(J$3&amp;J$4,股债表现与四个维度!$2:$2&amp;股债表现与四个维度!$3:$3,0))</f>
        <v>0.1111111111111111</v>
      </c>
      <c r="K106" s="115" cm="1">
        <f t="array" ref="K106">INDEX(股债表现与四个维度!$A:$T,MATCH($A106,股债表现与四个维度!$A:$A,0),MATCH(K$3&amp;K$4,股债表现与四个维度!$2:$2&amp;股债表现与四个维度!$3:$3,0))</f>
        <v>-0.1111111111111111</v>
      </c>
      <c r="L106" s="115" cm="1">
        <f t="array" ref="L106">INDEX(股债表现与四个维度!$A:$T,MATCH($A106,股债表现与四个维度!$A:$A,0),MATCH(L$3&amp;L$4,股债表现与四个维度!$2:$2&amp;股债表现与四个维度!$3:$3,0))</f>
        <v>0.15</v>
      </c>
      <c r="M106" s="115" cm="1">
        <f t="array" ref="M106">INDEX(股债表现与四个维度!$A:$T,MATCH($A106,股债表现与四个维度!$A:$A,0),MATCH(M$3&amp;M$4,股债表现与四个维度!$2:$2&amp;股债表现与四个维度!$3:$3,0))</f>
        <v>-0.55000000000000004</v>
      </c>
      <c r="N106" s="115"/>
      <c r="O106" s="115"/>
      <c r="P106" s="115" cm="1">
        <f t="array" ref="P106">INDEX(股债表现与四个维度!$A:$T,MATCH($A106,股债表现与四个维度!$A:$A,0),MATCH(P$3&amp;P$4,股债表现与四个维度!$2:$2&amp;股债表现与四个维度!$3:$3,0))</f>
        <v>0.875</v>
      </c>
      <c r="Q106" s="115" cm="1">
        <f t="array" ref="Q106">INDEX(股债表现与四个维度!$A:$T,MATCH($A106,股债表现与四个维度!$A:$A,0),MATCH(Q$3&amp;Q$4,股债表现与四个维度!$2:$2&amp;股债表现与四个维度!$3:$3,0))</f>
        <v>0.25</v>
      </c>
      <c r="R106" s="115" cm="1">
        <f t="array" ref="R106">INDEX(股债表现与四个维度!$A:$T,MATCH($A106,股债表现与四个维度!$A:$A,0),MATCH(R$3&amp;R$4,股债表现与四个维度!$2:$2&amp;股债表现与四个维度!$3:$3,0))</f>
        <v>1</v>
      </c>
      <c r="S106" s="115" cm="1">
        <f t="array" ref="S106">INDEX(股债表现与四个维度!$A:$T,MATCH($A106,股债表现与四个维度!$A:$A,0),MATCH(S$3&amp;S$4,股债表现与四个维度!$2:$2&amp;股债表现与四个维度!$3:$3,0))</f>
        <v>-0.5</v>
      </c>
      <c r="T106">
        <f>SUMIFS($J106:$S106,$J106:$S106,"&lt;&gt;"&amp;"#N/A",$J$4:$S$4,T$4)</f>
        <v>2.1361111111111111</v>
      </c>
      <c r="U106">
        <f>SUMIFS($J106:$S106,$J106:$S106,"&lt;&gt;"&amp;"#N/A",$J$4:$S$4,U$4)</f>
        <v>-0.9111111111111112</v>
      </c>
      <c r="V106">
        <f t="shared" si="78"/>
        <v>3.0472222222222225</v>
      </c>
      <c r="W106" s="114">
        <f t="shared" si="79"/>
        <v>-2.7701744470699539</v>
      </c>
      <c r="X106" s="114">
        <f t="shared" si="80"/>
        <v>-0.49932464469895399</v>
      </c>
      <c r="Y106">
        <f t="shared" ref="Y106:AA106" si="87">AVERAGE(V106:V111)</f>
        <v>1.7134089355856583</v>
      </c>
      <c r="Z106">
        <f t="shared" si="87"/>
        <v>6.0547412777841423</v>
      </c>
      <c r="AA106">
        <f t="shared" si="87"/>
        <v>0.48298897211881431</v>
      </c>
    </row>
    <row r="107" spans="1:27" x14ac:dyDescent="0.35">
      <c r="A107" s="106">
        <v>43069</v>
      </c>
      <c r="B107" s="1">
        <v>-2.95147462343142</v>
      </c>
      <c r="C107" s="1">
        <v>18.171310160427002</v>
      </c>
      <c r="D107">
        <v>-0.44</v>
      </c>
      <c r="E107" t="s">
        <v>8</v>
      </c>
      <c r="F107" t="s">
        <v>128</v>
      </c>
      <c r="G107" t="s">
        <v>120</v>
      </c>
      <c r="H107" t="s">
        <v>114</v>
      </c>
      <c r="I107" t="s">
        <v>127</v>
      </c>
      <c r="J107" s="115" cm="1">
        <f t="array" ref="J107">INDEX(股债表现与四个维度!$A:$T,MATCH($A107,股债表现与四个维度!$A:$A,0),MATCH(J$3&amp;J$4,股债表现与四个维度!$2:$2&amp;股债表现与四个维度!$3:$3,0))</f>
        <v>0</v>
      </c>
      <c r="K107" s="115" cm="1">
        <f t="array" ref="K107">INDEX(股债表现与四个维度!$A:$T,MATCH($A107,股债表现与四个维度!$A:$A,0),MATCH(K$3&amp;K$4,股债表现与四个维度!$2:$2&amp;股债表现与四个维度!$3:$3,0))</f>
        <v>0</v>
      </c>
      <c r="L107" s="115" cm="1">
        <f t="array" ref="L107">INDEX(股债表现与四个维度!$A:$T,MATCH($A107,股债表现与四个维度!$A:$A,0),MATCH(L$3&amp;L$4,股债表现与四个维度!$2:$2&amp;股债表现与四个维度!$3:$3,0))</f>
        <v>0.10526315789473684</v>
      </c>
      <c r="M107" s="115" cm="1">
        <f t="array" ref="M107">INDEX(股债表现与四个维度!$A:$T,MATCH($A107,股债表现与四个维度!$A:$A,0),MATCH(M$3&amp;M$4,股债表现与四个维度!$2:$2&amp;股债表现与四个维度!$3:$3,0))</f>
        <v>-0.52631578947368418</v>
      </c>
      <c r="N107" s="115"/>
      <c r="O107" s="115"/>
      <c r="P107" s="115" cm="1">
        <f t="array" ref="P107">INDEX(股债表现与四个维度!$A:$T,MATCH($A107,股债表现与四个维度!$A:$A,0),MATCH(P$3&amp;P$4,股债表现与四个维度!$2:$2&amp;股债表现与四个维度!$3:$3,0))</f>
        <v>0.8571428571428571</v>
      </c>
      <c r="Q107" s="115" cm="1">
        <f t="array" ref="Q107">INDEX(股债表现与四个维度!$A:$T,MATCH($A107,股债表现与四个维度!$A:$A,0),MATCH(Q$3&amp;Q$4,股债表现与四个维度!$2:$2&amp;股债表现与四个维度!$3:$3,0))</f>
        <v>0.42857142857142855</v>
      </c>
      <c r="R107" s="115" cm="1">
        <f t="array" ref="R107">INDEX(股债表现与四个维度!$A:$T,MATCH($A107,股债表现与四个维度!$A:$A,0),MATCH(R$3&amp;R$4,股债表现与四个维度!$2:$2&amp;股债表现与四个维度!$3:$3,0))</f>
        <v>1</v>
      </c>
      <c r="S107" s="115" cm="1">
        <f t="array" ref="S107">INDEX(股债表现与四个维度!$A:$T,MATCH($A107,股债表现与四个维度!$A:$A,0),MATCH(S$3&amp;S$4,股债表现与四个维度!$2:$2&amp;股债表现与四个维度!$3:$3,0))</f>
        <v>0</v>
      </c>
      <c r="T107">
        <f>SUMIFS($J107:$S107,$J107:$S107,"&lt;&gt;"&amp;"#N/A",$J$4:$S$4,T$4)</f>
        <v>1.9624060150375939</v>
      </c>
      <c r="U107">
        <f>SUMIFS($J107:$S107,$J107:$S107,"&lt;&gt;"&amp;"#N/A",$J$4:$S$4,U$4)</f>
        <v>-9.7744360902255634E-2</v>
      </c>
      <c r="V107">
        <f t="shared" si="78"/>
        <v>2.0601503759398496</v>
      </c>
      <c r="W107" s="114">
        <f t="shared" si="79"/>
        <v>15.219835536995582</v>
      </c>
      <c r="X107" s="114">
        <f t="shared" si="80"/>
        <v>-2.51147462343142</v>
      </c>
      <c r="Y107">
        <f t="shared" ref="Y107:AA107" si="88">AVERAGE(V107:V112)</f>
        <v>1.4275381780685592</v>
      </c>
      <c r="Z107">
        <f t="shared" si="88"/>
        <v>6.5117129470232102</v>
      </c>
      <c r="AA107">
        <f t="shared" si="88"/>
        <v>1.1866299744403817</v>
      </c>
    </row>
    <row r="108" spans="1:27" x14ac:dyDescent="0.35">
      <c r="A108" s="106">
        <v>43039</v>
      </c>
      <c r="B108" s="1">
        <v>1.10567147190008</v>
      </c>
      <c r="C108" s="1">
        <v>11.659598930482</v>
      </c>
      <c r="D108">
        <v>0.14000000000000001</v>
      </c>
      <c r="E108" t="s">
        <v>8</v>
      </c>
      <c r="F108" t="s">
        <v>128</v>
      </c>
      <c r="G108" t="s">
        <v>120</v>
      </c>
      <c r="H108" t="s">
        <v>114</v>
      </c>
      <c r="I108" t="s">
        <v>127</v>
      </c>
      <c r="J108" s="115" cm="1">
        <f t="array" ref="J108">INDEX(股债表现与四个维度!$A:$T,MATCH($A108,股债表现与四个维度!$A:$A,0),MATCH(J$3&amp;J$4,股债表现与四个维度!$2:$2&amp;股债表现与四个维度!$3:$3,0))</f>
        <v>0</v>
      </c>
      <c r="K108" s="115" cm="1">
        <f t="array" ref="K108">INDEX(股债表现与四个维度!$A:$T,MATCH($A108,股债表现与四个维度!$A:$A,0),MATCH(K$3&amp;K$4,股债表现与四个维度!$2:$2&amp;股债表现与四个维度!$3:$3,0))</f>
        <v>-0.125</v>
      </c>
      <c r="L108" s="115" cm="1">
        <f t="array" ref="L108">INDEX(股债表现与四个维度!$A:$T,MATCH($A108,股债表现与四个维度!$A:$A,0),MATCH(L$3&amp;L$4,股债表现与四个维度!$2:$2&amp;股债表现与四个维度!$3:$3,0))</f>
        <v>5.5555555555555552E-2</v>
      </c>
      <c r="M108" s="115" cm="1">
        <f t="array" ref="M108">INDEX(股债表现与四个维度!$A:$T,MATCH($A108,股债表现与四个维度!$A:$A,0),MATCH(M$3&amp;M$4,股债表现与四个维度!$2:$2&amp;股债表现与四个维度!$3:$3,0))</f>
        <v>-0.55555555555555558</v>
      </c>
      <c r="N108" s="115"/>
      <c r="O108" s="115"/>
      <c r="P108" s="115" cm="1">
        <f t="array" ref="P108">INDEX(股债表现与四个维度!$A:$T,MATCH($A108,股债表现与四个维度!$A:$A,0),MATCH(P$3&amp;P$4,股债表现与四个维度!$2:$2&amp;股债表现与四个维度!$3:$3,0))</f>
        <v>0.8571428571428571</v>
      </c>
      <c r="Q108" s="115" cm="1">
        <f t="array" ref="Q108">INDEX(股债表现与四个维度!$A:$T,MATCH($A108,股债表现与四个维度!$A:$A,0),MATCH(Q$3&amp;Q$4,股债表现与四个维度!$2:$2&amp;股债表现与四个维度!$3:$3,0))</f>
        <v>0.42857142857142855</v>
      </c>
      <c r="R108" s="115" cm="1">
        <f t="array" ref="R108">INDEX(股债表现与四个维度!$A:$T,MATCH($A108,股债表现与四个维度!$A:$A,0),MATCH(R$3&amp;R$4,股债表现与四个维度!$2:$2&amp;股债表现与四个维度!$3:$3,0))</f>
        <v>0</v>
      </c>
      <c r="S108" s="115" cm="1">
        <f t="array" ref="S108">INDEX(股债表现与四个维度!$A:$T,MATCH($A108,股债表现与四个维度!$A:$A,0),MATCH(S$3&amp;S$4,股债表现与四个维度!$2:$2&amp;股债表现与四个维度!$3:$3,0))</f>
        <v>-0.4</v>
      </c>
      <c r="T108">
        <f>SUMIFS($J108:$S108,$J108:$S108,"&lt;&gt;"&amp;"#N/A",$J$4:$S$4,T$4)</f>
        <v>0.91269841269841268</v>
      </c>
      <c r="U108">
        <f>SUMIFS($J108:$S108,$J108:$S108,"&lt;&gt;"&amp;"#N/A",$J$4:$S$4,U$4)</f>
        <v>-0.65198412698412711</v>
      </c>
      <c r="V108">
        <f t="shared" si="78"/>
        <v>1.5646825396825399</v>
      </c>
      <c r="W108" s="114">
        <f t="shared" si="79"/>
        <v>12.765270402382079</v>
      </c>
      <c r="X108" s="114">
        <f t="shared" si="80"/>
        <v>0.96567147190007996</v>
      </c>
      <c r="Y108">
        <f t="shared" ref="Y108:AA108" si="89">AVERAGE(V108:V113)</f>
        <v>1.3228549957537981</v>
      </c>
      <c r="Z108">
        <f t="shared" si="89"/>
        <v>7.4220699079042545</v>
      </c>
      <c r="AA108">
        <f t="shared" si="89"/>
        <v>1.1871008676565935</v>
      </c>
    </row>
    <row r="109" spans="1:27" x14ac:dyDescent="0.35">
      <c r="A109" s="106">
        <v>43008</v>
      </c>
      <c r="B109" s="1">
        <v>1.2790661771848699</v>
      </c>
      <c r="C109" s="1">
        <v>-0.27049407114700902</v>
      </c>
      <c r="D109">
        <v>0.42</v>
      </c>
      <c r="E109" t="s">
        <v>8</v>
      </c>
      <c r="F109" t="s">
        <v>128</v>
      </c>
      <c r="G109" t="s">
        <v>120</v>
      </c>
      <c r="H109" t="s">
        <v>116</v>
      </c>
      <c r="I109" t="s">
        <v>127</v>
      </c>
      <c r="J109" s="115" cm="1">
        <f t="array" ref="J109">INDEX(股债表现与四个维度!$A:$T,MATCH($A109,股债表现与四个维度!$A:$A,0),MATCH(J$3&amp;J$4,股债表现与四个维度!$2:$2&amp;股债表现与四个维度!$3:$3,0))</f>
        <v>0</v>
      </c>
      <c r="K109" s="115" cm="1">
        <f t="array" ref="K109">INDEX(股债表现与四个维度!$A:$T,MATCH($A109,股债表现与四个维度!$A:$A,0),MATCH(K$3&amp;K$4,股债表现与四个维度!$2:$2&amp;股债表现与四个维度!$3:$3,0))</f>
        <v>-0.125</v>
      </c>
      <c r="L109" s="115" cm="1">
        <f t="array" ref="L109">INDEX(股债表现与四个维度!$A:$T,MATCH($A109,股债表现与四个维度!$A:$A,0),MATCH(L$3&amp;L$4,股债表现与四个维度!$2:$2&amp;股债表现与四个维度!$3:$3,0))</f>
        <v>0</v>
      </c>
      <c r="M109" s="115" cm="1">
        <f t="array" ref="M109">INDEX(股债表现与四个维度!$A:$T,MATCH($A109,股债表现与四个维度!$A:$A,0),MATCH(M$3&amp;M$4,股债表现与四个维度!$2:$2&amp;股债表现与四个维度!$3:$3,0))</f>
        <v>-0.52941176470588236</v>
      </c>
      <c r="N109" s="115"/>
      <c r="O109" s="115"/>
      <c r="P109" s="115" cm="1">
        <f t="array" ref="P109">INDEX(股债表现与四个维度!$A:$T,MATCH($A109,股债表现与四个维度!$A:$A,0),MATCH(P$3&amp;P$4,股债表现与四个维度!$2:$2&amp;股债表现与四个维度!$3:$3,0))</f>
        <v>4.5454545454545456E-2</v>
      </c>
      <c r="Q109" s="115" cm="1">
        <f t="array" ref="Q109">INDEX(股债表现与四个维度!$A:$T,MATCH($A109,股债表现与四个维度!$A:$A,0),MATCH(Q$3&amp;Q$4,股债表现与四个维度!$2:$2&amp;股债表现与四个维度!$3:$3,0))</f>
        <v>-0.20454545454545456</v>
      </c>
      <c r="R109" s="115" cm="1">
        <f t="array" ref="R109">INDEX(股债表现与四个维度!$A:$T,MATCH($A109,股债表现与四个维度!$A:$A,0),MATCH(R$3&amp;R$4,股债表现与四个维度!$2:$2&amp;股债表现与四个维度!$3:$3,0))</f>
        <v>0</v>
      </c>
      <c r="S109" s="115" cm="1">
        <f t="array" ref="S109">INDEX(股债表现与四个维度!$A:$T,MATCH($A109,股债表现与四个维度!$A:$A,0),MATCH(S$3&amp;S$4,股债表现与四个维度!$2:$2&amp;股债表现与四个维度!$3:$3,0))</f>
        <v>-0.4</v>
      </c>
      <c r="T109">
        <f>SUMIFS($J109:$S109,$J109:$S109,"&lt;&gt;"&amp;"#N/A",$J$4:$S$4,T$4)</f>
        <v>4.5454545454545456E-2</v>
      </c>
      <c r="U109">
        <f>SUMIFS($J109:$S109,$J109:$S109,"&lt;&gt;"&amp;"#N/A",$J$4:$S$4,U$4)</f>
        <v>-1.258957219251337</v>
      </c>
      <c r="V109">
        <f t="shared" si="78"/>
        <v>1.3044117647058824</v>
      </c>
      <c r="W109" s="114">
        <f t="shared" si="79"/>
        <v>1.008572106037861</v>
      </c>
      <c r="X109" s="114">
        <f t="shared" si="80"/>
        <v>0.85906617718486999</v>
      </c>
      <c r="Y109">
        <f t="shared" ref="Y109:AA109" si="90">AVERAGE(V109:V114)</f>
        <v>1.3108026962014985</v>
      </c>
      <c r="Z109">
        <f t="shared" si="90"/>
        <v>5.7089126790847322</v>
      </c>
      <c r="AA109">
        <f t="shared" si="90"/>
        <v>0.56667618369607342</v>
      </c>
    </row>
    <row r="110" spans="1:27" x14ac:dyDescent="0.35">
      <c r="A110" s="106">
        <v>42978</v>
      </c>
      <c r="B110" s="1">
        <v>3.0501730376899299</v>
      </c>
      <c r="C110" s="1">
        <v>3.7357971014500002</v>
      </c>
      <c r="D110">
        <v>0.03</v>
      </c>
      <c r="E110" t="s">
        <v>7</v>
      </c>
      <c r="F110" t="s">
        <v>128</v>
      </c>
      <c r="G110" t="s">
        <v>120</v>
      </c>
      <c r="H110" t="s">
        <v>116</v>
      </c>
      <c r="I110" t="s">
        <v>129</v>
      </c>
      <c r="J110" s="115" cm="1">
        <f t="array" ref="J110">INDEX(股债表现与四个维度!$A:$T,MATCH($A110,股债表现与四个维度!$A:$A,0),MATCH(J$3&amp;J$4,股债表现与四个维度!$2:$2&amp;股债表现与四个维度!$3:$3,0))</f>
        <v>0.05</v>
      </c>
      <c r="K110" s="115" cm="1">
        <f t="array" ref="K110">INDEX(股债表现与四个维度!$A:$T,MATCH($A110,股债表现与四个维度!$A:$A,0),MATCH(K$3&amp;K$4,股债表现与四个维度!$2:$2&amp;股债表现与四个维度!$3:$3,0))</f>
        <v>0.05</v>
      </c>
      <c r="L110" s="115" cm="1">
        <f t="array" ref="L110">INDEX(股债表现与四个维度!$A:$T,MATCH($A110,股债表现与四个维度!$A:$A,0),MATCH(L$3&amp;L$4,股债表现与四个维度!$2:$2&amp;股债表现与四个维度!$3:$3,0))</f>
        <v>-6.25E-2</v>
      </c>
      <c r="M110" s="115" cm="1">
        <f t="array" ref="M110">INDEX(股债表现与四个维度!$A:$T,MATCH($A110,股债表现与四个维度!$A:$A,0),MATCH(M$3&amp;M$4,股债表现与四个维度!$2:$2&amp;股债表现与四个维度!$3:$3,0))</f>
        <v>-0.5625</v>
      </c>
      <c r="N110" s="115"/>
      <c r="O110" s="115"/>
      <c r="P110" s="115" cm="1">
        <f t="array" ref="P110">INDEX(股债表现与四个维度!$A:$T,MATCH($A110,股债表现与四个维度!$A:$A,0),MATCH(P$3&amp;P$4,股债表现与四个维度!$2:$2&amp;股债表现与四个维度!$3:$3,0))</f>
        <v>2.3255813953488372E-2</v>
      </c>
      <c r="Q110" s="115" cm="1">
        <f t="array" ref="Q110">INDEX(股债表现与四个维度!$A:$T,MATCH($A110,股债表现与四个维度!$A:$A,0),MATCH(Q$3&amp;Q$4,股债表现与四个维度!$2:$2&amp;股债表现与四个维度!$3:$3,0))</f>
        <v>-0.20930232558139536</v>
      </c>
      <c r="R110" s="115" cm="1">
        <f t="array" ref="R110">INDEX(股债表现与四个维度!$A:$T,MATCH($A110,股债表现与四个维度!$A:$A,0),MATCH(R$3&amp;R$4,股债表现与四个维度!$2:$2&amp;股债表现与四个维度!$3:$3,0))</f>
        <v>0</v>
      </c>
      <c r="S110" s="115" cm="1">
        <f t="array" ref="S110">INDEX(股债表现与四个维度!$A:$T,MATCH($A110,股债表现与四个维度!$A:$A,0),MATCH(S$3&amp;S$4,股债表现与四个维度!$2:$2&amp;股债表现与四个维度!$3:$3,0))</f>
        <v>-0.4</v>
      </c>
      <c r="T110">
        <f>SUMIFS($J110:$S110,$J110:$S110,"&lt;&gt;"&amp;"#N/A",$J$4:$S$4,T$4)</f>
        <v>1.0755813953488375E-2</v>
      </c>
      <c r="U110">
        <f>SUMIFS($J110:$S110,$J110:$S110,"&lt;&gt;"&amp;"#N/A",$J$4:$S$4,U$4)</f>
        <v>-1.1218023255813954</v>
      </c>
      <c r="V110">
        <f t="shared" si="78"/>
        <v>1.1325581395348838</v>
      </c>
      <c r="W110" s="114">
        <f t="shared" si="79"/>
        <v>6.7859701391399305</v>
      </c>
      <c r="X110" s="114">
        <f t="shared" si="80"/>
        <v>3.0201730376899301</v>
      </c>
      <c r="Y110">
        <f t="shared" ref="Y110:AA110" si="91">AVERAGE(V110:V115)</f>
        <v>1.3999198741731655</v>
      </c>
      <c r="Z110">
        <f t="shared" si="91"/>
        <v>5.90074465809582</v>
      </c>
      <c r="AA110">
        <f t="shared" si="91"/>
        <v>0.32312642773724481</v>
      </c>
    </row>
    <row r="111" spans="1:27" x14ac:dyDescent="0.35">
      <c r="A111" s="106">
        <v>42947</v>
      </c>
      <c r="B111" s="1">
        <v>1.6138224140683799</v>
      </c>
      <c r="C111" s="1">
        <v>1.70515151515098</v>
      </c>
      <c r="D111">
        <v>0.55000000000000004</v>
      </c>
      <c r="E111" t="s">
        <v>7</v>
      </c>
      <c r="F111" t="s">
        <v>128</v>
      </c>
      <c r="G111" t="s">
        <v>120</v>
      </c>
      <c r="H111" t="s">
        <v>116</v>
      </c>
      <c r="I111" t="s">
        <v>129</v>
      </c>
      <c r="J111" s="115" cm="1">
        <f t="array" ref="J111">INDEX(股债表现与四个维度!$A:$T,MATCH($A111,股债表现与四个维度!$A:$A,0),MATCH(J$3&amp;J$4,股债表现与四个维度!$2:$2&amp;股债表现与四个维度!$3:$3,0))</f>
        <v>-0.05</v>
      </c>
      <c r="K111" s="115" cm="1">
        <f t="array" ref="K111">INDEX(股债表现与四个维度!$A:$T,MATCH($A111,股债表现与四个维度!$A:$A,0),MATCH(K$3&amp;K$4,股债表现与四个维度!$2:$2&amp;股债表现与四个维度!$3:$3,0))</f>
        <v>0.05</v>
      </c>
      <c r="L111" s="115" cm="1">
        <f t="array" ref="L111">INDEX(股债表现与四个维度!$A:$T,MATCH($A111,股债表现与四个维度!$A:$A,0),MATCH(L$3&amp;L$4,股债表现与四个维度!$2:$2&amp;股债表现与四个维度!$3:$3,0))</f>
        <v>-0.13333333333333333</v>
      </c>
      <c r="M111" s="115" cm="1">
        <f t="array" ref="M111">INDEX(股债表现与四个维度!$A:$T,MATCH($A111,股债表现与四个维度!$A:$A,0),MATCH(M$3&amp;M$4,股债表现与四个维度!$2:$2&amp;股债表现与四个维度!$3:$3,0))</f>
        <v>-0.66666666666666663</v>
      </c>
      <c r="N111" s="115"/>
      <c r="O111" s="115"/>
      <c r="P111" s="115" cm="1">
        <f t="array" ref="P111">INDEX(股债表现与四个维度!$A:$T,MATCH($A111,股债表现与四个维度!$A:$A,0),MATCH(P$3&amp;P$4,股债表现与四个维度!$2:$2&amp;股债表现与四个维度!$3:$3,0))</f>
        <v>0</v>
      </c>
      <c r="Q111" s="115" cm="1">
        <f t="array" ref="Q111">INDEX(股债表现与四个维度!$A:$T,MATCH($A111,股债表现与四个维度!$A:$A,0),MATCH(Q$3&amp;Q$4,股债表现与四个维度!$2:$2&amp;股债表现与四个维度!$3:$3,0))</f>
        <v>-0.23809523809523808</v>
      </c>
      <c r="R111" s="115" cm="1">
        <f t="array" ref="R111">INDEX(股债表现与四个维度!$A:$T,MATCH($A111,股债表现与四个维度!$A:$A,0),MATCH(R$3&amp;R$4,股债表现与四个维度!$2:$2&amp;股债表现与四个维度!$3:$3,0))</f>
        <v>-0.25</v>
      </c>
      <c r="S111" s="115" cm="1">
        <f t="array" ref="S111">INDEX(股债表现与四个维度!$A:$T,MATCH($A111,股债表现与四个维度!$A:$A,0),MATCH(S$3&amp;S$4,股债表现与四个维度!$2:$2&amp;股债表现与四个维度!$3:$3,0))</f>
        <v>-0.75</v>
      </c>
      <c r="T111">
        <f>SUMIFS($J111:$S111,$J111:$S111,"&lt;&gt;"&amp;"#N/A",$J$4:$S$4,T$4)</f>
        <v>-0.43333333333333335</v>
      </c>
      <c r="U111">
        <f>SUMIFS($J111:$S111,$J111:$S111,"&lt;&gt;"&amp;"#N/A",$J$4:$S$4,U$4)</f>
        <v>-1.6047619047619046</v>
      </c>
      <c r="V111">
        <f t="shared" si="78"/>
        <v>1.1714285714285713</v>
      </c>
      <c r="W111" s="114">
        <f t="shared" si="79"/>
        <v>3.3189739292193599</v>
      </c>
      <c r="X111" s="114">
        <f t="shared" si="80"/>
        <v>1.0638224140683799</v>
      </c>
      <c r="Y111">
        <f t="shared" ref="Y111:AA111" si="92">AVERAGE(V111:V116)</f>
        <v>1.4900533631438639</v>
      </c>
      <c r="Z111">
        <f t="shared" si="92"/>
        <v>6.2904239355640543</v>
      </c>
      <c r="AA111">
        <f t="shared" si="92"/>
        <v>7.4501293814771399E-2</v>
      </c>
    </row>
    <row r="112" spans="1:27" x14ac:dyDescent="0.35">
      <c r="A112" s="106">
        <v>42916</v>
      </c>
      <c r="B112" s="1">
        <v>4.8025213692304503</v>
      </c>
      <c r="C112" s="1">
        <v>-4.8308658008660004</v>
      </c>
      <c r="D112">
        <v>1.08</v>
      </c>
      <c r="E112" t="s">
        <v>7</v>
      </c>
      <c r="F112" t="s">
        <v>128</v>
      </c>
      <c r="G112" t="s">
        <v>130</v>
      </c>
      <c r="H112" t="s">
        <v>116</v>
      </c>
      <c r="I112" t="s">
        <v>129</v>
      </c>
      <c r="J112" s="115" cm="1">
        <f t="array" ref="J112">INDEX(股债表现与四个维度!$A:$T,MATCH($A112,股债表现与四个维度!$A:$A,0),MATCH(J$3&amp;J$4,股债表现与四个维度!$2:$2&amp;股债表现与四个维度!$3:$3,0))</f>
        <v>0</v>
      </c>
      <c r="K112" s="115" cm="1">
        <f t="array" ref="K112">INDEX(股债表现与四个维度!$A:$T,MATCH($A112,股债表现与四个维度!$A:$A,0),MATCH(K$3&amp;K$4,股债表现与四个维度!$2:$2&amp;股债表现与四个维度!$3:$3,0))</f>
        <v>0.15</v>
      </c>
      <c r="L112" s="115" cm="1">
        <f t="array" ref="L112">INDEX(股债表现与四个维度!$A:$T,MATCH($A112,股债表现与四个维度!$A:$A,0),MATCH(L$3&amp;L$4,股债表现与四个维度!$2:$2&amp;股债表现与四个维度!$3:$3,0))</f>
        <v>-7.1428571428571425E-2</v>
      </c>
      <c r="M112" s="115" cm="1">
        <f t="array" ref="M112">INDEX(股债表现与四个维度!$A:$T,MATCH($A112,股债表现与四个维度!$A:$A,0),MATCH(M$3&amp;M$4,股债表现与四个维度!$2:$2&amp;股债表现与四个维度!$3:$3,0))</f>
        <v>-0.6428571428571429</v>
      </c>
      <c r="N112" s="115"/>
      <c r="O112" s="115"/>
      <c r="P112" s="115" cm="1">
        <f t="array" ref="P112">INDEX(股债表现与四个维度!$A:$T,MATCH($A112,股债表现与四个维度!$A:$A,0),MATCH(P$3&amp;P$4,股债表现与四个维度!$2:$2&amp;股债表现与四个维度!$3:$3,0))</f>
        <v>2.4390243902439025E-2</v>
      </c>
      <c r="Q112" s="115" cm="1">
        <f t="array" ref="Q112">INDEX(股债表现与四个维度!$A:$T,MATCH($A112,股债表现与四个维度!$A:$A,0),MATCH(Q$3&amp;Q$4,股债表现与四个维度!$2:$2&amp;股债表现与四个维度!$3:$3,0))</f>
        <v>-0.21951219512195122</v>
      </c>
      <c r="R112" s="115" cm="1">
        <f t="array" ref="R112">INDEX(股债表现与四个维度!$A:$T,MATCH($A112,股债表现与四个维度!$A:$A,0),MATCH(R$3&amp;R$4,股债表现与四个维度!$2:$2&amp;股债表现与四个维度!$3:$3,0))</f>
        <v>0</v>
      </c>
      <c r="S112" s="115" cm="1">
        <f t="array" ref="S112">INDEX(股债表现与四个维度!$A:$T,MATCH($A112,股债表现与四个维度!$A:$A,0),MATCH(S$3&amp;S$4,股债表现与四个维度!$2:$2&amp;股债表现与四个维度!$3:$3,0))</f>
        <v>-0.66666666666666663</v>
      </c>
      <c r="T112">
        <f>SUMIFS($J112:$S112,$J112:$S112,"&lt;&gt;"&amp;"#N/A",$J$4:$S$4,T$4)</f>
        <v>-4.7038327526132399E-2</v>
      </c>
      <c r="U112">
        <f>SUMIFS($J112:$S112,$J112:$S112,"&lt;&gt;"&amp;"#N/A",$J$4:$S$4,U$4)</f>
        <v>-1.3790360046457608</v>
      </c>
      <c r="V112">
        <f t="shared" si="78"/>
        <v>1.3319976771196285</v>
      </c>
      <c r="W112" s="114">
        <f t="shared" si="79"/>
        <v>-2.8344431635550116E-2</v>
      </c>
      <c r="X112" s="114">
        <f t="shared" si="80"/>
        <v>3.7225213692304502</v>
      </c>
      <c r="Y112">
        <f t="shared" ref="Y112:AA112" si="93">AVERAGE(V112:V117)</f>
        <v>1.4666615502783669</v>
      </c>
      <c r="Z112">
        <f t="shared" si="93"/>
        <v>10.189361117835182</v>
      </c>
      <c r="AA112">
        <f t="shared" si="93"/>
        <v>-0.71106525689610356</v>
      </c>
    </row>
    <row r="113" spans="1:27" x14ac:dyDescent="0.35">
      <c r="A113" s="106">
        <v>42886</v>
      </c>
      <c r="B113" s="1">
        <v>-2.8386492641341499</v>
      </c>
      <c r="C113" s="1">
        <v>23.520626566415999</v>
      </c>
      <c r="D113">
        <v>-0.33</v>
      </c>
      <c r="E113" t="s">
        <v>7</v>
      </c>
      <c r="F113" t="s">
        <v>128</v>
      </c>
      <c r="G113" t="s">
        <v>130</v>
      </c>
      <c r="H113" t="s">
        <v>116</v>
      </c>
      <c r="I113" t="s">
        <v>129</v>
      </c>
      <c r="J113" s="115" cm="1">
        <f t="array" ref="J113">INDEX(股债表现与四个维度!$A:$T,MATCH($A113,股债表现与四个维度!$A:$A,0),MATCH(J$3&amp;J$4,股债表现与四个维度!$2:$2&amp;股债表现与四个维度!$3:$3,0))</f>
        <v>0.1</v>
      </c>
      <c r="K113" s="115" cm="1">
        <f t="array" ref="K113">INDEX(股债表现与四个维度!$A:$T,MATCH($A113,股债表现与四个维度!$A:$A,0),MATCH(K$3&amp;K$4,股债表现与四个维度!$2:$2&amp;股债表现与四个维度!$3:$3,0))</f>
        <v>0.2</v>
      </c>
      <c r="L113" s="115" cm="1">
        <f t="array" ref="L113">INDEX(股债表现与四个维度!$A:$T,MATCH($A113,股债表现与四个维度!$A:$A,0),MATCH(L$3&amp;L$4,股债表现与四个维度!$2:$2&amp;股债表现与四个维度!$3:$3,0))</f>
        <v>0</v>
      </c>
      <c r="M113" s="115" cm="1">
        <f t="array" ref="M113">INDEX(股债表现与四个维度!$A:$T,MATCH($A113,股债表现与四个维度!$A:$A,0),MATCH(M$3&amp;M$4,股债表现与四个维度!$2:$2&amp;股债表现与四个维度!$3:$3,0))</f>
        <v>-0.61538461538461542</v>
      </c>
      <c r="N113" s="115"/>
      <c r="O113" s="115"/>
      <c r="P113" s="115" cm="1">
        <f t="array" ref="P113">INDEX(股债表现与四个维度!$A:$T,MATCH($A113,股债表现与四个维度!$A:$A,0),MATCH(P$3&amp;P$4,股债表现与四个维度!$2:$2&amp;股债表现与四个维度!$3:$3,0))</f>
        <v>0.05</v>
      </c>
      <c r="Q113" s="115" cm="1">
        <f t="array" ref="Q113">INDEX(股债表现与四个维度!$A:$T,MATCH($A113,股债表现与四个维度!$A:$A,0),MATCH(Q$3&amp;Q$4,股债表现与四个维度!$2:$2&amp;股债表现与四个维度!$3:$3,0))</f>
        <v>-0.2</v>
      </c>
      <c r="R113" s="115" cm="1">
        <f t="array" ref="R113">INDEX(股债表现与四个维度!$A:$T,MATCH($A113,股债表现与四个维度!$A:$A,0),MATCH(R$3&amp;R$4,股债表现与四个维度!$2:$2&amp;股债表现与四个维度!$3:$3,0))</f>
        <v>0</v>
      </c>
      <c r="S113" s="115" cm="1">
        <f t="array" ref="S113">INDEX(股债表现与四个维度!$A:$T,MATCH($A113,股债表现与四个维度!$A:$A,0),MATCH(S$3&amp;S$4,股债表现与四个维度!$2:$2&amp;股债表现与四个维度!$3:$3,0))</f>
        <v>-0.66666666666666663</v>
      </c>
      <c r="T113">
        <f>SUMIFS($J113:$S113,$J113:$S113,"&lt;&gt;"&amp;"#N/A",$J$4:$S$4,T$4)</f>
        <v>0.15000000000000002</v>
      </c>
      <c r="U113">
        <f>SUMIFS($J113:$S113,$J113:$S113,"&lt;&gt;"&amp;"#N/A",$J$4:$S$4,U$4)</f>
        <v>-1.2820512820512819</v>
      </c>
      <c r="V113">
        <f t="shared" si="78"/>
        <v>1.4320512820512818</v>
      </c>
      <c r="W113" s="114">
        <f t="shared" si="79"/>
        <v>20.681977302281847</v>
      </c>
      <c r="X113" s="114">
        <f t="shared" si="80"/>
        <v>-2.5086492641341498</v>
      </c>
      <c r="Y113">
        <f t="shared" ref="Y113:AA113" si="94">AVERAGE(V113:V118)</f>
        <v>1.3078427653118057</v>
      </c>
      <c r="Z113">
        <f t="shared" si="94"/>
        <v>13.143962664091916</v>
      </c>
      <c r="AA113">
        <f t="shared" si="94"/>
        <v>-0.57133023300587193</v>
      </c>
    </row>
    <row r="114" spans="1:27" x14ac:dyDescent="0.35">
      <c r="A114" s="106">
        <v>42855</v>
      </c>
      <c r="B114" s="1">
        <v>-2.9368766318630399</v>
      </c>
      <c r="C114" s="1">
        <v>5.4232036613279799</v>
      </c>
      <c r="D114">
        <v>-0.18</v>
      </c>
      <c r="E114" t="s">
        <v>7</v>
      </c>
      <c r="F114" t="s">
        <v>128</v>
      </c>
      <c r="G114" t="s">
        <v>130</v>
      </c>
      <c r="H114" t="s">
        <v>116</v>
      </c>
      <c r="I114" t="s">
        <v>124</v>
      </c>
      <c r="J114" s="115" cm="1">
        <f t="array" ref="J114">INDEX(股债表现与四个维度!$A:$T,MATCH($A114,股债表现与四个维度!$A:$A,0),MATCH(J$3&amp;J$4,股债表现与四个维度!$2:$2&amp;股债表现与四个维度!$3:$3,0))</f>
        <v>4.7619047619047616E-2</v>
      </c>
      <c r="K114" s="115" cm="1">
        <f t="array" ref="K114">INDEX(股债表现与四个维度!$A:$T,MATCH($A114,股债表现与四个维度!$A:$A,0),MATCH(K$3&amp;K$4,股债表现与四个维度!$2:$2&amp;股债表现与四个维度!$3:$3,0))</f>
        <v>0.14285714285714285</v>
      </c>
      <c r="L114" s="115" cm="1">
        <f t="array" ref="L114">INDEX(股债表现与四个维度!$A:$T,MATCH($A114,股债表现与四个维度!$A:$A,0),MATCH(L$3&amp;L$4,股债表现与四个维度!$2:$2&amp;股债表现与四个维度!$3:$3,0))</f>
        <v>0</v>
      </c>
      <c r="M114" s="115" cm="1">
        <f t="array" ref="M114">INDEX(股债表现与四个维度!$A:$T,MATCH($A114,股债表现与四个维度!$A:$A,0),MATCH(M$3&amp;M$4,股债表现与四个维度!$2:$2&amp;股债表现与四个维度!$3:$3,0))</f>
        <v>-0.75</v>
      </c>
      <c r="N114" s="115"/>
      <c r="O114" s="115"/>
      <c r="P114" s="115" cm="1">
        <f t="array" ref="P114">INDEX(股债表现与四个维度!$A:$T,MATCH($A114,股债表现与四个维度!$A:$A,0),MATCH(P$3&amp;P$4,股债表现与四个维度!$2:$2&amp;股债表现与四个维度!$3:$3,0))</f>
        <v>5.128205128205128E-2</v>
      </c>
      <c r="Q114" s="115" cm="1">
        <f t="array" ref="Q114">INDEX(股债表现与四个维度!$A:$T,MATCH($A114,股债表现与四个维度!$A:$A,0),MATCH(Q$3&amp;Q$4,股债表现与四个维度!$2:$2&amp;股债表现与四个维度!$3:$3,0))</f>
        <v>-0.23076923076923078</v>
      </c>
      <c r="R114" s="115" cm="1">
        <f t="array" ref="R114">INDEX(股债表现与四个维度!$A:$T,MATCH($A114,股债表现与四个维度!$A:$A,0),MATCH(R$3&amp;R$4,股债表现与四个维度!$2:$2&amp;股债表现与四个维度!$3:$3,0))</f>
        <v>0.33333333333333331</v>
      </c>
      <c r="S114" s="115" cm="1">
        <f t="array" ref="S114">INDEX(股债表现与四个维度!$A:$T,MATCH($A114,股债表现与四个维度!$A:$A,0),MATCH(S$3&amp;S$4,股债表现与四个维度!$2:$2&amp;股债表现与四个维度!$3:$3,0))</f>
        <v>-0.22222222222222221</v>
      </c>
      <c r="T114">
        <f>SUMIFS($J114:$S114,$J114:$S114,"&lt;&gt;"&amp;"#N/A",$J$4:$S$4,T$4)</f>
        <v>0.4322344322344322</v>
      </c>
      <c r="U114">
        <f>SUMIFS($J114:$S114,$J114:$S114,"&lt;&gt;"&amp;"#N/A",$J$4:$S$4,U$4)</f>
        <v>-1.0601343101343104</v>
      </c>
      <c r="V114">
        <f t="shared" si="78"/>
        <v>1.4923687423687426</v>
      </c>
      <c r="W114" s="114">
        <f t="shared" si="79"/>
        <v>2.48632702946494</v>
      </c>
      <c r="X114" s="114">
        <f t="shared" si="80"/>
        <v>-2.7568766318630398</v>
      </c>
      <c r="Y114">
        <f t="shared" ref="Y114:AA114" si="95">AVERAGE(V114:V119)</f>
        <v>1.1350097976258964</v>
      </c>
      <c r="Z114">
        <f t="shared" si="95"/>
        <v>9.2117918895084916</v>
      </c>
      <c r="AA114">
        <f t="shared" si="95"/>
        <v>0.31418278522603149</v>
      </c>
    </row>
    <row r="115" spans="1:27" x14ac:dyDescent="0.35">
      <c r="A115" s="106">
        <v>42825</v>
      </c>
      <c r="B115" s="1">
        <v>-0.58223235856810196</v>
      </c>
      <c r="C115" s="1">
        <v>2.74179633867249</v>
      </c>
      <c r="D115">
        <v>0.02</v>
      </c>
      <c r="E115" t="s">
        <v>9</v>
      </c>
      <c r="F115" t="s">
        <v>128</v>
      </c>
      <c r="G115" t="s">
        <v>130</v>
      </c>
      <c r="H115" t="s">
        <v>116</v>
      </c>
      <c r="I115" t="s">
        <v>124</v>
      </c>
      <c r="J115" s="115" cm="1">
        <f t="array" ref="J115">INDEX(股债表现与四个维度!$A:$T,MATCH($A115,股债表现与四个维度!$A:$A,0),MATCH(J$3&amp;J$4,股债表现与四个维度!$2:$2&amp;股债表现与四个维度!$3:$3,0))</f>
        <v>0.31818181818181818</v>
      </c>
      <c r="K115" s="115" cm="1">
        <f t="array" ref="K115">INDEX(股债表现与四个维度!$A:$T,MATCH($A115,股债表现与四个维度!$A:$A,0),MATCH(K$3&amp;K$4,股债表现与四个维度!$2:$2&amp;股债表现与四个维度!$3:$3,0))</f>
        <v>-0.27272727272727271</v>
      </c>
      <c r="L115" s="115" cm="1">
        <f t="array" ref="L115">INDEX(股债表现与四个维度!$A:$T,MATCH($A115,股债表现与四个维度!$A:$A,0),MATCH(L$3&amp;L$4,股债表现与四个维度!$2:$2&amp;股债表现与四个维度!$3:$3,0))</f>
        <v>-9.0909090909090912E-2</v>
      </c>
      <c r="M115" s="115" cm="1">
        <f t="array" ref="M115">INDEX(股债表现与四个维度!$A:$T,MATCH($A115,股债表现与四个维度!$A:$A,0),MATCH(M$3&amp;M$4,股债表现与四个维度!$2:$2&amp;股债表现与四个维度!$3:$3,0))</f>
        <v>-0.72727272727272729</v>
      </c>
      <c r="N115" s="115"/>
      <c r="O115" s="115"/>
      <c r="P115" s="115" cm="1">
        <f t="array" ref="P115">INDEX(股债表现与四个维度!$A:$T,MATCH($A115,股债表现与四个维度!$A:$A,0),MATCH(P$3&amp;P$4,股债表现与四个维度!$2:$2&amp;股债表现与四个维度!$3:$3,0))</f>
        <v>2.6315789473684209E-2</v>
      </c>
      <c r="Q115" s="115" cm="1">
        <f t="array" ref="Q115">INDEX(股债表现与四个维度!$A:$T,MATCH($A115,股债表现与四个维度!$A:$A,0),MATCH(Q$3&amp;Q$4,股债表现与四个维度!$2:$2&amp;股债表现与四个维度!$3:$3,0))</f>
        <v>-0.21052631578947367</v>
      </c>
      <c r="R115" s="115" cm="1">
        <f t="array" ref="R115">INDEX(股债表现与四个维度!$A:$T,MATCH($A115,股债表现与四个维度!$A:$A,0),MATCH(R$3&amp;R$4,股债表现与四个维度!$2:$2&amp;股债表现与四个维度!$3:$3,0))</f>
        <v>0.25</v>
      </c>
      <c r="S115" s="115" cm="1">
        <f t="array" ref="S115">INDEX(股债表现与四个维度!$A:$T,MATCH($A115,股债表现与四个维度!$A:$A,0),MATCH(S$3&amp;S$4,股债表现与四个维度!$2:$2&amp;股债表现与四个维度!$3:$3,0))</f>
        <v>-0.125</v>
      </c>
      <c r="T115">
        <f>SUMIFS($J115:$S115,$J115:$S115,"&lt;&gt;"&amp;"#N/A",$J$4:$S$4,T$4)</f>
        <v>0.50358851674641147</v>
      </c>
      <c r="U115">
        <f>SUMIFS($J115:$S115,$J115:$S115,"&lt;&gt;"&amp;"#N/A",$J$4:$S$4,U$4)</f>
        <v>-1.3355263157894737</v>
      </c>
      <c r="V115">
        <f t="shared" si="78"/>
        <v>1.839114832535885</v>
      </c>
      <c r="W115" s="114">
        <f t="shared" si="79"/>
        <v>2.1595639801043882</v>
      </c>
      <c r="X115" s="114">
        <f t="shared" si="80"/>
        <v>-0.60223235856810198</v>
      </c>
      <c r="Y115">
        <f t="shared" ref="Y115:AA115" si="96">AVERAGE(V115:V120)</f>
        <v>0.95503167389777277</v>
      </c>
      <c r="Z115">
        <f t="shared" si="96"/>
        <v>9.0623693896986506</v>
      </c>
      <c r="AA115">
        <f t="shared" si="96"/>
        <v>0.43953853538902649</v>
      </c>
    </row>
    <row r="116" spans="1:27" x14ac:dyDescent="0.35">
      <c r="A116" s="106">
        <v>42794</v>
      </c>
      <c r="B116" s="1">
        <v>1.4484222341550901</v>
      </c>
      <c r="C116" s="1">
        <v>7.6756235697942499</v>
      </c>
      <c r="D116">
        <v>-0.08</v>
      </c>
      <c r="E116" t="s">
        <v>9</v>
      </c>
      <c r="F116" t="s">
        <v>128</v>
      </c>
      <c r="G116" t="s">
        <v>120</v>
      </c>
      <c r="H116" t="s">
        <v>116</v>
      </c>
      <c r="I116" t="s">
        <v>124</v>
      </c>
      <c r="J116" s="115" cm="1">
        <f t="array" ref="J116">INDEX(股债表现与四个维度!$A:$T,MATCH($A116,股债表现与四个维度!$A:$A,0),MATCH(J$3&amp;J$4,股债表现与四个维度!$2:$2&amp;股债表现与四个维度!$3:$3,0))</f>
        <v>0.33333333333333331</v>
      </c>
      <c r="K116" s="115" cm="1">
        <f t="array" ref="K116">INDEX(股债表现与四个维度!$A:$T,MATCH($A116,股债表现与四个维度!$A:$A,0),MATCH(K$3&amp;K$4,股债表现与四个维度!$2:$2&amp;股债表现与四个维度!$3:$3,0))</f>
        <v>-0.23809523809523808</v>
      </c>
      <c r="L116" s="115" cm="1">
        <f t="array" ref="L116">INDEX(股债表现与四个维度!$A:$T,MATCH($A116,股债表现与四个维度!$A:$A,0),MATCH(L$3&amp;L$4,股债表现与四个维度!$2:$2&amp;股债表现与四个维度!$3:$3,0))</f>
        <v>-0.1</v>
      </c>
      <c r="M116" s="115" cm="1">
        <f t="array" ref="M116">INDEX(股债表现与四个维度!$A:$T,MATCH($A116,股债表现与四个维度!$A:$A,0),MATCH(M$3&amp;M$4,股债表现与四个维度!$2:$2&amp;股债表现与四个维度!$3:$3,0))</f>
        <v>-0.7</v>
      </c>
      <c r="N116" s="115"/>
      <c r="O116" s="115"/>
      <c r="P116" s="115" cm="1">
        <f t="array" ref="P116">INDEX(股债表现与四个维度!$A:$T,MATCH($A116,股债表现与四个维度!$A:$A,0),MATCH(P$3&amp;P$4,股债表现与四个维度!$2:$2&amp;股债表现与四个维度!$3:$3,0))</f>
        <v>2.7027027027027029E-2</v>
      </c>
      <c r="Q116" s="115" cm="1">
        <f t="array" ref="Q116">INDEX(股债表现与四个维度!$A:$T,MATCH($A116,股债表现与四个维度!$A:$A,0),MATCH(Q$3&amp;Q$4,股债表现与四个维度!$2:$2&amp;股债表现与四个维度!$3:$3,0))</f>
        <v>-0.1891891891891892</v>
      </c>
      <c r="R116" s="115" cm="1">
        <f t="array" ref="R116">INDEX(股债表现与四个维度!$A:$T,MATCH($A116,股债表现与四个维度!$A:$A,0),MATCH(R$3&amp;R$4,股债表现与四个维度!$2:$2&amp;股债表现与四个维度!$3:$3,0))</f>
        <v>0.2857142857142857</v>
      </c>
      <c r="S116" s="115" cm="1">
        <f t="array" ref="S116">INDEX(股债表现与四个维度!$A:$T,MATCH($A116,股债表现与四个维度!$A:$A,0),MATCH(S$3&amp;S$4,股债表现与四个维度!$2:$2&amp;股债表现与四个维度!$3:$3,0))</f>
        <v>0</v>
      </c>
      <c r="T116">
        <f>SUMIFS($J116:$S116,$J116:$S116,"&lt;&gt;"&amp;"#N/A",$J$4:$S$4,T$4)</f>
        <v>0.54607464607464606</v>
      </c>
      <c r="U116">
        <f>SUMIFS($J116:$S116,$J116:$S116,"&lt;&gt;"&amp;"#N/A",$J$4:$S$4,U$4)</f>
        <v>-1.1272844272844273</v>
      </c>
      <c r="V116">
        <f t="shared" si="78"/>
        <v>1.6733590733590735</v>
      </c>
      <c r="W116" s="114">
        <f t="shared" si="79"/>
        <v>9.1240458039493397</v>
      </c>
      <c r="X116" s="114">
        <f t="shared" si="80"/>
        <v>1.5284222341550902</v>
      </c>
      <c r="Y116">
        <f t="shared" ref="Y116:AA116" si="97">AVERAGE(V116:V121)</f>
        <v>0.91551202310902202</v>
      </c>
      <c r="Z116">
        <f t="shared" si="97"/>
        <v>7.8778127199879755</v>
      </c>
      <c r="AA116">
        <f t="shared" si="97"/>
        <v>1.190878218880095</v>
      </c>
    </row>
    <row r="117" spans="1:27" x14ac:dyDescent="0.35">
      <c r="A117" s="106">
        <v>42735</v>
      </c>
      <c r="B117" s="1">
        <v>-5.3595768901968697</v>
      </c>
      <c r="C117" s="1">
        <v>32.072173913043002</v>
      </c>
      <c r="D117">
        <v>-1.71</v>
      </c>
      <c r="E117" t="s">
        <v>9</v>
      </c>
      <c r="F117" t="s">
        <v>112</v>
      </c>
      <c r="G117" t="s">
        <v>120</v>
      </c>
      <c r="H117" t="s">
        <v>116</v>
      </c>
      <c r="I117" t="s">
        <v>124</v>
      </c>
      <c r="J117" s="115" cm="1">
        <f t="array" ref="J117">INDEX(股债表现与四个维度!$A:$T,MATCH($A117,股债表现与四个维度!$A:$A,0),MATCH(J$3&amp;J$4,股债表现与四个维度!$2:$2&amp;股债表现与四个维度!$3:$3,0))</f>
        <v>0.36842105263157893</v>
      </c>
      <c r="K117" s="115" cm="1">
        <f t="array" ref="K117">INDEX(股债表现与四个维度!$A:$T,MATCH($A117,股债表现与四个维度!$A:$A,0),MATCH(K$3&amp;K$4,股债表现与四个维度!$2:$2&amp;股债表现与四个维度!$3:$3,0))</f>
        <v>-0.15789473684210525</v>
      </c>
      <c r="L117" s="115" cm="1">
        <f t="array" ref="L117">INDEX(股债表现与四个维度!$A:$T,MATCH($A117,股债表现与四个维度!$A:$A,0),MATCH(L$3&amp;L$4,股债表现与四个维度!$2:$2&amp;股债表现与四个维度!$3:$3,0))</f>
        <v>0.61904761904761907</v>
      </c>
      <c r="M117" s="115" cm="1">
        <f t="array" ref="M117">INDEX(股债表现与四个维度!$A:$T,MATCH($A117,股债表现与四个维度!$A:$A,0),MATCH(M$3&amp;M$4,股债表现与四个维度!$2:$2&amp;股债表现与四个维度!$3:$3,0))</f>
        <v>0.2857142857142857</v>
      </c>
      <c r="N117" s="115"/>
      <c r="O117" s="115"/>
      <c r="P117" s="115" cm="1">
        <f t="array" ref="P117">INDEX(股债表现与四个维度!$A:$T,MATCH($A117,股债表现与四个维度!$A:$A,0),MATCH(P$3&amp;P$4,股债表现与四个维度!$2:$2&amp;股债表现与四个维度!$3:$3,0))</f>
        <v>2.8571428571428571E-2</v>
      </c>
      <c r="Q117" s="115" cm="1">
        <f t="array" ref="Q117">INDEX(股债表现与四个维度!$A:$T,MATCH($A117,股债表现与四个维度!$A:$A,0),MATCH(Q$3&amp;Q$4,股债表现与四个维度!$2:$2&amp;股债表现与四个维度!$3:$3,0))</f>
        <v>-0.14285714285714285</v>
      </c>
      <c r="R117" s="115" cm="1">
        <f t="array" ref="R117">INDEX(股债表现与四个维度!$A:$T,MATCH($A117,股债表现与四个维度!$A:$A,0),MATCH(R$3&amp;R$4,股债表现与四个维度!$2:$2&amp;股债表现与四个维度!$3:$3,0))</f>
        <v>0.4</v>
      </c>
      <c r="S117" s="115" cm="1">
        <f t="array" ref="S117">INDEX(股债表现与四个维度!$A:$T,MATCH($A117,股债表现与四个维度!$A:$A,0),MATCH(S$3&amp;S$4,股债表现与四个维度!$2:$2&amp;股债表现与四个维度!$3:$3,0))</f>
        <v>0.4</v>
      </c>
      <c r="T117">
        <f>SUMIFS($J117:$S117,$J117:$S117,"&lt;&gt;"&amp;"#N/A",$J$4:$S$4,T$4)</f>
        <v>1.4160401002506267</v>
      </c>
      <c r="U117">
        <f>SUMIFS($J117:$S117,$J117:$S117,"&lt;&gt;"&amp;"#N/A",$J$4:$S$4,U$4)</f>
        <v>0.38496240601503762</v>
      </c>
      <c r="V117">
        <f t="shared" si="78"/>
        <v>1.031077694235589</v>
      </c>
      <c r="W117" s="114">
        <f t="shared" si="79"/>
        <v>26.712597022846133</v>
      </c>
      <c r="X117" s="114">
        <f t="shared" si="80"/>
        <v>-3.6495768901968697</v>
      </c>
      <c r="Y117">
        <f t="shared" ref="Y117:AA117" si="98">AVERAGE(V117:V122)</f>
        <v>0.89302910062609941</v>
      </c>
      <c r="Z117">
        <f t="shared" si="98"/>
        <v>4.2306656801023594</v>
      </c>
      <c r="AA117">
        <f t="shared" si="98"/>
        <v>0.95228748824601983</v>
      </c>
    </row>
    <row r="118" spans="1:27" x14ac:dyDescent="0.35">
      <c r="A118" s="106">
        <v>42704</v>
      </c>
      <c r="B118" s="1">
        <v>3.94093151257184</v>
      </c>
      <c r="C118" s="1">
        <v>13.758333333333001</v>
      </c>
      <c r="D118">
        <v>-0.62</v>
      </c>
      <c r="E118" t="s">
        <v>9</v>
      </c>
      <c r="F118" t="s">
        <v>125</v>
      </c>
      <c r="G118" t="s">
        <v>120</v>
      </c>
      <c r="H118" t="s">
        <v>116</v>
      </c>
      <c r="I118" t="s">
        <v>124</v>
      </c>
      <c r="J118" s="115" cm="1">
        <f t="array" ref="J118">INDEX(股债表现与四个维度!$A:$T,MATCH($A118,股债表现与四个维度!$A:$A,0),MATCH(J$3&amp;J$4,股债表现与四个维度!$2:$2&amp;股债表现与四个维度!$3:$3,0))</f>
        <v>0.33333333333333331</v>
      </c>
      <c r="K118" s="115" cm="1">
        <f t="array" ref="K118">INDEX(股债表现与四个维度!$A:$T,MATCH($A118,股债表现与四个维度!$A:$A,0),MATCH(K$3&amp;K$4,股债表现与四个维度!$2:$2&amp;股债表现与四个维度!$3:$3,0))</f>
        <v>-0.22222222222222221</v>
      </c>
      <c r="L118" s="115" cm="1">
        <f t="array" ref="L118">INDEX(股债表现与四个维度!$A:$T,MATCH($A118,股债表现与四个维度!$A:$A,0),MATCH(L$3&amp;L$4,股债表现与四个维度!$2:$2&amp;股债表现与四个维度!$3:$3,0))</f>
        <v>-0.17647058823529413</v>
      </c>
      <c r="M118" s="115" cm="1">
        <f t="array" ref="M118">INDEX(股债表现与四个维度!$A:$T,MATCH($A118,股债表现与四个维度!$A:$A,0),MATCH(M$3&amp;M$4,股债表现与四个维度!$2:$2&amp;股债表现与四个维度!$3:$3,0))</f>
        <v>0.17647058823529413</v>
      </c>
      <c r="N118" s="115"/>
      <c r="O118" s="115"/>
      <c r="P118" s="115" cm="1">
        <f t="array" ref="P118">INDEX(股债表现与四个维度!$A:$T,MATCH($A118,股债表现与四个维度!$A:$A,0),MATCH(P$3&amp;P$4,股债表现与四个维度!$2:$2&amp;股债表现与四个维度!$3:$3,0))</f>
        <v>0</v>
      </c>
      <c r="Q118" s="115" cm="1">
        <f t="array" ref="Q118">INDEX(股债表现与四个维度!$A:$T,MATCH($A118,股债表现与四个维度!$A:$A,0),MATCH(Q$3&amp;Q$4,股债表现与四个维度!$2:$2&amp;股债表现与四个维度!$3:$3,0))</f>
        <v>-0.17647058823529413</v>
      </c>
      <c r="R118" s="115" cm="1">
        <f t="array" ref="R118">INDEX(股债表现与四个维度!$A:$T,MATCH($A118,股债表现与四个维度!$A:$A,0),MATCH(R$3&amp;R$4,股债表现与四个维度!$2:$2&amp;股债表现与四个维度!$3:$3,0))</f>
        <v>0.25</v>
      </c>
      <c r="S118" s="115" cm="1">
        <f t="array" ref="S118">INDEX(股债表现与四个维度!$A:$T,MATCH($A118,股债表现与四个维度!$A:$A,0),MATCH(S$3&amp;S$4,股债表现与四个维度!$2:$2&amp;股债表现与四个维度!$3:$3,0))</f>
        <v>0.25</v>
      </c>
      <c r="T118">
        <f>SUMIFS($J118:$S118,$J118:$S118,"&lt;&gt;"&amp;"#N/A",$J$4:$S$4,T$4)</f>
        <v>0.40686274509803921</v>
      </c>
      <c r="U118">
        <f>SUMIFS($J118:$S118,$J118:$S118,"&lt;&gt;"&amp;"#N/A",$J$4:$S$4,U$4)</f>
        <v>2.777777777777779E-2</v>
      </c>
      <c r="V118">
        <f t="shared" si="78"/>
        <v>0.37908496732026142</v>
      </c>
      <c r="W118" s="114">
        <f t="shared" si="79"/>
        <v>17.699264845904843</v>
      </c>
      <c r="X118" s="114">
        <f t="shared" si="80"/>
        <v>4.5609315125718402</v>
      </c>
      <c r="Y118">
        <f t="shared" ref="Y118:AA118" si="99">AVERAGE(V118:V123)</f>
        <v>0.91936289488185385</v>
      </c>
      <c r="Z118">
        <f t="shared" si="99"/>
        <v>0.67102401117120358</v>
      </c>
      <c r="AA118">
        <f t="shared" si="99"/>
        <v>2.0038811540283663</v>
      </c>
    </row>
    <row r="119" spans="1:27" x14ac:dyDescent="0.35">
      <c r="A119" s="106">
        <v>42674</v>
      </c>
      <c r="B119" s="1">
        <v>3.1544288452572702</v>
      </c>
      <c r="C119" s="1">
        <v>-6.0654761904759704</v>
      </c>
      <c r="D119">
        <v>0.35</v>
      </c>
      <c r="E119" t="s">
        <v>9</v>
      </c>
      <c r="F119" t="s">
        <v>125</v>
      </c>
      <c r="G119" t="s">
        <v>120</v>
      </c>
      <c r="H119" t="s">
        <v>116</v>
      </c>
      <c r="I119" t="s">
        <v>124</v>
      </c>
      <c r="J119" s="115" cm="1">
        <f t="array" ref="J119">INDEX(股债表现与四个维度!$A:$T,MATCH($A119,股债表现与四个维度!$A:$A,0),MATCH(J$3&amp;J$4,股债表现与四个维度!$2:$2&amp;股债表现与四个维度!$3:$3,0))</f>
        <v>0.41176470588235292</v>
      </c>
      <c r="K119" s="115" cm="1">
        <f t="array" ref="K119">INDEX(股债表现与四个维度!$A:$T,MATCH($A119,股债表现与四个维度!$A:$A,0),MATCH(K$3&amp;K$4,股债表现与四个维度!$2:$2&amp;股债表现与四个维度!$3:$3,0))</f>
        <v>-0.17647058823529413</v>
      </c>
      <c r="L119" s="115" cm="1">
        <f t="array" ref="L119">INDEX(股债表现与四个维度!$A:$T,MATCH($A119,股债表现与四个维度!$A:$A,0),MATCH(L$3&amp;L$4,股债表现与四个维度!$2:$2&amp;股债表现与四个维度!$3:$3,0))</f>
        <v>-0.125</v>
      </c>
      <c r="M119" s="115" cm="1">
        <f t="array" ref="M119">INDEX(股债表现与四个维度!$A:$T,MATCH($A119,股债表现与四个维度!$A:$A,0),MATCH(M$3&amp;M$4,股债表现与四个维度!$2:$2&amp;股债表现与四个维度!$3:$3,0))</f>
        <v>0.25</v>
      </c>
      <c r="N119" s="115"/>
      <c r="O119" s="115"/>
      <c r="P119" s="115" cm="1">
        <f t="array" ref="P119">INDEX(股债表现与四个维度!$A:$T,MATCH($A119,股债表现与四个维度!$A:$A,0),MATCH(P$3&amp;P$4,股债表现与四个维度!$2:$2&amp;股债表现与四个维度!$3:$3,0))</f>
        <v>3.0303030303030304E-2</v>
      </c>
      <c r="Q119" s="115" cm="1">
        <f t="array" ref="Q119">INDEX(股债表现与四个维度!$A:$T,MATCH($A119,股债表现与四个维度!$A:$A,0),MATCH(Q$3&amp;Q$4,股债表现与四个维度!$2:$2&amp;股债表现与四个维度!$3:$3,0))</f>
        <v>-0.15151515151515152</v>
      </c>
      <c r="R119" s="115" cm="1">
        <f t="array" ref="R119">INDEX(股债表现与四个维度!$A:$T,MATCH($A119,股债表现与四个维度!$A:$A,0),MATCH(R$3&amp;R$4,股债表现与四个维度!$2:$2&amp;股债表现与四个维度!$3:$3,0))</f>
        <v>0.66666666666666663</v>
      </c>
      <c r="S119" s="115" cm="1">
        <f t="array" ref="S119">INDEX(股债表现与四个维度!$A:$T,MATCH($A119,股债表现与四个维度!$A:$A,0),MATCH(S$3&amp;S$4,股债表现与四个维度!$2:$2&amp;股债表现与四个维度!$3:$3,0))</f>
        <v>0.66666666666666663</v>
      </c>
      <c r="T119">
        <f>SUMIFS($J119:$S119,$J119:$S119,"&lt;&gt;"&amp;"#N/A",$J$4:$S$4,T$4)</f>
        <v>0.98373440285204983</v>
      </c>
      <c r="U119">
        <f>SUMIFS($J119:$S119,$J119:$S119,"&lt;&gt;"&amp;"#N/A",$J$4:$S$4,U$4)</f>
        <v>0.58868092691622098</v>
      </c>
      <c r="V119">
        <f t="shared" si="78"/>
        <v>0.39505347593582885</v>
      </c>
      <c r="W119" s="114">
        <f t="shared" si="79"/>
        <v>-2.9110473452187002</v>
      </c>
      <c r="X119" s="114">
        <f t="shared" si="80"/>
        <v>2.8044288452572701</v>
      </c>
      <c r="Y119">
        <f t="shared" ref="Y119:AA119" si="100">AVERAGE(V119:V124)</f>
        <v>1.0354389212519979</v>
      </c>
      <c r="Z119">
        <f t="shared" si="100"/>
        <v>-1.9998989977065944</v>
      </c>
      <c r="AA119">
        <f t="shared" si="100"/>
        <v>1.094823224515568</v>
      </c>
    </row>
    <row r="120" spans="1:27" x14ac:dyDescent="0.35">
      <c r="A120" s="106">
        <v>42643</v>
      </c>
      <c r="B120" s="1">
        <v>-1.7347421308850699</v>
      </c>
      <c r="C120" s="1">
        <v>3.3245341614909698</v>
      </c>
      <c r="D120">
        <v>0.27</v>
      </c>
      <c r="E120" t="s">
        <v>9</v>
      </c>
      <c r="F120" t="s">
        <v>125</v>
      </c>
      <c r="G120" t="s">
        <v>120</v>
      </c>
      <c r="H120" t="s">
        <v>116</v>
      </c>
      <c r="I120" t="s">
        <v>124</v>
      </c>
      <c r="J120" s="115" cm="1">
        <f t="array" ref="J120">INDEX(股债表现与四个维度!$A:$T,MATCH($A120,股债表现与四个维度!$A:$A,0),MATCH(J$3&amp;J$4,股债表现与四个维度!$2:$2&amp;股债表现与四个维度!$3:$3,0))</f>
        <v>0.375</v>
      </c>
      <c r="K120" s="115" cm="1">
        <f t="array" ref="K120">INDEX(股债表现与四个维度!$A:$T,MATCH($A120,股债表现与四个维度!$A:$A,0),MATCH(K$3&amp;K$4,股债表现与四个维度!$2:$2&amp;股债表现与四个维度!$3:$3,0))</f>
        <v>-0.25</v>
      </c>
      <c r="L120" s="115" cm="1">
        <f t="array" ref="L120">INDEX(股债表现与四个维度!$A:$T,MATCH($A120,股债表现与四个维度!$A:$A,0),MATCH(L$3&amp;L$4,股债表现与四个维度!$2:$2&amp;股债表现与四个维度!$3:$3,0))</f>
        <v>-0.2</v>
      </c>
      <c r="M120" s="115" cm="1">
        <f t="array" ref="M120">INDEX(股债表现与四个维度!$A:$T,MATCH($A120,股债表现与四个维度!$A:$A,0),MATCH(M$3&amp;M$4,股债表现与四个维度!$2:$2&amp;股债表现与四个维度!$3:$3,0))</f>
        <v>0.2</v>
      </c>
      <c r="N120" s="115"/>
      <c r="O120" s="115"/>
      <c r="P120" s="115" cm="1">
        <f t="array" ref="P120">INDEX(股债表现与四个维度!$A:$T,MATCH($A120,股债表现与四个维度!$A:$A,0),MATCH(P$3&amp;P$4,股债表现与四个维度!$2:$2&amp;股债表现与四个维度!$3:$3,0))</f>
        <v>0</v>
      </c>
      <c r="Q120" s="115" cm="1">
        <f t="array" ref="Q120">INDEX(股债表现与四个维度!$A:$T,MATCH($A120,股债表现与四个维度!$A:$A,0),MATCH(Q$3&amp;Q$4,股债表现与四个维度!$2:$2&amp;股债表现与四个维度!$3:$3,0))</f>
        <v>-0.1875</v>
      </c>
      <c r="R120" s="115" cm="1">
        <f t="array" ref="R120">INDEX(股债表现与四个维度!$A:$T,MATCH($A120,股债表现与四个维度!$A:$A,0),MATCH(R$3&amp;R$4,股债表现与四个维度!$2:$2&amp;股债表现与四个维度!$3:$3,0))</f>
        <v>0.5</v>
      </c>
      <c r="S120" s="115" cm="1">
        <f t="array" ref="S120">INDEX(股债表现与四个维度!$A:$T,MATCH($A120,股债表现与四个维度!$A:$A,0),MATCH(S$3&amp;S$4,股债表现与四个维度!$2:$2&amp;股债表现与四个维度!$3:$3,0))</f>
        <v>0.5</v>
      </c>
      <c r="T120">
        <f>SUMIFS($J120:$S120,$J120:$S120,"&lt;&gt;"&amp;"#N/A",$J$4:$S$4,T$4)</f>
        <v>0.67500000000000004</v>
      </c>
      <c r="U120">
        <f>SUMIFS($J120:$S120,$J120:$S120,"&lt;&gt;"&amp;"#N/A",$J$4:$S$4,U$4)</f>
        <v>0.26250000000000001</v>
      </c>
      <c r="V120">
        <f t="shared" si="78"/>
        <v>0.41250000000000003</v>
      </c>
      <c r="W120" s="114">
        <f t="shared" si="79"/>
        <v>1.5897920306058999</v>
      </c>
      <c r="X120" s="114">
        <f t="shared" si="80"/>
        <v>-2.0047421308850701</v>
      </c>
      <c r="Y120">
        <f t="shared" ref="Y120:AA120" si="101">AVERAGE(V120:V125)</f>
        <v>1.0185304575298086</v>
      </c>
      <c r="Z120">
        <f t="shared" si="101"/>
        <v>-0.97764121455676245</v>
      </c>
      <c r="AA120">
        <f t="shared" si="101"/>
        <v>0.49406685997740446</v>
      </c>
    </row>
    <row r="121" spans="1:27" x14ac:dyDescent="0.35">
      <c r="A121" s="106">
        <v>42613</v>
      </c>
      <c r="B121" s="1">
        <v>4.7258057423783102</v>
      </c>
      <c r="C121" s="1">
        <v>-9.6735817805379707</v>
      </c>
      <c r="D121">
        <v>0.82</v>
      </c>
      <c r="E121" t="s">
        <v>9</v>
      </c>
      <c r="F121" t="s">
        <v>125</v>
      </c>
      <c r="G121" t="s">
        <v>130</v>
      </c>
      <c r="H121" t="s">
        <v>116</v>
      </c>
      <c r="I121" t="s">
        <v>124</v>
      </c>
      <c r="J121" s="115" cm="1">
        <f t="array" ref="J121">INDEX(股债表现与四个维度!$A:$T,MATCH($A121,股债表现与四个维度!$A:$A,0),MATCH(J$3&amp;J$4,股债表现与四个维度!$2:$2&amp;股债表现与四个维度!$3:$3,0))</f>
        <v>0.4</v>
      </c>
      <c r="K121" s="115" cm="1">
        <f t="array" ref="K121">INDEX(股债表现与四个维度!$A:$T,MATCH($A121,股债表现与四个维度!$A:$A,0),MATCH(K$3&amp;K$4,股债表现与四个维度!$2:$2&amp;股债表现与四个维度!$3:$3,0))</f>
        <v>-0.33333333333333331</v>
      </c>
      <c r="L121" s="115" cm="1">
        <f t="array" ref="L121">INDEX(股债表现与四个维度!$A:$T,MATCH($A121,股债表现与四个维度!$A:$A,0),MATCH(L$3&amp;L$4,股债表现与四个维度!$2:$2&amp;股债表现与四个维度!$3:$3,0))</f>
        <v>-0.21428571428571427</v>
      </c>
      <c r="M121" s="115" cm="1">
        <f t="array" ref="M121">INDEX(股债表现与四个维度!$A:$T,MATCH($A121,股债表现与四个维度!$A:$A,0),MATCH(M$3&amp;M$4,股债表现与四个维度!$2:$2&amp;股债表现与四个维度!$3:$3,0))</f>
        <v>0.14285714285714285</v>
      </c>
      <c r="N121" s="115"/>
      <c r="O121" s="115"/>
      <c r="P121" s="115" cm="1">
        <f t="array" ref="P121">INDEX(股债表现与四个维度!$A:$T,MATCH($A121,股债表现与四个维度!$A:$A,0),MATCH(P$3&amp;P$4,股债表现与四个维度!$2:$2&amp;股债表现与四个维度!$3:$3,0))</f>
        <v>0</v>
      </c>
      <c r="Q121" s="115" cm="1">
        <f t="array" ref="Q121">INDEX(股债表现与四个维度!$A:$T,MATCH($A121,股债表现与四个维度!$A:$A,0),MATCH(Q$3&amp;Q$4,股债表现与四个维度!$2:$2&amp;股债表现与四个维度!$3:$3,0))</f>
        <v>-0.22580645161290322</v>
      </c>
      <c r="R121" s="115" cm="1">
        <f t="array" ref="R121">INDEX(股债表现与四个维度!$A:$T,MATCH($A121,股债表现与四个维度!$A:$A,0),MATCH(R$3&amp;R$4,股债表现与四个维度!$2:$2&amp;股债表现与四个维度!$3:$3,0))</f>
        <v>1</v>
      </c>
      <c r="S121" s="115" cm="1">
        <f t="array" ref="S121">INDEX(股债表现与四个维度!$A:$T,MATCH($A121,股债表现与四个维度!$A:$A,0),MATCH(S$3&amp;S$4,股债表现与四个维度!$2:$2&amp;股债表现与四个维度!$3:$3,0))</f>
        <v>0</v>
      </c>
      <c r="T121">
        <f>SUMIFS($J121:$S121,$J121:$S121,"&lt;&gt;"&amp;"#N/A",$J$4:$S$4,T$4)</f>
        <v>1.1857142857142857</v>
      </c>
      <c r="U121">
        <f>SUMIFS($J121:$S121,$J121:$S121,"&lt;&gt;"&amp;"#N/A",$J$4:$S$4,U$4)</f>
        <v>-0.41628264208909371</v>
      </c>
      <c r="V121">
        <f t="shared" si="78"/>
        <v>1.6019969278033794</v>
      </c>
      <c r="W121" s="114">
        <f t="shared" si="79"/>
        <v>-4.9477760381596605</v>
      </c>
      <c r="X121" s="114">
        <f t="shared" si="80"/>
        <v>3.9058057423783104</v>
      </c>
      <c r="Y121">
        <f t="shared" ref="Y121:AA121" si="102">AVERAGE(V121:V126)</f>
        <v>1.0015157592651105</v>
      </c>
      <c r="Z121">
        <f t="shared" si="102"/>
        <v>1.8145749397948692</v>
      </c>
      <c r="AA121">
        <f t="shared" si="102"/>
        <v>3.356561453482533</v>
      </c>
    </row>
    <row r="122" spans="1:27" x14ac:dyDescent="0.35">
      <c r="A122" s="106">
        <v>42582</v>
      </c>
      <c r="B122" s="1">
        <v>0.52687785035063806</v>
      </c>
      <c r="C122" s="1">
        <v>-13.285714285715001</v>
      </c>
      <c r="D122">
        <v>0.43</v>
      </c>
      <c r="E122" t="s">
        <v>9</v>
      </c>
      <c r="F122" t="s">
        <v>125</v>
      </c>
      <c r="G122" t="s">
        <v>130</v>
      </c>
      <c r="H122" t="s">
        <v>116</v>
      </c>
      <c r="I122" t="s">
        <v>124</v>
      </c>
      <c r="J122" s="115" cm="1">
        <f t="array" ref="J122">INDEX(股债表现与四个维度!$A:$T,MATCH($A122,股债表现与四个维度!$A:$A,0),MATCH(J$3&amp;J$4,股债表现与四个维度!$2:$2&amp;股债表现与四个维度!$3:$3,0))</f>
        <v>0.4</v>
      </c>
      <c r="K122" s="115" cm="1">
        <f t="array" ref="K122">INDEX(股债表现与四个维度!$A:$T,MATCH($A122,股债表现与四个维度!$A:$A,0),MATCH(K$3&amp;K$4,股债表现与四个维度!$2:$2&amp;股债表现与四个维度!$3:$3,0))</f>
        <v>-0.4</v>
      </c>
      <c r="L122" s="115" cm="1">
        <f t="array" ref="L122">INDEX(股债表现与四个维度!$A:$T,MATCH($A122,股债表现与四个维度!$A:$A,0),MATCH(L$3&amp;L$4,股债表现与四个维度!$2:$2&amp;股债表现与四个维度!$3:$3,0))</f>
        <v>-0.30769230769230771</v>
      </c>
      <c r="M122" s="115" cm="1">
        <f t="array" ref="M122">INDEX(股债表现与四个维度!$A:$T,MATCH($A122,股债表现与四个维度!$A:$A,0),MATCH(M$3&amp;M$4,股债表现与四个维度!$2:$2&amp;股债表现与四个维度!$3:$3,0))</f>
        <v>0.15384615384615385</v>
      </c>
      <c r="N122" s="115"/>
      <c r="O122" s="115"/>
      <c r="P122" s="115" cm="1">
        <f t="array" ref="P122">INDEX(股债表现与四个维度!$A:$T,MATCH($A122,股债表现与四个维度!$A:$A,0),MATCH(P$3&amp;P$4,股债表现与四个维度!$2:$2&amp;股债表现与四个维度!$3:$3,0))</f>
        <v>-3.3333333333333333E-2</v>
      </c>
      <c r="Q122" s="115" cm="1">
        <f t="array" ref="Q122">INDEX(股债表现与四个维度!$A:$T,MATCH($A122,股债表现与四个维度!$A:$A,0),MATCH(Q$3&amp;Q$4,股债表现与四个维度!$2:$2&amp;股债表现与四个维度!$3:$3,0))</f>
        <v>-0.23333333333333334</v>
      </c>
      <c r="R122" s="115" cm="1">
        <f t="array" ref="R122">INDEX(股债表现与四个维度!$A:$T,MATCH($A122,股债表现与四个维度!$A:$A,0),MATCH(R$3&amp;R$4,股债表现与四个维度!$2:$2&amp;股债表现与四个维度!$3:$3,0))</f>
        <v>1</v>
      </c>
      <c r="S122" s="115" cm="1">
        <f t="array" ref="S122">INDEX(股债表现与四个维度!$A:$T,MATCH($A122,股债表现与四个维度!$A:$A,0),MATCH(S$3&amp;S$4,股债表现与四个维度!$2:$2&amp;股债表现与四个维度!$3:$3,0))</f>
        <v>0</v>
      </c>
      <c r="T122">
        <f>SUMIFS($J122:$S122,$J122:$S122,"&lt;&gt;"&amp;"#N/A",$J$4:$S$4,T$4)</f>
        <v>1.058974358974359</v>
      </c>
      <c r="U122">
        <f>SUMIFS($J122:$S122,$J122:$S122,"&lt;&gt;"&amp;"#N/A",$J$4:$S$4,U$4)</f>
        <v>-0.4794871794871795</v>
      </c>
      <c r="V122">
        <f t="shared" si="78"/>
        <v>1.5384615384615385</v>
      </c>
      <c r="W122" s="114">
        <f t="shared" si="79"/>
        <v>-12.758836435364362</v>
      </c>
      <c r="X122" s="114">
        <f t="shared" si="80"/>
        <v>9.6877850350638062E-2</v>
      </c>
      <c r="Y122">
        <f t="shared" ref="Y122:AA122" si="103">AVERAGE(V122:V127)</f>
        <v>0.83566345744506665</v>
      </c>
      <c r="Z122">
        <f t="shared" si="103"/>
        <v>-0.67230997131435422</v>
      </c>
      <c r="AA122">
        <f t="shared" si="103"/>
        <v>0.17199936558473125</v>
      </c>
    </row>
    <row r="123" spans="1:27" x14ac:dyDescent="0.35">
      <c r="A123" s="106">
        <v>42551</v>
      </c>
      <c r="B123" s="1">
        <v>3.4699851044972099</v>
      </c>
      <c r="C123" s="1">
        <v>1.8847619047619899</v>
      </c>
      <c r="D123">
        <v>0.81</v>
      </c>
      <c r="E123" t="s">
        <v>9</v>
      </c>
      <c r="F123" t="s">
        <v>125</v>
      </c>
      <c r="G123" t="s">
        <v>130</v>
      </c>
      <c r="H123" t="s">
        <v>116</v>
      </c>
      <c r="I123" t="s">
        <v>124</v>
      </c>
      <c r="J123" s="115" cm="1">
        <f t="array" ref="J123">INDEX(股债表现与四个维度!$A:$T,MATCH($A123,股债表现与四个维度!$A:$A,0),MATCH(J$3&amp;J$4,股债表现与四个维度!$2:$2&amp;股债表现与四个维度!$3:$3,0))</f>
        <v>0.33333333333333331</v>
      </c>
      <c r="K123" s="115" cm="1">
        <f t="array" ref="K123">INDEX(股债表现与四个维度!$A:$T,MATCH($A123,股债表现与四个维度!$A:$A,0),MATCH(K$3&amp;K$4,股债表现与四个维度!$2:$2&amp;股债表现与四个维度!$3:$3,0))</f>
        <v>-0.26666666666666666</v>
      </c>
      <c r="L123" s="115" cm="1">
        <f t="array" ref="L123">INDEX(股债表现与四个维度!$A:$T,MATCH($A123,股债表现与四个维度!$A:$A,0),MATCH(L$3&amp;L$4,股债表现与四个维度!$2:$2&amp;股债表现与四个维度!$3:$3,0))</f>
        <v>-0.33333333333333331</v>
      </c>
      <c r="M123" s="115" cm="1">
        <f t="array" ref="M123">INDEX(股债表现与四个维度!$A:$T,MATCH($A123,股债表现与四个维度!$A:$A,0),MATCH(M$3&amp;M$4,股债表现与四个维度!$2:$2&amp;股债表现与四个维度!$3:$3,0))</f>
        <v>0.25</v>
      </c>
      <c r="N123" s="115"/>
      <c r="O123" s="115"/>
      <c r="P123" s="115" cm="1">
        <f t="array" ref="P123">INDEX(股债表现与四个维度!$A:$T,MATCH($A123,股债表现与四个维度!$A:$A,0),MATCH(P$3&amp;P$4,股债表现与四个维度!$2:$2&amp;股债表现与四个维度!$3:$3,0))</f>
        <v>-3.4482758620689655E-2</v>
      </c>
      <c r="Q123" s="115" cm="1">
        <f t="array" ref="Q123">INDEX(股债表现与四个维度!$A:$T,MATCH($A123,股债表现与四个维度!$A:$A,0),MATCH(Q$3&amp;Q$4,股债表现与四个维度!$2:$2&amp;股债表现与四个维度!$3:$3,0))</f>
        <v>-0.20689655172413793</v>
      </c>
      <c r="R123" s="115" cm="1">
        <f t="array" ref="R123">INDEX(股债表现与四个维度!$A:$T,MATCH($A123,股债表现与四个维度!$A:$A,0),MATCH(R$3&amp;R$4,股债表现与四个维度!$2:$2&amp;股债表现与四个维度!$3:$3,0))</f>
        <v>1</v>
      </c>
      <c r="S123" s="115" cm="1">
        <f t="array" ref="S123">INDEX(股债表现与四个维度!$A:$T,MATCH($A123,股债表现与四个维度!$A:$A,0),MATCH(S$3&amp;S$4,股债表现与四个维度!$2:$2&amp;股债表现与四个维度!$3:$3,0))</f>
        <v>0</v>
      </c>
      <c r="T123">
        <f>SUMIFS($J123:$S123,$J123:$S123,"&lt;&gt;"&amp;"#N/A",$J$4:$S$4,T$4)</f>
        <v>0.96551724137931039</v>
      </c>
      <c r="U123">
        <f>SUMIFS($J123:$S123,$J123:$S123,"&lt;&gt;"&amp;"#N/A",$J$4:$S$4,U$4)</f>
        <v>-0.22356321839080459</v>
      </c>
      <c r="V123">
        <f t="shared" si="78"/>
        <v>1.189080459770115</v>
      </c>
      <c r="W123" s="114">
        <f t="shared" si="79"/>
        <v>5.3547470092591993</v>
      </c>
      <c r="X123" s="114">
        <f t="shared" si="80"/>
        <v>2.6599851044972098</v>
      </c>
      <c r="Y123">
        <f t="shared" ref="Y123:AA123" si="104">AVERAGE(V123:V128)</f>
        <v>0.42181895519476725</v>
      </c>
      <c r="Z123">
        <f t="shared" si="104"/>
        <v>-0.6153653140992924</v>
      </c>
      <c r="AA123">
        <f t="shared" si="104"/>
        <v>0.87663553418696016</v>
      </c>
    </row>
    <row r="124" spans="1:27" x14ac:dyDescent="0.35">
      <c r="A124" s="106">
        <v>42521</v>
      </c>
      <c r="B124" s="1">
        <v>-0.46341606450495099</v>
      </c>
      <c r="C124" s="1">
        <v>2.1371428571430102</v>
      </c>
      <c r="D124">
        <v>0.43</v>
      </c>
      <c r="E124" t="s">
        <v>9</v>
      </c>
      <c r="F124" t="s">
        <v>125</v>
      </c>
      <c r="G124" t="s">
        <v>130</v>
      </c>
      <c r="H124" t="s">
        <v>116</v>
      </c>
      <c r="I124" t="s">
        <v>129</v>
      </c>
      <c r="J124" s="115" cm="1">
        <f t="array" ref="J124">INDEX(股债表现与四个维度!$A:$T,MATCH($A124,股债表现与四个维度!$A:$A,0),MATCH(J$3&amp;J$4,股债表现与四个维度!$2:$2&amp;股债表现与四个维度!$3:$3,0))</f>
        <v>0.33333333333333331</v>
      </c>
      <c r="K124" s="115" cm="1">
        <f t="array" ref="K124">INDEX(股债表现与四个维度!$A:$T,MATCH($A124,股债表现与四个维度!$A:$A,0),MATCH(K$3&amp;K$4,股债表现与四个维度!$2:$2&amp;股债表现与四个维度!$3:$3,0))</f>
        <v>-0.2</v>
      </c>
      <c r="L124" s="115" cm="1">
        <f t="array" ref="L124">INDEX(股债表现与四个维度!$A:$T,MATCH($A124,股债表现与四个维度!$A:$A,0),MATCH(L$3&amp;L$4,股债表现与四个维度!$2:$2&amp;股债表现与四个维度!$3:$3,0))</f>
        <v>-0.27272727272727271</v>
      </c>
      <c r="M124" s="115" cm="1">
        <f t="array" ref="M124">INDEX(股债表现与四个维度!$A:$T,MATCH($A124,股债表现与四个维度!$A:$A,0),MATCH(M$3&amp;M$4,股债表现与四个维度!$2:$2&amp;股债表现与四个维度!$3:$3,0))</f>
        <v>0.36363636363636365</v>
      </c>
      <c r="N124" s="115"/>
      <c r="O124" s="115"/>
      <c r="P124" s="115" cm="1">
        <f t="array" ref="P124">INDEX(股债表现与四个维度!$A:$T,MATCH($A124,股债表现与四个维度!$A:$A,0),MATCH(P$3&amp;P$4,股债表现与四个维度!$2:$2&amp;股债表现与四个维度!$3:$3,0))</f>
        <v>0</v>
      </c>
      <c r="Q124" s="115" cm="1">
        <f t="array" ref="Q124">INDEX(股债表现与四个维度!$A:$T,MATCH($A124,股债表现与四个维度!$A:$A,0),MATCH(Q$3&amp;Q$4,股债表现与四个维度!$2:$2&amp;股债表现与四个维度!$3:$3,0))</f>
        <v>-0.17857142857142858</v>
      </c>
      <c r="R124" s="115" cm="1">
        <f t="array" ref="R124">INDEX(股债表现与四个维度!$A:$T,MATCH($A124,股债表现与四个维度!$A:$A,0),MATCH(R$3&amp;R$4,股债表现与四个维度!$2:$2&amp;股债表现与四个维度!$3:$3,0))</f>
        <v>1</v>
      </c>
      <c r="S124" s="115" cm="1">
        <f t="array" ref="S124">INDEX(股债表现与四个维度!$A:$T,MATCH($A124,股债表现与四个维度!$A:$A,0),MATCH(S$3&amp;S$4,股债表现与四个维度!$2:$2&amp;股债表现与四个维度!$3:$3,0))</f>
        <v>0</v>
      </c>
      <c r="T124">
        <f>SUMIFS($J124:$S124,$J124:$S124,"&lt;&gt;"&amp;"#N/A",$J$4:$S$4,T$4)</f>
        <v>1.0606060606060606</v>
      </c>
      <c r="U124">
        <f>SUMIFS($J124:$S124,$J124:$S124,"&lt;&gt;"&amp;"#N/A",$J$4:$S$4,U$4)</f>
        <v>-1.493506493506494E-2</v>
      </c>
      <c r="V124">
        <f t="shared" si="78"/>
        <v>1.0755411255411256</v>
      </c>
      <c r="W124" s="114">
        <f t="shared" si="79"/>
        <v>1.6737267926380592</v>
      </c>
      <c r="X124" s="114">
        <f t="shared" si="80"/>
        <v>-0.89341606450495092</v>
      </c>
      <c r="Y124">
        <f t="shared" ref="Y124:AA124" si="105">AVERAGE(V124:V129)</f>
        <v>8.8557293484829713E-2</v>
      </c>
      <c r="Z124">
        <f t="shared" si="105"/>
        <v>9.0150124064539483E-2</v>
      </c>
      <c r="AA124">
        <f t="shared" si="105"/>
        <v>1.4412250464247951</v>
      </c>
    </row>
    <row r="125" spans="1:27" x14ac:dyDescent="0.35">
      <c r="A125" s="106">
        <v>42490</v>
      </c>
      <c r="B125" s="1">
        <v>-1.8601093419717101</v>
      </c>
      <c r="C125" s="1">
        <v>5.0826086956519996</v>
      </c>
      <c r="D125">
        <v>-1.06</v>
      </c>
      <c r="E125" t="s">
        <v>9</v>
      </c>
      <c r="F125" t="s">
        <v>125</v>
      </c>
      <c r="G125" t="s">
        <v>130</v>
      </c>
      <c r="H125" t="s">
        <v>116</v>
      </c>
      <c r="I125" t="s">
        <v>129</v>
      </c>
      <c r="J125" s="115" cm="1">
        <f t="array" ref="J125">INDEX(股债表现与四个维度!$A:$T,MATCH($A125,股债表现与四个维度!$A:$A,0),MATCH(J$3&amp;J$4,股债表现与四个维度!$2:$2&amp;股债表现与四个维度!$3:$3,0))</f>
        <v>0.26666666666666666</v>
      </c>
      <c r="K125" s="115" cm="1">
        <f t="array" ref="K125">INDEX(股债表现与四个维度!$A:$T,MATCH($A125,股债表现与四个维度!$A:$A,0),MATCH(K$3&amp;K$4,股债表现与四个维度!$2:$2&amp;股债表现与四个维度!$3:$3,0))</f>
        <v>-0.13333333333333333</v>
      </c>
      <c r="L125" s="115" cm="1">
        <f t="array" ref="L125">INDEX(股债表现与四个维度!$A:$T,MATCH($A125,股债表现与四个维度!$A:$A,0),MATCH(L$3&amp;L$4,股债表现与四个维度!$2:$2&amp;股债表现与四个维度!$3:$3,0))</f>
        <v>-0.4</v>
      </c>
      <c r="M125" s="115" cm="1">
        <f t="array" ref="M125">INDEX(股债表现与四个维度!$A:$T,MATCH($A125,股债表现与四个维度!$A:$A,0),MATCH(M$3&amp;M$4,股债表现与四个维度!$2:$2&amp;股债表现与四个维度!$3:$3,0))</f>
        <v>0.4</v>
      </c>
      <c r="N125" s="115"/>
      <c r="O125" s="115"/>
      <c r="P125" s="115" cm="1">
        <f t="array" ref="P125">INDEX(股债表现与四个维度!$A:$T,MATCH($A125,股债表现与四个维度!$A:$A,0),MATCH(P$3&amp;P$4,股债表现与四个维度!$2:$2&amp;股债表现与四个维度!$3:$3,0))</f>
        <v>-3.7037037037037035E-2</v>
      </c>
      <c r="Q125" s="115" cm="1">
        <f t="array" ref="Q125">INDEX(股债表现与四个维度!$A:$T,MATCH($A125,股债表现与四个维度!$A:$A,0),MATCH(Q$3&amp;Q$4,股债表现与四个维度!$2:$2&amp;股债表现与四个维度!$3:$3,0))</f>
        <v>-0.18518518518518517</v>
      </c>
      <c r="R125" s="115" cm="1">
        <f t="array" ref="R125">INDEX(股债表现与四个维度!$A:$T,MATCH($A125,股债表现与四个维度!$A:$A,0),MATCH(R$3&amp;R$4,股债表现与四个维度!$2:$2&amp;股债表现与四个维度!$3:$3,0))</f>
        <v>0.18181818181818182</v>
      </c>
      <c r="S125" s="115" cm="1">
        <f t="array" ref="S125">INDEX(股债表现与四个维度!$A:$T,MATCH($A125,股债表现与四个维度!$A:$A,0),MATCH(S$3&amp;S$4,股债表现与四个维度!$2:$2&amp;股债表现与四个维度!$3:$3,0))</f>
        <v>-0.36363636363636365</v>
      </c>
      <c r="T125">
        <f>SUMIFS($J125:$S125,$J125:$S125,"&lt;&gt;"&amp;"#N/A",$J$4:$S$4,T$4)</f>
        <v>1.1447811447811429E-2</v>
      </c>
      <c r="U125">
        <f>SUMIFS($J125:$S125,$J125:$S125,"&lt;&gt;"&amp;"#N/A",$J$4:$S$4,U$4)</f>
        <v>-0.2821548821548821</v>
      </c>
      <c r="V125">
        <f t="shared" si="78"/>
        <v>0.29360269360269353</v>
      </c>
      <c r="W125" s="114">
        <f t="shared" si="79"/>
        <v>3.2224993536802895</v>
      </c>
      <c r="X125" s="114">
        <f t="shared" si="80"/>
        <v>-0.80010934197171002</v>
      </c>
      <c r="Y125">
        <f t="shared" ref="Y125:AA125" si="106">AVERAGE(V125:V130)</f>
        <v>-4.6413846486310271E-2</v>
      </c>
      <c r="Z125">
        <f t="shared" si="106"/>
        <v>-1.2139012917943031</v>
      </c>
      <c r="AA125">
        <f t="shared" si="106"/>
        <v>4.1454011437934541</v>
      </c>
    </row>
    <row r="126" spans="1:27" x14ac:dyDescent="0.35">
      <c r="A126" s="106">
        <v>42460</v>
      </c>
      <c r="B126" s="1">
        <v>16.4302254301457</v>
      </c>
      <c r="C126" s="1">
        <v>1.91286352656999</v>
      </c>
      <c r="D126">
        <v>1.26</v>
      </c>
      <c r="E126" t="s">
        <v>9</v>
      </c>
      <c r="F126" t="s">
        <v>125</v>
      </c>
      <c r="G126" t="s">
        <v>130</v>
      </c>
      <c r="H126" t="s">
        <v>116</v>
      </c>
      <c r="I126" t="s">
        <v>129</v>
      </c>
      <c r="J126" s="115" cm="1">
        <f t="array" ref="J126">INDEX(股债表现与四个维度!$A:$T,MATCH($A126,股债表现与四个维度!$A:$A,0),MATCH(J$3&amp;J$4,股债表现与四个维度!$2:$2&amp;股债表现与四个维度!$3:$3,0))</f>
        <v>0.3125</v>
      </c>
      <c r="K126" s="115" cm="1">
        <f t="array" ref="K126">INDEX(股债表现与四个维度!$A:$T,MATCH($A126,股债表现与四个维度!$A:$A,0),MATCH(K$3&amp;K$4,股债表现与四个维度!$2:$2&amp;股债表现与四个维度!$3:$3,0))</f>
        <v>-0.1875</v>
      </c>
      <c r="L126" s="115" cm="1">
        <f t="array" ref="L126">INDEX(股债表现与四个维度!$A:$T,MATCH($A126,股债表现与四个维度!$A:$A,0),MATCH(L$3&amp;L$4,股债表现与四个维度!$2:$2&amp;股债表现与四个维度!$3:$3,0))</f>
        <v>-0.33333333333333331</v>
      </c>
      <c r="M126" s="115" cm="1">
        <f t="array" ref="M126">INDEX(股债表现与四个维度!$A:$T,MATCH($A126,股债表现与四个维度!$A:$A,0),MATCH(M$3&amp;M$4,股债表现与四个维度!$2:$2&amp;股债表现与四个维度!$3:$3,0))</f>
        <v>0.55555555555555558</v>
      </c>
      <c r="N126" s="115"/>
      <c r="O126" s="115"/>
      <c r="P126" s="115" cm="1">
        <f t="array" ref="P126">INDEX(股债表现与四个维度!$A:$T,MATCH($A126,股债表现与四个维度!$A:$A,0),MATCH(P$3&amp;P$4,股债表现与四个维度!$2:$2&amp;股债表现与四个维度!$3:$3,0))</f>
        <v>0</v>
      </c>
      <c r="Q126" s="115" cm="1">
        <f t="array" ref="Q126">INDEX(股债表现与四个维度!$A:$T,MATCH($A126,股债表现与四个维度!$A:$A,0),MATCH(Q$3&amp;Q$4,股债表现与四个维度!$2:$2&amp;股债表现与四个维度!$3:$3,0))</f>
        <v>-0.15384615384615385</v>
      </c>
      <c r="R126" s="115" cm="1">
        <f t="array" ref="R126">INDEX(股债表现与四个维度!$A:$T,MATCH($A126,股债表现与四个维度!$A:$A,0),MATCH(R$3&amp;R$4,股债表现与四个维度!$2:$2&amp;股债表现与四个维度!$3:$3,0))</f>
        <v>0.18181818181818182</v>
      </c>
      <c r="S126" s="115" cm="1">
        <f t="array" ref="S126">INDEX(股债表现与四个维度!$A:$T,MATCH($A126,股债表现与四个维度!$A:$A,0),MATCH(S$3&amp;S$4,股债表现与四个维度!$2:$2&amp;股债表现与四个维度!$3:$3,0))</f>
        <v>-0.36363636363636365</v>
      </c>
      <c r="T126">
        <f>SUMIFS($J126:$S126,$J126:$S126,"&lt;&gt;"&amp;"#N/A",$J$4:$S$4,T$4)</f>
        <v>0.16098484848484851</v>
      </c>
      <c r="U126">
        <f>SUMIFS($J126:$S126,$J126:$S126,"&lt;&gt;"&amp;"#N/A",$J$4:$S$4,U$4)</f>
        <v>-0.14942696192696192</v>
      </c>
      <c r="V126">
        <f t="shared" si="78"/>
        <v>0.31041181041181043</v>
      </c>
      <c r="W126" s="114">
        <f t="shared" si="79"/>
        <v>18.34308895671569</v>
      </c>
      <c r="X126" s="114">
        <f t="shared" si="80"/>
        <v>15.170225430145701</v>
      </c>
      <c r="Y126">
        <f t="shared" ref="Y126:AA126" si="107">AVERAGE(V126:V131)</f>
        <v>-9.5347628753425881E-2</v>
      </c>
      <c r="Z126">
        <f t="shared" si="107"/>
        <v>-5.3380229032657267</v>
      </c>
      <c r="AA126">
        <f t="shared" si="107"/>
        <v>3.2188571720735304</v>
      </c>
    </row>
    <row r="127" spans="1:27" x14ac:dyDescent="0.35">
      <c r="A127" s="106">
        <v>42429</v>
      </c>
      <c r="B127" s="1">
        <v>-14.751566785008499</v>
      </c>
      <c r="C127" s="1">
        <v>-5.1175187198065002</v>
      </c>
      <c r="D127">
        <v>0.45</v>
      </c>
      <c r="E127" t="s">
        <v>10</v>
      </c>
      <c r="F127" t="s">
        <v>125</v>
      </c>
      <c r="G127" t="s">
        <v>130</v>
      </c>
      <c r="H127" t="s">
        <v>116</v>
      </c>
      <c r="I127" t="s">
        <v>118</v>
      </c>
      <c r="J127" s="115" cm="1">
        <f t="array" ref="J127">INDEX(股债表现与四个维度!$A:$T,MATCH($A127,股债表现与四个维度!$A:$A,0),MATCH(J$3&amp;J$4,股债表现与四个维度!$2:$2&amp;股债表现与四个维度!$3:$3,0))</f>
        <v>0.42857142857142855</v>
      </c>
      <c r="K127" s="115" cm="1">
        <f t="array" ref="K127">INDEX(股债表现与四个维度!$A:$T,MATCH($A127,股债表现与四个维度!$A:$A,0),MATCH(K$3&amp;K$4,股债表现与四个维度!$2:$2&amp;股债表现与四个维度!$3:$3,0))</f>
        <v>-0.14285714285714285</v>
      </c>
      <c r="L127" s="115" cm="1">
        <f t="array" ref="L127">INDEX(股债表现与四个维度!$A:$T,MATCH($A127,股债表现与四个维度!$A:$A,0),MATCH(L$3&amp;L$4,股债表现与四个维度!$2:$2&amp;股债表现与四个维度!$3:$3,0))</f>
        <v>-0.25</v>
      </c>
      <c r="M127" s="115" cm="1">
        <f t="array" ref="M127">INDEX(股债表现与四个维度!$A:$T,MATCH($A127,股债表现与四个维度!$A:$A,0),MATCH(M$3&amp;M$4,股债表现与四个维度!$2:$2&amp;股债表现与四个维度!$3:$3,0))</f>
        <v>0.5</v>
      </c>
      <c r="N127" s="115"/>
      <c r="O127" s="115"/>
      <c r="P127" s="115" cm="1">
        <f t="array" ref="P127">INDEX(股债表现与四个维度!$A:$T,MATCH($A127,股债表现与四个维度!$A:$A,0),MATCH(P$3&amp;P$4,股债表现与四个维度!$2:$2&amp;股债表现与四个维度!$3:$3,0))</f>
        <v>0.04</v>
      </c>
      <c r="Q127" s="115" cm="1">
        <f t="array" ref="Q127">INDEX(股债表现与四个维度!$A:$T,MATCH($A127,股债表现与四个维度!$A:$A,0),MATCH(Q$3&amp;Q$4,股债表现与四个维度!$2:$2&amp;股债表现与四个维度!$3:$3,0))</f>
        <v>-0.2</v>
      </c>
      <c r="R127" s="115" cm="1">
        <f t="array" ref="R127">INDEX(股债表现与四个维度!$A:$T,MATCH($A127,股债表现与四个维度!$A:$A,0),MATCH(R$3&amp;R$4,股债表现与四个维度!$2:$2&amp;股债表现与四个维度!$3:$3,0))</f>
        <v>0.18181818181818182</v>
      </c>
      <c r="S127" s="115" cm="1">
        <f t="array" ref="S127">INDEX(股债表现与四个维度!$A:$T,MATCH($A127,股债表现与四个维度!$A:$A,0),MATCH(S$3&amp;S$4,股债表现与四个维度!$2:$2&amp;股债表现与四个维度!$3:$3,0))</f>
        <v>-0.36363636363636365</v>
      </c>
      <c r="T127">
        <f>SUMIFS($J127:$S127,$J127:$S127,"&lt;&gt;"&amp;"#N/A",$J$4:$S$4,T$4)</f>
        <v>0.40038961038961041</v>
      </c>
      <c r="U127">
        <f>SUMIFS($J127:$S127,$J127:$S127,"&lt;&gt;"&amp;"#N/A",$J$4:$S$4,U$4)</f>
        <v>-0.20649350649350651</v>
      </c>
      <c r="V127">
        <f t="shared" si="78"/>
        <v>0.60688311688311691</v>
      </c>
      <c r="W127" s="114">
        <f t="shared" si="79"/>
        <v>-19.869085504815001</v>
      </c>
      <c r="X127" s="114">
        <f t="shared" si="80"/>
        <v>-15.201566785008499</v>
      </c>
      <c r="Y127">
        <f t="shared" ref="Y127:AA127" si="108">AVERAGE(V127:V132)</f>
        <v>-0.14708293048872764</v>
      </c>
      <c r="Z127">
        <f t="shared" si="108"/>
        <v>-11.383145959658258</v>
      </c>
      <c r="AA127">
        <f t="shared" si="108"/>
        <v>-1.8255884918643364</v>
      </c>
    </row>
    <row r="128" spans="1:27" x14ac:dyDescent="0.35">
      <c r="A128" s="106">
        <v>42369</v>
      </c>
      <c r="B128" s="1">
        <v>5.3346948619640102</v>
      </c>
      <c r="C128" s="1">
        <v>-17.751863354038001</v>
      </c>
      <c r="D128">
        <v>1.01</v>
      </c>
      <c r="E128" t="s">
        <v>10</v>
      </c>
      <c r="F128" t="s">
        <v>125</v>
      </c>
      <c r="H128" t="s">
        <v>116</v>
      </c>
      <c r="I128" t="s">
        <v>121</v>
      </c>
      <c r="J128" s="115" cm="1">
        <f t="array" ref="J128">INDEX(股债表现与四个维度!$A:$T,MATCH($A128,股债表现与四个维度!$A:$A,0),MATCH(J$3&amp;J$4,股债表现与四个维度!$2:$2&amp;股债表现与四个维度!$3:$3,0))</f>
        <v>0.2</v>
      </c>
      <c r="K128" s="115" cm="1">
        <f t="array" ref="K128">INDEX(股债表现与四个维度!$A:$T,MATCH($A128,股债表现与四个维度!$A:$A,0),MATCH(K$3&amp;K$4,股债表现与四个维度!$2:$2&amp;股债表现与四个维度!$3:$3,0))</f>
        <v>-0.2</v>
      </c>
      <c r="L128" s="115" cm="1">
        <f t="array" ref="L128">INDEX(股债表现与四个维度!$A:$T,MATCH($A128,股债表现与四个维度!$A:$A,0),MATCH(L$3&amp;L$4,股债表现与四个维度!$2:$2&amp;股债表现与四个维度!$3:$3,0))</f>
        <v>-0.66666666666666663</v>
      </c>
      <c r="M128" s="115" cm="1">
        <f t="array" ref="M128">INDEX(股债表现与四个维度!$A:$T,MATCH($A128,股债表现与四个维度!$A:$A,0),MATCH(M$3&amp;M$4,股债表现与四个维度!$2:$2&amp;股债表现与四个维度!$3:$3,0))</f>
        <v>0.66666666666666663</v>
      </c>
      <c r="N128" s="115"/>
      <c r="O128" s="115"/>
      <c r="P128" s="115" cm="1">
        <f t="array" ref="P128">INDEX(股债表现与四个维度!$A:$T,MATCH($A128,股债表现与四个维度!$A:$A,0),MATCH(P$3&amp;P$4,股债表现与四个维度!$2:$2&amp;股债表现与四个维度!$3:$3,0))</f>
        <v>-4.3478260869565216E-2</v>
      </c>
      <c r="Q128" s="115" cm="1">
        <f t="array" ref="Q128">INDEX(股债表现与四个维度!$A:$T,MATCH($A128,股债表现与四个维度!$A:$A,0),MATCH(Q$3&amp;Q$4,股债表现与四个维度!$2:$2&amp;股债表现与四个维度!$3:$3,0))</f>
        <v>-0.21739130434782608</v>
      </c>
      <c r="R128" s="115" cm="1">
        <f t="array" ref="R128">INDEX(股债表现与四个维度!$A:$T,MATCH($A128,股债表现与四个维度!$A:$A,0),MATCH(R$3&amp;R$4,股债表现与四个维度!$2:$2&amp;股债表现与四个维度!$3:$3,0))</f>
        <v>0.14814814814814814</v>
      </c>
      <c r="S128" s="115" cm="1">
        <f t="array" ref="S128">INDEX(股债表现与四个维度!$A:$T,MATCH($A128,股债表现与四个维度!$A:$A,0),MATCH(S$3&amp;S$4,股债表现与四个维度!$2:$2&amp;股债表现与四个维度!$3:$3,0))</f>
        <v>0.33333333333333331</v>
      </c>
      <c r="T128">
        <f>SUMIFS($J128:$S128,$J128:$S128,"&lt;&gt;"&amp;"#N/A",$J$4:$S$4,T$4)</f>
        <v>-0.36199677938808372</v>
      </c>
      <c r="U128">
        <f>SUMIFS($J128:$S128,$J128:$S128,"&lt;&gt;"&amp;"#N/A",$J$4:$S$4,U$4)</f>
        <v>0.58260869565217388</v>
      </c>
      <c r="V128">
        <f t="shared" si="78"/>
        <v>-0.9446054750402576</v>
      </c>
      <c r="W128" s="114">
        <f t="shared" si="79"/>
        <v>-12.417168492073991</v>
      </c>
      <c r="X128" s="114">
        <f t="shared" si="80"/>
        <v>4.3246948619640104</v>
      </c>
      <c r="Y128">
        <f t="shared" ref="Y128:AA128" si="109">AVERAGE(V128:V133)</f>
        <v>-0.24823011663591377</v>
      </c>
      <c r="Z128">
        <f t="shared" si="109"/>
        <v>-12.441980564698357</v>
      </c>
      <c r="AA128">
        <f t="shared" si="109"/>
        <v>-1.798971592993686</v>
      </c>
    </row>
    <row r="129" spans="1:27" x14ac:dyDescent="0.35">
      <c r="A129" s="106">
        <v>42338</v>
      </c>
      <c r="B129" s="1">
        <v>6.2075221779242202</v>
      </c>
      <c r="C129" s="1">
        <v>3.3803174603179702</v>
      </c>
      <c r="D129">
        <v>0.16</v>
      </c>
      <c r="E129" t="s">
        <v>10</v>
      </c>
      <c r="F129" t="s">
        <v>125</v>
      </c>
      <c r="H129" t="s">
        <v>116</v>
      </c>
      <c r="I129" t="s">
        <v>121</v>
      </c>
      <c r="J129" s="115" cm="1">
        <f t="array" ref="J129">INDEX(股债表现与四个维度!$A:$T,MATCH($A129,股债表现与四个维度!$A:$A,0),MATCH(J$3&amp;J$4,股债表现与四个维度!$2:$2&amp;股债表现与四个维度!$3:$3,0))</f>
        <v>0.2</v>
      </c>
      <c r="K129" s="115" cm="1">
        <f t="array" ref="K129">INDEX(股债表现与四个维度!$A:$T,MATCH($A129,股债表现与四个维度!$A:$A,0),MATCH(K$3&amp;K$4,股债表现与四个维度!$2:$2&amp;股债表现与四个维度!$3:$3,0))</f>
        <v>-0.6</v>
      </c>
      <c r="L129" s="115" cm="1">
        <f t="array" ref="L129">INDEX(股债表现与四个维度!$A:$T,MATCH($A129,股债表现与四个维度!$A:$A,0),MATCH(L$3&amp;L$4,股债表现与四个维度!$2:$2&amp;股债表现与四个维度!$3:$3,0))</f>
        <v>-1</v>
      </c>
      <c r="M129" s="115" cm="1">
        <f t="array" ref="M129">INDEX(股债表现与四个维度!$A:$T,MATCH($A129,股债表现与四个维度!$A:$A,0),MATCH(M$3&amp;M$4,股债表现与四个维度!$2:$2&amp;股债表现与四个维度!$3:$3,0))</f>
        <v>0.6</v>
      </c>
      <c r="N129" s="115"/>
      <c r="O129" s="115"/>
      <c r="P129" s="115" cm="1">
        <f t="array" ref="P129">INDEX(股债表现与四个维度!$A:$T,MATCH($A129,股债表现与四个维度!$A:$A,0),MATCH(P$3&amp;P$4,股债表现与四个维度!$2:$2&amp;股债表现与四个维度!$3:$3,0))</f>
        <v>-9.0909090909090912E-2</v>
      </c>
      <c r="Q129" s="115" cm="1">
        <f t="array" ref="Q129">INDEX(股债表现与四个维度!$A:$T,MATCH($A129,股债表现与四个维度!$A:$A,0),MATCH(Q$3&amp;Q$4,股债表现与四个维度!$2:$2&amp;股债表现与四个维度!$3:$3,0))</f>
        <v>-0.27272727272727271</v>
      </c>
      <c r="R129" s="115" cm="1">
        <f t="array" ref="R129">INDEX(股债表现与四个维度!$A:$T,MATCH($A129,股债表现与四个维度!$A:$A,0),MATCH(R$3&amp;R$4,股债表现与四个维度!$2:$2&amp;股债表现与四个维度!$3:$3,0))</f>
        <v>0.11538461538461539</v>
      </c>
      <c r="S129" s="115" cm="1">
        <f t="array" ref="S129">INDEX(股债表现与四个维度!$A:$T,MATCH($A129,股债表现与四个维度!$A:$A,0),MATCH(S$3&amp;S$4,股债表现与四个维度!$2:$2&amp;股债表现与四个维度!$3:$3,0))</f>
        <v>0.30769230769230771</v>
      </c>
      <c r="T129">
        <f>SUMIFS($J129:$S129,$J129:$S129,"&lt;&gt;"&amp;"#N/A",$J$4:$S$4,T$4)</f>
        <v>-0.77552447552447557</v>
      </c>
      <c r="U129">
        <f>SUMIFS($J129:$S129,$J129:$S129,"&lt;&gt;"&amp;"#N/A",$J$4:$S$4,U$4)</f>
        <v>3.4965034965035002E-2</v>
      </c>
      <c r="V129">
        <f t="shared" si="78"/>
        <v>-0.81048951048951057</v>
      </c>
      <c r="W129" s="114">
        <f t="shared" si="79"/>
        <v>9.5878396382421904</v>
      </c>
      <c r="X129" s="114">
        <f t="shared" si="80"/>
        <v>6.0475221779242201</v>
      </c>
      <c r="Y129">
        <f t="shared" ref="Y129:AA129" si="110">AVERAGE(V129:V134)</f>
        <v>-9.0795870795870828E-2</v>
      </c>
      <c r="Z129">
        <f t="shared" si="110"/>
        <v>-9.3750019892309098</v>
      </c>
      <c r="AA129">
        <f t="shared" si="110"/>
        <v>-3.888240084469071</v>
      </c>
    </row>
    <row r="130" spans="1:27" x14ac:dyDescent="0.35">
      <c r="A130" s="106">
        <v>42308</v>
      </c>
      <c r="B130" s="1">
        <v>17.101640519707001</v>
      </c>
      <c r="C130" s="1">
        <v>-23.252222222221999</v>
      </c>
      <c r="D130">
        <v>1.77</v>
      </c>
      <c r="E130" t="s">
        <v>10</v>
      </c>
      <c r="F130" t="s">
        <v>125</v>
      </c>
      <c r="H130" t="s">
        <v>116</v>
      </c>
      <c r="I130" t="s">
        <v>121</v>
      </c>
      <c r="J130" s="115" cm="1">
        <f t="array" ref="J130">INDEX(股债表现与四个维度!$A:$T,MATCH($A130,股债表现与四个维度!$A:$A,0),MATCH(J$3&amp;J$4,股债表现与四个维度!$2:$2&amp;股债表现与四个维度!$3:$3,0))</f>
        <v>0.6</v>
      </c>
      <c r="K130" s="115" cm="1">
        <f t="array" ref="K130">INDEX(股债表现与四个维度!$A:$T,MATCH($A130,股债表现与四个维度!$A:$A,0),MATCH(K$3&amp;K$4,股债表现与四个维度!$2:$2&amp;股债表现与四个维度!$3:$3,0))</f>
        <v>-1</v>
      </c>
      <c r="L130" s="115" cm="1">
        <f t="array" ref="L130">INDEX(股债表现与四个维度!$A:$T,MATCH($A130,股债表现与四个维度!$A:$A,0),MATCH(L$3&amp;L$4,股债表现与四个维度!$2:$2&amp;股债表现与四个维度!$3:$3,0))</f>
        <v>-1</v>
      </c>
      <c r="M130" s="115" cm="1">
        <f t="array" ref="M130">INDEX(股债表现与四个维度!$A:$T,MATCH($A130,股债表现与四个维度!$A:$A,0),MATCH(M$3&amp;M$4,股债表现与四个维度!$2:$2&amp;股债表现与四个维度!$3:$3,0))</f>
        <v>0.5</v>
      </c>
      <c r="N130" s="115"/>
      <c r="O130" s="115"/>
      <c r="P130" s="115" cm="1">
        <f t="array" ref="P130">INDEX(股债表现与四个维度!$A:$T,MATCH($A130,股债表现与四个维度!$A:$A,0),MATCH(P$3&amp;P$4,股债表现与四个维度!$2:$2&amp;股债表现与四个维度!$3:$3,0))</f>
        <v>-4.7619047619047616E-2</v>
      </c>
      <c r="Q130" s="115" cm="1">
        <f t="array" ref="Q130">INDEX(股债表现与四个维度!$A:$T,MATCH($A130,股债表现与四个维度!$A:$A,0),MATCH(Q$3&amp;Q$4,股债表现与四个维度!$2:$2&amp;股债表现与四个维度!$3:$3,0))</f>
        <v>-0.33333333333333331</v>
      </c>
      <c r="R130" s="115" cm="1">
        <f t="array" ref="R130">INDEX(股债表现与四个维度!$A:$T,MATCH($A130,股债表现与四个维度!$A:$A,0),MATCH(R$3&amp;R$4,股债表现与四个维度!$2:$2&amp;股债表现与四个维度!$3:$3,0))</f>
        <v>0.16</v>
      </c>
      <c r="S130" s="115" cm="1">
        <f t="array" ref="S130">INDEX(股债表现与四个维度!$A:$T,MATCH($A130,股债表现与四个维度!$A:$A,0),MATCH(S$3&amp;S$4,股债表现与四个维度!$2:$2&amp;股债表现与四个维度!$3:$3,0))</f>
        <v>0.28000000000000003</v>
      </c>
      <c r="T130">
        <f>SUMIFS($J130:$S130,$J130:$S130,"&lt;&gt;"&amp;"#N/A",$J$4:$S$4,T$4)</f>
        <v>-0.28761904761904766</v>
      </c>
      <c r="U130">
        <f>SUMIFS($J130:$S130,$J130:$S130,"&lt;&gt;"&amp;"#N/A",$J$4:$S$4,U$4)</f>
        <v>-0.55333333333333323</v>
      </c>
      <c r="V130">
        <f t="shared" si="78"/>
        <v>0.26571428571428557</v>
      </c>
      <c r="W130" s="114">
        <f t="shared" si="79"/>
        <v>-6.150581702514998</v>
      </c>
      <c r="X130" s="114">
        <f t="shared" si="80"/>
        <v>15.331640519707001</v>
      </c>
      <c r="Y130">
        <f t="shared" ref="Y130:AA130" si="111">AVERAGE(V130:V135)</f>
        <v>4.4285714285714262E-2</v>
      </c>
      <c r="Z130">
        <f t="shared" si="111"/>
        <v>-9.9784062364503381</v>
      </c>
      <c r="AA130">
        <f t="shared" si="111"/>
        <v>-2.9636707867148413</v>
      </c>
    </row>
    <row r="131" spans="1:27" x14ac:dyDescent="0.35">
      <c r="A131" s="106">
        <v>42277</v>
      </c>
      <c r="B131" s="1">
        <v>-5.9193731722912499</v>
      </c>
      <c r="C131" s="1">
        <v>-15.602857142856999</v>
      </c>
      <c r="D131">
        <v>0.44</v>
      </c>
      <c r="E131" t="s">
        <v>10</v>
      </c>
      <c r="F131" t="s">
        <v>125</v>
      </c>
      <c r="H131" t="s">
        <v>116</v>
      </c>
      <c r="I131" t="s">
        <v>121</v>
      </c>
      <c r="J131" s="115" cm="1">
        <f t="array" ref="J131">INDEX(股债表现与四个维度!$A:$T,MATCH($A131,股债表现与四个维度!$A:$A,0),MATCH(J$3&amp;J$4,股债表现与四个维度!$2:$2&amp;股债表现与四个维度!$3:$3,0))</f>
        <v>0</v>
      </c>
      <c r="K131" s="115" cm="1">
        <f t="array" ref="K131">INDEX(股债表现与四个维度!$A:$T,MATCH($A131,股债表现与四个维度!$A:$A,0),MATCH(K$3&amp;K$4,股债表现与四个维度!$2:$2&amp;股债表现与四个维度!$3:$3,0))</f>
        <v>0</v>
      </c>
      <c r="L131" s="115" cm="1">
        <f t="array" ref="L131">INDEX(股债表现与四个维度!$A:$T,MATCH($A131,股债表现与四个维度!$A:$A,0),MATCH(L$3&amp;L$4,股债表现与四个维度!$2:$2&amp;股债表现与四个维度!$3:$3,0))</f>
        <v>0</v>
      </c>
      <c r="M131" s="115" cm="1">
        <f t="array" ref="M131">INDEX(股债表现与四个维度!$A:$T,MATCH($A131,股债表现与四个维度!$A:$A,0),MATCH(M$3&amp;M$4,股债表现与四个维度!$2:$2&amp;股债表现与四个维度!$3:$3,0))</f>
        <v>0</v>
      </c>
      <c r="N131" s="115"/>
      <c r="O131" s="115"/>
      <c r="P131" s="115" cm="1">
        <f t="array" ref="P131">INDEX(股债表现与四个维度!$A:$T,MATCH($A131,股债表现与四个维度!$A:$A,0),MATCH(P$3&amp;P$4,股债表现与四个维度!$2:$2&amp;股债表现与四个维度!$3:$3,0))</f>
        <v>0</v>
      </c>
      <c r="Q131" s="115" cm="1">
        <f t="array" ref="Q131">INDEX(股债表现与四个维度!$A:$T,MATCH($A131,股债表现与四个维度!$A:$A,0),MATCH(Q$3&amp;Q$4,股债表现与四个维度!$2:$2&amp;股债表现与四个维度!$3:$3,0))</f>
        <v>0</v>
      </c>
      <c r="R131" s="115" cm="1">
        <f t="array" ref="R131">INDEX(股债表现与四个维度!$A:$T,MATCH($A131,股债表现与四个维度!$A:$A,0),MATCH(R$3&amp;R$4,股债表现与四个维度!$2:$2&amp;股债表现与四个维度!$3:$3,0))</f>
        <v>0</v>
      </c>
      <c r="S131" s="115" cm="1">
        <f t="array" ref="S131">INDEX(股债表现与四个维度!$A:$T,MATCH($A131,股债表现与四个维度!$A:$A,0),MATCH(S$3&amp;S$4,股债表现与四个维度!$2:$2&amp;股债表现与四个维度!$3:$3,0))</f>
        <v>0</v>
      </c>
      <c r="T131">
        <f>SUMIFS($J131:$S131,$J131:$S131,"&lt;&gt;"&amp;"#N/A",$J$4:$S$4,T$4)</f>
        <v>0</v>
      </c>
      <c r="U131">
        <f>SUMIFS($J131:$S131,$J131:$S131,"&lt;&gt;"&amp;"#N/A",$J$4:$S$4,U$4)</f>
        <v>0</v>
      </c>
      <c r="V131">
        <f t="shared" si="78"/>
        <v>0</v>
      </c>
      <c r="W131" s="114">
        <f t="shared" si="79"/>
        <v>-21.522230315148249</v>
      </c>
      <c r="X131" s="114">
        <f t="shared" si="80"/>
        <v>-6.3593731722912503</v>
      </c>
      <c r="Y131">
        <f t="shared" ref="Y131:AA131" si="112">AVERAGE(V131:V136)</f>
        <v>0</v>
      </c>
      <c r="Z131">
        <f t="shared" si="112"/>
        <v>-5.313824762916826</v>
      </c>
      <c r="AA131">
        <f t="shared" si="112"/>
        <v>-2.8783197124116593</v>
      </c>
    </row>
    <row r="132" spans="1:27" x14ac:dyDescent="0.35">
      <c r="A132" s="106">
        <v>42247</v>
      </c>
      <c r="B132" s="1">
        <v>-15.346448553481499</v>
      </c>
      <c r="C132" s="1">
        <v>-2.5812008281579999</v>
      </c>
      <c r="D132">
        <v>-0.25</v>
      </c>
      <c r="E132" t="s">
        <v>7</v>
      </c>
      <c r="F132" t="s">
        <v>125</v>
      </c>
      <c r="H132" t="s">
        <v>116</v>
      </c>
      <c r="I132" t="s">
        <v>121</v>
      </c>
      <c r="J132" s="115" cm="1">
        <f t="array" ref="J132">INDEX(股债表现与四个维度!$A:$T,MATCH($A132,股债表现与四个维度!$A:$A,0),MATCH(J$3&amp;J$4,股债表现与四个维度!$2:$2&amp;股债表现与四个维度!$3:$3,0))</f>
        <v>0</v>
      </c>
      <c r="K132" s="115" cm="1">
        <f t="array" ref="K132">INDEX(股债表现与四个维度!$A:$T,MATCH($A132,股债表现与四个维度!$A:$A,0),MATCH(K$3&amp;K$4,股债表现与四个维度!$2:$2&amp;股债表现与四个维度!$3:$3,0))</f>
        <v>0</v>
      </c>
      <c r="L132" s="115" cm="1">
        <f t="array" ref="L132">INDEX(股债表现与四个维度!$A:$T,MATCH($A132,股债表现与四个维度!$A:$A,0),MATCH(L$3&amp;L$4,股债表现与四个维度!$2:$2&amp;股债表现与四个维度!$3:$3,0))</f>
        <v>0</v>
      </c>
      <c r="M132" s="115" cm="1">
        <f t="array" ref="M132">INDEX(股债表现与四个维度!$A:$T,MATCH($A132,股债表现与四个维度!$A:$A,0),MATCH(M$3&amp;M$4,股债表现与四个维度!$2:$2&amp;股债表现与四个维度!$3:$3,0))</f>
        <v>0</v>
      </c>
      <c r="N132" s="115"/>
      <c r="O132" s="115"/>
      <c r="P132" s="115" cm="1">
        <f t="array" ref="P132">INDEX(股债表现与四个维度!$A:$T,MATCH($A132,股债表现与四个维度!$A:$A,0),MATCH(P$3&amp;P$4,股债表现与四个维度!$2:$2&amp;股债表现与四个维度!$3:$3,0))</f>
        <v>0</v>
      </c>
      <c r="Q132" s="115" cm="1">
        <f t="array" ref="Q132">INDEX(股债表现与四个维度!$A:$T,MATCH($A132,股债表现与四个维度!$A:$A,0),MATCH(Q$3&amp;Q$4,股债表现与四个维度!$2:$2&amp;股债表现与四个维度!$3:$3,0))</f>
        <v>0</v>
      </c>
      <c r="R132" s="115" cm="1">
        <f t="array" ref="R132">INDEX(股债表现与四个维度!$A:$T,MATCH($A132,股债表现与四个维度!$A:$A,0),MATCH(R$3&amp;R$4,股债表现与四个维度!$2:$2&amp;股债表现与四个维度!$3:$3,0))</f>
        <v>0</v>
      </c>
      <c r="S132" s="115" cm="1">
        <f t="array" ref="S132">INDEX(股债表现与四个维度!$A:$T,MATCH($A132,股债表现与四个维度!$A:$A,0),MATCH(S$3&amp;S$4,股债表现与四个维度!$2:$2&amp;股债表现与四个维度!$3:$3,0))</f>
        <v>0</v>
      </c>
      <c r="T132">
        <f>SUMIFS($J132:$S132,$J132:$S132,"&lt;&gt;"&amp;"#N/A",$J$4:$S$4,T$4)</f>
        <v>0</v>
      </c>
      <c r="U132">
        <f>SUMIFS($J132:$S132,$J132:$S132,"&lt;&gt;"&amp;"#N/A",$J$4:$S$4,U$4)</f>
        <v>0</v>
      </c>
      <c r="V132">
        <f t="shared" si="78"/>
        <v>0</v>
      </c>
      <c r="W132" s="114">
        <f t="shared" si="79"/>
        <v>-17.927649381639498</v>
      </c>
      <c r="X132" s="114">
        <f t="shared" si="80"/>
        <v>-15.096448553481499</v>
      </c>
      <c r="Y132">
        <f t="shared" ref="Y132:AA132" si="113">AVERAGE(V132:V137)</f>
        <v>0</v>
      </c>
      <c r="Z132">
        <f t="shared" si="113"/>
        <v>1.9546366339627983</v>
      </c>
      <c r="AA132">
        <f t="shared" si="113"/>
        <v>1.1118238421794668</v>
      </c>
    </row>
    <row r="133" spans="1:27" x14ac:dyDescent="0.35">
      <c r="A133" s="106">
        <v>42216</v>
      </c>
      <c r="B133" s="1">
        <v>-15.771865391784599</v>
      </c>
      <c r="C133" s="1">
        <v>-10.450227743271</v>
      </c>
      <c r="D133">
        <v>-0.73</v>
      </c>
      <c r="E133" t="s">
        <v>7</v>
      </c>
      <c r="F133" t="s">
        <v>125</v>
      </c>
      <c r="H133" t="s">
        <v>116</v>
      </c>
      <c r="I133" t="s">
        <v>121</v>
      </c>
      <c r="J133" s="115" cm="1">
        <f t="array" ref="J133">INDEX(股债表现与四个维度!$A:$T,MATCH($A133,股债表现与四个维度!$A:$A,0),MATCH(J$3&amp;J$4,股债表现与四个维度!$2:$2&amp;股债表现与四个维度!$3:$3,0))</f>
        <v>0</v>
      </c>
      <c r="K133" s="115" cm="1">
        <f t="array" ref="K133">INDEX(股债表现与四个维度!$A:$T,MATCH($A133,股债表现与四个维度!$A:$A,0),MATCH(K$3&amp;K$4,股债表现与四个维度!$2:$2&amp;股债表现与四个维度!$3:$3,0))</f>
        <v>0</v>
      </c>
      <c r="L133" s="115" cm="1">
        <f t="array" ref="L133">INDEX(股债表现与四个维度!$A:$T,MATCH($A133,股债表现与四个维度!$A:$A,0),MATCH(L$3&amp;L$4,股债表现与四个维度!$2:$2&amp;股债表现与四个维度!$3:$3,0))</f>
        <v>0</v>
      </c>
      <c r="M133" s="115" cm="1">
        <f t="array" ref="M133">INDEX(股债表现与四个维度!$A:$T,MATCH($A133,股债表现与四个维度!$A:$A,0),MATCH(M$3&amp;M$4,股债表现与四个维度!$2:$2&amp;股债表现与四个维度!$3:$3,0))</f>
        <v>0</v>
      </c>
      <c r="N133" s="115"/>
      <c r="O133" s="115"/>
      <c r="P133" s="115" cm="1">
        <f t="array" ref="P133">INDEX(股债表现与四个维度!$A:$T,MATCH($A133,股债表现与四个维度!$A:$A,0),MATCH(P$3&amp;P$4,股债表现与四个维度!$2:$2&amp;股债表现与四个维度!$3:$3,0))</f>
        <v>0</v>
      </c>
      <c r="Q133" s="115" cm="1">
        <f t="array" ref="Q133">INDEX(股债表现与四个维度!$A:$T,MATCH($A133,股债表现与四个维度!$A:$A,0),MATCH(Q$3&amp;Q$4,股债表现与四个维度!$2:$2&amp;股债表现与四个维度!$3:$3,0))</f>
        <v>0</v>
      </c>
      <c r="R133" s="115" cm="1">
        <f t="array" ref="R133">INDEX(股债表现与四个维度!$A:$T,MATCH($A133,股债表现与四个维度!$A:$A,0),MATCH(R$3&amp;R$4,股债表现与四个维度!$2:$2&amp;股债表现与四个维度!$3:$3,0))</f>
        <v>0</v>
      </c>
      <c r="S133" s="115" cm="1">
        <f t="array" ref="S133">INDEX(股债表现与四个维度!$A:$T,MATCH($A133,股债表现与四个维度!$A:$A,0),MATCH(S$3&amp;S$4,股债表现与四个维度!$2:$2&amp;股债表现与四个维度!$3:$3,0))</f>
        <v>0</v>
      </c>
      <c r="T133">
        <f>SUMIFS($J133:$S133,$J133:$S133,"&lt;&gt;"&amp;"#N/A",$J$4:$S$4,T$4)</f>
        <v>0</v>
      </c>
      <c r="U133">
        <f>SUMIFS($J133:$S133,$J133:$S133,"&lt;&gt;"&amp;"#N/A",$J$4:$S$4,U$4)</f>
        <v>0</v>
      </c>
      <c r="V133">
        <f t="shared" si="78"/>
        <v>0</v>
      </c>
      <c r="W133" s="114">
        <f t="shared" si="79"/>
        <v>-26.222093135055601</v>
      </c>
      <c r="X133" s="114">
        <f t="shared" si="80"/>
        <v>-15.041865391784599</v>
      </c>
      <c r="Y133">
        <f t="shared" ref="Y133:AA133" si="114">AVERAGE(V133:V138)</f>
        <v>0</v>
      </c>
      <c r="Z133">
        <f t="shared" si="114"/>
        <v>3.8253990098695412</v>
      </c>
      <c r="AA133">
        <f t="shared" si="114"/>
        <v>4.1614287768487097</v>
      </c>
    </row>
    <row r="134" spans="1:27" x14ac:dyDescent="0.35">
      <c r="A134" s="106">
        <v>42185</v>
      </c>
      <c r="B134" s="1">
        <v>-10.520916086888301</v>
      </c>
      <c r="C134" s="1">
        <v>16.505619047619</v>
      </c>
      <c r="D134">
        <v>-2.31</v>
      </c>
      <c r="E134" t="s">
        <v>8</v>
      </c>
      <c r="F134" t="s">
        <v>125</v>
      </c>
      <c r="H134" t="s">
        <v>126</v>
      </c>
      <c r="I134" t="s">
        <v>121</v>
      </c>
      <c r="J134" s="115" cm="1">
        <f t="array" ref="J134">INDEX(股债表现与四个维度!$A:$T,MATCH($A134,股债表现与四个维度!$A:$A,0),MATCH(J$3&amp;J$4,股债表现与四个维度!$2:$2&amp;股债表现与四个维度!$3:$3,0))</f>
        <v>0</v>
      </c>
      <c r="K134" s="115" cm="1">
        <f t="array" ref="K134">INDEX(股债表现与四个维度!$A:$T,MATCH($A134,股债表现与四个维度!$A:$A,0),MATCH(K$3&amp;K$4,股债表现与四个维度!$2:$2&amp;股债表现与四个维度!$3:$3,0))</f>
        <v>0</v>
      </c>
      <c r="L134" s="115" cm="1">
        <f t="array" ref="L134">INDEX(股债表现与四个维度!$A:$T,MATCH($A134,股债表现与四个维度!$A:$A,0),MATCH(L$3&amp;L$4,股债表现与四个维度!$2:$2&amp;股债表现与四个维度!$3:$3,0))</f>
        <v>0</v>
      </c>
      <c r="M134" s="115" cm="1">
        <f t="array" ref="M134">INDEX(股债表现与四个维度!$A:$T,MATCH($A134,股债表现与四个维度!$A:$A,0),MATCH(M$3&amp;M$4,股债表现与四个维度!$2:$2&amp;股债表现与四个维度!$3:$3,0))</f>
        <v>0</v>
      </c>
      <c r="N134" s="115"/>
      <c r="O134" s="115"/>
      <c r="P134" s="115" cm="1">
        <f t="array" ref="P134">INDEX(股债表现与四个维度!$A:$T,MATCH($A134,股债表现与四个维度!$A:$A,0),MATCH(P$3&amp;P$4,股债表现与四个维度!$2:$2&amp;股债表现与四个维度!$3:$3,0))</f>
        <v>0</v>
      </c>
      <c r="Q134" s="115" cm="1">
        <f t="array" ref="Q134">INDEX(股债表现与四个维度!$A:$T,MATCH($A134,股债表现与四个维度!$A:$A,0),MATCH(Q$3&amp;Q$4,股债表现与四个维度!$2:$2&amp;股债表现与四个维度!$3:$3,0))</f>
        <v>0</v>
      </c>
      <c r="R134" s="115" cm="1">
        <f t="array" ref="R134">INDEX(股债表现与四个维度!$A:$T,MATCH($A134,股债表现与四个维度!$A:$A,0),MATCH(R$3&amp;R$4,股债表现与四个维度!$2:$2&amp;股债表现与四个维度!$3:$3,0))</f>
        <v>0</v>
      </c>
      <c r="S134" s="115" cm="1">
        <f t="array" ref="S134">INDEX(股债表现与四个维度!$A:$T,MATCH($A134,股债表现与四个维度!$A:$A,0),MATCH(S$3&amp;S$4,股债表现与四个维度!$2:$2&amp;股债表现与四个维度!$3:$3,0))</f>
        <v>0</v>
      </c>
      <c r="T134">
        <f>SUMIFS($J134:$S134,$J134:$S134,"&lt;&gt;"&amp;"#N/A",$J$4:$S$4,T$4)</f>
        <v>0</v>
      </c>
      <c r="U134">
        <f>SUMIFS($J134:$S134,$J134:$S134,"&lt;&gt;"&amp;"#N/A",$J$4:$S$4,U$4)</f>
        <v>0</v>
      </c>
      <c r="V134">
        <f t="shared" si="78"/>
        <v>0</v>
      </c>
      <c r="W134" s="114">
        <f t="shared" si="79"/>
        <v>5.984702960730699</v>
      </c>
      <c r="X134" s="114">
        <f t="shared" si="80"/>
        <v>-8.2109160868883002</v>
      </c>
      <c r="Z134">
        <f t="shared" ref="Z134:AA134" si="115">AVERAGE(W134:W139)</f>
        <v>11.694677182963309</v>
      </c>
      <c r="AA134">
        <f t="shared" si="115"/>
        <v>8.0413646449046432</v>
      </c>
    </row>
    <row r="135" spans="1:27" x14ac:dyDescent="0.35">
      <c r="A135" s="106">
        <v>42155</v>
      </c>
      <c r="B135" s="1">
        <v>15.0449379644496</v>
      </c>
      <c r="C135" s="1">
        <v>-9.0775238095239796</v>
      </c>
      <c r="D135">
        <v>3.45</v>
      </c>
      <c r="E135" t="s">
        <v>8</v>
      </c>
      <c r="F135" t="s">
        <v>112</v>
      </c>
      <c r="H135" t="s">
        <v>126</v>
      </c>
      <c r="I135" t="s">
        <v>121</v>
      </c>
      <c r="J135" s="115" cm="1">
        <f t="array" ref="J135">INDEX(股债表现与四个维度!$A:$T,MATCH($A135,股债表现与四个维度!$A:$A,0),MATCH(J$3&amp;J$4,股债表现与四个维度!$2:$2&amp;股债表现与四个维度!$3:$3,0))</f>
        <v>0</v>
      </c>
      <c r="K135" s="115" cm="1">
        <f t="array" ref="K135">INDEX(股债表现与四个维度!$A:$T,MATCH($A135,股债表现与四个维度!$A:$A,0),MATCH(K$3&amp;K$4,股债表现与四个维度!$2:$2&amp;股债表现与四个维度!$3:$3,0))</f>
        <v>0</v>
      </c>
      <c r="L135" s="115" cm="1">
        <f t="array" ref="L135">INDEX(股债表现与四个维度!$A:$T,MATCH($A135,股债表现与四个维度!$A:$A,0),MATCH(L$3&amp;L$4,股债表现与四个维度!$2:$2&amp;股债表现与四个维度!$3:$3,0))</f>
        <v>0</v>
      </c>
      <c r="M135" s="115" cm="1">
        <f t="array" ref="M135">INDEX(股债表现与四个维度!$A:$T,MATCH($A135,股债表现与四个维度!$A:$A,0),MATCH(M$3&amp;M$4,股债表现与四个维度!$2:$2&amp;股债表现与四个维度!$3:$3,0))</f>
        <v>0</v>
      </c>
      <c r="N135" s="115"/>
      <c r="O135" s="115"/>
      <c r="P135" s="115" cm="1">
        <f t="array" ref="P135">INDEX(股债表现与四个维度!$A:$T,MATCH($A135,股债表现与四个维度!$A:$A,0),MATCH(P$3&amp;P$4,股债表现与四个维度!$2:$2&amp;股债表现与四个维度!$3:$3,0))</f>
        <v>0</v>
      </c>
      <c r="Q135" s="115" cm="1">
        <f t="array" ref="Q135">INDEX(股债表现与四个维度!$A:$T,MATCH($A135,股债表现与四个维度!$A:$A,0),MATCH(Q$3&amp;Q$4,股债表现与四个维度!$2:$2&amp;股债表现与四个维度!$3:$3,0))</f>
        <v>0</v>
      </c>
      <c r="R135" s="115" cm="1">
        <f t="array" ref="R135">INDEX(股债表现与四个维度!$A:$T,MATCH($A135,股债表现与四个维度!$A:$A,0),MATCH(R$3&amp;R$4,股债表现与四个维度!$2:$2&amp;股债表现与四个维度!$3:$3,0))</f>
        <v>0</v>
      </c>
      <c r="S135" s="115" cm="1">
        <f t="array" ref="S135">INDEX(股债表现与四个维度!$A:$T,MATCH($A135,股债表现与四个维度!$A:$A,0),MATCH(S$3&amp;S$4,股债表现与四个维度!$2:$2&amp;股债表现与四个维度!$3:$3,0))</f>
        <v>0</v>
      </c>
      <c r="T135">
        <f>SUMIFS($J135:$S135,$J135:$S135,"&lt;&gt;"&amp;"#N/A",$J$4:$S$4,T$4)</f>
        <v>0</v>
      </c>
      <c r="U135">
        <f>SUMIFS($J135:$S135,$J135:$S135,"&lt;&gt;"&amp;"#N/A",$J$4:$S$4,U$4)</f>
        <v>0</v>
      </c>
      <c r="V135">
        <f t="shared" si="78"/>
        <v>0</v>
      </c>
      <c r="W135" s="114">
        <f t="shared" si="79"/>
        <v>5.9674141549256206</v>
      </c>
      <c r="X135" s="114">
        <f t="shared" si="80"/>
        <v>11.594937964449599</v>
      </c>
      <c r="Z135">
        <f t="shared" ref="Z135:AA135" si="116">AVERAGE(W135:W140)</f>
        <v>7.9285121595820582</v>
      </c>
      <c r="AA135">
        <f t="shared" si="116"/>
        <v>10.435802796126559</v>
      </c>
    </row>
    <row r="136" spans="1:27" x14ac:dyDescent="0.35">
      <c r="A136" s="106">
        <v>42124</v>
      </c>
      <c r="B136" s="1">
        <v>18.963746965526099</v>
      </c>
      <c r="C136" s="1">
        <v>2.8731601731599699</v>
      </c>
      <c r="D136">
        <v>3.12</v>
      </c>
      <c r="E136" t="s">
        <v>8</v>
      </c>
      <c r="F136" t="s">
        <v>112</v>
      </c>
      <c r="H136" t="s">
        <v>126</v>
      </c>
      <c r="I136" t="s">
        <v>121</v>
      </c>
      <c r="J136" s="115" cm="1">
        <f t="array" ref="J136">INDEX(股债表现与四个维度!$A:$T,MATCH($A136,股债表现与四个维度!$A:$A,0),MATCH(J$3&amp;J$4,股债表现与四个维度!$2:$2&amp;股债表现与四个维度!$3:$3,0))</f>
        <v>0</v>
      </c>
      <c r="K136" s="115" cm="1">
        <f t="array" ref="K136">INDEX(股债表现与四个维度!$A:$T,MATCH($A136,股债表现与四个维度!$A:$A,0),MATCH(K$3&amp;K$4,股债表现与四个维度!$2:$2&amp;股债表现与四个维度!$3:$3,0))</f>
        <v>0</v>
      </c>
      <c r="L136" s="115" cm="1">
        <f t="array" ref="L136">INDEX(股债表现与四个维度!$A:$T,MATCH($A136,股债表现与四个维度!$A:$A,0),MATCH(L$3&amp;L$4,股债表现与四个维度!$2:$2&amp;股债表现与四个维度!$3:$3,0))</f>
        <v>0</v>
      </c>
      <c r="M136" s="115" cm="1">
        <f t="array" ref="M136">INDEX(股债表现与四个维度!$A:$T,MATCH($A136,股债表现与四个维度!$A:$A,0),MATCH(M$3&amp;M$4,股债表现与四个维度!$2:$2&amp;股债表现与四个维度!$3:$3,0))</f>
        <v>0</v>
      </c>
      <c r="N136" s="115"/>
      <c r="O136" s="115"/>
      <c r="P136" s="115" cm="1">
        <f t="array" ref="P136">INDEX(股债表现与四个维度!$A:$T,MATCH($A136,股债表现与四个维度!$A:$A,0),MATCH(P$3&amp;P$4,股债表现与四个维度!$2:$2&amp;股债表现与四个维度!$3:$3,0))</f>
        <v>0</v>
      </c>
      <c r="Q136" s="115" cm="1">
        <f t="array" ref="Q136">INDEX(股债表现与四个维度!$A:$T,MATCH($A136,股债表现与四个维度!$A:$A,0),MATCH(Q$3&amp;Q$4,股债表现与四个维度!$2:$2&amp;股债表现与四个维度!$3:$3,0))</f>
        <v>0</v>
      </c>
      <c r="R136" s="115" cm="1">
        <f t="array" ref="R136">INDEX(股债表现与四个维度!$A:$T,MATCH($A136,股债表现与四个维度!$A:$A,0),MATCH(R$3&amp;R$4,股债表现与四个维度!$2:$2&amp;股债表现与四个维度!$3:$3,0))</f>
        <v>0</v>
      </c>
      <c r="S136" s="115" cm="1">
        <f t="array" ref="S136">INDEX(股债表现与四个维度!$A:$T,MATCH($A136,股债表现与四个维度!$A:$A,0),MATCH(S$3&amp;S$4,股债表现与四个维度!$2:$2&amp;股债表现与四个维度!$3:$3,0))</f>
        <v>0</v>
      </c>
      <c r="T136">
        <f>SUMIFS($J136:$S136,$J136:$S136,"&lt;&gt;"&amp;"#N/A",$J$4:$S$4,T$4)</f>
        <v>0</v>
      </c>
      <c r="U136">
        <f>SUMIFS($J136:$S136,$J136:$S136,"&lt;&gt;"&amp;"#N/A",$J$4:$S$4,U$4)</f>
        <v>0</v>
      </c>
      <c r="V136">
        <f t="shared" si="78"/>
        <v>0</v>
      </c>
      <c r="W136" s="114">
        <f t="shared" si="79"/>
        <v>21.836907138686069</v>
      </c>
      <c r="X136" s="114">
        <f t="shared" si="80"/>
        <v>15.843746965526098</v>
      </c>
      <c r="Z136">
        <f t="shared" ref="Z136:AA136" si="117">AVERAGE(W136:W141)</f>
        <v>2.0351384695385479</v>
      </c>
      <c r="AA136">
        <f t="shared" si="117"/>
        <v>8.4173115014653863</v>
      </c>
    </row>
    <row r="137" spans="1:27" x14ac:dyDescent="0.35">
      <c r="A137" s="106">
        <v>42094</v>
      </c>
      <c r="B137" s="1">
        <v>18.781488155255499</v>
      </c>
      <c r="C137" s="1">
        <v>3.3070499108739999</v>
      </c>
      <c r="D137">
        <v>1.2</v>
      </c>
      <c r="E137" t="s">
        <v>7</v>
      </c>
      <c r="F137" t="s">
        <v>112</v>
      </c>
      <c r="H137" t="s">
        <v>126</v>
      </c>
      <c r="I137" t="s">
        <v>121</v>
      </c>
      <c r="J137" s="115" cm="1">
        <f t="array" ref="J137">INDEX(股债表现与四个维度!$A:$T,MATCH($A137,股债表现与四个维度!$A:$A,0),MATCH(J$3&amp;J$4,股债表现与四个维度!$2:$2&amp;股债表现与四个维度!$3:$3,0))</f>
        <v>0</v>
      </c>
      <c r="K137" s="115" cm="1">
        <f t="array" ref="K137">INDEX(股债表现与四个维度!$A:$T,MATCH($A137,股债表现与四个维度!$A:$A,0),MATCH(K$3&amp;K$4,股债表现与四个维度!$2:$2&amp;股债表现与四个维度!$3:$3,0))</f>
        <v>0</v>
      </c>
      <c r="L137" s="115" cm="1">
        <f t="array" ref="L137">INDEX(股债表现与四个维度!$A:$T,MATCH($A137,股债表现与四个维度!$A:$A,0),MATCH(L$3&amp;L$4,股债表现与四个维度!$2:$2&amp;股债表现与四个维度!$3:$3,0))</f>
        <v>0</v>
      </c>
      <c r="M137" s="115" cm="1">
        <f t="array" ref="M137">INDEX(股债表现与四个维度!$A:$T,MATCH($A137,股债表现与四个维度!$A:$A,0),MATCH(M$3&amp;M$4,股债表现与四个维度!$2:$2&amp;股债表现与四个维度!$3:$3,0))</f>
        <v>0</v>
      </c>
      <c r="N137" s="115"/>
      <c r="O137" s="115"/>
      <c r="P137" s="115" cm="1">
        <f t="array" ref="P137">INDEX(股债表现与四个维度!$A:$T,MATCH($A137,股债表现与四个维度!$A:$A,0),MATCH(P$3&amp;P$4,股债表现与四个维度!$2:$2&amp;股债表现与四个维度!$3:$3,0))</f>
        <v>0</v>
      </c>
      <c r="Q137" s="115" cm="1">
        <f t="array" ref="Q137">INDEX(股债表现与四个维度!$A:$T,MATCH($A137,股债表现与四个维度!$A:$A,0),MATCH(Q$3&amp;Q$4,股债表现与四个维度!$2:$2&amp;股债表现与四个维度!$3:$3,0))</f>
        <v>0</v>
      </c>
      <c r="R137" s="115" cm="1">
        <f t="array" ref="R137">INDEX(股债表现与四个维度!$A:$T,MATCH($A137,股债表现与四个维度!$A:$A,0),MATCH(R$3&amp;R$4,股债表现与四个维度!$2:$2&amp;股债表现与四个维度!$3:$3,0))</f>
        <v>0</v>
      </c>
      <c r="S137" s="115" cm="1">
        <f t="array" ref="S137">INDEX(股债表现与四个维度!$A:$T,MATCH($A137,股债表现与四个维度!$A:$A,0),MATCH(S$3&amp;S$4,股债表现与四个维度!$2:$2&amp;股债表现与四个维度!$3:$3,0))</f>
        <v>0</v>
      </c>
      <c r="T137">
        <f>SUMIFS($J137:$S137,$J137:$S137,"&lt;&gt;"&amp;"#N/A",$J$4:$S$4,T$4)</f>
        <v>0</v>
      </c>
      <c r="U137">
        <f>SUMIFS($J137:$S137,$J137:$S137,"&lt;&gt;"&amp;"#N/A",$J$4:$S$4,U$4)</f>
        <v>0</v>
      </c>
      <c r="V137">
        <f t="shared" si="78"/>
        <v>0</v>
      </c>
      <c r="W137" s="114">
        <f t="shared" si="79"/>
        <v>22.088538066129498</v>
      </c>
      <c r="X137" s="114">
        <f t="shared" si="80"/>
        <v>17.581488155255499</v>
      </c>
      <c r="Z137">
        <f t="shared" ref="Z137:AA137" si="118">AVERAGE(W137:W142)</f>
        <v>-1.4993378074378294</v>
      </c>
      <c r="AA137">
        <f t="shared" si="118"/>
        <v>7.0914319055856687</v>
      </c>
    </row>
    <row r="138" spans="1:27" x14ac:dyDescent="0.35">
      <c r="A138" s="106">
        <v>42063</v>
      </c>
      <c r="B138" s="1">
        <v>4.1711810545339603</v>
      </c>
      <c r="C138" s="1">
        <v>-10.874256180732999</v>
      </c>
      <c r="D138">
        <v>0.97</v>
      </c>
      <c r="E138" t="s">
        <v>7</v>
      </c>
      <c r="F138" t="s">
        <v>112</v>
      </c>
      <c r="H138" t="s">
        <v>126</v>
      </c>
      <c r="I138" t="s">
        <v>121</v>
      </c>
      <c r="J138" s="115" cm="1">
        <f t="array" ref="J138">INDEX(股债表现与四个维度!$A:$T,MATCH($A138,股债表现与四个维度!$A:$A,0),MATCH(J$3&amp;J$4,股债表现与四个维度!$2:$2&amp;股债表现与四个维度!$3:$3,0))</f>
        <v>0</v>
      </c>
      <c r="K138" s="115" cm="1">
        <f t="array" ref="K138">INDEX(股债表现与四个维度!$A:$T,MATCH($A138,股债表现与四个维度!$A:$A,0),MATCH(K$3&amp;K$4,股债表现与四个维度!$2:$2&amp;股债表现与四个维度!$3:$3,0))</f>
        <v>0</v>
      </c>
      <c r="L138" s="115" cm="1">
        <f t="array" ref="L138">INDEX(股债表现与四个维度!$A:$T,MATCH($A138,股债表现与四个维度!$A:$A,0),MATCH(L$3&amp;L$4,股债表现与四个维度!$2:$2&amp;股债表现与四个维度!$3:$3,0))</f>
        <v>0</v>
      </c>
      <c r="M138" s="115" cm="1">
        <f t="array" ref="M138">INDEX(股债表现与四个维度!$A:$T,MATCH($A138,股债表现与四个维度!$A:$A,0),MATCH(M$3&amp;M$4,股债表现与四个维度!$2:$2&amp;股债表现与四个维度!$3:$3,0))</f>
        <v>0</v>
      </c>
      <c r="N138" s="115"/>
      <c r="O138" s="115"/>
      <c r="P138" s="115" cm="1">
        <f t="array" ref="P138">INDEX(股债表现与四个维度!$A:$T,MATCH($A138,股债表现与四个维度!$A:$A,0),MATCH(P$3&amp;P$4,股债表现与四个维度!$2:$2&amp;股债表现与四个维度!$3:$3,0))</f>
        <v>0</v>
      </c>
      <c r="Q138" s="115" cm="1">
        <f t="array" ref="Q138">INDEX(股债表现与四个维度!$A:$T,MATCH($A138,股债表现与四个维度!$A:$A,0),MATCH(Q$3&amp;Q$4,股债表现与四个维度!$2:$2&amp;股债表现与四个维度!$3:$3,0))</f>
        <v>0</v>
      </c>
      <c r="R138" s="115" cm="1">
        <f t="array" ref="R138">INDEX(股债表现与四个维度!$A:$T,MATCH($A138,股债表现与四个维度!$A:$A,0),MATCH(R$3&amp;R$4,股债表现与四个维度!$2:$2&amp;股债表现与四个维度!$3:$3,0))</f>
        <v>0</v>
      </c>
      <c r="S138" s="115" cm="1">
        <f t="array" ref="S138">INDEX(股债表现与四个维度!$A:$T,MATCH($A138,股债表现与四个维度!$A:$A,0),MATCH(S$3&amp;S$4,股债表现与四个维度!$2:$2&amp;股债表现与四个维度!$3:$3,0))</f>
        <v>0</v>
      </c>
      <c r="T138">
        <f>SUMIFS($J138:$S138,$J138:$S138,"&lt;&gt;"&amp;"#N/A",$J$4:$S$4,T$4)</f>
        <v>0</v>
      </c>
      <c r="U138">
        <f>SUMIFS($J138:$S138,$J138:$S138,"&lt;&gt;"&amp;"#N/A",$J$4:$S$4,U$4)</f>
        <v>0</v>
      </c>
      <c r="V138">
        <f t="shared" si="78"/>
        <v>0</v>
      </c>
      <c r="W138" s="114">
        <f t="shared" si="79"/>
        <v>-6.7030751261990389</v>
      </c>
      <c r="X138" s="114">
        <f t="shared" si="80"/>
        <v>3.2011810545339605</v>
      </c>
      <c r="Z138">
        <f t="shared" ref="Z138:AA138" si="119">AVERAGE(W138:W143)</f>
        <v>-4.0495486015225346</v>
      </c>
      <c r="AA138">
        <f t="shared" si="119"/>
        <v>4.4328998923677965</v>
      </c>
    </row>
    <row r="139" spans="1:27" x14ac:dyDescent="0.35">
      <c r="A139" s="106">
        <v>42004</v>
      </c>
      <c r="B139" s="1">
        <v>11.237749816551</v>
      </c>
      <c r="C139" s="1">
        <v>9.7558260869560005</v>
      </c>
      <c r="D139">
        <v>3</v>
      </c>
      <c r="E139" t="s">
        <v>7</v>
      </c>
      <c r="F139" t="s">
        <v>112</v>
      </c>
      <c r="H139" t="s">
        <v>126</v>
      </c>
      <c r="I139" t="s">
        <v>121</v>
      </c>
      <c r="J139" s="115"/>
      <c r="K139" s="115"/>
      <c r="L139" s="115"/>
      <c r="M139" s="115"/>
      <c r="N139" s="115"/>
      <c r="O139" s="115"/>
      <c r="P139" s="115"/>
      <c r="Q139" s="115"/>
      <c r="R139" s="115"/>
      <c r="S139" s="115"/>
      <c r="W139" s="114">
        <f t="shared" si="79"/>
        <v>20.993575903507001</v>
      </c>
      <c r="X139" s="114">
        <f t="shared" si="80"/>
        <v>8.2377498165510001</v>
      </c>
      <c r="Z139">
        <f t="shared" ref="Z139:AA139" si="120">AVERAGE(W139:W144)</f>
        <v>1.0728442978515769</v>
      </c>
      <c r="AA139">
        <f t="shared" si="120"/>
        <v>5.1896232833589089</v>
      </c>
    </row>
    <row r="140" spans="1:27" x14ac:dyDescent="0.35">
      <c r="A140" s="106">
        <v>41973</v>
      </c>
      <c r="B140" s="1">
        <v>9.0157128204432002</v>
      </c>
      <c r="C140" s="1">
        <v>-25.628</v>
      </c>
      <c r="D140">
        <v>2.86</v>
      </c>
      <c r="E140" t="s">
        <v>7</v>
      </c>
      <c r="F140" t="s">
        <v>112</v>
      </c>
      <c r="H140" t="s">
        <v>126</v>
      </c>
      <c r="I140" t="s">
        <v>121</v>
      </c>
      <c r="J140" s="115"/>
      <c r="K140" s="115"/>
      <c r="L140" s="115"/>
      <c r="M140" s="115"/>
      <c r="N140" s="115"/>
      <c r="O140" s="115"/>
      <c r="P140" s="115"/>
      <c r="Q140" s="115"/>
      <c r="R140" s="115"/>
      <c r="S140" s="115"/>
      <c r="W140" s="114">
        <f t="shared" si="79"/>
        <v>-16.612287179556802</v>
      </c>
      <c r="X140" s="114">
        <f t="shared" si="80"/>
        <v>6.1557128204432008</v>
      </c>
      <c r="Z140">
        <f t="shared" ref="Z140:AA140" si="121">AVERAGE(W140:W145)</f>
        <v>-4.0901924457977543</v>
      </c>
      <c r="AA140">
        <f t="shared" si="121"/>
        <v>4.1032837446784116</v>
      </c>
    </row>
    <row r="141" spans="1:27" x14ac:dyDescent="0.35">
      <c r="A141" s="106">
        <v>41943</v>
      </c>
      <c r="B141" s="1">
        <v>2.0739901964825598</v>
      </c>
      <c r="C141" s="1">
        <v>-31.466818181817999</v>
      </c>
      <c r="D141">
        <v>2.59</v>
      </c>
      <c r="E141" t="s">
        <v>7</v>
      </c>
      <c r="F141" t="s">
        <v>112</v>
      </c>
      <c r="H141" t="s">
        <v>114</v>
      </c>
      <c r="I141" t="s">
        <v>121</v>
      </c>
      <c r="J141" s="115"/>
      <c r="K141" s="115"/>
      <c r="L141" s="115"/>
      <c r="M141" s="115"/>
      <c r="N141" s="115"/>
      <c r="O141" s="115"/>
      <c r="P141" s="115"/>
      <c r="Q141" s="115"/>
      <c r="R141" s="115"/>
      <c r="S141" s="115"/>
      <c r="W141" s="114">
        <f t="shared" si="79"/>
        <v>-29.39282798533544</v>
      </c>
      <c r="X141" s="114">
        <f t="shared" si="80"/>
        <v>-0.51600980351744008</v>
      </c>
      <c r="Z141">
        <f t="shared" ref="Z141:AA141" si="122">AVERAGE(W141:W146)</f>
        <v>-4.4593624896838087</v>
      </c>
      <c r="AA141">
        <f t="shared" si="122"/>
        <v>3.0994470341256899</v>
      </c>
    </row>
    <row r="142" spans="1:27" x14ac:dyDescent="0.35">
      <c r="A142" s="106">
        <v>41912</v>
      </c>
      <c r="B142" s="1">
        <v>9.6784693902477894</v>
      </c>
      <c r="C142" s="1">
        <v>-9.0484199134199805</v>
      </c>
      <c r="D142">
        <v>1.79</v>
      </c>
      <c r="E142" t="s">
        <v>7</v>
      </c>
      <c r="F142" t="s">
        <v>112</v>
      </c>
      <c r="H142" t="s">
        <v>114</v>
      </c>
      <c r="I142" t="s">
        <v>121</v>
      </c>
      <c r="J142" s="115"/>
      <c r="K142" s="115"/>
      <c r="L142" s="115"/>
      <c r="M142" s="115"/>
      <c r="N142" s="115"/>
      <c r="O142" s="115"/>
      <c r="P142" s="115"/>
      <c r="Q142" s="115"/>
      <c r="R142" s="115"/>
      <c r="S142" s="115"/>
      <c r="W142" s="114">
        <f t="shared" si="79"/>
        <v>0.63004947682780887</v>
      </c>
      <c r="X142" s="114">
        <f t="shared" si="80"/>
        <v>7.8884693902477894</v>
      </c>
      <c r="Z142">
        <f t="shared" ref="Z142:AA142" si="123">AVERAGE(W142:W147)</f>
        <v>-1.664292645451307</v>
      </c>
      <c r="AA142">
        <f t="shared" si="123"/>
        <v>2.8875074988488585</v>
      </c>
    </row>
    <row r="143" spans="1:27" x14ac:dyDescent="0.35">
      <c r="A143" s="106">
        <v>41882</v>
      </c>
      <c r="B143" s="1">
        <v>2.83029607594827</v>
      </c>
      <c r="C143" s="1">
        <v>3.9569772256729898</v>
      </c>
      <c r="D143">
        <v>1.2</v>
      </c>
      <c r="E143" t="s">
        <v>7</v>
      </c>
      <c r="F143" t="s">
        <v>112</v>
      </c>
      <c r="H143" t="s">
        <v>114</v>
      </c>
      <c r="I143" t="s">
        <v>121</v>
      </c>
      <c r="J143" s="115"/>
      <c r="K143" s="115"/>
      <c r="L143" s="115"/>
      <c r="M143" s="115"/>
      <c r="N143" s="115"/>
      <c r="O143" s="115"/>
      <c r="P143" s="115"/>
      <c r="Q143" s="115"/>
      <c r="R143" s="115"/>
      <c r="S143" s="115"/>
      <c r="W143" s="114">
        <f t="shared" si="79"/>
        <v>6.7872733016212603</v>
      </c>
      <c r="X143" s="114">
        <f t="shared" si="80"/>
        <v>1.6302960759482701</v>
      </c>
      <c r="Z143">
        <f t="shared" ref="Z143:AA143" si="124">AVERAGE(W143:W148)</f>
        <v>-2.5270043164698195</v>
      </c>
      <c r="AA143">
        <f t="shared" si="124"/>
        <v>1.1658058227373365</v>
      </c>
    </row>
    <row r="144" spans="1:27" x14ac:dyDescent="0.35">
      <c r="A144" s="106">
        <v>41851</v>
      </c>
      <c r="B144" s="1">
        <v>8.5715214004806306</v>
      </c>
      <c r="C144" s="1">
        <v>15.459760869565001</v>
      </c>
      <c r="D144">
        <v>0.83</v>
      </c>
      <c r="E144" t="s">
        <v>10</v>
      </c>
      <c r="F144" t="s">
        <v>112</v>
      </c>
      <c r="H144" t="s">
        <v>114</v>
      </c>
      <c r="I144" t="s">
        <v>122</v>
      </c>
      <c r="J144" s="115"/>
      <c r="K144" s="115"/>
      <c r="L144" s="115"/>
      <c r="M144" s="115"/>
      <c r="N144" s="115"/>
      <c r="O144" s="115"/>
      <c r="P144" s="115"/>
      <c r="Q144" s="115"/>
      <c r="R144" s="115"/>
      <c r="S144" s="115"/>
      <c r="W144" s="114">
        <f t="shared" si="79"/>
        <v>24.031282270045629</v>
      </c>
      <c r="X144" s="114">
        <f t="shared" si="80"/>
        <v>7.7415214004806305</v>
      </c>
      <c r="Z144">
        <f t="shared" ref="Z144:AA144" si="125">AVERAGE(W144:W149)</f>
        <v>-3.9102884678735599</v>
      </c>
      <c r="AA144">
        <f t="shared" si="125"/>
        <v>0.60903993443601845</v>
      </c>
    </row>
    <row r="145" spans="1:27" x14ac:dyDescent="0.35">
      <c r="A145" s="106">
        <v>41820</v>
      </c>
      <c r="B145" s="1">
        <v>3.07971258446802</v>
      </c>
      <c r="C145" s="1">
        <v>-13.064357142857</v>
      </c>
      <c r="D145">
        <v>1.36</v>
      </c>
      <c r="E145" t="s">
        <v>9</v>
      </c>
      <c r="F145" t="s">
        <v>112</v>
      </c>
      <c r="H145" t="s">
        <v>114</v>
      </c>
      <c r="I145" t="s">
        <v>115</v>
      </c>
      <c r="J145" s="115"/>
      <c r="K145" s="115"/>
      <c r="L145" s="115"/>
      <c r="M145" s="115"/>
      <c r="N145" s="115"/>
      <c r="O145" s="115"/>
      <c r="P145" s="115"/>
      <c r="Q145" s="115"/>
      <c r="R145" s="115"/>
      <c r="S145" s="115"/>
      <c r="W145" s="114">
        <f t="shared" si="79"/>
        <v>-9.9846445583889807</v>
      </c>
      <c r="X145" s="114">
        <f t="shared" si="80"/>
        <v>1.7197125844680199</v>
      </c>
      <c r="Z145">
        <f t="shared" ref="Z145:AA145" si="126">AVERAGE(W145:W150)</f>
        <v>-7.1414753250919558</v>
      </c>
      <c r="AA145">
        <f t="shared" si="126"/>
        <v>-1.142215637883875</v>
      </c>
    </row>
    <row r="146" spans="1:27" x14ac:dyDescent="0.35">
      <c r="A146" s="106">
        <v>41790</v>
      </c>
      <c r="B146" s="1">
        <v>1.4926925571268701</v>
      </c>
      <c r="C146" s="1">
        <v>-20.32</v>
      </c>
      <c r="D146">
        <v>1.36</v>
      </c>
      <c r="E146" t="s">
        <v>9</v>
      </c>
      <c r="F146" t="s">
        <v>112</v>
      </c>
      <c r="H146" t="s">
        <v>114</v>
      </c>
      <c r="I146" t="s">
        <v>115</v>
      </c>
      <c r="J146" s="115"/>
      <c r="K146" s="115"/>
      <c r="L146" s="115"/>
      <c r="M146" s="115"/>
      <c r="N146" s="115"/>
      <c r="O146" s="115"/>
      <c r="P146" s="115"/>
      <c r="Q146" s="115"/>
      <c r="R146" s="115"/>
      <c r="S146" s="115"/>
      <c r="W146" s="114">
        <f t="shared" si="79"/>
        <v>-18.827307442873131</v>
      </c>
      <c r="X146" s="114">
        <f t="shared" si="80"/>
        <v>0.13269255712687</v>
      </c>
      <c r="Z146">
        <f t="shared" ref="Z146:AA146" si="127">AVERAGE(W146:W151)</f>
        <v>1.2295027468432866</v>
      </c>
      <c r="AA146">
        <f t="shared" si="127"/>
        <v>-0.37799550245648356</v>
      </c>
    </row>
    <row r="147" spans="1:27" x14ac:dyDescent="0.35">
      <c r="A147" s="106">
        <v>41759</v>
      </c>
      <c r="B147" s="1">
        <v>-0.76764701517843004</v>
      </c>
      <c r="C147" s="1">
        <v>-11.854761904762</v>
      </c>
      <c r="D147">
        <v>1.02</v>
      </c>
      <c r="E147" t="s">
        <v>9</v>
      </c>
      <c r="F147" t="s">
        <v>112</v>
      </c>
      <c r="H147" t="s">
        <v>114</v>
      </c>
      <c r="I147" t="s">
        <v>115</v>
      </c>
      <c r="J147" s="115"/>
      <c r="K147" s="115"/>
      <c r="L147" s="115"/>
      <c r="M147" s="115"/>
      <c r="N147" s="115"/>
      <c r="O147" s="115"/>
      <c r="P147" s="115"/>
      <c r="Q147" s="115"/>
      <c r="R147" s="115"/>
      <c r="S147" s="115"/>
      <c r="W147" s="114">
        <f t="shared" si="79"/>
        <v>-12.62240891994043</v>
      </c>
      <c r="X147" s="114">
        <f t="shared" si="80"/>
        <v>-1.7876470151784301</v>
      </c>
      <c r="Z147">
        <f t="shared" ref="Z147:AA147" si="128">AVERAGE(W147:W152)</f>
        <v>4.9800153573818013</v>
      </c>
      <c r="AA147">
        <f t="shared" si="128"/>
        <v>-0.76248289191797014</v>
      </c>
    </row>
    <row r="148" spans="1:27" x14ac:dyDescent="0.35">
      <c r="A148" s="106">
        <v>41729</v>
      </c>
      <c r="B148" s="1">
        <v>-2.7917406664213398</v>
      </c>
      <c r="C148" s="1">
        <v>-1.7544798828619299</v>
      </c>
      <c r="D148">
        <v>-0.35</v>
      </c>
      <c r="E148" t="s">
        <v>8</v>
      </c>
      <c r="F148" t="s">
        <v>128</v>
      </c>
      <c r="H148" t="s">
        <v>116</v>
      </c>
      <c r="I148" t="s">
        <v>115</v>
      </c>
      <c r="J148" s="115"/>
      <c r="K148" s="115"/>
      <c r="L148" s="115"/>
      <c r="M148" s="115"/>
      <c r="N148" s="115"/>
      <c r="O148" s="115"/>
      <c r="P148" s="115"/>
      <c r="Q148" s="115"/>
      <c r="R148" s="115"/>
      <c r="S148" s="115"/>
      <c r="W148" s="114">
        <f t="shared" si="79"/>
        <v>-4.5462205492832695</v>
      </c>
      <c r="X148" s="114">
        <f t="shared" si="80"/>
        <v>-2.4417406664213397</v>
      </c>
      <c r="Z148">
        <f t="shared" ref="Z148:AA148" si="129">AVERAGE(W148:W153)</f>
        <v>10.242738147154766</v>
      </c>
      <c r="AA148">
        <f t="shared" si="129"/>
        <v>0.31293109554616166</v>
      </c>
    </row>
    <row r="149" spans="1:27" x14ac:dyDescent="0.35">
      <c r="A149" s="106">
        <v>41698</v>
      </c>
      <c r="B149" s="1">
        <v>-0.17029925385964001</v>
      </c>
      <c r="C149" s="1">
        <v>-1.3421323529415401</v>
      </c>
      <c r="D149">
        <v>1.54</v>
      </c>
      <c r="E149" t="s">
        <v>7</v>
      </c>
      <c r="F149" t="s">
        <v>128</v>
      </c>
      <c r="H149" t="s">
        <v>116</v>
      </c>
      <c r="I149" t="s">
        <v>115</v>
      </c>
      <c r="J149" s="115"/>
      <c r="K149" s="115"/>
      <c r="L149" s="115"/>
      <c r="M149" s="115"/>
      <c r="N149" s="115"/>
      <c r="O149" s="115"/>
      <c r="P149" s="115"/>
      <c r="Q149" s="115"/>
      <c r="R149" s="115"/>
      <c r="S149" s="115"/>
      <c r="W149" s="114">
        <f t="shared" si="79"/>
        <v>-1.5124316068011801</v>
      </c>
      <c r="X149" s="114">
        <f t="shared" si="80"/>
        <v>-1.71029925385964</v>
      </c>
      <c r="Z149">
        <f t="shared" ref="Z149:AA149" si="130">AVERAGE(W149:W154)</f>
        <v>16.74391048542185</v>
      </c>
      <c r="AA149">
        <f t="shared" si="130"/>
        <v>1.8002342570252601</v>
      </c>
    </row>
    <row r="150" spans="1:27" x14ac:dyDescent="0.35">
      <c r="A150" s="106">
        <v>41639</v>
      </c>
      <c r="B150" s="1">
        <v>-3.9460120334387301</v>
      </c>
      <c r="C150" s="1">
        <v>8.5901731601739897</v>
      </c>
      <c r="D150">
        <v>-1.18</v>
      </c>
      <c r="E150" t="s">
        <v>7</v>
      </c>
      <c r="F150" t="s">
        <v>128</v>
      </c>
      <c r="H150" t="s">
        <v>116</v>
      </c>
      <c r="I150" t="s">
        <v>115</v>
      </c>
      <c r="J150" s="115"/>
      <c r="K150" s="115"/>
      <c r="L150" s="115"/>
      <c r="M150" s="115"/>
      <c r="N150" s="115"/>
      <c r="O150" s="115"/>
      <c r="P150" s="115"/>
      <c r="Q150" s="115"/>
      <c r="R150" s="115"/>
      <c r="S150" s="115"/>
      <c r="W150" s="114">
        <f t="shared" si="79"/>
        <v>4.6441611267352592</v>
      </c>
      <c r="X150" s="114">
        <f t="shared" si="80"/>
        <v>-2.7660120334387299</v>
      </c>
      <c r="Z150">
        <f t="shared" ref="Z150:AA150" si="131">AVERAGE(W150:W155)</f>
        <v>19.620929533391784</v>
      </c>
      <c r="AA150">
        <f t="shared" si="131"/>
        <v>2.7624127869802693</v>
      </c>
    </row>
    <row r="151" spans="1:27" x14ac:dyDescent="0.35">
      <c r="A151" s="106">
        <v>41608</v>
      </c>
      <c r="B151" s="1">
        <v>5.2450333970323699</v>
      </c>
      <c r="C151" s="1">
        <v>34.996190476190101</v>
      </c>
      <c r="D151">
        <v>-1.06</v>
      </c>
      <c r="E151" t="s">
        <v>7</v>
      </c>
      <c r="F151" t="s">
        <v>128</v>
      </c>
      <c r="H151" t="s">
        <v>116</v>
      </c>
      <c r="I151" t="s">
        <v>115</v>
      </c>
      <c r="J151" s="115"/>
      <c r="K151" s="115"/>
      <c r="L151" s="115"/>
      <c r="M151" s="115"/>
      <c r="N151" s="115"/>
      <c r="O151" s="115"/>
      <c r="P151" s="115"/>
      <c r="Q151" s="115"/>
      <c r="R151" s="115"/>
      <c r="S151" s="115"/>
      <c r="W151" s="114">
        <f t="shared" si="79"/>
        <v>40.241223873222474</v>
      </c>
      <c r="X151" s="114">
        <f t="shared" si="80"/>
        <v>6.3050333970323695</v>
      </c>
      <c r="Z151">
        <f t="shared" ref="Z151:AA151" si="132">AVERAGE(W151:W156)</f>
        <v>17.849141697664564</v>
      </c>
      <c r="AA151">
        <f t="shared" si="132"/>
        <v>1.067125103148042</v>
      </c>
    </row>
    <row r="152" spans="1:27" x14ac:dyDescent="0.35">
      <c r="A152" s="106">
        <v>41578</v>
      </c>
      <c r="B152" s="1">
        <v>-2.8042317796420502</v>
      </c>
      <c r="C152" s="1">
        <v>6.48</v>
      </c>
      <c r="D152">
        <v>-0.63</v>
      </c>
      <c r="E152" t="s">
        <v>7</v>
      </c>
      <c r="F152" t="s">
        <v>128</v>
      </c>
      <c r="H152" t="s">
        <v>116</v>
      </c>
      <c r="I152" t="s">
        <v>115</v>
      </c>
      <c r="J152" s="115"/>
      <c r="K152" s="115"/>
      <c r="L152" s="115"/>
      <c r="M152" s="115"/>
      <c r="N152" s="115"/>
      <c r="O152" s="115"/>
      <c r="P152" s="115"/>
      <c r="Q152" s="115"/>
      <c r="R152" s="115"/>
      <c r="S152" s="115"/>
      <c r="W152" s="114">
        <f t="shared" si="79"/>
        <v>3.6757682203579503</v>
      </c>
      <c r="X152" s="114">
        <f t="shared" si="80"/>
        <v>-2.1742317796420503</v>
      </c>
      <c r="Z152">
        <f t="shared" ref="Z152:AA152" si="133">AVERAGE(W152:W157)</f>
        <v>12.179760830795432</v>
      </c>
      <c r="AA152">
        <f t="shared" si="133"/>
        <v>1.3376179736525966</v>
      </c>
    </row>
    <row r="153" spans="1:27" x14ac:dyDescent="0.35">
      <c r="A153" s="106">
        <v>41547</v>
      </c>
      <c r="B153" s="1">
        <v>5.4048369096063604</v>
      </c>
      <c r="C153" s="1">
        <v>13.549090909090999</v>
      </c>
      <c r="D153">
        <v>0.74</v>
      </c>
      <c r="E153" t="s">
        <v>10</v>
      </c>
      <c r="F153" t="s">
        <v>128</v>
      </c>
      <c r="H153" t="s">
        <v>116</v>
      </c>
      <c r="I153" t="s">
        <v>115</v>
      </c>
      <c r="J153" s="115"/>
      <c r="K153" s="115"/>
      <c r="L153" s="115"/>
      <c r="M153" s="115"/>
      <c r="N153" s="115"/>
      <c r="O153" s="115"/>
      <c r="P153" s="115"/>
      <c r="Q153" s="115"/>
      <c r="R153" s="115"/>
      <c r="S153" s="115"/>
      <c r="W153" s="114">
        <f t="shared" si="79"/>
        <v>18.953927818697359</v>
      </c>
      <c r="X153" s="114">
        <f t="shared" si="80"/>
        <v>4.6648369096063602</v>
      </c>
      <c r="Z153">
        <f t="shared" ref="Z153:AA153" si="134">AVERAGE(W153:W158)</f>
        <v>9.2407103919174123</v>
      </c>
      <c r="AA153">
        <f t="shared" si="134"/>
        <v>1.3701548363619087</v>
      </c>
    </row>
    <row r="154" spans="1:27" x14ac:dyDescent="0.35">
      <c r="A154" s="106">
        <v>41517</v>
      </c>
      <c r="B154" s="1">
        <v>6.6020783024532497</v>
      </c>
      <c r="C154" s="1">
        <v>27.858735177865999</v>
      </c>
      <c r="D154">
        <v>0.12</v>
      </c>
      <c r="E154" t="s">
        <v>9</v>
      </c>
      <c r="F154" t="s">
        <v>128</v>
      </c>
      <c r="H154" t="s">
        <v>116</v>
      </c>
      <c r="I154" t="s">
        <v>115</v>
      </c>
      <c r="J154" s="115"/>
      <c r="K154" s="115"/>
      <c r="L154" s="115"/>
      <c r="M154" s="115"/>
      <c r="N154" s="115"/>
      <c r="O154" s="115"/>
      <c r="P154" s="115"/>
      <c r="Q154" s="115"/>
      <c r="R154" s="115"/>
      <c r="S154" s="115"/>
      <c r="W154" s="114">
        <f t="shared" si="79"/>
        <v>34.460813480319246</v>
      </c>
      <c r="X154" s="114">
        <f t="shared" si="80"/>
        <v>6.4820783024532496</v>
      </c>
      <c r="Z154">
        <f t="shared" ref="Z154:AA154" si="135">AVERAGE(W154:W159)</f>
        <v>4.9954030507772282</v>
      </c>
      <c r="AA154">
        <f t="shared" si="135"/>
        <v>-0.31384382979318987</v>
      </c>
    </row>
    <row r="155" spans="1:27" x14ac:dyDescent="0.35">
      <c r="A155" s="106">
        <v>41486</v>
      </c>
      <c r="B155" s="1">
        <v>3.7627719258704202</v>
      </c>
      <c r="C155" s="1">
        <v>11.986910755147999</v>
      </c>
      <c r="D155">
        <v>-0.3</v>
      </c>
      <c r="E155" t="s">
        <v>9</v>
      </c>
      <c r="F155" t="s">
        <v>128</v>
      </c>
      <c r="H155" t="s">
        <v>116</v>
      </c>
      <c r="I155" t="s">
        <v>118</v>
      </c>
      <c r="J155" s="115"/>
      <c r="K155" s="115"/>
      <c r="L155" s="115"/>
      <c r="M155" s="115"/>
      <c r="N155" s="115"/>
      <c r="O155" s="115"/>
      <c r="P155" s="115"/>
      <c r="Q155" s="115"/>
      <c r="R155" s="115"/>
      <c r="S155" s="115"/>
      <c r="W155" s="114">
        <f t="shared" si="79"/>
        <v>15.74968268101842</v>
      </c>
      <c r="X155" s="114">
        <f t="shared" si="80"/>
        <v>4.06277192587042</v>
      </c>
      <c r="Z155">
        <f t="shared" ref="Z155:AA155" si="136">AVERAGE(W155:W160)</f>
        <v>-0.100749551884925</v>
      </c>
      <c r="AA155">
        <f t="shared" si="136"/>
        <v>-0.98883415660946961</v>
      </c>
    </row>
    <row r="156" spans="1:27" x14ac:dyDescent="0.35">
      <c r="A156" s="106">
        <v>41455</v>
      </c>
      <c r="B156" s="1">
        <v>-14.997738136432099</v>
      </c>
      <c r="C156" s="1">
        <v>9.01117224880403</v>
      </c>
      <c r="D156">
        <v>-2.06</v>
      </c>
      <c r="E156" t="s">
        <v>9</v>
      </c>
      <c r="F156" t="s">
        <v>128</v>
      </c>
      <c r="H156" t="s">
        <v>116</v>
      </c>
      <c r="I156" t="s">
        <v>118</v>
      </c>
      <c r="J156" s="115"/>
      <c r="K156" s="115"/>
      <c r="L156" s="115"/>
      <c r="M156" s="115"/>
      <c r="N156" s="115"/>
      <c r="O156" s="115"/>
      <c r="P156" s="115"/>
      <c r="Q156" s="115"/>
      <c r="R156" s="115"/>
      <c r="S156" s="115"/>
      <c r="W156" s="114">
        <f t="shared" si="79"/>
        <v>-5.9865658876280694</v>
      </c>
      <c r="X156" s="114">
        <f t="shared" si="80"/>
        <v>-12.937738136432099</v>
      </c>
      <c r="Z156">
        <f t="shared" ref="Z156:AA156" si="137">AVERAGE(W156:W161)</f>
        <v>0.26812343206173672</v>
      </c>
      <c r="AA156">
        <f t="shared" si="137"/>
        <v>0.55610043227169348</v>
      </c>
    </row>
    <row r="157" spans="1:27" x14ac:dyDescent="0.35">
      <c r="A157" s="106">
        <v>41425</v>
      </c>
      <c r="B157" s="1">
        <v>9.7979906200597</v>
      </c>
      <c r="C157" s="1">
        <v>-3.573051948052</v>
      </c>
      <c r="D157">
        <v>1.87</v>
      </c>
      <c r="E157" t="s">
        <v>8</v>
      </c>
      <c r="F157" t="s">
        <v>131</v>
      </c>
      <c r="H157" t="s">
        <v>116</v>
      </c>
      <c r="I157" t="s">
        <v>118</v>
      </c>
      <c r="J157" s="115"/>
      <c r="K157" s="115"/>
      <c r="L157" s="115"/>
      <c r="M157" s="115"/>
      <c r="N157" s="115"/>
      <c r="O157" s="115"/>
      <c r="P157" s="115"/>
      <c r="Q157" s="115"/>
      <c r="R157" s="115"/>
      <c r="S157" s="115"/>
      <c r="W157" s="114">
        <f t="shared" si="79"/>
        <v>6.2249386720077</v>
      </c>
      <c r="X157" s="114">
        <f t="shared" si="80"/>
        <v>7.9279906200596999</v>
      </c>
      <c r="Z157">
        <f t="shared" ref="Z157:AA157" si="138">AVERAGE(W157:W162)</f>
        <v>0.65684587374239334</v>
      </c>
      <c r="AA157">
        <f t="shared" si="138"/>
        <v>1.700716901951689</v>
      </c>
    </row>
    <row r="158" spans="1:27" x14ac:dyDescent="0.35">
      <c r="A158" s="106">
        <v>41394</v>
      </c>
      <c r="B158" s="1">
        <v>-2.0890106033861802</v>
      </c>
      <c r="C158" s="1">
        <v>-11.869523809524001</v>
      </c>
      <c r="D158">
        <v>-0.11</v>
      </c>
      <c r="E158" t="s">
        <v>8</v>
      </c>
      <c r="F158" t="s">
        <v>131</v>
      </c>
      <c r="H158" t="s">
        <v>116</v>
      </c>
      <c r="I158" t="s">
        <v>118</v>
      </c>
      <c r="J158" s="115"/>
      <c r="K158" s="115"/>
      <c r="L158" s="115"/>
      <c r="M158" s="115"/>
      <c r="N158" s="115"/>
      <c r="O158" s="115"/>
      <c r="P158" s="115"/>
      <c r="Q158" s="115"/>
      <c r="R158" s="115"/>
      <c r="S158" s="115"/>
      <c r="W158" s="114">
        <f t="shared" si="79"/>
        <v>-13.958534412910181</v>
      </c>
      <c r="X158" s="114">
        <f t="shared" si="80"/>
        <v>-1.9790106033861801</v>
      </c>
      <c r="Z158">
        <f t="shared" ref="Z158:AA158" si="139">AVERAGE(W158:W163)</f>
        <v>0.40180685623398649</v>
      </c>
      <c r="AA158">
        <f t="shared" si="139"/>
        <v>0.15868774495311452</v>
      </c>
    </row>
    <row r="159" spans="1:27" x14ac:dyDescent="0.35">
      <c r="A159" s="106">
        <v>41364</v>
      </c>
      <c r="B159" s="1">
        <v>-5.35915508732423</v>
      </c>
      <c r="C159" s="1">
        <v>-1.15876114081952</v>
      </c>
      <c r="D159">
        <v>0.08</v>
      </c>
      <c r="E159" t="s">
        <v>8</v>
      </c>
      <c r="F159" t="s">
        <v>131</v>
      </c>
      <c r="H159" t="s">
        <v>116</v>
      </c>
      <c r="I159" t="s">
        <v>118</v>
      </c>
      <c r="J159" s="115"/>
      <c r="K159" s="115"/>
      <c r="L159" s="115"/>
      <c r="M159" s="115"/>
      <c r="N159" s="115"/>
      <c r="O159" s="115"/>
      <c r="P159" s="115"/>
      <c r="Q159" s="115"/>
      <c r="R159" s="115"/>
      <c r="S159" s="115"/>
      <c r="W159" s="114">
        <f t="shared" si="79"/>
        <v>-6.5179162281437497</v>
      </c>
      <c r="X159" s="114">
        <f t="shared" si="80"/>
        <v>-5.43915508732423</v>
      </c>
      <c r="Z159">
        <f t="shared" ref="Z159:AA159" si="140">AVERAGE(W159:W164)</f>
        <v>5.2948248856034779</v>
      </c>
      <c r="AA159">
        <f t="shared" si="140"/>
        <v>0.90857257901543953</v>
      </c>
    </row>
    <row r="160" spans="1:27" x14ac:dyDescent="0.35">
      <c r="A160" s="106">
        <v>41333</v>
      </c>
      <c r="B160" s="1">
        <v>3.2121363415555702</v>
      </c>
      <c r="C160" s="1">
        <v>0.67176152279075896</v>
      </c>
      <c r="D160">
        <v>0.78</v>
      </c>
      <c r="E160" t="s">
        <v>9</v>
      </c>
      <c r="F160" t="s">
        <v>131</v>
      </c>
      <c r="H160" t="s">
        <v>116</v>
      </c>
      <c r="I160" t="s">
        <v>118</v>
      </c>
      <c r="J160" s="115"/>
      <c r="K160" s="115"/>
      <c r="L160" s="115"/>
      <c r="M160" s="115"/>
      <c r="N160" s="115"/>
      <c r="O160" s="115"/>
      <c r="P160" s="115"/>
      <c r="Q160" s="115"/>
      <c r="R160" s="115"/>
      <c r="S160" s="115"/>
      <c r="W160" s="114">
        <f t="shared" si="79"/>
        <v>3.8838978643463289</v>
      </c>
      <c r="X160" s="114">
        <f t="shared" si="80"/>
        <v>2.4321363415555703</v>
      </c>
      <c r="Z160">
        <f t="shared" ref="Z160:AA160" si="141">AVERAGE(W160:W165)</f>
        <v>6.9044211915844569</v>
      </c>
      <c r="AA160">
        <f t="shared" si="141"/>
        <v>1.5204768108018294</v>
      </c>
    </row>
    <row r="161" spans="1:27" x14ac:dyDescent="0.35">
      <c r="A161" s="106">
        <v>41274</v>
      </c>
      <c r="B161" s="1">
        <v>15.0423794591574</v>
      </c>
      <c r="C161" s="1">
        <v>2.9205411255409901</v>
      </c>
      <c r="D161">
        <v>1.71</v>
      </c>
      <c r="E161" t="s">
        <v>9</v>
      </c>
      <c r="F161" t="s">
        <v>131</v>
      </c>
      <c r="H161" t="s">
        <v>116</v>
      </c>
      <c r="I161" t="s">
        <v>118</v>
      </c>
      <c r="J161" s="115"/>
      <c r="K161" s="115"/>
      <c r="L161" s="115"/>
      <c r="M161" s="115"/>
      <c r="N161" s="115"/>
      <c r="O161" s="115"/>
      <c r="P161" s="115"/>
      <c r="Q161" s="115"/>
      <c r="R161" s="115"/>
      <c r="S161" s="115"/>
      <c r="W161" s="114">
        <f t="shared" si="79"/>
        <v>17.962920584698391</v>
      </c>
      <c r="X161" s="114">
        <f t="shared" si="80"/>
        <v>13.332379459157401</v>
      </c>
      <c r="Z161">
        <f t="shared" ref="Z161:AA161" si="142">AVERAGE(W161:W166)</f>
        <v>3.9352995674815179</v>
      </c>
      <c r="AA161">
        <f t="shared" si="142"/>
        <v>0.22023210716401934</v>
      </c>
    </row>
    <row r="162" spans="1:27" x14ac:dyDescent="0.35">
      <c r="A162" s="106">
        <v>41243</v>
      </c>
      <c r="B162" s="1">
        <v>-5.9600393183521296</v>
      </c>
      <c r="C162" s="1">
        <v>2.3058080808080001</v>
      </c>
      <c r="D162">
        <v>0.11</v>
      </c>
      <c r="E162" t="s">
        <v>9</v>
      </c>
      <c r="F162" t="s">
        <v>131</v>
      </c>
      <c r="H162" t="s">
        <v>116</v>
      </c>
      <c r="I162" t="s">
        <v>118</v>
      </c>
      <c r="J162" s="115"/>
      <c r="K162" s="115"/>
      <c r="L162" s="115"/>
      <c r="M162" s="115"/>
      <c r="N162" s="115"/>
      <c r="O162" s="115"/>
      <c r="P162" s="115"/>
      <c r="Q162" s="115"/>
      <c r="R162" s="115"/>
      <c r="S162" s="115"/>
      <c r="W162" s="114">
        <f t="shared" si="79"/>
        <v>-3.6542312375441295</v>
      </c>
      <c r="X162" s="114">
        <f t="shared" si="80"/>
        <v>-6.07003931835213</v>
      </c>
      <c r="Z162">
        <f t="shared" ref="Z162:AA162" si="143">AVERAGE(W162:W167)</f>
        <v>-1.0277612029236953</v>
      </c>
      <c r="AA162">
        <f t="shared" si="143"/>
        <v>-2.878291505954031</v>
      </c>
    </row>
    <row r="163" spans="1:27" x14ac:dyDescent="0.35">
      <c r="A163" s="106">
        <v>41213</v>
      </c>
      <c r="B163" s="1">
        <v>-0.91418432193174404</v>
      </c>
      <c r="C163" s="1">
        <v>5.6088888888890001</v>
      </c>
      <c r="D163">
        <v>0.41</v>
      </c>
      <c r="E163" t="s">
        <v>9</v>
      </c>
      <c r="F163" t="s">
        <v>131</v>
      </c>
      <c r="H163" t="s">
        <v>116</v>
      </c>
      <c r="I163" t="s">
        <v>118</v>
      </c>
      <c r="J163" s="115"/>
      <c r="K163" s="115"/>
      <c r="L163" s="115"/>
      <c r="M163" s="115"/>
      <c r="N163" s="115"/>
      <c r="O163" s="115"/>
      <c r="P163" s="115"/>
      <c r="Q163" s="115"/>
      <c r="R163" s="115"/>
      <c r="S163" s="115"/>
      <c r="W163" s="114">
        <f t="shared" si="79"/>
        <v>4.694704566957256</v>
      </c>
      <c r="X163" s="114">
        <f t="shared" si="80"/>
        <v>-1.324184321931744</v>
      </c>
      <c r="Z163">
        <f t="shared" ref="Z163:AA163" si="144">AVERAGE(W163:W168)</f>
        <v>-2.0851181134894956</v>
      </c>
      <c r="AA163">
        <f t="shared" si="144"/>
        <v>-2.1436756183628325</v>
      </c>
    </row>
    <row r="164" spans="1:27" x14ac:dyDescent="0.35">
      <c r="A164" s="106">
        <v>41182</v>
      </c>
      <c r="B164" s="1">
        <v>2.3902984009877701</v>
      </c>
      <c r="C164" s="1">
        <v>13.009275362319</v>
      </c>
      <c r="D164">
        <v>-0.13</v>
      </c>
      <c r="E164" t="s">
        <v>8</v>
      </c>
      <c r="F164" t="s">
        <v>131</v>
      </c>
      <c r="H164" t="s">
        <v>116</v>
      </c>
      <c r="I164" t="s">
        <v>118</v>
      </c>
      <c r="J164" s="115"/>
      <c r="K164" s="115"/>
      <c r="L164" s="115"/>
      <c r="M164" s="115"/>
      <c r="N164" s="115"/>
      <c r="O164" s="115"/>
      <c r="P164" s="115"/>
      <c r="Q164" s="115"/>
      <c r="R164" s="115"/>
      <c r="S164" s="115"/>
      <c r="W164" s="114">
        <f t="shared" ref="W164:W193" si="145">B164+C164</f>
        <v>15.399573763306771</v>
      </c>
      <c r="X164" s="114">
        <f t="shared" ref="X164:X193" si="146">B164-D164</f>
        <v>2.52029840098777</v>
      </c>
      <c r="Z164">
        <f t="shared" ref="Z164:AA164" si="147">AVERAGE(W164:W169)</f>
        <v>-1.9709324141292346</v>
      </c>
      <c r="AA164">
        <f t="shared" si="147"/>
        <v>-1.1813913513274048</v>
      </c>
    </row>
    <row r="165" spans="1:27" x14ac:dyDescent="0.35">
      <c r="A165" s="106">
        <v>41152</v>
      </c>
      <c r="B165" s="1">
        <v>-2.4177296966058899</v>
      </c>
      <c r="C165" s="1">
        <v>5.5573913043480196</v>
      </c>
      <c r="D165">
        <v>-0.65</v>
      </c>
      <c r="E165" t="s">
        <v>7</v>
      </c>
      <c r="F165" t="s">
        <v>131</v>
      </c>
      <c r="H165" t="s">
        <v>126</v>
      </c>
      <c r="I165" t="s">
        <v>121</v>
      </c>
      <c r="J165" s="115"/>
      <c r="K165" s="115"/>
      <c r="L165" s="115"/>
      <c r="M165" s="115"/>
      <c r="N165" s="115"/>
      <c r="O165" s="115"/>
      <c r="P165" s="115"/>
      <c r="Q165" s="115"/>
      <c r="R165" s="115"/>
      <c r="S165" s="115"/>
      <c r="W165" s="114">
        <f t="shared" si="145"/>
        <v>3.1396616077421298</v>
      </c>
      <c r="X165" s="114">
        <f t="shared" si="146"/>
        <v>-1.76772969660589</v>
      </c>
      <c r="Z165">
        <f t="shared" ref="Z165:AA165" si="148">AVERAGE(W165:W170)</f>
        <v>-4.2973722428035535</v>
      </c>
      <c r="AA165">
        <f t="shared" si="148"/>
        <v>-2.7861204667308876</v>
      </c>
    </row>
    <row r="166" spans="1:27" x14ac:dyDescent="0.35">
      <c r="A166" s="106">
        <v>41121</v>
      </c>
      <c r="B166" s="1">
        <v>-5.5393318802712903</v>
      </c>
      <c r="C166" s="1">
        <v>-8.3915000000000202</v>
      </c>
      <c r="D166">
        <v>-0.17</v>
      </c>
      <c r="E166" t="s">
        <v>7</v>
      </c>
      <c r="F166" t="s">
        <v>131</v>
      </c>
      <c r="H166" t="s">
        <v>126</v>
      </c>
      <c r="I166" t="s">
        <v>121</v>
      </c>
      <c r="J166" s="115"/>
      <c r="K166" s="115"/>
      <c r="L166" s="115"/>
      <c r="M166" s="115"/>
      <c r="N166" s="115"/>
      <c r="O166" s="115"/>
      <c r="P166" s="115"/>
      <c r="Q166" s="115"/>
      <c r="R166" s="115"/>
      <c r="S166" s="115"/>
      <c r="W166" s="114">
        <f t="shared" si="145"/>
        <v>-13.93083188027131</v>
      </c>
      <c r="X166" s="114">
        <f t="shared" si="146"/>
        <v>-5.3693318802712904</v>
      </c>
      <c r="Z166">
        <f t="shared" ref="Z166:AA166" si="149">AVERAGE(W166:W171)</f>
        <v>-4.063546083436882</v>
      </c>
      <c r="AA166">
        <f t="shared" si="149"/>
        <v>-1.6931013548207965</v>
      </c>
    </row>
    <row r="167" spans="1:27" x14ac:dyDescent="0.35">
      <c r="A167" s="106">
        <v>41090</v>
      </c>
      <c r="B167" s="1">
        <v>-5.0787622195509003</v>
      </c>
      <c r="C167" s="1">
        <v>-6.7366818181819896</v>
      </c>
      <c r="D167">
        <v>0.18</v>
      </c>
      <c r="E167" t="s">
        <v>7</v>
      </c>
      <c r="F167" t="s">
        <v>125</v>
      </c>
      <c r="H167" t="s">
        <v>126</v>
      </c>
      <c r="I167" t="s">
        <v>121</v>
      </c>
      <c r="J167" s="115"/>
      <c r="K167" s="115"/>
      <c r="L167" s="115"/>
      <c r="M167" s="115"/>
      <c r="N167" s="115"/>
      <c r="O167" s="115"/>
      <c r="P167" s="115"/>
      <c r="Q167" s="115"/>
      <c r="R167" s="115"/>
      <c r="S167" s="115"/>
      <c r="W167" s="114">
        <f t="shared" si="145"/>
        <v>-11.81544403773289</v>
      </c>
      <c r="X167" s="114">
        <f t="shared" si="146"/>
        <v>-5.2587622195509001</v>
      </c>
      <c r="Z167">
        <f t="shared" ref="Z167:AA167" si="150">AVERAGE(W167:W172)</f>
        <v>-5.9070659894126507</v>
      </c>
      <c r="AA167">
        <f t="shared" si="150"/>
        <v>-2.0019437245647365</v>
      </c>
    </row>
    <row r="168" spans="1:27" x14ac:dyDescent="0.35">
      <c r="A168" s="106">
        <v>41060</v>
      </c>
      <c r="B168" s="1">
        <v>-4.2343992804938502E-2</v>
      </c>
      <c r="C168" s="1">
        <v>-9.9560287081339904</v>
      </c>
      <c r="D168">
        <v>1.62</v>
      </c>
      <c r="E168" t="s">
        <v>7</v>
      </c>
      <c r="F168" t="s">
        <v>112</v>
      </c>
      <c r="H168" t="s">
        <v>126</v>
      </c>
      <c r="I168" t="s">
        <v>121</v>
      </c>
      <c r="J168" s="115"/>
      <c r="K168" s="115"/>
      <c r="L168" s="115"/>
      <c r="M168" s="115"/>
      <c r="N168" s="115"/>
      <c r="O168" s="115"/>
      <c r="P168" s="115"/>
      <c r="Q168" s="115"/>
      <c r="R168" s="115"/>
      <c r="S168" s="115"/>
      <c r="W168" s="114">
        <f t="shared" si="145"/>
        <v>-9.9983727009389298</v>
      </c>
      <c r="X168" s="114">
        <f t="shared" si="146"/>
        <v>-1.6623439928049386</v>
      </c>
      <c r="Z168">
        <f t="shared" ref="Z168:AA168" si="151">AVERAGE(W168:W173)</f>
        <v>-6.9474952814608928</v>
      </c>
      <c r="AA168">
        <f t="shared" si="151"/>
        <v>-1.9988570233469762</v>
      </c>
    </row>
    <row r="169" spans="1:27" x14ac:dyDescent="0.35">
      <c r="A169" s="106">
        <v>41029</v>
      </c>
      <c r="B169" s="1">
        <v>5.9095212802808197</v>
      </c>
      <c r="C169" s="1">
        <v>-0.52970251716200101</v>
      </c>
      <c r="D169">
        <v>1.46</v>
      </c>
      <c r="E169" t="s">
        <v>7</v>
      </c>
      <c r="F169" t="s">
        <v>112</v>
      </c>
      <c r="H169" t="s">
        <v>126</v>
      </c>
      <c r="I169" t="s">
        <v>121</v>
      </c>
      <c r="J169" s="115"/>
      <c r="K169" s="115"/>
      <c r="L169" s="115"/>
      <c r="M169" s="115"/>
      <c r="N169" s="115"/>
      <c r="O169" s="115"/>
      <c r="P169" s="115"/>
      <c r="Q169" s="115"/>
      <c r="R169" s="115"/>
      <c r="S169" s="115"/>
      <c r="W169" s="114">
        <f t="shared" si="145"/>
        <v>5.379818763118819</v>
      </c>
      <c r="X169" s="114">
        <f t="shared" si="146"/>
        <v>4.4495212802808197</v>
      </c>
      <c r="Z169">
        <f t="shared" ref="Z169:AA169" si="152">AVERAGE(W169:W174)</f>
        <v>-8.482604770772646</v>
      </c>
      <c r="AA169">
        <f t="shared" si="152"/>
        <v>-1.4661882285647281</v>
      </c>
    </row>
    <row r="170" spans="1:27" x14ac:dyDescent="0.35">
      <c r="A170" s="106">
        <v>40999</v>
      </c>
      <c r="B170" s="1">
        <v>-6.8880762914331299</v>
      </c>
      <c r="C170" s="1">
        <v>8.3290110826939898</v>
      </c>
      <c r="D170">
        <v>0.22</v>
      </c>
      <c r="E170" t="s">
        <v>7</v>
      </c>
      <c r="F170" t="s">
        <v>112</v>
      </c>
      <c r="H170" t="s">
        <v>126</v>
      </c>
      <c r="I170" t="s">
        <v>121</v>
      </c>
      <c r="J170" s="115"/>
      <c r="K170" s="115"/>
      <c r="L170" s="115"/>
      <c r="M170" s="115"/>
      <c r="N170" s="115"/>
      <c r="O170" s="115"/>
      <c r="P170" s="115"/>
      <c r="Q170" s="115"/>
      <c r="R170" s="115"/>
      <c r="S170" s="115"/>
      <c r="W170" s="114">
        <f t="shared" si="145"/>
        <v>1.4409347912608599</v>
      </c>
      <c r="X170" s="114">
        <f t="shared" si="146"/>
        <v>-7.1080762914331297</v>
      </c>
      <c r="Z170">
        <f t="shared" ref="Z170:AA170" si="153">AVERAGE(W170:W175)</f>
        <v>-10.608279802897956</v>
      </c>
      <c r="AA170">
        <f t="shared" si="153"/>
        <v>-3.2292843496442081</v>
      </c>
    </row>
    <row r="171" spans="1:27" x14ac:dyDescent="0.35">
      <c r="A171" s="106">
        <v>40968</v>
      </c>
      <c r="B171" s="1">
        <v>5.2903849748546596</v>
      </c>
      <c r="C171" s="1">
        <v>-0.74776641091249796</v>
      </c>
      <c r="D171">
        <v>0.5</v>
      </c>
      <c r="E171" t="s">
        <v>7</v>
      </c>
      <c r="F171" t="s">
        <v>112</v>
      </c>
      <c r="H171" t="s">
        <v>126</v>
      </c>
      <c r="I171" t="s">
        <v>121</v>
      </c>
      <c r="J171" s="115"/>
      <c r="K171" s="115"/>
      <c r="L171" s="115"/>
      <c r="M171" s="115"/>
      <c r="N171" s="115"/>
      <c r="O171" s="115"/>
      <c r="P171" s="115"/>
      <c r="Q171" s="115"/>
      <c r="R171" s="115"/>
      <c r="S171" s="115"/>
      <c r="W171" s="114">
        <f t="shared" si="145"/>
        <v>4.5426185639421615</v>
      </c>
      <c r="X171" s="114">
        <f t="shared" si="146"/>
        <v>4.7903849748546596</v>
      </c>
      <c r="Z171">
        <f t="shared" ref="Z171:AA171" si="154">AVERAGE(W171:W176)</f>
        <v>-11.169247222713983</v>
      </c>
      <c r="AA171">
        <f t="shared" si="154"/>
        <v>-2.6263586179967384</v>
      </c>
    </row>
    <row r="172" spans="1:27" x14ac:dyDescent="0.35">
      <c r="A172" s="106">
        <v>40908</v>
      </c>
      <c r="B172" s="1">
        <v>-7.2623860987349298</v>
      </c>
      <c r="C172" s="1">
        <v>-17.729565217390999</v>
      </c>
      <c r="D172">
        <v>-0.04</v>
      </c>
      <c r="E172" t="s">
        <v>7</v>
      </c>
      <c r="F172" t="s">
        <v>112</v>
      </c>
      <c r="H172" t="s">
        <v>114</v>
      </c>
      <c r="I172" t="s">
        <v>121</v>
      </c>
      <c r="J172" s="115"/>
      <c r="K172" s="115"/>
      <c r="L172" s="115"/>
      <c r="M172" s="115"/>
      <c r="N172" s="115"/>
      <c r="O172" s="115"/>
      <c r="P172" s="115"/>
      <c r="Q172" s="115"/>
      <c r="R172" s="115"/>
      <c r="S172" s="115"/>
      <c r="W172" s="114">
        <f t="shared" si="145"/>
        <v>-24.991951316125927</v>
      </c>
      <c r="X172" s="114">
        <f t="shared" si="146"/>
        <v>-7.2223860987349298</v>
      </c>
      <c r="Z172">
        <f t="shared" ref="Z172:AA172" si="155">AVERAGE(W172:W177)</f>
        <v>-10.93765465067642</v>
      </c>
      <c r="AA172">
        <f t="shared" si="155"/>
        <v>-3.4185207652382563</v>
      </c>
    </row>
    <row r="173" spans="1:27" x14ac:dyDescent="0.35">
      <c r="A173" s="106">
        <v>40877</v>
      </c>
      <c r="B173" s="1">
        <v>-5.0502420122443397</v>
      </c>
      <c r="C173" s="1">
        <v>-13.007777777777999</v>
      </c>
      <c r="D173">
        <v>0.19</v>
      </c>
      <c r="E173" t="s">
        <v>7</v>
      </c>
      <c r="F173" t="s">
        <v>112</v>
      </c>
      <c r="H173" t="s">
        <v>114</v>
      </c>
      <c r="I173" t="s">
        <v>121</v>
      </c>
      <c r="J173" s="115"/>
      <c r="K173" s="115"/>
      <c r="L173" s="115"/>
      <c r="M173" s="115"/>
      <c r="N173" s="115"/>
      <c r="O173" s="115"/>
      <c r="P173" s="115"/>
      <c r="Q173" s="115"/>
      <c r="R173" s="115"/>
      <c r="S173" s="115"/>
      <c r="W173" s="114">
        <f t="shared" si="145"/>
        <v>-18.058019790022339</v>
      </c>
      <c r="X173" s="114">
        <f t="shared" si="146"/>
        <v>-5.2402420122443401</v>
      </c>
      <c r="Z173">
        <f t="shared" ref="Z173:AA173" si="156">AVERAGE(W173:W178)</f>
        <v>-5.3292386018052813</v>
      </c>
      <c r="AA173">
        <f t="shared" si="156"/>
        <v>-1.7408259033926134</v>
      </c>
    </row>
    <row r="174" spans="1:27" x14ac:dyDescent="0.35">
      <c r="A174" s="106">
        <v>40847</v>
      </c>
      <c r="B174" s="1">
        <v>4.3136687758885497</v>
      </c>
      <c r="C174" s="1">
        <v>-23.522698412697999</v>
      </c>
      <c r="D174">
        <v>2.78</v>
      </c>
      <c r="E174" t="s">
        <v>7</v>
      </c>
      <c r="F174" t="s">
        <v>128</v>
      </c>
      <c r="H174" t="s">
        <v>114</v>
      </c>
      <c r="I174" t="s">
        <v>121</v>
      </c>
      <c r="J174" s="115"/>
      <c r="K174" s="115"/>
      <c r="L174" s="115"/>
      <c r="M174" s="115"/>
      <c r="N174" s="115"/>
      <c r="O174" s="115"/>
      <c r="P174" s="115"/>
      <c r="Q174" s="115"/>
      <c r="R174" s="115"/>
      <c r="S174" s="115"/>
      <c r="W174" s="114">
        <f t="shared" si="145"/>
        <v>-19.209029636809447</v>
      </c>
      <c r="X174" s="114">
        <f t="shared" si="146"/>
        <v>1.5336687758885499</v>
      </c>
      <c r="Z174">
        <f t="shared" ref="Z174:AA174" si="157">AVERAGE(W174:W179)</f>
        <v>-4.1746914808262199</v>
      </c>
      <c r="AA174">
        <f t="shared" si="157"/>
        <v>-1.7918211104558901</v>
      </c>
    </row>
    <row r="175" spans="1:27" x14ac:dyDescent="0.35">
      <c r="A175" s="106">
        <v>40816</v>
      </c>
      <c r="B175" s="1">
        <v>-8.8790554461960607</v>
      </c>
      <c r="C175" s="1">
        <v>1.50482401656302</v>
      </c>
      <c r="D175">
        <v>-2.75</v>
      </c>
      <c r="E175" t="s">
        <v>7</v>
      </c>
      <c r="F175" t="s">
        <v>128</v>
      </c>
      <c r="H175" t="s">
        <v>114</v>
      </c>
      <c r="I175" t="s">
        <v>121</v>
      </c>
      <c r="J175" s="115"/>
      <c r="K175" s="115"/>
      <c r="L175" s="115"/>
      <c r="M175" s="115"/>
      <c r="N175" s="115"/>
      <c r="O175" s="115"/>
      <c r="P175" s="115"/>
      <c r="Q175" s="115"/>
      <c r="R175" s="115"/>
      <c r="S175" s="115"/>
      <c r="W175" s="114">
        <f t="shared" si="145"/>
        <v>-7.3742314296330402</v>
      </c>
      <c r="X175" s="114">
        <f t="shared" si="146"/>
        <v>-6.1290554461960607</v>
      </c>
      <c r="Z175">
        <f t="shared" ref="Z175:AA175" si="158">AVERAGE(W175:W180)</f>
        <v>-1.3191394559141398</v>
      </c>
      <c r="AA175">
        <f t="shared" si="158"/>
        <v>-2.3247985311384718</v>
      </c>
    </row>
    <row r="176" spans="1:27" x14ac:dyDescent="0.35">
      <c r="A176" s="106">
        <v>40786</v>
      </c>
      <c r="B176" s="1">
        <v>-4.5905219015483096</v>
      </c>
      <c r="C176" s="1">
        <v>2.6656521739130099</v>
      </c>
      <c r="D176">
        <v>-1.1000000000000001</v>
      </c>
      <c r="E176" t="s">
        <v>7</v>
      </c>
      <c r="F176" t="s">
        <v>128</v>
      </c>
      <c r="H176" t="s">
        <v>114</v>
      </c>
      <c r="I176" t="s">
        <v>122</v>
      </c>
      <c r="J176" s="115"/>
      <c r="K176" s="115"/>
      <c r="L176" s="115"/>
      <c r="M176" s="115"/>
      <c r="N176" s="115"/>
      <c r="O176" s="115"/>
      <c r="P176" s="115"/>
      <c r="Q176" s="115"/>
      <c r="R176" s="115"/>
      <c r="S176" s="115"/>
      <c r="W176" s="114">
        <f t="shared" si="145"/>
        <v>-1.9248697276352997</v>
      </c>
      <c r="X176" s="114">
        <f t="shared" si="146"/>
        <v>-3.4905219015483095</v>
      </c>
      <c r="Z176">
        <f t="shared" ref="Z176:AA176" si="159">AVERAGE(W176:W181)</f>
        <v>-1.5258952541577484</v>
      </c>
      <c r="AA176">
        <f t="shared" si="159"/>
        <v>-1.3065942275876654</v>
      </c>
    </row>
    <row r="177" spans="1:27" x14ac:dyDescent="0.35">
      <c r="A177" s="106">
        <v>40755</v>
      </c>
      <c r="B177" s="1">
        <v>-1.02258790859445</v>
      </c>
      <c r="C177" s="1">
        <v>6.9547619047619902</v>
      </c>
      <c r="D177">
        <v>-1.06</v>
      </c>
      <c r="E177" t="s">
        <v>10</v>
      </c>
      <c r="F177" t="s">
        <v>128</v>
      </c>
      <c r="H177" t="s">
        <v>114</v>
      </c>
      <c r="I177" t="s">
        <v>122</v>
      </c>
      <c r="J177" s="115"/>
      <c r="K177" s="115"/>
      <c r="L177" s="115"/>
      <c r="M177" s="115"/>
      <c r="N177" s="115"/>
      <c r="O177" s="115"/>
      <c r="P177" s="115"/>
      <c r="Q177" s="115"/>
      <c r="R177" s="115"/>
      <c r="S177" s="115"/>
      <c r="W177" s="114">
        <f t="shared" si="145"/>
        <v>5.9321739961675402</v>
      </c>
      <c r="X177" s="114">
        <f t="shared" si="146"/>
        <v>3.7412091405550019E-2</v>
      </c>
      <c r="Z177">
        <f t="shared" ref="Z177:AA177" si="160">AVERAGE(W177:W182)</f>
        <v>0.18109066790463491</v>
      </c>
      <c r="AA177">
        <f t="shared" si="160"/>
        <v>-0.55896896373790372</v>
      </c>
    </row>
    <row r="178" spans="1:27" x14ac:dyDescent="0.35">
      <c r="A178" s="106">
        <v>40724</v>
      </c>
      <c r="B178" s="1">
        <v>2.4037830723389302</v>
      </c>
      <c r="C178" s="1">
        <v>6.2547619047619696</v>
      </c>
      <c r="D178">
        <v>-0.44</v>
      </c>
      <c r="E178" t="s">
        <v>9</v>
      </c>
      <c r="F178" t="s">
        <v>128</v>
      </c>
      <c r="H178" t="s">
        <v>114</v>
      </c>
      <c r="I178" t="s">
        <v>122</v>
      </c>
      <c r="J178" s="115"/>
      <c r="K178" s="115"/>
      <c r="L178" s="115"/>
      <c r="M178" s="115"/>
      <c r="N178" s="115"/>
      <c r="O178" s="115"/>
      <c r="P178" s="115"/>
      <c r="Q178" s="115"/>
      <c r="R178" s="115"/>
      <c r="S178" s="115"/>
      <c r="W178" s="114">
        <f t="shared" si="145"/>
        <v>8.6585449771008989</v>
      </c>
      <c r="X178" s="114">
        <f t="shared" si="146"/>
        <v>2.8437830723389301</v>
      </c>
      <c r="Z178">
        <f t="shared" ref="Z178:AA178" si="161">AVERAGE(W178:W183)</f>
        <v>-1.6247026685584753</v>
      </c>
      <c r="AA178">
        <f t="shared" si="161"/>
        <v>-0.80845481541518227</v>
      </c>
    </row>
    <row r="179" spans="1:27" x14ac:dyDescent="0.35">
      <c r="A179" s="106">
        <v>40694</v>
      </c>
      <c r="B179" s="1">
        <v>-5.9862132546240003</v>
      </c>
      <c r="C179" s="1">
        <v>-5.14452380952397</v>
      </c>
      <c r="D179">
        <v>-0.44</v>
      </c>
      <c r="E179" t="s">
        <v>9</v>
      </c>
      <c r="F179" t="s">
        <v>128</v>
      </c>
      <c r="H179" t="s">
        <v>114</v>
      </c>
      <c r="I179" t="s">
        <v>122</v>
      </c>
      <c r="J179" s="115"/>
      <c r="K179" s="115"/>
      <c r="L179" s="115"/>
      <c r="M179" s="115"/>
      <c r="N179" s="115"/>
      <c r="O179" s="115"/>
      <c r="P179" s="115"/>
      <c r="Q179" s="115"/>
      <c r="R179" s="115"/>
      <c r="S179" s="115"/>
      <c r="W179" s="114">
        <f t="shared" si="145"/>
        <v>-11.13073706414797</v>
      </c>
      <c r="X179" s="114">
        <f t="shared" si="146"/>
        <v>-5.5462132546239999</v>
      </c>
      <c r="Z179">
        <f t="shared" ref="Z179:AA179" si="162">AVERAGE(W179:W184)</f>
        <v>2.3350419815352397</v>
      </c>
      <c r="AA179">
        <f t="shared" si="162"/>
        <v>-1.8183621473263056</v>
      </c>
    </row>
    <row r="180" spans="1:27" x14ac:dyDescent="0.35">
      <c r="A180" s="106">
        <v>40663</v>
      </c>
      <c r="B180" s="1">
        <v>-1.36419574820694</v>
      </c>
      <c r="C180" s="1">
        <v>-0.71152173913002803</v>
      </c>
      <c r="D180">
        <v>0.3</v>
      </c>
      <c r="E180" t="s">
        <v>9</v>
      </c>
      <c r="F180" t="s">
        <v>128</v>
      </c>
      <c r="H180" t="s">
        <v>114</v>
      </c>
      <c r="I180" t="s">
        <v>122</v>
      </c>
      <c r="J180" s="115"/>
      <c r="K180" s="115"/>
      <c r="L180" s="115"/>
      <c r="M180" s="115"/>
      <c r="N180" s="115"/>
      <c r="O180" s="115"/>
      <c r="P180" s="115"/>
      <c r="Q180" s="115"/>
      <c r="R180" s="115"/>
      <c r="S180" s="115"/>
      <c r="W180" s="114">
        <f t="shared" si="145"/>
        <v>-2.0757174873369681</v>
      </c>
      <c r="X180" s="114">
        <f t="shared" si="146"/>
        <v>-1.6641957482069401</v>
      </c>
      <c r="Z180">
        <f t="shared" ref="Z180:AA180" si="163">AVERAGE(W180:W185)</f>
        <v>9.795876258939936</v>
      </c>
      <c r="AA180">
        <f t="shared" si="163"/>
        <v>0.81254258250172773</v>
      </c>
    </row>
    <row r="181" spans="1:27" x14ac:dyDescent="0.35">
      <c r="A181" s="106">
        <v>40633</v>
      </c>
      <c r="B181" s="1">
        <v>0.19017037510877799</v>
      </c>
      <c r="C181" s="1">
        <v>-8.8049365942034701</v>
      </c>
      <c r="D181">
        <v>0.21</v>
      </c>
      <c r="E181" t="s">
        <v>9</v>
      </c>
      <c r="F181" t="s">
        <v>128</v>
      </c>
      <c r="H181" t="s">
        <v>114</v>
      </c>
      <c r="I181" t="s">
        <v>122</v>
      </c>
      <c r="J181" s="115"/>
      <c r="K181" s="115"/>
      <c r="L181" s="115"/>
      <c r="M181" s="115"/>
      <c r="N181" s="115"/>
      <c r="O181" s="115"/>
      <c r="P181" s="115"/>
      <c r="Q181" s="115"/>
      <c r="R181" s="115"/>
      <c r="S181" s="115"/>
      <c r="W181" s="114">
        <f t="shared" si="145"/>
        <v>-8.6147662190946921</v>
      </c>
      <c r="X181" s="114">
        <f t="shared" si="146"/>
        <v>-1.9829624891222003E-2</v>
      </c>
      <c r="Z181">
        <f t="shared" ref="Z181:AA181" si="164">AVERAGE(W181:W186)</f>
        <v>11.173180527865867</v>
      </c>
      <c r="AA181">
        <f t="shared" si="164"/>
        <v>1.2173962585423193</v>
      </c>
    </row>
    <row r="182" spans="1:27" x14ac:dyDescent="0.35">
      <c r="A182" s="106">
        <v>40602</v>
      </c>
      <c r="B182" s="1">
        <v>1.58522968155026</v>
      </c>
      <c r="C182" s="1">
        <v>6.7318161231887403</v>
      </c>
      <c r="D182">
        <v>0.59</v>
      </c>
      <c r="E182" t="s">
        <v>9</v>
      </c>
      <c r="F182" t="s">
        <v>128</v>
      </c>
      <c r="H182" t="s">
        <v>114</v>
      </c>
      <c r="I182" t="s">
        <v>122</v>
      </c>
      <c r="J182" s="115"/>
      <c r="K182" s="115"/>
      <c r="L182" s="115"/>
      <c r="M182" s="115"/>
      <c r="N182" s="115"/>
      <c r="O182" s="115"/>
      <c r="P182" s="115"/>
      <c r="Q182" s="115"/>
      <c r="R182" s="115"/>
      <c r="S182" s="115"/>
      <c r="W182" s="114">
        <f t="shared" si="145"/>
        <v>8.317045804739001</v>
      </c>
      <c r="X182" s="114">
        <f t="shared" si="146"/>
        <v>0.99522968155026004</v>
      </c>
      <c r="Z182">
        <f t="shared" ref="Z182:AA182" si="165">AVERAGE(W182:W187)</f>
        <v>13.38410772871736</v>
      </c>
      <c r="AA182">
        <f t="shared" si="165"/>
        <v>1.2975006936932332</v>
      </c>
    </row>
    <row r="183" spans="1:27" x14ac:dyDescent="0.35">
      <c r="A183" s="106">
        <v>40543</v>
      </c>
      <c r="B183" s="1">
        <v>-0.88950301865812198</v>
      </c>
      <c r="C183" s="1">
        <v>-4.0130830039529997</v>
      </c>
      <c r="D183">
        <v>0.56999999999999995</v>
      </c>
      <c r="E183" t="s">
        <v>9</v>
      </c>
      <c r="F183" t="s">
        <v>128</v>
      </c>
      <c r="H183" t="s">
        <v>126</v>
      </c>
      <c r="I183" t="s">
        <v>122</v>
      </c>
      <c r="J183" s="115"/>
      <c r="K183" s="115"/>
      <c r="L183" s="115"/>
      <c r="M183" s="115"/>
      <c r="N183" s="115"/>
      <c r="O183" s="115"/>
      <c r="P183" s="115"/>
      <c r="Q183" s="115"/>
      <c r="R183" s="115"/>
      <c r="S183" s="115"/>
      <c r="W183" s="114">
        <f t="shared" si="145"/>
        <v>-4.9025860226111213</v>
      </c>
      <c r="X183" s="114">
        <f t="shared" si="146"/>
        <v>-1.4595030186581219</v>
      </c>
      <c r="Z183">
        <f t="shared" ref="Z183:AA183" si="166">AVERAGE(W183:W188)</f>
        <v>12.607489548162313</v>
      </c>
      <c r="AA183">
        <f t="shared" si="166"/>
        <v>2.8526931368443065</v>
      </c>
    </row>
    <row r="184" spans="1:27" x14ac:dyDescent="0.35">
      <c r="A184" s="106">
        <v>40512</v>
      </c>
      <c r="B184" s="1">
        <v>-4.2456609191278103</v>
      </c>
      <c r="C184" s="1">
        <v>36.662673796790997</v>
      </c>
      <c r="D184">
        <v>-1.03</v>
      </c>
      <c r="E184" t="s">
        <v>9</v>
      </c>
      <c r="F184" t="s">
        <v>128</v>
      </c>
      <c r="H184" t="s">
        <v>126</v>
      </c>
      <c r="I184" t="s">
        <v>123</v>
      </c>
      <c r="J184" s="115"/>
      <c r="K184" s="115"/>
      <c r="L184" s="115"/>
      <c r="M184" s="115"/>
      <c r="N184" s="115"/>
      <c r="O184" s="115"/>
      <c r="P184" s="115"/>
      <c r="Q184" s="115"/>
      <c r="R184" s="115"/>
      <c r="S184" s="115"/>
      <c r="W184" s="114">
        <f t="shared" si="145"/>
        <v>32.41701287766319</v>
      </c>
      <c r="X184" s="114">
        <f t="shared" si="146"/>
        <v>-3.21566091912781</v>
      </c>
      <c r="Z184">
        <f t="shared" ref="Z184:AA184" si="167">AVERAGE(W184:W189)</f>
        <v>13.119659833262633</v>
      </c>
      <c r="AA184">
        <f t="shared" si="167"/>
        <v>1.9108416514444633</v>
      </c>
    </row>
    <row r="185" spans="1:27" x14ac:dyDescent="0.35">
      <c r="A185" s="106">
        <v>40482</v>
      </c>
      <c r="B185" s="1">
        <v>12.0092151243442</v>
      </c>
      <c r="C185" s="1">
        <v>21.625053475935999</v>
      </c>
      <c r="D185">
        <v>1.77</v>
      </c>
      <c r="E185" t="s">
        <v>10</v>
      </c>
      <c r="F185" t="s">
        <v>128</v>
      </c>
      <c r="H185" t="s">
        <v>126</v>
      </c>
      <c r="I185" t="s">
        <v>123</v>
      </c>
      <c r="J185" s="115"/>
      <c r="K185" s="115"/>
      <c r="L185" s="115"/>
      <c r="M185" s="115"/>
      <c r="N185" s="115"/>
      <c r="O185" s="115"/>
      <c r="P185" s="115"/>
      <c r="Q185" s="115"/>
      <c r="R185" s="115"/>
      <c r="S185" s="115"/>
      <c r="W185" s="114">
        <f t="shared" si="145"/>
        <v>33.634268600280201</v>
      </c>
      <c r="X185" s="114">
        <f t="shared" si="146"/>
        <v>10.2392151243442</v>
      </c>
      <c r="Z185">
        <f t="shared" ref="Z185:AA185" si="168">AVERAGE(W185:W190)</f>
        <v>3.1385957173193617</v>
      </c>
      <c r="AA185">
        <f t="shared" si="168"/>
        <v>1.0946041206806931</v>
      </c>
    </row>
    <row r="186" spans="1:27" x14ac:dyDescent="0.35">
      <c r="A186" s="106">
        <v>40451</v>
      </c>
      <c r="B186" s="1">
        <v>1.06492630803661</v>
      </c>
      <c r="C186" s="1">
        <v>5.1231818181820099</v>
      </c>
      <c r="D186">
        <v>0.3</v>
      </c>
      <c r="E186" t="s">
        <v>10</v>
      </c>
      <c r="F186" t="s">
        <v>128</v>
      </c>
      <c r="H186" t="s">
        <v>126</v>
      </c>
      <c r="I186" t="s">
        <v>123</v>
      </c>
      <c r="J186" s="115"/>
      <c r="K186" s="115"/>
      <c r="L186" s="115"/>
      <c r="M186" s="115"/>
      <c r="N186" s="115"/>
      <c r="O186" s="115"/>
      <c r="P186" s="115"/>
      <c r="Q186" s="115"/>
      <c r="R186" s="115"/>
      <c r="S186" s="115"/>
      <c r="W186" s="114">
        <f t="shared" si="145"/>
        <v>6.1881081262186202</v>
      </c>
      <c r="X186" s="114">
        <f t="shared" si="146"/>
        <v>0.76492630803660999</v>
      </c>
      <c r="Z186">
        <f t="shared" ref="Z186:AA186" si="169">AVERAGE(W186:W191)</f>
        <v>-2.9849627538827206</v>
      </c>
      <c r="AA186">
        <f t="shared" si="169"/>
        <v>-1.9557104482173873</v>
      </c>
    </row>
    <row r="187" spans="1:27" x14ac:dyDescent="0.35">
      <c r="A187" s="106">
        <v>40421</v>
      </c>
      <c r="B187" s="1">
        <v>2.5407969860142599</v>
      </c>
      <c r="C187" s="1">
        <v>2.1100000000000101</v>
      </c>
      <c r="D187">
        <v>2.08</v>
      </c>
      <c r="E187" t="s">
        <v>7</v>
      </c>
      <c r="F187" t="s">
        <v>128</v>
      </c>
      <c r="H187" t="s">
        <v>114</v>
      </c>
      <c r="I187" t="s">
        <v>123</v>
      </c>
      <c r="J187" s="115"/>
      <c r="K187" s="115"/>
      <c r="L187" s="115"/>
      <c r="M187" s="115"/>
      <c r="N187" s="115"/>
      <c r="O187" s="115"/>
      <c r="P187" s="115"/>
      <c r="Q187" s="115"/>
      <c r="R187" s="115"/>
      <c r="S187" s="115"/>
      <c r="W187" s="114">
        <f t="shared" si="145"/>
        <v>4.6507969860142699</v>
      </c>
      <c r="X187" s="114">
        <f t="shared" si="146"/>
        <v>0.46079698601425978</v>
      </c>
      <c r="Z187">
        <f t="shared" ref="Z187:AA187" si="170">AVERAGE(W187:W192)</f>
        <v>-6.1447612648114616</v>
      </c>
      <c r="AA187">
        <f t="shared" si="170"/>
        <v>-1.8840284216742107</v>
      </c>
    </row>
    <row r="188" spans="1:27" x14ac:dyDescent="0.35">
      <c r="A188" s="106">
        <v>40390</v>
      </c>
      <c r="B188" s="1">
        <v>11.866384340456699</v>
      </c>
      <c r="C188" s="1">
        <v>-8.2090476190479897</v>
      </c>
      <c r="D188">
        <v>1.54</v>
      </c>
      <c r="E188" t="s">
        <v>7</v>
      </c>
      <c r="F188" t="s">
        <v>128</v>
      </c>
      <c r="H188" t="s">
        <v>114</v>
      </c>
      <c r="I188" t="s">
        <v>123</v>
      </c>
      <c r="J188" s="115"/>
      <c r="K188" s="115"/>
      <c r="L188" s="115"/>
      <c r="M188" s="115"/>
      <c r="N188" s="115"/>
      <c r="O188" s="115"/>
      <c r="P188" s="115"/>
      <c r="Q188" s="115"/>
      <c r="R188" s="115"/>
      <c r="S188" s="115"/>
      <c r="W188" s="114">
        <f t="shared" si="145"/>
        <v>3.6573367214087096</v>
      </c>
      <c r="X188" s="114">
        <f t="shared" si="146"/>
        <v>10.326384340456698</v>
      </c>
      <c r="Z188">
        <f t="shared" ref="Z188:AA188" si="171">AVERAGE(W188:W193)</f>
        <v>-7.9847587344344104</v>
      </c>
      <c r="AA188">
        <f t="shared" si="171"/>
        <v>-2.5706241969237822</v>
      </c>
    </row>
    <row r="189" spans="1:27" x14ac:dyDescent="0.35">
      <c r="A189" s="106">
        <v>40359</v>
      </c>
      <c r="B189" s="1">
        <v>-7.6506119310571803</v>
      </c>
      <c r="C189" s="1">
        <v>5.8210476190479801</v>
      </c>
      <c r="D189">
        <v>-0.54</v>
      </c>
      <c r="E189" t="s">
        <v>7</v>
      </c>
      <c r="F189" t="s">
        <v>128</v>
      </c>
      <c r="H189" t="s">
        <v>114</v>
      </c>
      <c r="I189" t="s">
        <v>123</v>
      </c>
      <c r="J189" s="115"/>
      <c r="K189" s="115"/>
      <c r="L189" s="115"/>
      <c r="M189" s="115"/>
      <c r="N189" s="115"/>
      <c r="O189" s="115"/>
      <c r="P189" s="115"/>
      <c r="Q189" s="115"/>
      <c r="R189" s="115"/>
      <c r="S189" s="115"/>
      <c r="W189" s="114">
        <f t="shared" si="145"/>
        <v>-1.8295643120092002</v>
      </c>
      <c r="X189" s="114">
        <f t="shared" si="146"/>
        <v>-7.1106119310571803</v>
      </c>
      <c r="Z189">
        <f>AVERAGE(W184:W193)</f>
        <v>2.8981634183569822</v>
      </c>
      <c r="AA189">
        <f>AVERAGE(X184:X193)</f>
        <v>-0.71744676822754305</v>
      </c>
    </row>
    <row r="190" spans="1:27" x14ac:dyDescent="0.35">
      <c r="A190" s="106">
        <v>40329</v>
      </c>
      <c r="B190" s="1">
        <v>-8.3030861037104309</v>
      </c>
      <c r="C190" s="1">
        <v>-19.166285714286001</v>
      </c>
      <c r="D190">
        <v>-0.19</v>
      </c>
      <c r="E190" t="s">
        <v>10</v>
      </c>
      <c r="F190" t="s">
        <v>128</v>
      </c>
      <c r="H190" t="s">
        <v>116</v>
      </c>
      <c r="I190" t="s">
        <v>123</v>
      </c>
      <c r="J190" s="115"/>
      <c r="K190" s="115"/>
      <c r="L190" s="115"/>
      <c r="M190" s="115"/>
      <c r="N190" s="115"/>
      <c r="O190" s="115"/>
      <c r="P190" s="115"/>
      <c r="Q190" s="115"/>
      <c r="R190" s="115"/>
      <c r="S190" s="115"/>
      <c r="W190" s="114">
        <f t="shared" si="145"/>
        <v>-27.469371817996432</v>
      </c>
      <c r="X190" s="114">
        <f t="shared" si="146"/>
        <v>-8.1130861037104314</v>
      </c>
      <c r="Z190">
        <f>AVERAGE(W184:W193)</f>
        <v>2.8981634183569822</v>
      </c>
      <c r="AA190">
        <f>AVERAGE(X184:X193)</f>
        <v>-0.71744676822754305</v>
      </c>
    </row>
    <row r="191" spans="1:27" x14ac:dyDescent="0.35">
      <c r="A191" s="106">
        <v>40298</v>
      </c>
      <c r="B191" s="1">
        <v>-7.69267228904428</v>
      </c>
      <c r="C191" s="1">
        <v>4.5855900621119901</v>
      </c>
      <c r="D191">
        <v>0.37</v>
      </c>
      <c r="E191" t="s">
        <v>10</v>
      </c>
      <c r="F191" t="s">
        <v>128</v>
      </c>
      <c r="H191" t="s">
        <v>116</v>
      </c>
      <c r="I191" t="s">
        <v>123</v>
      </c>
      <c r="J191" s="115"/>
      <c r="K191" s="115"/>
      <c r="L191" s="115"/>
      <c r="M191" s="115"/>
      <c r="N191" s="115"/>
      <c r="O191" s="115"/>
      <c r="P191" s="115"/>
      <c r="Q191" s="115"/>
      <c r="R191" s="115"/>
      <c r="S191" s="115"/>
      <c r="W191" s="114">
        <f t="shared" si="145"/>
        <v>-3.10708222693229</v>
      </c>
      <c r="X191" s="114">
        <f t="shared" si="146"/>
        <v>-8.0626722890442792</v>
      </c>
      <c r="Z191">
        <f>AVERAGE(W184:W193)</f>
        <v>2.8981634183569822</v>
      </c>
      <c r="AA191">
        <f>AVERAGE(X184:X193)</f>
        <v>-0.71744676822754305</v>
      </c>
    </row>
    <row r="192" spans="1:27" x14ac:dyDescent="0.35">
      <c r="A192" s="106">
        <v>40268</v>
      </c>
      <c r="B192" s="1">
        <v>2.5550184672956702</v>
      </c>
      <c r="C192" s="1">
        <v>-15.3257014066495</v>
      </c>
      <c r="D192">
        <v>1.36</v>
      </c>
      <c r="E192" t="s">
        <v>10</v>
      </c>
      <c r="F192" t="s">
        <v>128</v>
      </c>
      <c r="H192" t="s">
        <v>116</v>
      </c>
      <c r="I192" t="s">
        <v>123</v>
      </c>
      <c r="J192" s="115"/>
      <c r="K192" s="115"/>
      <c r="L192" s="115"/>
      <c r="M192" s="115"/>
      <c r="N192" s="115"/>
      <c r="O192" s="115"/>
      <c r="P192" s="115"/>
      <c r="Q192" s="115"/>
      <c r="R192" s="115"/>
      <c r="S192" s="115"/>
      <c r="W192" s="114">
        <f t="shared" si="145"/>
        <v>-12.770682939353829</v>
      </c>
      <c r="X192" s="114">
        <f t="shared" si="146"/>
        <v>1.1950184672956701</v>
      </c>
      <c r="Z192">
        <f>AVERAGE(W184:W193)</f>
        <v>2.8981634183569822</v>
      </c>
      <c r="AA192">
        <f>AVERAGE(X184:X193)</f>
        <v>-0.71744676822754305</v>
      </c>
    </row>
    <row r="193" spans="1:27" x14ac:dyDescent="0.35">
      <c r="A193" s="106">
        <v>40237</v>
      </c>
      <c r="B193" s="1">
        <v>-2.86877766548317</v>
      </c>
      <c r="C193" s="1">
        <v>-3.52041016624025</v>
      </c>
      <c r="D193">
        <v>0.79</v>
      </c>
      <c r="E193" t="s">
        <v>9</v>
      </c>
      <c r="F193" t="s">
        <v>128</v>
      </c>
      <c r="H193" t="s">
        <v>116</v>
      </c>
      <c r="I193" t="s">
        <v>123</v>
      </c>
      <c r="J193" s="115"/>
      <c r="K193" s="115"/>
      <c r="L193" s="115"/>
      <c r="M193" s="115"/>
      <c r="N193" s="115"/>
      <c r="O193" s="115"/>
      <c r="P193" s="115"/>
      <c r="Q193" s="115"/>
      <c r="R193" s="115"/>
      <c r="S193" s="115"/>
      <c r="W193" s="114">
        <f t="shared" si="145"/>
        <v>-6.3891878317234205</v>
      </c>
      <c r="X193" s="114">
        <f t="shared" si="146"/>
        <v>-3.6587776654831701</v>
      </c>
      <c r="Z193">
        <f>AVERAGE(W184:W193)</f>
        <v>2.8981634183569822</v>
      </c>
      <c r="AA193">
        <f>AVERAGE(X184:X193)</f>
        <v>-0.71744676822754305</v>
      </c>
    </row>
  </sheetData>
  <phoneticPr fontId="29" type="noConversion"/>
  <pageMargins left="0.75" right="0.75" top="1" bottom="1" header="0.5" footer="0.5"/>
  <pageSetup paperSize="9" orientation="portrait" horizontalDpi="1200" verticalDpi="1200" r:id="rId1"/>
  <customProperties>
    <customPr name="SheetID" r:id="rId2"/>
  </customPropertie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355"/>
  <sheetViews>
    <sheetView topLeftCell="A4" workbookViewId="0">
      <selection activeCell="N1" sqref="N1"/>
    </sheetView>
  </sheetViews>
  <sheetFormatPr defaultColWidth="9" defaultRowHeight="14.15" x14ac:dyDescent="0.35"/>
  <cols>
    <col min="1" max="1" width="11.140625" style="106" customWidth="1"/>
    <col min="12" max="12" width="11.140625" customWidth="1"/>
    <col min="13" max="13" width="12.42578125" customWidth="1"/>
    <col min="14" max="14" width="40.140625" customWidth="1"/>
    <col min="22" max="22" width="11.78515625" customWidth="1"/>
  </cols>
  <sheetData>
    <row r="1" spans="1:23" x14ac:dyDescent="0.35">
      <c r="M1" t="s">
        <v>132</v>
      </c>
      <c r="N1" t="s">
        <v>133</v>
      </c>
      <c r="Q1" s="111" t="str">
        <f>[1]!edb()</f>
        <v>Wind</v>
      </c>
      <c r="U1" s="111" t="str">
        <f>[1]!edb()</f>
        <v>Wind</v>
      </c>
    </row>
    <row r="2" spans="1:23" x14ac:dyDescent="0.35">
      <c r="L2" s="108">
        <f>IFERROR(EOMONTH(M2,0),EOMONTH(L3,-1))</f>
        <v>43890</v>
      </c>
      <c r="M2" s="109" t="s">
        <v>134</v>
      </c>
      <c r="N2" s="110">
        <v>-10.665052841963499</v>
      </c>
      <c r="Q2" s="172" t="s">
        <v>263</v>
      </c>
      <c r="R2" s="172" t="s">
        <v>277</v>
      </c>
      <c r="U2" s="172" t="s">
        <v>263</v>
      </c>
      <c r="V2" s="172" t="s">
        <v>274</v>
      </c>
      <c r="W2" s="172" t="s">
        <v>275</v>
      </c>
    </row>
    <row r="3" spans="1:23" x14ac:dyDescent="0.35">
      <c r="B3" s="107" t="s">
        <v>137</v>
      </c>
      <c r="C3" s="107" t="s">
        <v>138</v>
      </c>
      <c r="D3" s="107" t="s">
        <v>139</v>
      </c>
      <c r="E3" s="107" t="s">
        <v>140</v>
      </c>
      <c r="F3" s="107" t="s">
        <v>141</v>
      </c>
      <c r="G3" s="107" t="s">
        <v>142</v>
      </c>
      <c r="L3" s="108">
        <f t="shared" ref="L3:L49" si="0">IFERROR(EOMONTH(M3,0),EOMONTH(L4,-1))</f>
        <v>43921</v>
      </c>
      <c r="M3" s="109">
        <v>43891</v>
      </c>
      <c r="N3" s="110">
        <v>-4.1064703891970904</v>
      </c>
      <c r="Q3" s="172" t="s">
        <v>265</v>
      </c>
      <c r="R3" s="172" t="s">
        <v>272</v>
      </c>
      <c r="U3" s="172" t="s">
        <v>265</v>
      </c>
      <c r="V3" s="172"/>
      <c r="W3" s="172" t="s">
        <v>272</v>
      </c>
    </row>
    <row r="4" spans="1:23" x14ac:dyDescent="0.35">
      <c r="L4" s="108">
        <f t="shared" si="0"/>
        <v>43951</v>
      </c>
      <c r="M4" s="109">
        <v>43922</v>
      </c>
      <c r="N4" s="110">
        <v>2.0680994449753798</v>
      </c>
      <c r="Q4" s="172" t="s">
        <v>276</v>
      </c>
      <c r="R4" s="173" t="s">
        <v>295</v>
      </c>
      <c r="U4" s="172" t="s">
        <v>276</v>
      </c>
      <c r="V4" s="173" t="s">
        <v>293</v>
      </c>
      <c r="W4" s="173" t="s">
        <v>294</v>
      </c>
    </row>
    <row r="5" spans="1:23" x14ac:dyDescent="0.35">
      <c r="A5" s="106">
        <v>45688</v>
      </c>
      <c r="B5">
        <f>VLOOKUP($A5,'框架指示的股债胜率（综合）'!$A:$Y,COLUMN(Y$1),0)</f>
        <v>-1.419533616352453</v>
      </c>
      <c r="C5">
        <f>IFERROR(VLOOKUP(A5,L:N,3,0),#REF!)</f>
        <v>0</v>
      </c>
      <c r="D5">
        <f t="shared" ref="D5:D12" si="1">VLOOKUP(A5,U:W,2,0)</f>
        <v>-0.62</v>
      </c>
      <c r="E5">
        <f t="shared" ref="E5:E12" si="2">VLOOKUP(A5,U:W,3,0)</f>
        <v>50.1</v>
      </c>
      <c r="F5" t="e">
        <f t="shared" ref="F5:F12" si="3">VLOOKUP(A5,Q:R,2,0)</f>
        <v>#N/A</v>
      </c>
      <c r="G5">
        <f t="shared" ref="G5:G12" si="4">AVERAGE(E5:E10)</f>
        <v>50.733333333333341</v>
      </c>
      <c r="L5" s="108">
        <f t="shared" si="0"/>
        <v>43982</v>
      </c>
      <c r="M5" s="109">
        <v>43952</v>
      </c>
      <c r="N5" s="110">
        <v>4.2828556874998203</v>
      </c>
      <c r="Q5" s="112">
        <v>46022</v>
      </c>
      <c r="R5" s="113">
        <v>-0.67420000000000002</v>
      </c>
      <c r="U5" s="112">
        <v>46022</v>
      </c>
      <c r="V5" s="113">
        <v>-0.28000000000000003</v>
      </c>
      <c r="W5" s="113">
        <v>50.7</v>
      </c>
    </row>
    <row r="6" spans="1:23" x14ac:dyDescent="0.35">
      <c r="A6" s="106">
        <v>45657</v>
      </c>
      <c r="B6">
        <f>VLOOKUP($A6,'框架指示的股债胜率（综合）'!$A:$Y,COLUMN(Y$1),0)</f>
        <v>-1.7174815018003387</v>
      </c>
      <c r="C6">
        <f t="shared" ref="C6:C8" si="5">IFERROR(VLOOKUP(A6,L:N,3,0),C5)</f>
        <v>0</v>
      </c>
      <c r="D6">
        <f t="shared" si="1"/>
        <v>-0.86</v>
      </c>
      <c r="E6">
        <f t="shared" si="2"/>
        <v>52.2</v>
      </c>
      <c r="F6">
        <f t="shared" si="3"/>
        <v>1.9227000000000001</v>
      </c>
      <c r="G6">
        <f t="shared" si="4"/>
        <v>50.75</v>
      </c>
      <c r="L6" s="108">
        <f t="shared" si="0"/>
        <v>44012</v>
      </c>
      <c r="M6" s="109">
        <v>43983</v>
      </c>
      <c r="N6" s="110">
        <v>4.70576333242734</v>
      </c>
      <c r="Q6" s="112">
        <v>45930</v>
      </c>
      <c r="R6" s="113">
        <v>1.6080000000000001</v>
      </c>
      <c r="U6" s="112">
        <v>45991</v>
      </c>
      <c r="V6" s="113">
        <v>-0.46</v>
      </c>
      <c r="W6" s="113">
        <v>49.7</v>
      </c>
    </row>
    <row r="7" spans="1:23" x14ac:dyDescent="0.35">
      <c r="A7" s="106">
        <v>45626</v>
      </c>
      <c r="B7">
        <f>VLOOKUP($A7,'框架指示的股债胜率（综合）'!$A:$Y,COLUMN(Y$1),0)</f>
        <v>-2.0424001069991724</v>
      </c>
      <c r="C7">
        <f t="shared" si="5"/>
        <v>0</v>
      </c>
      <c r="D7">
        <f t="shared" si="1"/>
        <v>-0.88</v>
      </c>
      <c r="E7">
        <f t="shared" si="2"/>
        <v>50.8</v>
      </c>
      <c r="F7" t="e">
        <f t="shared" si="3"/>
        <v>#N/A</v>
      </c>
      <c r="G7">
        <f t="shared" si="4"/>
        <v>50.466666666666669</v>
      </c>
      <c r="L7" s="108">
        <f t="shared" si="0"/>
        <v>44043</v>
      </c>
      <c r="M7" s="109">
        <v>44013</v>
      </c>
      <c r="N7" s="110">
        <v>4.4697384619012404</v>
      </c>
      <c r="Q7" s="112">
        <v>45838</v>
      </c>
      <c r="R7" s="113">
        <v>1.3562000000000001</v>
      </c>
      <c r="U7" s="112">
        <v>45961</v>
      </c>
      <c r="V7" s="113">
        <v>-0.72</v>
      </c>
      <c r="W7" s="113">
        <v>50</v>
      </c>
    </row>
    <row r="8" spans="1:23" x14ac:dyDescent="0.35">
      <c r="A8" s="106">
        <v>45596</v>
      </c>
      <c r="B8">
        <f>VLOOKUP($A8,'框架指示的股债胜率（综合）'!$A:$Y,COLUMN(Y$1),0)</f>
        <v>-2.3084845861271295</v>
      </c>
      <c r="C8">
        <f t="shared" si="5"/>
        <v>0</v>
      </c>
      <c r="D8">
        <f t="shared" si="1"/>
        <v>-0.98</v>
      </c>
      <c r="E8">
        <f t="shared" si="2"/>
        <v>50.8</v>
      </c>
      <c r="F8" t="e">
        <f t="shared" si="3"/>
        <v>#N/A</v>
      </c>
      <c r="G8">
        <f t="shared" si="4"/>
        <v>50.5</v>
      </c>
      <c r="L8" s="108">
        <f t="shared" si="0"/>
        <v>44074</v>
      </c>
      <c r="M8" s="109">
        <v>44044</v>
      </c>
      <c r="N8" s="110">
        <v>4.87797709653917</v>
      </c>
      <c r="Q8" s="112">
        <v>45747</v>
      </c>
      <c r="R8" s="113">
        <v>2.0682</v>
      </c>
      <c r="U8" s="112">
        <v>45930</v>
      </c>
      <c r="V8" s="113">
        <v>-1.1000000000000001</v>
      </c>
      <c r="W8" s="113">
        <v>50.6</v>
      </c>
    </row>
    <row r="9" spans="1:23" x14ac:dyDescent="0.35">
      <c r="A9" s="106">
        <v>45565</v>
      </c>
      <c r="B9">
        <f>VLOOKUP($A9,'框架指示的股债胜率（综合）'!$A:$Y,COLUMN(Y$1),0)</f>
        <v>-2.5968375343484991</v>
      </c>
      <c r="C9">
        <f>IFERROR(VLOOKUP(A9,L:N,3,0),#REF!)</f>
        <v>0</v>
      </c>
      <c r="D9">
        <f t="shared" si="1"/>
        <v>-0.88</v>
      </c>
      <c r="E9">
        <f t="shared" si="2"/>
        <v>50.4</v>
      </c>
      <c r="F9">
        <f t="shared" si="3"/>
        <v>-0.53339999999999999</v>
      </c>
      <c r="G9">
        <f t="shared" si="4"/>
        <v>50.65</v>
      </c>
      <c r="L9" s="108">
        <f t="shared" si="0"/>
        <v>44104</v>
      </c>
      <c r="M9" s="109">
        <v>44075</v>
      </c>
      <c r="N9" s="110">
        <v>5.6485673259356197</v>
      </c>
      <c r="Q9" s="112">
        <v>45657</v>
      </c>
      <c r="R9" s="113">
        <v>1.9227000000000001</v>
      </c>
      <c r="U9" s="112">
        <v>45900</v>
      </c>
      <c r="V9" s="113">
        <v>-1.4</v>
      </c>
      <c r="W9" s="113">
        <v>50.5</v>
      </c>
    </row>
    <row r="10" spans="1:23" x14ac:dyDescent="0.35">
      <c r="A10" s="106">
        <v>45535</v>
      </c>
      <c r="B10">
        <f>VLOOKUP($A10,'框架指示的股债胜率（综合）'!$A:$Y,COLUMN(Y$1),0)</f>
        <v>-2.648594768342575</v>
      </c>
      <c r="C10">
        <f t="shared" ref="C10:C12" si="6">IFERROR(VLOOKUP(A10,L:N,3,0),C9)</f>
        <v>0</v>
      </c>
      <c r="D10">
        <f t="shared" si="1"/>
        <v>-0.36</v>
      </c>
      <c r="E10">
        <f t="shared" si="2"/>
        <v>50.1</v>
      </c>
      <c r="F10" t="e">
        <f t="shared" si="3"/>
        <v>#N/A</v>
      </c>
      <c r="G10">
        <f t="shared" si="4"/>
        <v>51.033333333333331</v>
      </c>
      <c r="L10" s="108">
        <f t="shared" si="0"/>
        <v>44135</v>
      </c>
      <c r="M10" s="109">
        <v>44105</v>
      </c>
      <c r="N10" s="110">
        <v>6.5669251037802701</v>
      </c>
      <c r="Q10" s="112">
        <v>45565</v>
      </c>
      <c r="R10" s="113">
        <v>-0.53339999999999999</v>
      </c>
      <c r="U10" s="112">
        <v>45869</v>
      </c>
      <c r="V10" s="113">
        <v>-1.44</v>
      </c>
      <c r="W10" s="113">
        <v>50.2</v>
      </c>
    </row>
    <row r="11" spans="1:23" x14ac:dyDescent="0.35">
      <c r="A11" s="106">
        <v>45504</v>
      </c>
      <c r="B11">
        <f>VLOOKUP($A11,'框架指示的股债胜率（综合）'!$A:$Y,COLUMN(Y$1),0)</f>
        <v>-2.2078798521802372</v>
      </c>
      <c r="C11">
        <f t="shared" si="6"/>
        <v>0</v>
      </c>
      <c r="D11">
        <f t="shared" si="1"/>
        <v>-0.02</v>
      </c>
      <c r="E11">
        <f t="shared" si="2"/>
        <v>50.2</v>
      </c>
      <c r="F11" t="e">
        <f t="shared" si="3"/>
        <v>#N/A</v>
      </c>
      <c r="G11">
        <f t="shared" si="4"/>
        <v>51.166666666666657</v>
      </c>
      <c r="L11" s="108">
        <f t="shared" si="0"/>
        <v>44165</v>
      </c>
      <c r="M11" s="109">
        <v>44136</v>
      </c>
      <c r="N11" s="110">
        <v>6.67822699191853</v>
      </c>
      <c r="Q11" s="112">
        <v>45473</v>
      </c>
      <c r="R11" s="113">
        <v>-0.61350000000000005</v>
      </c>
      <c r="U11" s="112">
        <v>45838</v>
      </c>
      <c r="V11" s="113">
        <v>-1.38</v>
      </c>
      <c r="W11" s="113">
        <v>50.7</v>
      </c>
    </row>
    <row r="12" spans="1:23" x14ac:dyDescent="0.35">
      <c r="A12" s="106">
        <v>45473</v>
      </c>
      <c r="B12">
        <f>VLOOKUP($A12,'框架指示的股债胜率（综合）'!$A:$Y,COLUMN(Y$1),0)</f>
        <v>-2.020826832186041</v>
      </c>
      <c r="C12">
        <f t="shared" si="6"/>
        <v>0</v>
      </c>
      <c r="D12">
        <f t="shared" si="1"/>
        <v>-0.2</v>
      </c>
      <c r="E12">
        <f t="shared" si="2"/>
        <v>50.5</v>
      </c>
      <c r="F12">
        <f t="shared" si="3"/>
        <v>-0.61350000000000005</v>
      </c>
      <c r="G12">
        <f t="shared" si="4"/>
        <v>51.18333333333333</v>
      </c>
      <c r="L12" s="108">
        <f t="shared" si="0"/>
        <v>44196</v>
      </c>
      <c r="M12" s="109">
        <v>44166</v>
      </c>
      <c r="N12" s="110">
        <v>6.48590387109879</v>
      </c>
      <c r="Q12" s="112">
        <v>45382</v>
      </c>
      <c r="R12" s="113">
        <v>-1.2672000000000001</v>
      </c>
      <c r="U12" s="112">
        <v>45808</v>
      </c>
      <c r="V12" s="113">
        <v>-1.38</v>
      </c>
      <c r="W12" s="113">
        <v>50.4</v>
      </c>
    </row>
    <row r="13" spans="1:23" x14ac:dyDescent="0.35">
      <c r="A13" s="106">
        <v>45443</v>
      </c>
      <c r="B13">
        <f>VLOOKUP($A13,'框架指示的股债胜率（综合）'!$A:$Y,COLUMN(Y$1),0)</f>
        <v>-1.8498160316271772</v>
      </c>
      <c r="C13">
        <f>IFERROR(VLOOKUP(A13,L:N,3,0),C4)</f>
        <v>4.8086568212091496</v>
      </c>
      <c r="D13">
        <f t="shared" ref="D13:D44" si="7">VLOOKUP(A13,U:W,2,0)</f>
        <v>-0.38</v>
      </c>
      <c r="E13">
        <f t="shared" ref="E13:E44" si="8">VLOOKUP(A13,U:W,3,0)</f>
        <v>51</v>
      </c>
      <c r="F13" t="e">
        <f t="shared" ref="F13:F44" si="9">VLOOKUP(A13,Q:R,2,0)</f>
        <v>#N/A</v>
      </c>
      <c r="G13">
        <f>AVERAGE(E13:E18)</f>
        <v>51.166666666666664</v>
      </c>
      <c r="L13" s="108">
        <f t="shared" si="0"/>
        <v>44255</v>
      </c>
      <c r="M13" s="109" t="s">
        <v>143</v>
      </c>
      <c r="N13" s="110">
        <v>24.3210762751843</v>
      </c>
      <c r="Q13" s="112">
        <v>45291</v>
      </c>
      <c r="R13" s="113">
        <v>-1.4349000000000001</v>
      </c>
      <c r="U13" s="112">
        <v>45777</v>
      </c>
      <c r="V13" s="113">
        <v>-1.1399999999999999</v>
      </c>
      <c r="W13" s="113">
        <v>50.2</v>
      </c>
    </row>
    <row r="14" spans="1:23" x14ac:dyDescent="0.35">
      <c r="A14" s="106">
        <v>45412</v>
      </c>
      <c r="B14">
        <f>VLOOKUP($A14,'框架指示的股债胜率（综合）'!$A:$Y,COLUMN(Y$1),0)</f>
        <v>-1.6840842421453874</v>
      </c>
      <c r="C14">
        <f t="shared" ref="C14:C59" si="10">IFERROR(VLOOKUP(A14,L:N,3,0),C13)</f>
        <v>4.9271528114096501</v>
      </c>
      <c r="D14">
        <f t="shared" si="7"/>
        <v>-0.82</v>
      </c>
      <c r="E14">
        <f t="shared" si="8"/>
        <v>51.7</v>
      </c>
      <c r="F14" t="e">
        <f t="shared" si="9"/>
        <v>#N/A</v>
      </c>
      <c r="G14">
        <f t="shared" ref="G14:G77" si="11">AVERAGE(E14:E19)</f>
        <v>51.116666666666667</v>
      </c>
      <c r="L14" s="108">
        <f t="shared" si="0"/>
        <v>44286</v>
      </c>
      <c r="M14" s="109">
        <v>44256</v>
      </c>
      <c r="N14" s="110">
        <v>14.315767556918701</v>
      </c>
      <c r="Q14" s="112">
        <v>45199</v>
      </c>
      <c r="R14" s="113">
        <v>-0.83940000000000003</v>
      </c>
      <c r="U14" s="112">
        <v>45747</v>
      </c>
      <c r="V14" s="113">
        <v>-1.06</v>
      </c>
      <c r="W14" s="113">
        <v>51.4</v>
      </c>
    </row>
    <row r="15" spans="1:23" x14ac:dyDescent="0.35">
      <c r="A15" s="106">
        <v>45382</v>
      </c>
      <c r="B15">
        <f>VLOOKUP($A15,'框架指示的股债胜率（综合）'!$A:$Y,COLUMN(Y$1),0)</f>
        <v>-1.2461303093230336</v>
      </c>
      <c r="C15">
        <f t="shared" si="10"/>
        <v>4.7760786025311504</v>
      </c>
      <c r="D15">
        <f t="shared" si="7"/>
        <v>-1.06</v>
      </c>
      <c r="E15">
        <f t="shared" si="8"/>
        <v>52.7</v>
      </c>
      <c r="F15">
        <f t="shared" si="9"/>
        <v>-1.2672000000000001</v>
      </c>
      <c r="G15">
        <f t="shared" si="11"/>
        <v>51.166666666666664</v>
      </c>
      <c r="L15" s="108">
        <f t="shared" si="0"/>
        <v>44316</v>
      </c>
      <c r="M15" s="109">
        <v>44287</v>
      </c>
      <c r="N15" s="110">
        <v>9.5153254974675097</v>
      </c>
      <c r="Q15" s="112">
        <v>45107</v>
      </c>
      <c r="R15" s="113">
        <v>-0.91710000000000003</v>
      </c>
      <c r="U15" s="112">
        <v>45716</v>
      </c>
      <c r="V15" s="113">
        <v>-1.3</v>
      </c>
      <c r="W15" s="113">
        <v>51.1</v>
      </c>
    </row>
    <row r="16" spans="1:23" x14ac:dyDescent="0.35">
      <c r="A16" s="106">
        <v>45351</v>
      </c>
      <c r="B16">
        <f>VLOOKUP($A16,'框架指示的股债胜率（综合）'!$A:$Y,COLUMN(Y$1),0)</f>
        <v>-0.86496174341762566</v>
      </c>
      <c r="C16">
        <f t="shared" si="10"/>
        <v>5.7826378922980304</v>
      </c>
      <c r="D16">
        <f t="shared" si="7"/>
        <v>-0.66</v>
      </c>
      <c r="E16">
        <f t="shared" si="8"/>
        <v>50.9</v>
      </c>
      <c r="F16" t="e">
        <f t="shared" si="9"/>
        <v>#N/A</v>
      </c>
      <c r="G16">
        <f t="shared" si="11"/>
        <v>50.933333333333337</v>
      </c>
      <c r="L16" s="108">
        <f t="shared" si="0"/>
        <v>44347</v>
      </c>
      <c r="M16" s="109">
        <v>44317</v>
      </c>
      <c r="N16" s="110">
        <v>6.9519650167875398</v>
      </c>
      <c r="Q16" s="112">
        <v>45016</v>
      </c>
      <c r="R16" s="113">
        <v>0.9425</v>
      </c>
      <c r="U16" s="112">
        <v>45688</v>
      </c>
      <c r="V16" s="113">
        <v>-0.62</v>
      </c>
      <c r="W16" s="113">
        <v>50.1</v>
      </c>
    </row>
    <row r="17" spans="1:23" x14ac:dyDescent="0.35">
      <c r="A17" s="106">
        <v>45291</v>
      </c>
      <c r="B17">
        <f>VLOOKUP($A17,'框架指示的股债胜率（综合）'!$A:$Y,COLUMN(Y$1),0)</f>
        <v>-0.77144220739808966</v>
      </c>
      <c r="C17">
        <f t="shared" si="10"/>
        <v>5.7064247910709396</v>
      </c>
      <c r="D17">
        <f t="shared" si="7"/>
        <v>-1.26</v>
      </c>
      <c r="E17">
        <f t="shared" si="8"/>
        <v>50.3</v>
      </c>
      <c r="F17">
        <f t="shared" si="9"/>
        <v>-1.4349000000000001</v>
      </c>
      <c r="G17">
        <f t="shared" si="11"/>
        <v>50.966666666666669</v>
      </c>
      <c r="L17" s="108">
        <f t="shared" si="0"/>
        <v>44377</v>
      </c>
      <c r="M17" s="109">
        <v>44348</v>
      </c>
      <c r="N17" s="110">
        <v>6.3028357230476901</v>
      </c>
      <c r="Q17" s="112">
        <v>44926</v>
      </c>
      <c r="R17" s="113">
        <v>0.55989999999999995</v>
      </c>
      <c r="U17" s="112">
        <v>45657</v>
      </c>
      <c r="V17" s="113">
        <v>-0.86</v>
      </c>
      <c r="W17" s="113">
        <v>52.2</v>
      </c>
    </row>
    <row r="18" spans="1:23" x14ac:dyDescent="0.35">
      <c r="A18" s="106">
        <v>45260</v>
      </c>
      <c r="B18">
        <f>VLOOKUP($A18,'框架指示的股债胜率（综合）'!$A:$Y,COLUMN(Y$1),0)</f>
        <v>-0.79189289203995072</v>
      </c>
      <c r="C18">
        <f t="shared" si="10"/>
        <v>5.5399149892992297</v>
      </c>
      <c r="D18">
        <f t="shared" si="7"/>
        <v>-1.5</v>
      </c>
      <c r="E18">
        <f t="shared" si="8"/>
        <v>50.4</v>
      </c>
      <c r="F18" t="e">
        <f t="shared" si="9"/>
        <v>#N/A</v>
      </c>
      <c r="G18">
        <f t="shared" si="11"/>
        <v>51.29999999999999</v>
      </c>
      <c r="L18" s="108">
        <f t="shared" si="0"/>
        <v>44408</v>
      </c>
      <c r="M18" s="109">
        <v>44378</v>
      </c>
      <c r="N18" s="110">
        <v>5.8597592149681299</v>
      </c>
      <c r="Q18" s="112">
        <v>44834</v>
      </c>
      <c r="R18" s="113">
        <v>1.7583</v>
      </c>
      <c r="U18" s="112">
        <v>45626</v>
      </c>
      <c r="V18" s="113">
        <v>-0.88</v>
      </c>
      <c r="W18" s="113">
        <v>50.8</v>
      </c>
    </row>
    <row r="19" spans="1:23" x14ac:dyDescent="0.35">
      <c r="A19" s="106">
        <v>45230</v>
      </c>
      <c r="B19">
        <f>VLOOKUP($A19,'框架指示的股债胜率（综合）'!$A:$Y,COLUMN(Y$1),0)</f>
        <v>-0.64542370502896806</v>
      </c>
      <c r="C19">
        <f t="shared" si="10"/>
        <v>4.3643493986414397</v>
      </c>
      <c r="D19">
        <f t="shared" si="7"/>
        <v>-1.1599999999999999</v>
      </c>
      <c r="E19">
        <f t="shared" si="8"/>
        <v>50.7</v>
      </c>
      <c r="F19" t="e">
        <f t="shared" si="9"/>
        <v>#N/A</v>
      </c>
      <c r="G19">
        <f t="shared" si="11"/>
        <v>51.716666666666661</v>
      </c>
      <c r="L19" s="108">
        <f t="shared" si="0"/>
        <v>44439</v>
      </c>
      <c r="M19" s="109">
        <v>44409</v>
      </c>
      <c r="N19" s="110">
        <v>4.6953913083057497</v>
      </c>
      <c r="Q19" s="112">
        <v>44742</v>
      </c>
      <c r="R19" s="113">
        <v>2.9845000000000002</v>
      </c>
      <c r="U19" s="112">
        <v>45596</v>
      </c>
      <c r="V19" s="113">
        <v>-0.98</v>
      </c>
      <c r="W19" s="113">
        <v>50.8</v>
      </c>
    </row>
    <row r="20" spans="1:23" x14ac:dyDescent="0.35">
      <c r="A20" s="106">
        <v>45199</v>
      </c>
      <c r="B20">
        <f>VLOOKUP($A20,'框架指示的股债胜率（综合）'!$A:$Y,COLUMN(Y$1),0)</f>
        <v>-0.39051039886566191</v>
      </c>
      <c r="C20">
        <f t="shared" si="10"/>
        <v>5.1888546035193501</v>
      </c>
      <c r="D20">
        <f t="shared" si="7"/>
        <v>-1</v>
      </c>
      <c r="E20">
        <f t="shared" si="8"/>
        <v>52</v>
      </c>
      <c r="F20">
        <f t="shared" si="9"/>
        <v>-0.83940000000000003</v>
      </c>
      <c r="G20">
        <f t="shared" si="11"/>
        <v>52.333333333333321</v>
      </c>
      <c r="L20" s="108">
        <f t="shared" si="0"/>
        <v>44469</v>
      </c>
      <c r="M20" s="109">
        <v>44440</v>
      </c>
      <c r="N20" s="110">
        <v>3.9746122623603801</v>
      </c>
      <c r="Q20" s="112">
        <v>44651</v>
      </c>
      <c r="R20" s="113">
        <v>3.4068000000000001</v>
      </c>
      <c r="U20" s="112">
        <v>45565</v>
      </c>
      <c r="V20" s="113">
        <v>-0.88</v>
      </c>
      <c r="W20" s="113">
        <v>50.4</v>
      </c>
    </row>
    <row r="21" spans="1:23" x14ac:dyDescent="0.35">
      <c r="A21" s="106">
        <v>45169</v>
      </c>
      <c r="B21">
        <f>VLOOKUP($A21,'框架指示的股债胜率（综合）'!$A:$Y,COLUMN(Y$1),0)</f>
        <v>-0.40977377989374886</v>
      </c>
      <c r="C21">
        <f t="shared" si="10"/>
        <v>5.1282424349192901</v>
      </c>
      <c r="D21">
        <f t="shared" si="7"/>
        <v>-1.1399999999999999</v>
      </c>
      <c r="E21">
        <f t="shared" si="8"/>
        <v>51.3</v>
      </c>
      <c r="F21" t="e">
        <f t="shared" si="9"/>
        <v>#N/A</v>
      </c>
      <c r="G21">
        <f t="shared" si="11"/>
        <v>53.166666666666664</v>
      </c>
      <c r="L21" s="108">
        <f t="shared" si="0"/>
        <v>44500</v>
      </c>
      <c r="M21" s="109">
        <v>44470</v>
      </c>
      <c r="N21" s="110">
        <v>4.1648010614454396</v>
      </c>
      <c r="Q21" s="112">
        <v>44561</v>
      </c>
      <c r="R21" s="113">
        <v>5.2205000000000004</v>
      </c>
      <c r="U21" s="112">
        <v>45535</v>
      </c>
      <c r="V21" s="113">
        <v>-0.36</v>
      </c>
      <c r="W21" s="113">
        <v>50.1</v>
      </c>
    </row>
    <row r="22" spans="1:23" x14ac:dyDescent="0.35">
      <c r="A22" s="106">
        <v>45138</v>
      </c>
      <c r="B22">
        <f>VLOOKUP($A22,'框架指示的股债胜率（综合）'!$A:$Y,COLUMN(Y$1),0)</f>
        <v>-0.44441917512737944</v>
      </c>
      <c r="C22">
        <f t="shared" si="10"/>
        <v>4.3932439690466003</v>
      </c>
      <c r="D22">
        <f t="shared" si="7"/>
        <v>-1.94</v>
      </c>
      <c r="E22">
        <f t="shared" si="8"/>
        <v>51.1</v>
      </c>
      <c r="F22" t="e">
        <f t="shared" si="9"/>
        <v>#N/A</v>
      </c>
      <c r="G22">
        <f t="shared" si="11"/>
        <v>54.016666666666673</v>
      </c>
      <c r="L22" s="108">
        <f t="shared" si="0"/>
        <v>44530</v>
      </c>
      <c r="M22" s="109">
        <v>44501</v>
      </c>
      <c r="N22" s="110">
        <v>3.9285936801380701</v>
      </c>
      <c r="Q22" s="112">
        <v>44469</v>
      </c>
      <c r="R22" s="113">
        <v>4.2081</v>
      </c>
      <c r="U22" s="112">
        <v>45504</v>
      </c>
      <c r="V22" s="113">
        <v>-0.02</v>
      </c>
      <c r="W22" s="113">
        <v>50.2</v>
      </c>
    </row>
    <row r="23" spans="1:23" x14ac:dyDescent="0.35">
      <c r="A23" s="106">
        <v>45107</v>
      </c>
      <c r="B23">
        <f>VLOOKUP($A23,'框架指示的股债胜率（综合）'!$A:$Y,COLUMN(Y$1),0)</f>
        <v>-0.58278607731007104</v>
      </c>
      <c r="C23">
        <f t="shared" si="10"/>
        <v>5.2278400843714099</v>
      </c>
      <c r="D23">
        <f t="shared" si="7"/>
        <v>-2.16</v>
      </c>
      <c r="E23">
        <f t="shared" si="8"/>
        <v>52.3</v>
      </c>
      <c r="F23">
        <f t="shared" si="9"/>
        <v>-0.91710000000000003</v>
      </c>
      <c r="G23">
        <f t="shared" si="11"/>
        <v>52.6</v>
      </c>
      <c r="L23" s="108">
        <f t="shared" si="0"/>
        <v>44561</v>
      </c>
      <c r="M23" s="109">
        <v>44531</v>
      </c>
      <c r="N23" s="110">
        <v>4.3979261043654798</v>
      </c>
      <c r="Q23" s="112">
        <v>44377</v>
      </c>
      <c r="R23" s="113">
        <v>4.8128000000000002</v>
      </c>
      <c r="U23" s="112">
        <v>45473</v>
      </c>
      <c r="V23" s="113">
        <v>-0.2</v>
      </c>
      <c r="W23" s="113">
        <v>50.5</v>
      </c>
    </row>
    <row r="24" spans="1:23" x14ac:dyDescent="0.35">
      <c r="A24" s="106">
        <v>45077</v>
      </c>
      <c r="B24">
        <f>VLOOKUP($A24,'框架指示的股债胜率（综合）'!$A:$Y,COLUMN(Y$1),0)</f>
        <v>-0.66536141815154093</v>
      </c>
      <c r="C24">
        <f t="shared" si="10"/>
        <v>6.2216299505944104</v>
      </c>
      <c r="D24">
        <f t="shared" si="7"/>
        <v>-1.72</v>
      </c>
      <c r="E24">
        <f t="shared" si="8"/>
        <v>52.9</v>
      </c>
      <c r="F24" t="e">
        <f t="shared" si="9"/>
        <v>#N/A</v>
      </c>
      <c r="G24">
        <f t="shared" si="11"/>
        <v>51.733333333333341</v>
      </c>
      <c r="L24" s="108">
        <f t="shared" si="0"/>
        <v>44620</v>
      </c>
      <c r="M24" s="109" t="s">
        <v>144</v>
      </c>
      <c r="N24" s="110">
        <v>5.9578911682642799</v>
      </c>
      <c r="Q24" s="112">
        <v>44286</v>
      </c>
      <c r="R24" s="113">
        <v>2.0531999999999999</v>
      </c>
      <c r="U24" s="112">
        <v>45443</v>
      </c>
      <c r="V24" s="113">
        <v>-0.38</v>
      </c>
      <c r="W24" s="113">
        <v>51</v>
      </c>
    </row>
    <row r="25" spans="1:23" x14ac:dyDescent="0.35">
      <c r="A25" s="106">
        <v>45046</v>
      </c>
      <c r="B25">
        <f>VLOOKUP($A25,'框架指示的股债胜率（综合）'!$A:$Y,COLUMN(Y$1),0)</f>
        <v>-0.80832806901292864</v>
      </c>
      <c r="C25">
        <f t="shared" si="10"/>
        <v>7.54366264577396</v>
      </c>
      <c r="D25">
        <f t="shared" si="7"/>
        <v>-1.38</v>
      </c>
      <c r="E25">
        <f t="shared" si="8"/>
        <v>54.4</v>
      </c>
      <c r="F25" t="e">
        <f t="shared" si="9"/>
        <v>#N/A</v>
      </c>
      <c r="G25">
        <f t="shared" si="11"/>
        <v>51.083333333333336</v>
      </c>
      <c r="L25" s="108">
        <f t="shared" si="0"/>
        <v>44651</v>
      </c>
      <c r="M25" s="109">
        <v>44621</v>
      </c>
      <c r="N25" s="110">
        <v>3.7003506568206701</v>
      </c>
      <c r="Q25" s="112">
        <v>44196</v>
      </c>
      <c r="R25" s="113">
        <v>6.9800000000000001E-2</v>
      </c>
      <c r="U25" s="112">
        <v>45412</v>
      </c>
      <c r="V25" s="113">
        <v>-0.82</v>
      </c>
      <c r="W25" s="113">
        <v>51.7</v>
      </c>
    </row>
    <row r="26" spans="1:23" x14ac:dyDescent="0.35">
      <c r="A26" s="106">
        <v>45016</v>
      </c>
      <c r="B26">
        <f>VLOOKUP($A26,'框架指示的股债胜率（综合）'!$A:$Y,COLUMN(Y$1),0)</f>
        <v>-0.70828594488358354</v>
      </c>
      <c r="C26">
        <f t="shared" si="10"/>
        <v>5.3201714922496901</v>
      </c>
      <c r="D26">
        <f t="shared" si="7"/>
        <v>-0.57999999999999996</v>
      </c>
      <c r="E26">
        <f t="shared" si="8"/>
        <v>57</v>
      </c>
      <c r="F26">
        <f t="shared" si="9"/>
        <v>0.9425</v>
      </c>
      <c r="G26">
        <f t="shared" si="11"/>
        <v>50.5</v>
      </c>
      <c r="L26" s="108">
        <f t="shared" si="0"/>
        <v>44681</v>
      </c>
      <c r="M26" s="109">
        <v>44652</v>
      </c>
      <c r="N26" s="110">
        <v>-1.7769660858488401</v>
      </c>
      <c r="Q26" s="112">
        <v>44104</v>
      </c>
      <c r="R26" s="113">
        <v>2.7844000000000002</v>
      </c>
      <c r="U26" s="112">
        <v>45382</v>
      </c>
      <c r="V26" s="113">
        <v>-1.06</v>
      </c>
      <c r="W26" s="113">
        <v>52.7</v>
      </c>
    </row>
    <row r="27" spans="1:23" x14ac:dyDescent="0.35">
      <c r="A27" s="106">
        <v>44985</v>
      </c>
      <c r="B27">
        <f>VLOOKUP($A27,'框架指示的股债胜率（综合）'!$A:$Y,COLUMN(Y$1),0)</f>
        <v>-0.30840265823559082</v>
      </c>
      <c r="C27">
        <f t="shared" si="10"/>
        <v>3.6995119806351799</v>
      </c>
      <c r="D27">
        <f t="shared" si="7"/>
        <v>0.04</v>
      </c>
      <c r="E27">
        <f t="shared" si="8"/>
        <v>56.4</v>
      </c>
      <c r="F27" t="e">
        <f t="shared" si="9"/>
        <v>#N/A</v>
      </c>
      <c r="G27">
        <f t="shared" si="11"/>
        <v>49.616666666666667</v>
      </c>
      <c r="L27" s="108">
        <f t="shared" si="0"/>
        <v>44712</v>
      </c>
      <c r="M27" s="109">
        <v>44682</v>
      </c>
      <c r="N27" s="110">
        <v>-6.8426301887219806E-2</v>
      </c>
      <c r="Q27" s="112">
        <v>44012</v>
      </c>
      <c r="R27" s="113">
        <v>2.0440999999999998</v>
      </c>
      <c r="U27" s="112">
        <v>45351</v>
      </c>
      <c r="V27" s="113">
        <v>-0.66</v>
      </c>
      <c r="W27" s="113">
        <v>50.9</v>
      </c>
    </row>
    <row r="28" spans="1:23" x14ac:dyDescent="0.35">
      <c r="A28" s="106">
        <v>44926</v>
      </c>
      <c r="B28">
        <f>VLOOKUP($A28,'框架指示的股债胜率（综合）'!$A:$Y,COLUMN(Y$1),0)</f>
        <v>-0.10910293834763581</v>
      </c>
      <c r="C28">
        <f t="shared" si="10"/>
        <v>2.5729369469860899</v>
      </c>
      <c r="D28">
        <f t="shared" si="7"/>
        <v>0.8</v>
      </c>
      <c r="E28">
        <f t="shared" si="8"/>
        <v>42.6</v>
      </c>
      <c r="F28">
        <f t="shared" si="9"/>
        <v>0.55989999999999995</v>
      </c>
      <c r="G28">
        <f t="shared" si="11"/>
        <v>48.966666666666669</v>
      </c>
      <c r="L28" s="108">
        <f t="shared" si="0"/>
        <v>44742</v>
      </c>
      <c r="M28" s="109">
        <v>44713</v>
      </c>
      <c r="N28" s="110">
        <v>3.1429739579445299</v>
      </c>
      <c r="Q28" s="112">
        <v>43921</v>
      </c>
      <c r="R28" s="113">
        <v>3.8128000000000002</v>
      </c>
      <c r="U28" s="112">
        <v>45322</v>
      </c>
      <c r="V28" s="113">
        <v>-1.48</v>
      </c>
      <c r="W28" s="113">
        <v>50.9</v>
      </c>
    </row>
    <row r="29" spans="1:23" x14ac:dyDescent="0.35">
      <c r="A29" s="106">
        <v>44895</v>
      </c>
      <c r="B29">
        <f>VLOOKUP($A29,'框架指示的股债胜率（综合）'!$A:$Y,COLUMN(Y$1),0)</f>
        <v>-0.18593988470212605</v>
      </c>
      <c r="C29">
        <f t="shared" si="10"/>
        <v>2.2579904767346402</v>
      </c>
      <c r="D29">
        <f t="shared" si="7"/>
        <v>0.44</v>
      </c>
      <c r="E29">
        <f t="shared" si="8"/>
        <v>47.1</v>
      </c>
      <c r="F29" t="e">
        <f t="shared" si="9"/>
        <v>#N/A</v>
      </c>
      <c r="G29">
        <f t="shared" si="11"/>
        <v>50.883333333333333</v>
      </c>
      <c r="L29" s="108">
        <f t="shared" si="0"/>
        <v>44773</v>
      </c>
      <c r="M29" s="109">
        <v>44743</v>
      </c>
      <c r="N29" s="110">
        <v>3.22130794295389</v>
      </c>
      <c r="Q29" s="112">
        <v>43830</v>
      </c>
      <c r="R29" s="113">
        <v>3.4243000000000001</v>
      </c>
      <c r="U29" s="112">
        <v>45291</v>
      </c>
      <c r="V29" s="113">
        <v>-1.26</v>
      </c>
      <c r="W29" s="113">
        <v>50.3</v>
      </c>
    </row>
    <row r="30" spans="1:23" x14ac:dyDescent="0.35">
      <c r="A30" s="106">
        <v>44865</v>
      </c>
      <c r="B30">
        <f>VLOOKUP($A30,'框架指示的股债胜率（综合）'!$A:$Y,COLUMN(Y$1),0)</f>
        <v>-0.22302937227548458</v>
      </c>
      <c r="C30">
        <f t="shared" si="10"/>
        <v>3.9399728413520201</v>
      </c>
      <c r="D30">
        <f t="shared" si="7"/>
        <v>0.74</v>
      </c>
      <c r="E30">
        <f t="shared" si="8"/>
        <v>49</v>
      </c>
      <c r="F30" t="e">
        <f t="shared" si="9"/>
        <v>#N/A</v>
      </c>
      <c r="G30">
        <f t="shared" si="11"/>
        <v>51.1</v>
      </c>
      <c r="L30" s="108">
        <f t="shared" si="0"/>
        <v>44804</v>
      </c>
      <c r="M30" s="109">
        <v>44774</v>
      </c>
      <c r="N30" s="110">
        <v>3.8448335442927899</v>
      </c>
      <c r="Q30" s="112">
        <v>43738</v>
      </c>
      <c r="R30" s="113">
        <v>0.41110000000000002</v>
      </c>
      <c r="U30" s="112">
        <v>45260</v>
      </c>
      <c r="V30" s="113">
        <v>-1.5</v>
      </c>
      <c r="W30" s="113">
        <v>50.4</v>
      </c>
    </row>
    <row r="31" spans="1:23" x14ac:dyDescent="0.35">
      <c r="A31" s="106">
        <v>44834</v>
      </c>
      <c r="B31">
        <f>VLOOKUP($A31,'框架指示的股债胜率（综合）'!$A:$Y,COLUMN(Y$1),0)</f>
        <v>-0.32728793534983713</v>
      </c>
      <c r="C31">
        <f t="shared" si="10"/>
        <v>4.5266994697887197</v>
      </c>
      <c r="D31">
        <f t="shared" si="7"/>
        <v>2.04</v>
      </c>
      <c r="E31">
        <f t="shared" si="8"/>
        <v>50.9</v>
      </c>
      <c r="F31">
        <f t="shared" si="9"/>
        <v>1.7583</v>
      </c>
      <c r="G31">
        <f t="shared" si="11"/>
        <v>50.04999999999999</v>
      </c>
      <c r="L31" s="108">
        <f t="shared" si="0"/>
        <v>44834</v>
      </c>
      <c r="M31" s="109">
        <v>44805</v>
      </c>
      <c r="N31" s="110">
        <v>4.5266994697887197</v>
      </c>
      <c r="Q31" s="112">
        <v>43646</v>
      </c>
      <c r="R31" s="113">
        <v>1.5699000000000001</v>
      </c>
      <c r="U31" s="112">
        <v>45230</v>
      </c>
      <c r="V31" s="113">
        <v>-1.1599999999999999</v>
      </c>
      <c r="W31" s="113">
        <v>50.7</v>
      </c>
    </row>
    <row r="32" spans="1:23" x14ac:dyDescent="0.35">
      <c r="A32" s="106">
        <v>44804</v>
      </c>
      <c r="B32">
        <f>VLOOKUP($A32,'框架指示的股债胜率（综合）'!$A:$Y,COLUMN(Y$1),0)</f>
        <v>-0.80717247953899374</v>
      </c>
      <c r="C32">
        <f t="shared" si="10"/>
        <v>3.8448335442927899</v>
      </c>
      <c r="D32">
        <f t="shared" si="7"/>
        <v>2.42</v>
      </c>
      <c r="E32">
        <f t="shared" si="8"/>
        <v>51.7</v>
      </c>
      <c r="F32" t="e">
        <f t="shared" si="9"/>
        <v>#N/A</v>
      </c>
      <c r="G32">
        <f t="shared" si="11"/>
        <v>49.70000000000001</v>
      </c>
      <c r="L32" s="108">
        <f t="shared" si="0"/>
        <v>44865</v>
      </c>
      <c r="M32" s="109">
        <v>44835</v>
      </c>
      <c r="N32" s="110">
        <v>3.9399728413520201</v>
      </c>
      <c r="Q32" s="112">
        <v>43555</v>
      </c>
      <c r="R32" s="113">
        <v>0.91149999999999998</v>
      </c>
      <c r="U32" s="112">
        <v>45199</v>
      </c>
      <c r="V32" s="113">
        <v>-1</v>
      </c>
      <c r="W32" s="113">
        <v>52</v>
      </c>
    </row>
    <row r="33" spans="1:23" x14ac:dyDescent="0.35">
      <c r="A33" s="106">
        <v>44773</v>
      </c>
      <c r="B33">
        <f>VLOOKUP($A33,'框架指示的股债胜率（综合）'!$A:$Y,COLUMN(Y$1),0)</f>
        <v>-1.4132283659657239</v>
      </c>
      <c r="C33">
        <f t="shared" si="10"/>
        <v>3.22130794295389</v>
      </c>
      <c r="D33">
        <f t="shared" si="7"/>
        <v>3.3</v>
      </c>
      <c r="E33">
        <f t="shared" si="8"/>
        <v>52.5</v>
      </c>
      <c r="F33" t="e">
        <f t="shared" si="9"/>
        <v>#N/A</v>
      </c>
      <c r="G33">
        <f t="shared" si="11"/>
        <v>49.616666666666667</v>
      </c>
      <c r="L33" s="108">
        <f t="shared" si="0"/>
        <v>44895</v>
      </c>
      <c r="M33" s="109">
        <v>44866</v>
      </c>
      <c r="N33" s="110">
        <v>2.2579904767346402</v>
      </c>
      <c r="Q33" s="112">
        <v>43465</v>
      </c>
      <c r="R33" s="113">
        <v>1.6041000000000001</v>
      </c>
      <c r="U33" s="112">
        <v>45169</v>
      </c>
      <c r="V33" s="113">
        <v>-1.1399999999999999</v>
      </c>
      <c r="W33" s="113">
        <v>51.3</v>
      </c>
    </row>
    <row r="34" spans="1:23" x14ac:dyDescent="0.35">
      <c r="A34" s="106">
        <v>44742</v>
      </c>
      <c r="B34">
        <f>VLOOKUP($A34,'框架指示的股债胜率（综合）'!$A:$Y,COLUMN(Y$1),0)</f>
        <v>-1.7622182649556228</v>
      </c>
      <c r="C34">
        <f t="shared" si="10"/>
        <v>3.1429739579445299</v>
      </c>
      <c r="D34">
        <f t="shared" si="7"/>
        <v>3.94</v>
      </c>
      <c r="E34">
        <f t="shared" si="8"/>
        <v>54.1</v>
      </c>
      <c r="F34">
        <f t="shared" si="9"/>
        <v>2.9845000000000002</v>
      </c>
      <c r="G34">
        <f t="shared" si="11"/>
        <v>49.566666666666663</v>
      </c>
      <c r="L34" s="108">
        <f t="shared" si="0"/>
        <v>44926</v>
      </c>
      <c r="M34" s="109">
        <v>44896</v>
      </c>
      <c r="N34" s="110">
        <v>2.5729369469860899</v>
      </c>
      <c r="Q34" s="112">
        <v>43373</v>
      </c>
      <c r="R34" s="113">
        <v>2.8254000000000001</v>
      </c>
      <c r="U34" s="112">
        <v>45138</v>
      </c>
      <c r="V34" s="113">
        <v>-1.94</v>
      </c>
      <c r="W34" s="113">
        <v>51.1</v>
      </c>
    </row>
    <row r="35" spans="1:23" x14ac:dyDescent="0.35">
      <c r="A35" s="106">
        <v>44712</v>
      </c>
      <c r="B35">
        <f>VLOOKUP($A35,'框架指示的股债胜率（综合）'!$A:$Y,COLUMN(Y$1),0)</f>
        <v>-1.7890809084849331</v>
      </c>
      <c r="C35">
        <f t="shared" si="10"/>
        <v>-6.8426301887219806E-2</v>
      </c>
      <c r="D35">
        <f t="shared" si="7"/>
        <v>3.82</v>
      </c>
      <c r="E35">
        <f t="shared" si="8"/>
        <v>48.4</v>
      </c>
      <c r="F35" t="e">
        <f t="shared" si="9"/>
        <v>#N/A</v>
      </c>
      <c r="G35">
        <f t="shared" si="11"/>
        <v>49.249999999999993</v>
      </c>
      <c r="L35" s="108">
        <f t="shared" si="0"/>
        <v>44985</v>
      </c>
      <c r="M35" s="109" t="s">
        <v>145</v>
      </c>
      <c r="N35" s="110">
        <v>3.6995119806351799</v>
      </c>
      <c r="Q35" s="112">
        <v>43281</v>
      </c>
      <c r="R35" s="113">
        <v>2.7614000000000001</v>
      </c>
      <c r="U35" s="112">
        <v>45107</v>
      </c>
      <c r="V35" s="113">
        <v>-2.16</v>
      </c>
      <c r="W35" s="113">
        <v>52.3</v>
      </c>
    </row>
    <row r="36" spans="1:23" x14ac:dyDescent="0.35">
      <c r="A36" s="106">
        <v>44681</v>
      </c>
      <c r="B36">
        <f>VLOOKUP($A36,'框架指示的股债胜率（综合）'!$A:$Y,COLUMN(Y$1),0)</f>
        <v>-1.6619965308742397</v>
      </c>
      <c r="C36">
        <f t="shared" si="10"/>
        <v>-1.7769660858488401</v>
      </c>
      <c r="D36">
        <f t="shared" si="7"/>
        <v>4.46</v>
      </c>
      <c r="E36">
        <f t="shared" si="8"/>
        <v>42.7</v>
      </c>
      <c r="F36" t="e">
        <f t="shared" si="9"/>
        <v>#N/A</v>
      </c>
      <c r="G36">
        <f t="shared" si="11"/>
        <v>49.65</v>
      </c>
      <c r="L36" s="108">
        <f t="shared" si="0"/>
        <v>45016</v>
      </c>
      <c r="M36" s="109">
        <v>44986</v>
      </c>
      <c r="N36" s="110">
        <v>5.3201714922496901</v>
      </c>
      <c r="Q36" s="112">
        <v>43190</v>
      </c>
      <c r="R36" s="113">
        <v>3.0129000000000001</v>
      </c>
      <c r="U36" s="112">
        <v>45077</v>
      </c>
      <c r="V36" s="113">
        <v>-1.72</v>
      </c>
      <c r="W36" s="113">
        <v>52.9</v>
      </c>
    </row>
    <row r="37" spans="1:23" x14ac:dyDescent="0.35">
      <c r="A37" s="106">
        <v>44651</v>
      </c>
      <c r="B37">
        <f>VLOOKUP($A37,'框架指示的股债胜率（综合）'!$A:$Y,COLUMN(Y$1),0)</f>
        <v>-1.8376982852602044</v>
      </c>
      <c r="C37">
        <f t="shared" si="10"/>
        <v>3.7003506568206701</v>
      </c>
      <c r="D37">
        <f t="shared" si="7"/>
        <v>4.22</v>
      </c>
      <c r="E37">
        <f t="shared" si="8"/>
        <v>48.8</v>
      </c>
      <c r="F37">
        <f t="shared" si="9"/>
        <v>3.4068000000000001</v>
      </c>
      <c r="G37">
        <f t="shared" si="11"/>
        <v>51.15</v>
      </c>
      <c r="L37" s="108">
        <f t="shared" si="0"/>
        <v>45046</v>
      </c>
      <c r="M37" s="109">
        <v>45017</v>
      </c>
      <c r="N37" s="110">
        <v>7.54366264577396</v>
      </c>
      <c r="Q37" s="112">
        <v>43100</v>
      </c>
      <c r="R37" s="113">
        <v>3.9590999999999998</v>
      </c>
      <c r="U37" s="112">
        <v>45046</v>
      </c>
      <c r="V37" s="113">
        <v>-1.38</v>
      </c>
      <c r="W37" s="113">
        <v>54.4</v>
      </c>
    </row>
    <row r="38" spans="1:23" x14ac:dyDescent="0.35">
      <c r="A38" s="106">
        <v>44620</v>
      </c>
      <c r="B38">
        <f>VLOOKUP($A38,'框架指示的股债胜率（综合）'!$A:$Y,COLUMN(Y$1),0)</f>
        <v>-1.7266396413371108</v>
      </c>
      <c r="C38">
        <f t="shared" si="10"/>
        <v>5.9578911682642799</v>
      </c>
      <c r="D38">
        <f t="shared" si="7"/>
        <v>4.0599999999999996</v>
      </c>
      <c r="E38">
        <f t="shared" si="8"/>
        <v>51.2</v>
      </c>
      <c r="F38" t="e">
        <f t="shared" si="9"/>
        <v>#N/A</v>
      </c>
      <c r="G38">
        <f t="shared" si="11"/>
        <v>51.166666666666664</v>
      </c>
      <c r="L38" s="108">
        <f t="shared" si="0"/>
        <v>45077</v>
      </c>
      <c r="M38" s="109">
        <v>45047</v>
      </c>
      <c r="N38" s="110">
        <v>6.2216299505944104</v>
      </c>
      <c r="Q38" s="112">
        <v>43008</v>
      </c>
      <c r="R38" s="113">
        <v>4.0850999999999997</v>
      </c>
      <c r="U38" s="112">
        <v>45016</v>
      </c>
      <c r="V38" s="113">
        <v>-0.57999999999999996</v>
      </c>
      <c r="W38" s="113">
        <v>57</v>
      </c>
    </row>
    <row r="39" spans="1:23" x14ac:dyDescent="0.35">
      <c r="A39" s="106">
        <v>44561</v>
      </c>
      <c r="B39">
        <f>VLOOKUP($A39,'框架指示的股债胜率（综合）'!$A:$Y,COLUMN(Y$1),0)</f>
        <v>-1.9153258184024438</v>
      </c>
      <c r="C39">
        <f t="shared" si="10"/>
        <v>4.3979261043654798</v>
      </c>
      <c r="D39">
        <f t="shared" si="7"/>
        <v>5.0199999999999996</v>
      </c>
      <c r="E39">
        <f t="shared" si="8"/>
        <v>52.2</v>
      </c>
      <c r="F39">
        <f t="shared" si="9"/>
        <v>5.2205000000000004</v>
      </c>
      <c r="G39">
        <f t="shared" si="11"/>
        <v>51.366666666666667</v>
      </c>
      <c r="L39" s="108">
        <f t="shared" si="0"/>
        <v>45107</v>
      </c>
      <c r="M39" s="109">
        <v>45078</v>
      </c>
      <c r="N39" s="110">
        <v>5.2278400843714099</v>
      </c>
      <c r="Q39" s="112">
        <v>42916</v>
      </c>
      <c r="R39" s="113">
        <v>3.9293</v>
      </c>
      <c r="U39" s="112">
        <v>44985</v>
      </c>
      <c r="V39" s="113">
        <v>0.04</v>
      </c>
      <c r="W39" s="113">
        <v>56.4</v>
      </c>
    </row>
    <row r="40" spans="1:23" x14ac:dyDescent="0.35">
      <c r="A40" s="106">
        <v>44530</v>
      </c>
      <c r="B40">
        <f>VLOOKUP($A40,'框架指示的股债胜率（综合）'!$A:$Y,COLUMN(Y$1),0)</f>
        <v>-2.1126322157088411</v>
      </c>
      <c r="C40">
        <f t="shared" si="10"/>
        <v>3.9285936801380701</v>
      </c>
      <c r="D40">
        <f t="shared" si="7"/>
        <v>6.54</v>
      </c>
      <c r="E40">
        <f t="shared" si="8"/>
        <v>52.2</v>
      </c>
      <c r="F40" t="e">
        <f t="shared" si="9"/>
        <v>#N/A</v>
      </c>
      <c r="G40">
        <f t="shared" si="11"/>
        <v>51.483333333333327</v>
      </c>
      <c r="L40" s="108">
        <f t="shared" si="0"/>
        <v>45138</v>
      </c>
      <c r="M40" s="109">
        <v>45108</v>
      </c>
      <c r="N40" s="110">
        <v>4.3932439690466003</v>
      </c>
      <c r="Q40" s="112">
        <v>42825</v>
      </c>
      <c r="R40" s="113">
        <v>4.6096000000000004</v>
      </c>
      <c r="U40" s="112">
        <v>44957</v>
      </c>
      <c r="V40" s="113">
        <v>0.94</v>
      </c>
      <c r="W40" s="113">
        <v>52.9</v>
      </c>
    </row>
    <row r="41" spans="1:23" x14ac:dyDescent="0.35">
      <c r="A41" s="106">
        <v>44500</v>
      </c>
      <c r="B41">
        <f>VLOOKUP($A41,'框架指示的股债胜率（综合）'!$A:$Y,COLUMN(Y$1),0)</f>
        <v>-2.2571608352374604</v>
      </c>
      <c r="C41">
        <f t="shared" si="10"/>
        <v>4.1648010614454396</v>
      </c>
      <c r="D41">
        <f t="shared" si="7"/>
        <v>6.3</v>
      </c>
      <c r="E41">
        <f t="shared" si="8"/>
        <v>50.8</v>
      </c>
      <c r="F41" t="e">
        <f t="shared" si="9"/>
        <v>#N/A</v>
      </c>
      <c r="G41">
        <f t="shared" si="11"/>
        <v>51.816666666666663</v>
      </c>
      <c r="L41" s="108">
        <f t="shared" si="0"/>
        <v>45169</v>
      </c>
      <c r="M41" s="109">
        <v>45139</v>
      </c>
      <c r="N41" s="110">
        <v>5.1282424349192901</v>
      </c>
      <c r="Q41" s="112">
        <v>42735</v>
      </c>
      <c r="R41" s="113">
        <v>2.5808</v>
      </c>
      <c r="U41" s="112">
        <v>44926</v>
      </c>
      <c r="V41" s="113">
        <v>0.8</v>
      </c>
      <c r="W41" s="113">
        <v>42.6</v>
      </c>
    </row>
    <row r="42" spans="1:23" x14ac:dyDescent="0.35">
      <c r="A42" s="106">
        <v>44469</v>
      </c>
      <c r="B42">
        <f>VLOOKUP($A42,'框架指示的股债胜率（综合）'!$A:$Y,COLUMN(Y$1),0)</f>
        <v>-2.444149139331028</v>
      </c>
      <c r="C42">
        <f t="shared" si="10"/>
        <v>3.9746122623603801</v>
      </c>
      <c r="D42">
        <f t="shared" si="7"/>
        <v>4.7</v>
      </c>
      <c r="E42">
        <f t="shared" si="8"/>
        <v>51.7</v>
      </c>
      <c r="F42">
        <f t="shared" si="9"/>
        <v>4.2081</v>
      </c>
      <c r="G42">
        <f t="shared" si="11"/>
        <v>52.31666666666667</v>
      </c>
      <c r="L42" s="108">
        <f t="shared" si="0"/>
        <v>45199</v>
      </c>
      <c r="M42" s="109">
        <v>45170</v>
      </c>
      <c r="N42" s="110">
        <v>5.1888546035193501</v>
      </c>
      <c r="Q42" s="112">
        <v>42643</v>
      </c>
      <c r="R42" s="113">
        <v>1.0499000000000001</v>
      </c>
      <c r="U42" s="112">
        <v>44895</v>
      </c>
      <c r="V42" s="113">
        <v>0.44</v>
      </c>
      <c r="W42" s="113">
        <v>47.1</v>
      </c>
    </row>
    <row r="43" spans="1:23" x14ac:dyDescent="0.35">
      <c r="A43" s="106">
        <v>44439</v>
      </c>
      <c r="B43">
        <f>VLOOKUP($A43,'框架指示的股债胜率（综合）'!$A:$Y,COLUMN(Y$1),0)</f>
        <v>-2.2880818878690397</v>
      </c>
      <c r="C43">
        <f t="shared" si="10"/>
        <v>4.6953913083057497</v>
      </c>
      <c r="D43">
        <f t="shared" si="7"/>
        <v>4.28</v>
      </c>
      <c r="E43">
        <f t="shared" si="8"/>
        <v>48.9</v>
      </c>
      <c r="F43" t="e">
        <f t="shared" si="9"/>
        <v>#N/A</v>
      </c>
      <c r="G43">
        <f t="shared" si="11"/>
        <v>52.916666666666664</v>
      </c>
      <c r="L43" s="108">
        <f t="shared" si="0"/>
        <v>45230</v>
      </c>
      <c r="M43" s="109">
        <v>45200</v>
      </c>
      <c r="N43" s="110">
        <v>4.3643493986414397</v>
      </c>
      <c r="Q43" s="112">
        <v>42551</v>
      </c>
      <c r="R43" s="113">
        <v>0.58320000000000005</v>
      </c>
      <c r="U43" s="112">
        <v>44865</v>
      </c>
      <c r="V43" s="113">
        <v>0.74</v>
      </c>
      <c r="W43" s="113">
        <v>49</v>
      </c>
    </row>
    <row r="44" spans="1:23" x14ac:dyDescent="0.35">
      <c r="A44" s="106">
        <v>44408</v>
      </c>
      <c r="B44">
        <f>VLOOKUP($A44,'框架指示的股债胜率（综合）'!$A:$Y,COLUMN(Y$1),0)</f>
        <v>-1.8609730060387955</v>
      </c>
      <c r="C44">
        <f t="shared" si="10"/>
        <v>5.8597592149681299</v>
      </c>
      <c r="D44">
        <f t="shared" si="7"/>
        <v>4.2</v>
      </c>
      <c r="E44">
        <f t="shared" si="8"/>
        <v>52.4</v>
      </c>
      <c r="F44" t="e">
        <f t="shared" si="9"/>
        <v>#N/A</v>
      </c>
      <c r="G44">
        <f t="shared" si="11"/>
        <v>53.366666666666674</v>
      </c>
      <c r="L44" s="108">
        <f t="shared" si="0"/>
        <v>45260</v>
      </c>
      <c r="M44" s="109">
        <v>45231</v>
      </c>
      <c r="N44" s="110">
        <v>5.5399149892992297</v>
      </c>
      <c r="Q44" s="112">
        <v>42460</v>
      </c>
      <c r="R44" s="113">
        <v>0.29170000000000001</v>
      </c>
      <c r="U44" s="112">
        <v>44834</v>
      </c>
      <c r="V44" s="113">
        <v>2.04</v>
      </c>
      <c r="W44" s="113">
        <v>50.9</v>
      </c>
    </row>
    <row r="45" spans="1:23" x14ac:dyDescent="0.35">
      <c r="A45" s="106">
        <v>44377</v>
      </c>
      <c r="B45">
        <f>VLOOKUP($A45,'框架指示的股债胜率（综合）'!$A:$Y,COLUMN(Y$1),0)</f>
        <v>-1.3289920118867486</v>
      </c>
      <c r="C45">
        <f t="shared" si="10"/>
        <v>6.3028357230476901</v>
      </c>
      <c r="D45">
        <f t="shared" ref="D45:D76" si="12">VLOOKUP(A45,U:W,2,0)</f>
        <v>4.18</v>
      </c>
      <c r="E45">
        <f t="shared" ref="E45:E76" si="13">VLOOKUP(A45,U:W,3,0)</f>
        <v>52.9</v>
      </c>
      <c r="F45">
        <f t="shared" ref="F45:F76" si="14">VLOOKUP(A45,Q:R,2,0)</f>
        <v>4.8128000000000002</v>
      </c>
      <c r="G45">
        <f t="shared" si="11"/>
        <v>53.81666666666667</v>
      </c>
      <c r="L45" s="108">
        <f t="shared" si="0"/>
        <v>45291</v>
      </c>
      <c r="M45" s="109">
        <v>45261</v>
      </c>
      <c r="N45" s="110">
        <v>5.7064247910709396</v>
      </c>
      <c r="Q45" s="112">
        <v>42369</v>
      </c>
      <c r="R45" s="113">
        <v>-0.33639999999999998</v>
      </c>
      <c r="U45" s="112">
        <v>44804</v>
      </c>
      <c r="V45" s="113">
        <v>2.42</v>
      </c>
      <c r="W45" s="113">
        <v>51.7</v>
      </c>
    </row>
    <row r="46" spans="1:23" x14ac:dyDescent="0.35">
      <c r="A46" s="106">
        <v>44347</v>
      </c>
      <c r="B46">
        <f>VLOOKUP($A46,'框架指示的股债胜率（综合）'!$A:$Y,COLUMN(Y$1),0)</f>
        <v>-0.64556121266647581</v>
      </c>
      <c r="C46">
        <f t="shared" si="10"/>
        <v>6.9519650167875398</v>
      </c>
      <c r="D46">
        <f t="shared" si="12"/>
        <v>4.38</v>
      </c>
      <c r="E46">
        <f t="shared" si="13"/>
        <v>54.2</v>
      </c>
      <c r="F46" t="e">
        <f t="shared" si="14"/>
        <v>#N/A</v>
      </c>
      <c r="G46">
        <f t="shared" si="11"/>
        <v>54.283333333333331</v>
      </c>
      <c r="L46" s="108">
        <f t="shared" si="0"/>
        <v>45351</v>
      </c>
      <c r="M46" s="109">
        <v>45323</v>
      </c>
      <c r="N46" s="110">
        <v>5.7826378922980304</v>
      </c>
      <c r="Q46" s="112">
        <v>42277</v>
      </c>
      <c r="R46" s="113">
        <v>-0.86370000000000002</v>
      </c>
      <c r="U46" s="112">
        <v>44773</v>
      </c>
      <c r="V46" s="113">
        <v>3.3</v>
      </c>
      <c r="W46" s="113">
        <v>52.5</v>
      </c>
    </row>
    <row r="47" spans="1:23" x14ac:dyDescent="0.35">
      <c r="A47" s="106">
        <v>44316</v>
      </c>
      <c r="B47">
        <f>VLOOKUP($A47,'框架指示的股债胜率（综合）'!$A:$Y,COLUMN(Y$1),0)</f>
        <v>7.5269458783390683E-2</v>
      </c>
      <c r="C47">
        <f t="shared" si="10"/>
        <v>9.5153254974675097</v>
      </c>
      <c r="D47">
        <f t="shared" si="12"/>
        <v>3.26</v>
      </c>
      <c r="E47">
        <f t="shared" si="13"/>
        <v>53.8</v>
      </c>
      <c r="F47" t="e">
        <f t="shared" si="14"/>
        <v>#N/A</v>
      </c>
      <c r="G47">
        <f t="shared" si="11"/>
        <v>54.466666666666669</v>
      </c>
      <c r="L47" s="108">
        <f t="shared" si="0"/>
        <v>45382</v>
      </c>
      <c r="M47" s="109">
        <v>45352</v>
      </c>
      <c r="N47" s="110">
        <v>4.7760786025311504</v>
      </c>
      <c r="Q47" s="112">
        <v>42185</v>
      </c>
      <c r="R47" s="113">
        <v>0.1419</v>
      </c>
      <c r="U47" s="112">
        <v>44742</v>
      </c>
      <c r="V47" s="113">
        <v>3.94</v>
      </c>
      <c r="W47" s="113">
        <v>54.1</v>
      </c>
    </row>
    <row r="48" spans="1:23" x14ac:dyDescent="0.35">
      <c r="A48" s="106">
        <v>44286</v>
      </c>
      <c r="B48">
        <f>VLOOKUP($A48,'框架指示的股债胜率（综合）'!$A:$Y,COLUMN(Y$1),0)</f>
        <v>0.5854893193321985</v>
      </c>
      <c r="C48">
        <f t="shared" si="10"/>
        <v>14.315767556918701</v>
      </c>
      <c r="D48">
        <f t="shared" si="12"/>
        <v>2</v>
      </c>
      <c r="E48">
        <f t="shared" si="13"/>
        <v>55.3</v>
      </c>
      <c r="F48">
        <f t="shared" si="14"/>
        <v>2.0531999999999999</v>
      </c>
      <c r="G48">
        <f t="shared" si="11"/>
        <v>54.683333333333337</v>
      </c>
      <c r="L48" s="108">
        <f t="shared" si="0"/>
        <v>45412</v>
      </c>
      <c r="M48" s="109">
        <v>45383</v>
      </c>
      <c r="N48" s="110">
        <v>4.9271528114096501</v>
      </c>
      <c r="Q48" s="112">
        <v>42094</v>
      </c>
      <c r="R48" s="113">
        <v>-0.315</v>
      </c>
      <c r="U48" s="112">
        <v>44712</v>
      </c>
      <c r="V48" s="113">
        <v>3.82</v>
      </c>
      <c r="W48" s="113">
        <v>48.4</v>
      </c>
    </row>
    <row r="49" spans="1:23" x14ac:dyDescent="0.35">
      <c r="A49" s="106">
        <v>44255</v>
      </c>
      <c r="B49">
        <f>VLOOKUP($A49,'框架指示的股债胜率（综合）'!$A:$Y,COLUMN(Y$1),0)</f>
        <v>0.99577893225339043</v>
      </c>
      <c r="C49">
        <f t="shared" si="10"/>
        <v>24.3210762751843</v>
      </c>
      <c r="D49">
        <f t="shared" si="12"/>
        <v>0.56000000000000005</v>
      </c>
      <c r="E49">
        <f t="shared" si="13"/>
        <v>51.6</v>
      </c>
      <c r="F49" t="e">
        <f t="shared" si="14"/>
        <v>#N/A</v>
      </c>
      <c r="G49">
        <f t="shared" si="11"/>
        <v>54.550000000000004</v>
      </c>
      <c r="L49" s="108">
        <f t="shared" si="0"/>
        <v>45443</v>
      </c>
      <c r="M49" s="109">
        <v>45413</v>
      </c>
      <c r="N49" s="110">
        <v>4.8086568212091496</v>
      </c>
      <c r="Q49" s="112">
        <v>42004</v>
      </c>
      <c r="R49" s="113">
        <v>0.2303</v>
      </c>
      <c r="U49" s="112">
        <v>44681</v>
      </c>
      <c r="V49" s="113">
        <v>4.46</v>
      </c>
      <c r="W49" s="113">
        <v>42.7</v>
      </c>
    </row>
    <row r="50" spans="1:23" x14ac:dyDescent="0.35">
      <c r="A50" s="106">
        <v>44196</v>
      </c>
      <c r="B50">
        <f>VLOOKUP($A50,'框架指示的股债胜率（综合）'!$A:$Y,COLUMN(Y$1),0)</f>
        <v>0.84900129840145311</v>
      </c>
      <c r="C50">
        <f t="shared" si="10"/>
        <v>6.48590387109879</v>
      </c>
      <c r="D50">
        <f t="shared" si="12"/>
        <v>-0.04</v>
      </c>
      <c r="E50">
        <f t="shared" si="13"/>
        <v>55.1</v>
      </c>
      <c r="F50">
        <f t="shared" si="14"/>
        <v>6.9800000000000001E-2</v>
      </c>
      <c r="G50">
        <f t="shared" si="11"/>
        <v>54.966666666666676</v>
      </c>
      <c r="L50" s="108">
        <f t="shared" ref="L50:L57" si="15">IFERROR(EOMONTH(M50,0),EOMONTH(L51,-1))</f>
        <v>45473</v>
      </c>
      <c r="M50" s="109">
        <v>45444</v>
      </c>
      <c r="N50" s="110"/>
      <c r="Q50" s="112">
        <v>41912</v>
      </c>
      <c r="R50" s="113">
        <v>1.1910000000000001</v>
      </c>
      <c r="U50" s="112">
        <v>44651</v>
      </c>
      <c r="V50" s="113">
        <v>4.22</v>
      </c>
      <c r="W50" s="113">
        <v>48.8</v>
      </c>
    </row>
    <row r="51" spans="1:23" x14ac:dyDescent="0.35">
      <c r="A51" s="106">
        <v>44165</v>
      </c>
      <c r="B51">
        <f>VLOOKUP($A51,'框架指示的股债胜率（综合）'!$A:$Y,COLUMN(Y$1),0)</f>
        <v>0.74506042015716945</v>
      </c>
      <c r="C51">
        <f t="shared" si="10"/>
        <v>6.67822699191853</v>
      </c>
      <c r="D51">
        <f t="shared" si="12"/>
        <v>-0.9</v>
      </c>
      <c r="E51">
        <f t="shared" si="13"/>
        <v>55.7</v>
      </c>
      <c r="F51" t="e">
        <f t="shared" si="14"/>
        <v>#N/A</v>
      </c>
      <c r="G51">
        <f t="shared" si="11"/>
        <v>54.816666666666663</v>
      </c>
      <c r="L51" s="108">
        <f t="shared" si="15"/>
        <v>45504</v>
      </c>
      <c r="M51" s="109">
        <v>45474</v>
      </c>
      <c r="N51" s="110"/>
      <c r="Q51" s="112">
        <v>41820</v>
      </c>
      <c r="R51" s="113">
        <v>1.0964</v>
      </c>
      <c r="U51" s="112">
        <v>44620</v>
      </c>
      <c r="V51" s="113">
        <v>4.0599999999999996</v>
      </c>
      <c r="W51" s="113">
        <v>51.2</v>
      </c>
    </row>
    <row r="52" spans="1:23" x14ac:dyDescent="0.35">
      <c r="A52" s="106">
        <v>44135</v>
      </c>
      <c r="B52">
        <f>VLOOKUP($A52,'框架指示的股债胜率（综合）'!$A:$Y,COLUMN(Y$1),0)</f>
        <v>0.54955650886378438</v>
      </c>
      <c r="C52">
        <f t="shared" si="10"/>
        <v>6.5669251037802701</v>
      </c>
      <c r="D52">
        <f t="shared" si="12"/>
        <v>-0.54</v>
      </c>
      <c r="E52">
        <f t="shared" si="13"/>
        <v>55.3</v>
      </c>
      <c r="F52" t="e">
        <f t="shared" si="14"/>
        <v>#N/A</v>
      </c>
      <c r="G52">
        <f t="shared" si="11"/>
        <v>54.43333333333333</v>
      </c>
      <c r="L52" s="108">
        <f t="shared" si="15"/>
        <v>45535</v>
      </c>
      <c r="M52" s="109">
        <v>45505</v>
      </c>
      <c r="N52" s="110"/>
      <c r="Q52" s="112">
        <v>41729</v>
      </c>
      <c r="R52" s="113">
        <v>0.91139999999999999</v>
      </c>
      <c r="U52" s="112">
        <v>44592</v>
      </c>
      <c r="V52" s="113">
        <v>4.18</v>
      </c>
      <c r="W52" s="113">
        <v>51</v>
      </c>
    </row>
    <row r="53" spans="1:23" x14ac:dyDescent="0.35">
      <c r="A53" s="106">
        <v>44104</v>
      </c>
      <c r="B53">
        <f>VLOOKUP($A53,'框架指示的股债胜率（综合）'!$A:$Y,COLUMN(Y$1),0)</f>
        <v>0.48898768205076254</v>
      </c>
      <c r="C53">
        <f t="shared" si="10"/>
        <v>5.6485673259356197</v>
      </c>
      <c r="D53">
        <f t="shared" si="12"/>
        <v>0.18</v>
      </c>
      <c r="E53">
        <f t="shared" si="13"/>
        <v>55.1</v>
      </c>
      <c r="F53">
        <f t="shared" si="14"/>
        <v>2.7844000000000002</v>
      </c>
      <c r="G53">
        <f t="shared" si="11"/>
        <v>54.116666666666653</v>
      </c>
      <c r="L53" s="108">
        <f t="shared" si="15"/>
        <v>45565</v>
      </c>
      <c r="M53" s="109">
        <v>45536</v>
      </c>
      <c r="N53" s="110"/>
      <c r="Q53" s="112">
        <v>41639</v>
      </c>
      <c r="R53" s="113">
        <v>2.6892999999999998</v>
      </c>
      <c r="U53" s="112">
        <v>44561</v>
      </c>
      <c r="V53" s="113">
        <v>5.0199999999999996</v>
      </c>
      <c r="W53" s="113">
        <v>52.2</v>
      </c>
    </row>
    <row r="54" spans="1:23" x14ac:dyDescent="0.35">
      <c r="A54" s="106">
        <v>44074</v>
      </c>
      <c r="B54">
        <f>VLOOKUP($A54,'框架指示的股债胜率（综合）'!$A:$Y,COLUMN(Y$1),0)</f>
        <v>0.49608079055516141</v>
      </c>
      <c r="C54">
        <f t="shared" si="10"/>
        <v>4.87797709653917</v>
      </c>
      <c r="D54">
        <f t="shared" si="12"/>
        <v>0.64</v>
      </c>
      <c r="E54">
        <f t="shared" si="13"/>
        <v>54.5</v>
      </c>
      <c r="F54" t="e">
        <f t="shared" si="14"/>
        <v>#N/A</v>
      </c>
      <c r="G54">
        <f t="shared" si="11"/>
        <v>53.766666666666673</v>
      </c>
      <c r="L54" s="108">
        <f t="shared" si="15"/>
        <v>45596</v>
      </c>
      <c r="M54" s="109">
        <v>45566</v>
      </c>
      <c r="N54" s="110"/>
      <c r="Q54" s="112">
        <v>41547</v>
      </c>
      <c r="R54" s="113">
        <v>2.2275999999999998</v>
      </c>
      <c r="U54" s="112">
        <v>44530</v>
      </c>
      <c r="V54" s="113">
        <v>6.54</v>
      </c>
      <c r="W54" s="113">
        <v>52.2</v>
      </c>
    </row>
    <row r="55" spans="1:23" x14ac:dyDescent="0.35">
      <c r="A55" s="106">
        <v>44043</v>
      </c>
      <c r="B55">
        <f>VLOOKUP($A55,'框架指示的股债胜率（综合）'!$A:$Y,COLUMN(Y$1),0)</f>
        <v>0.36920805315610816</v>
      </c>
      <c r="C55">
        <f t="shared" si="10"/>
        <v>4.4697384619012404</v>
      </c>
      <c r="D55">
        <f t="shared" si="12"/>
        <v>0.66</v>
      </c>
      <c r="E55">
        <f t="shared" si="13"/>
        <v>54.1</v>
      </c>
      <c r="F55" t="e">
        <f t="shared" si="14"/>
        <v>#N/A</v>
      </c>
      <c r="G55">
        <f t="shared" si="11"/>
        <v>49.5</v>
      </c>
      <c r="L55" s="108">
        <f t="shared" si="15"/>
        <v>45626</v>
      </c>
      <c r="M55" s="109">
        <v>45597</v>
      </c>
      <c r="N55" s="110"/>
      <c r="Q55" s="112">
        <v>41455</v>
      </c>
      <c r="R55" s="113">
        <v>1.6068</v>
      </c>
      <c r="U55" s="112">
        <v>44500</v>
      </c>
      <c r="V55" s="113">
        <v>6.3</v>
      </c>
      <c r="W55" s="113">
        <v>50.8</v>
      </c>
    </row>
    <row r="56" spans="1:23" x14ac:dyDescent="0.35">
      <c r="A56" s="106">
        <v>44012</v>
      </c>
      <c r="B56">
        <f>VLOOKUP($A56,'框架指示的股债胜率（综合）'!$A:$Y,COLUMN(Y$1),0)</f>
        <v>0.35672170537564279</v>
      </c>
      <c r="C56">
        <f t="shared" si="10"/>
        <v>4.70576333242734</v>
      </c>
      <c r="D56">
        <f t="shared" si="12"/>
        <v>0.3</v>
      </c>
      <c r="E56">
        <f t="shared" si="13"/>
        <v>54.2</v>
      </c>
      <c r="F56">
        <f t="shared" si="14"/>
        <v>2.0440999999999998</v>
      </c>
      <c r="G56">
        <f t="shared" si="11"/>
        <v>49.383333333333333</v>
      </c>
      <c r="L56" s="108">
        <f t="shared" si="15"/>
        <v>45657</v>
      </c>
      <c r="M56" s="109">
        <v>45627</v>
      </c>
      <c r="N56" s="110"/>
      <c r="Q56" s="112">
        <v>41364</v>
      </c>
      <c r="R56" s="113">
        <v>2.2565</v>
      </c>
      <c r="U56" s="112">
        <v>44469</v>
      </c>
      <c r="V56" s="113">
        <v>4.7</v>
      </c>
      <c r="W56" s="113">
        <v>51.7</v>
      </c>
    </row>
    <row r="57" spans="1:23" x14ac:dyDescent="0.35">
      <c r="A57" s="106">
        <v>43982</v>
      </c>
      <c r="B57">
        <f>VLOOKUP($A57,'框架指示的股债胜率（综合）'!$A:$Y,COLUMN(Y$1),0)</f>
        <v>0.34854448120577158</v>
      </c>
      <c r="C57">
        <f t="shared" si="10"/>
        <v>4.2828556874998203</v>
      </c>
      <c r="D57">
        <f t="shared" si="12"/>
        <v>-0.04</v>
      </c>
      <c r="E57">
        <f t="shared" si="13"/>
        <v>53.4</v>
      </c>
      <c r="F57" t="e">
        <f t="shared" si="14"/>
        <v>#N/A</v>
      </c>
      <c r="G57">
        <f t="shared" si="11"/>
        <v>49.300000000000004</v>
      </c>
      <c r="L57" s="108">
        <f t="shared" si="15"/>
        <v>45688</v>
      </c>
      <c r="M57" s="109">
        <v>45658</v>
      </c>
      <c r="Q57" s="112">
        <v>41274</v>
      </c>
      <c r="R57" s="113">
        <v>1.8346</v>
      </c>
      <c r="U57" s="112">
        <v>44439</v>
      </c>
      <c r="V57" s="113">
        <v>4.28</v>
      </c>
      <c r="W57" s="113">
        <v>48.9</v>
      </c>
    </row>
    <row r="58" spans="1:23" x14ac:dyDescent="0.35">
      <c r="A58" s="106">
        <v>43951</v>
      </c>
      <c r="B58">
        <f>VLOOKUP($A58,'框架指示的股债胜率（综合）'!$A:$Y,COLUMN(Y$1),0)</f>
        <v>0.30534693800822837</v>
      </c>
      <c r="C58">
        <f t="shared" si="10"/>
        <v>2.0680994449753798</v>
      </c>
      <c r="D58">
        <f t="shared" si="12"/>
        <v>0.74</v>
      </c>
      <c r="E58">
        <f t="shared" si="13"/>
        <v>53.4</v>
      </c>
      <c r="F58" t="e">
        <f t="shared" si="14"/>
        <v>#N/A</v>
      </c>
      <c r="G58">
        <f t="shared" si="11"/>
        <v>49.06666666666667</v>
      </c>
      <c r="Q58" s="112">
        <v>41182</v>
      </c>
      <c r="R58" s="113">
        <v>1.5508</v>
      </c>
      <c r="U58" s="112">
        <v>44408</v>
      </c>
      <c r="V58" s="113">
        <v>4.2</v>
      </c>
      <c r="W58" s="113">
        <v>52.4</v>
      </c>
    </row>
    <row r="59" spans="1:23" x14ac:dyDescent="0.35">
      <c r="A59" s="106">
        <v>43921</v>
      </c>
      <c r="B59">
        <f>VLOOKUP($A59,'框架指示的股债胜率（综合）'!$A:$Y,COLUMN(Y$1),0)</f>
        <v>0.15306415939392801</v>
      </c>
      <c r="C59">
        <f t="shared" si="10"/>
        <v>-4.1064703891970904</v>
      </c>
      <c r="D59">
        <f t="shared" si="12"/>
        <v>1.98</v>
      </c>
      <c r="E59">
        <f t="shared" si="13"/>
        <v>53</v>
      </c>
      <c r="F59">
        <f t="shared" si="14"/>
        <v>3.8128000000000002</v>
      </c>
      <c r="G59">
        <f t="shared" si="11"/>
        <v>49.016666666666673</v>
      </c>
      <c r="Q59" s="112">
        <v>41090</v>
      </c>
      <c r="R59" s="113">
        <v>2.6911999999999998</v>
      </c>
      <c r="U59" s="112">
        <v>44377</v>
      </c>
      <c r="V59" s="113">
        <v>4.18</v>
      </c>
      <c r="W59" s="113">
        <v>52.9</v>
      </c>
    </row>
    <row r="60" spans="1:23" x14ac:dyDescent="0.35">
      <c r="A60" s="106">
        <v>43890</v>
      </c>
      <c r="B60">
        <f>VLOOKUP($A60,'框架指示的股债胜率（综合）'!$A:$Y,COLUMN(Y$1),0)</f>
        <v>-5.217574962796101E-2</v>
      </c>
      <c r="D60">
        <f t="shared" si="12"/>
        <v>2.96</v>
      </c>
      <c r="E60">
        <f t="shared" si="13"/>
        <v>28.9</v>
      </c>
      <c r="F60" t="e">
        <f t="shared" si="14"/>
        <v>#N/A</v>
      </c>
      <c r="G60">
        <f t="shared" si="11"/>
        <v>49.016666666666673</v>
      </c>
      <c r="Q60" s="112">
        <v>40999</v>
      </c>
      <c r="R60" s="113">
        <v>3.9575</v>
      </c>
      <c r="U60" s="112">
        <v>44347</v>
      </c>
      <c r="V60" s="113">
        <v>4.38</v>
      </c>
      <c r="W60" s="113">
        <v>54.2</v>
      </c>
    </row>
    <row r="61" spans="1:23" x14ac:dyDescent="0.35">
      <c r="A61" s="106">
        <v>43830</v>
      </c>
      <c r="B61">
        <f>VLOOKUP($A61,'框架指示的股债胜率（综合）'!$A:$Y,COLUMN(Y$1),0)</f>
        <v>-5.6527409776722611E-2</v>
      </c>
      <c r="D61">
        <f t="shared" si="12"/>
        <v>2.5</v>
      </c>
      <c r="E61">
        <f t="shared" si="13"/>
        <v>53.4</v>
      </c>
      <c r="F61">
        <f t="shared" si="14"/>
        <v>3.4243000000000001</v>
      </c>
      <c r="G61">
        <f t="shared" si="11"/>
        <v>53.050000000000004</v>
      </c>
      <c r="Q61" s="112">
        <v>40908</v>
      </c>
      <c r="R61" s="113">
        <v>6.4009999999999998</v>
      </c>
      <c r="U61" s="112">
        <v>44316</v>
      </c>
      <c r="V61" s="113">
        <v>3.26</v>
      </c>
      <c r="W61" s="113">
        <v>53.8</v>
      </c>
    </row>
    <row r="62" spans="1:23" x14ac:dyDescent="0.35">
      <c r="A62" s="106">
        <v>43799</v>
      </c>
      <c r="B62">
        <f>VLOOKUP($A62,'框架指示的股债胜率（综合）'!$A:$Y,COLUMN(Y$1),0)</f>
        <v>-6.5502385418364936E-2</v>
      </c>
      <c r="D62">
        <f t="shared" si="12"/>
        <v>2.14</v>
      </c>
      <c r="E62">
        <f t="shared" si="13"/>
        <v>53.7</v>
      </c>
      <c r="F62" t="e">
        <f t="shared" si="14"/>
        <v>#N/A</v>
      </c>
      <c r="G62">
        <f t="shared" si="11"/>
        <v>52.983333333333341</v>
      </c>
      <c r="Q62" s="112">
        <v>40816</v>
      </c>
      <c r="R62" s="113">
        <v>9.2548999999999992</v>
      </c>
      <c r="U62" s="112">
        <v>44286</v>
      </c>
      <c r="V62" s="113">
        <v>2</v>
      </c>
      <c r="W62" s="113">
        <v>55.3</v>
      </c>
    </row>
    <row r="63" spans="1:23" x14ac:dyDescent="0.35">
      <c r="A63" s="106">
        <v>43769</v>
      </c>
      <c r="B63">
        <f>VLOOKUP($A63,'框架指示的股债胜率（综合）'!$A:$Y,COLUMN(Y$1),0)</f>
        <v>-6.3956082874255374E-2</v>
      </c>
      <c r="D63">
        <f t="shared" si="12"/>
        <v>1.64</v>
      </c>
      <c r="E63">
        <f t="shared" si="13"/>
        <v>52</v>
      </c>
      <c r="F63" t="e">
        <f t="shared" si="14"/>
        <v>#N/A</v>
      </c>
      <c r="G63">
        <f t="shared" si="11"/>
        <v>52.916666666666664</v>
      </c>
      <c r="Q63" s="112">
        <v>40724</v>
      </c>
      <c r="R63" s="113">
        <v>8.8492999999999995</v>
      </c>
      <c r="U63" s="112">
        <v>44255</v>
      </c>
      <c r="V63" s="113">
        <v>0.56000000000000005</v>
      </c>
      <c r="W63" s="113">
        <v>51.6</v>
      </c>
    </row>
    <row r="64" spans="1:23" x14ac:dyDescent="0.35">
      <c r="A64" s="106">
        <v>43738</v>
      </c>
      <c r="B64">
        <f>VLOOKUP($A64,'框架指示的股债胜率（综合）'!$A:$Y,COLUMN(Y$1),0)</f>
        <v>-5.590764982582231E-2</v>
      </c>
      <c r="D64">
        <f t="shared" si="12"/>
        <v>1.32</v>
      </c>
      <c r="E64">
        <f t="shared" si="13"/>
        <v>53.1</v>
      </c>
      <c r="F64">
        <f t="shared" si="14"/>
        <v>0.41110000000000002</v>
      </c>
      <c r="G64">
        <f t="shared" si="11"/>
        <v>53.15</v>
      </c>
      <c r="Q64" s="112">
        <v>40633</v>
      </c>
      <c r="R64" s="113">
        <v>8.3764000000000003</v>
      </c>
      <c r="U64" s="112">
        <v>44227</v>
      </c>
      <c r="V64" s="113">
        <v>-0.06</v>
      </c>
      <c r="W64" s="113">
        <v>52.8</v>
      </c>
    </row>
    <row r="65" spans="1:23" x14ac:dyDescent="0.35">
      <c r="A65" s="106">
        <v>43708</v>
      </c>
      <c r="B65">
        <f>VLOOKUP($A65,'框架指示的股债胜率（综合）'!$A:$Y,COLUMN(Y$1),0)</f>
        <v>-0.10784669750184672</v>
      </c>
      <c r="D65">
        <f t="shared" si="12"/>
        <v>1.36</v>
      </c>
      <c r="E65">
        <f t="shared" si="13"/>
        <v>53</v>
      </c>
      <c r="F65" t="e">
        <f t="shared" si="14"/>
        <v>#N/A</v>
      </c>
      <c r="G65">
        <f t="shared" si="11"/>
        <v>53.29999999999999</v>
      </c>
      <c r="Q65" s="112">
        <v>40543</v>
      </c>
      <c r="R65" s="113">
        <v>7.7519999999999998</v>
      </c>
      <c r="U65" s="112">
        <v>44196</v>
      </c>
      <c r="V65" s="113">
        <v>-0.04</v>
      </c>
      <c r="W65" s="113">
        <v>55.1</v>
      </c>
    </row>
    <row r="66" spans="1:23" x14ac:dyDescent="0.35">
      <c r="A66" s="106">
        <v>43677</v>
      </c>
      <c r="B66">
        <f>VLOOKUP($A66,'框架指示的股债胜率（综合）'!$A:$Y,COLUMN(Y$1),0)</f>
        <v>-0.11819857423303382</v>
      </c>
      <c r="D66">
        <f t="shared" si="12"/>
        <v>1.56</v>
      </c>
      <c r="E66">
        <f t="shared" si="13"/>
        <v>53.1</v>
      </c>
      <c r="F66" t="e">
        <f t="shared" si="14"/>
        <v>#N/A</v>
      </c>
      <c r="G66">
        <f t="shared" si="11"/>
        <v>53.199999999999989</v>
      </c>
      <c r="Q66" s="112">
        <v>40451</v>
      </c>
      <c r="R66" s="113">
        <v>7.3925999999999998</v>
      </c>
      <c r="U66" s="112">
        <v>44165</v>
      </c>
      <c r="V66" s="113">
        <v>-0.9</v>
      </c>
      <c r="W66" s="113">
        <v>55.7</v>
      </c>
    </row>
    <row r="67" spans="1:23" x14ac:dyDescent="0.35">
      <c r="A67" s="106">
        <v>43646</v>
      </c>
      <c r="B67">
        <f>VLOOKUP($A67,'框架指示的股债胜率（综合）'!$A:$Y,COLUMN(Y$1),0)</f>
        <v>-1.2026139399720266E-3</v>
      </c>
      <c r="D67">
        <f t="shared" si="12"/>
        <v>1.62</v>
      </c>
      <c r="E67">
        <f t="shared" si="13"/>
        <v>53</v>
      </c>
      <c r="F67">
        <f t="shared" si="14"/>
        <v>1.5699000000000001</v>
      </c>
      <c r="G67">
        <f t="shared" si="11"/>
        <v>53.116666666666667</v>
      </c>
      <c r="Q67" s="112">
        <v>40359</v>
      </c>
      <c r="R67" s="113">
        <v>6.9650999999999996</v>
      </c>
      <c r="U67" s="112">
        <v>44135</v>
      </c>
      <c r="V67" s="113">
        <v>-0.54</v>
      </c>
      <c r="W67" s="113">
        <v>55.3</v>
      </c>
    </row>
    <row r="68" spans="1:23" x14ac:dyDescent="0.35">
      <c r="A68" s="106">
        <v>43616</v>
      </c>
      <c r="B68">
        <f>VLOOKUP($A68,'框架指示的股债胜率（综合）'!$A:$Y,COLUMN(Y$1),0)</f>
        <v>0.15096944239875099</v>
      </c>
      <c r="D68">
        <f t="shared" si="12"/>
        <v>1.86</v>
      </c>
      <c r="E68">
        <f t="shared" si="13"/>
        <v>53.3</v>
      </c>
      <c r="F68" t="e">
        <f t="shared" si="14"/>
        <v>#N/A</v>
      </c>
      <c r="G68">
        <f t="shared" si="11"/>
        <v>53.083333333333336</v>
      </c>
      <c r="Q68" s="112">
        <v>40268</v>
      </c>
      <c r="R68" s="113">
        <v>5.4509999999999996</v>
      </c>
      <c r="U68" s="112">
        <v>44104</v>
      </c>
      <c r="V68" s="113">
        <v>0.18</v>
      </c>
      <c r="W68" s="113">
        <v>55.1</v>
      </c>
    </row>
    <row r="69" spans="1:23" x14ac:dyDescent="0.35">
      <c r="A69" s="106">
        <v>43585</v>
      </c>
      <c r="B69">
        <f>VLOOKUP($A69,'框架指示的股债胜率（综合）'!$A:$Y,COLUMN(Y$1),0)</f>
        <v>0.22421604521819896</v>
      </c>
      <c r="D69">
        <f t="shared" si="12"/>
        <v>1.86</v>
      </c>
      <c r="E69">
        <f t="shared" si="13"/>
        <v>53.4</v>
      </c>
      <c r="F69" t="e">
        <f t="shared" si="14"/>
        <v>#N/A</v>
      </c>
      <c r="G69">
        <f t="shared" si="11"/>
        <v>53.050000000000004</v>
      </c>
      <c r="Q69" s="112">
        <v>40178</v>
      </c>
      <c r="R69" s="113">
        <v>1.6827000000000001</v>
      </c>
      <c r="U69" s="112">
        <v>44074</v>
      </c>
      <c r="V69" s="113">
        <v>0.64</v>
      </c>
      <c r="W69" s="113">
        <v>54.5</v>
      </c>
    </row>
    <row r="70" spans="1:23" x14ac:dyDescent="0.35">
      <c r="A70" s="106">
        <v>43555</v>
      </c>
      <c r="B70">
        <f>VLOOKUP($A70,'框架指示的股债胜率（综合）'!$A:$Y,COLUMN(Y$1),0)</f>
        <v>0.31309164330432337</v>
      </c>
      <c r="D70">
        <f t="shared" si="12"/>
        <v>1.54</v>
      </c>
      <c r="E70">
        <f t="shared" si="13"/>
        <v>54</v>
      </c>
      <c r="F70">
        <f t="shared" si="14"/>
        <v>0.91149999999999998</v>
      </c>
      <c r="G70">
        <f t="shared" si="11"/>
        <v>53.166666666666679</v>
      </c>
      <c r="Q70" s="112">
        <v>40086</v>
      </c>
      <c r="R70" s="113">
        <v>-1.3991</v>
      </c>
      <c r="U70" s="112">
        <v>44043</v>
      </c>
      <c r="V70" s="113">
        <v>0.66</v>
      </c>
      <c r="W70" s="113">
        <v>54.1</v>
      </c>
    </row>
    <row r="71" spans="1:23" x14ac:dyDescent="0.35">
      <c r="A71" s="106">
        <v>43524</v>
      </c>
      <c r="B71">
        <f>VLOOKUP($A71,'框架指示的股债胜率（综合）'!$A:$Y,COLUMN(Y$1),0)</f>
        <v>0.50916802707420561</v>
      </c>
      <c r="D71">
        <f t="shared" si="12"/>
        <v>0.94</v>
      </c>
      <c r="E71">
        <f t="shared" si="13"/>
        <v>52.4</v>
      </c>
      <c r="F71" t="e">
        <f t="shared" si="14"/>
        <v>#N/A</v>
      </c>
      <c r="G71">
        <f t="shared" si="11"/>
        <v>53.133333333333333</v>
      </c>
      <c r="Q71" s="112">
        <v>39994</v>
      </c>
      <c r="R71" s="113">
        <v>-1.4628000000000001</v>
      </c>
      <c r="U71" s="112">
        <v>44012</v>
      </c>
      <c r="V71" s="113">
        <v>0.3</v>
      </c>
      <c r="W71" s="113">
        <v>54.2</v>
      </c>
    </row>
    <row r="72" spans="1:23" x14ac:dyDescent="0.35">
      <c r="A72" s="106">
        <v>43465</v>
      </c>
      <c r="B72">
        <f>VLOOKUP($A72,'框架指示的股债胜率（综合）'!$A:$Y,COLUMN(Y$1),0)</f>
        <v>0.7682716685307881</v>
      </c>
      <c r="D72">
        <f t="shared" si="12"/>
        <v>1.5</v>
      </c>
      <c r="E72">
        <f t="shared" si="13"/>
        <v>52.6</v>
      </c>
      <c r="F72">
        <f t="shared" si="14"/>
        <v>1.6041000000000001</v>
      </c>
      <c r="G72">
        <f t="shared" si="11"/>
        <v>53.333333333333336</v>
      </c>
      <c r="Q72" s="112">
        <v>39903</v>
      </c>
      <c r="R72" s="113">
        <v>0.27139999999999997</v>
      </c>
      <c r="U72" s="112">
        <v>43982</v>
      </c>
      <c r="V72" s="113">
        <v>-0.04</v>
      </c>
      <c r="W72" s="113">
        <v>53.4</v>
      </c>
    </row>
    <row r="73" spans="1:23" x14ac:dyDescent="0.35">
      <c r="A73" s="106">
        <v>43434</v>
      </c>
      <c r="B73">
        <f>VLOOKUP($A73,'框架指示的股债胜率（综合）'!$A:$Y,COLUMN(Y$1),0)</f>
        <v>0.75929800330712283</v>
      </c>
      <c r="D73">
        <f t="shared" si="12"/>
        <v>2.4</v>
      </c>
      <c r="E73">
        <f t="shared" si="13"/>
        <v>52.8</v>
      </c>
      <c r="F73" t="e">
        <f t="shared" si="14"/>
        <v>#N/A</v>
      </c>
      <c r="G73">
        <f t="shared" si="11"/>
        <v>53.633333333333333</v>
      </c>
      <c r="Q73" s="112">
        <v>39813</v>
      </c>
      <c r="R73" s="113">
        <v>5.3179999999999996</v>
      </c>
      <c r="U73" s="112">
        <v>43951</v>
      </c>
      <c r="V73" s="113">
        <v>0.74</v>
      </c>
      <c r="W73" s="113">
        <v>53.4</v>
      </c>
    </row>
    <row r="74" spans="1:23" x14ac:dyDescent="0.35">
      <c r="A74" s="106">
        <v>43404</v>
      </c>
      <c r="B74">
        <f>VLOOKUP($A74,'框架指示的股债胜率（综合）'!$A:$Y,COLUMN(Y$1),0)</f>
        <v>0.80047488198400174</v>
      </c>
      <c r="D74">
        <f t="shared" si="12"/>
        <v>2.82</v>
      </c>
      <c r="E74">
        <f t="shared" si="13"/>
        <v>53.1</v>
      </c>
      <c r="F74" t="e">
        <f t="shared" si="14"/>
        <v>#N/A</v>
      </c>
      <c r="G74">
        <f t="shared" si="11"/>
        <v>53.933333333333337</v>
      </c>
      <c r="Q74" s="112">
        <v>39721</v>
      </c>
      <c r="R74" s="113">
        <v>8.4236000000000004</v>
      </c>
      <c r="U74" s="112">
        <v>43921</v>
      </c>
      <c r="V74" s="113">
        <v>1.98</v>
      </c>
      <c r="W74" s="113">
        <v>53</v>
      </c>
    </row>
    <row r="75" spans="1:23" x14ac:dyDescent="0.35">
      <c r="A75" s="106">
        <v>43373</v>
      </c>
      <c r="B75">
        <f>VLOOKUP($A75,'框架指示的股债胜率（综合）'!$A:$Y,COLUMN(Y$1),0)</f>
        <v>0.9704024182158858</v>
      </c>
      <c r="D75">
        <f t="shared" si="12"/>
        <v>2.94</v>
      </c>
      <c r="E75">
        <f t="shared" si="13"/>
        <v>54.1</v>
      </c>
      <c r="F75">
        <f t="shared" si="14"/>
        <v>2.8254000000000001</v>
      </c>
      <c r="G75">
        <f t="shared" si="11"/>
        <v>54.1</v>
      </c>
      <c r="Q75" s="112">
        <v>39629</v>
      </c>
      <c r="R75" s="113">
        <v>9.5934000000000008</v>
      </c>
      <c r="U75" s="112">
        <v>43890</v>
      </c>
      <c r="V75" s="113">
        <v>2.96</v>
      </c>
      <c r="W75" s="113">
        <v>28.9</v>
      </c>
    </row>
    <row r="76" spans="1:23" x14ac:dyDescent="0.35">
      <c r="A76" s="106">
        <v>43343</v>
      </c>
      <c r="B76">
        <f>VLOOKUP($A76,'框架指示的股债胜率（综合）'!$A:$Y,COLUMN(Y$1),0)</f>
        <v>1.2552056372868394</v>
      </c>
      <c r="D76">
        <f t="shared" si="12"/>
        <v>3.02</v>
      </c>
      <c r="E76">
        <f t="shared" si="13"/>
        <v>53.8</v>
      </c>
      <c r="F76" t="e">
        <f t="shared" si="14"/>
        <v>#N/A</v>
      </c>
      <c r="G76">
        <f t="shared" si="11"/>
        <v>54.083333333333336</v>
      </c>
      <c r="Q76" s="112">
        <v>39538</v>
      </c>
      <c r="R76" s="113">
        <v>8.875</v>
      </c>
      <c r="U76" s="112">
        <v>43861</v>
      </c>
      <c r="V76" s="113">
        <v>3.28</v>
      </c>
      <c r="W76" s="113">
        <v>53</v>
      </c>
    </row>
    <row r="77" spans="1:23" x14ac:dyDescent="0.35">
      <c r="A77" s="106">
        <v>43312</v>
      </c>
      <c r="B77">
        <f>VLOOKUP($A77,'框架指示的股债胜率（综合）'!$A:$Y,COLUMN(Y$1),0)</f>
        <v>1.3657996728808748</v>
      </c>
      <c r="D77">
        <f t="shared" ref="D77:D110" si="16">VLOOKUP(A77,U:W,2,0)</f>
        <v>3.1</v>
      </c>
      <c r="E77">
        <f t="shared" ref="E77:E93" si="17">VLOOKUP(A77,U:W,3,0)</f>
        <v>53.6</v>
      </c>
      <c r="F77" t="e">
        <f t="shared" ref="F77:F110" si="18">VLOOKUP(A77,Q:R,2,0)</f>
        <v>#N/A</v>
      </c>
      <c r="G77">
        <f t="shared" si="11"/>
        <v>53.93333333333333</v>
      </c>
      <c r="Q77" s="112">
        <v>39447</v>
      </c>
      <c r="R77" s="113">
        <v>8.6336999999999993</v>
      </c>
      <c r="U77" s="112">
        <v>43830</v>
      </c>
      <c r="V77" s="113">
        <v>2.5</v>
      </c>
      <c r="W77" s="113">
        <v>53.4</v>
      </c>
    </row>
    <row r="78" spans="1:23" x14ac:dyDescent="0.35">
      <c r="A78" s="106">
        <v>43281</v>
      </c>
      <c r="B78">
        <f>VLOOKUP($A78,'框架指示的股债胜率（综合）'!$A:$Y,COLUMN(Y$1),0)</f>
        <v>1.6668150790433398</v>
      </c>
      <c r="D78">
        <f t="shared" si="16"/>
        <v>3.02</v>
      </c>
      <c r="E78">
        <f t="shared" si="17"/>
        <v>54.4</v>
      </c>
      <c r="F78">
        <f t="shared" si="18"/>
        <v>2.7614000000000001</v>
      </c>
      <c r="G78">
        <f t="shared" ref="G78:G88" si="19">AVERAGE(E78:E83)</f>
        <v>54.1</v>
      </c>
      <c r="Q78" s="112">
        <v>39355</v>
      </c>
      <c r="R78" s="113">
        <v>8.4928000000000008</v>
      </c>
      <c r="U78" s="112">
        <v>43799</v>
      </c>
      <c r="V78" s="113">
        <v>2.14</v>
      </c>
      <c r="W78" s="113">
        <v>53.7</v>
      </c>
    </row>
    <row r="79" spans="1:23" x14ac:dyDescent="0.35">
      <c r="A79" s="106">
        <v>43251</v>
      </c>
      <c r="B79">
        <f>VLOOKUP($A79,'框架指示的股债胜率（综合）'!$A:$Y,COLUMN(Y$1),0)</f>
        <v>1.9461853797952198</v>
      </c>
      <c r="D79">
        <f t="shared" si="16"/>
        <v>2.72</v>
      </c>
      <c r="E79">
        <f t="shared" si="17"/>
        <v>54.6</v>
      </c>
      <c r="F79" t="e">
        <f t="shared" si="18"/>
        <v>#N/A</v>
      </c>
      <c r="G79">
        <f t="shared" si="19"/>
        <v>54.133333333333333</v>
      </c>
      <c r="Q79" s="112">
        <v>39263</v>
      </c>
      <c r="R79" s="113">
        <v>6.9919000000000002</v>
      </c>
      <c r="U79" s="112">
        <v>43769</v>
      </c>
      <c r="V79" s="113">
        <v>1.64</v>
      </c>
      <c r="W79" s="113">
        <v>52</v>
      </c>
    </row>
    <row r="80" spans="1:23" x14ac:dyDescent="0.35">
      <c r="A80" s="106">
        <v>43220</v>
      </c>
      <c r="B80">
        <f>VLOOKUP($A80,'框架指示的股债胜率（综合）'!$A:$Y,COLUMN(Y$1),0)</f>
        <v>2.0030280741379145</v>
      </c>
      <c r="D80">
        <f t="shared" si="16"/>
        <v>2.44</v>
      </c>
      <c r="E80">
        <f t="shared" si="17"/>
        <v>54.1</v>
      </c>
      <c r="F80" t="e">
        <f t="shared" si="18"/>
        <v>#N/A</v>
      </c>
      <c r="G80">
        <f t="shared" si="19"/>
        <v>54.016666666666659</v>
      </c>
      <c r="Q80" s="112">
        <v>39172</v>
      </c>
      <c r="R80" s="113">
        <v>6.7217000000000002</v>
      </c>
      <c r="U80" s="112">
        <v>43738</v>
      </c>
      <c r="V80" s="113">
        <v>1.32</v>
      </c>
      <c r="W80" s="113">
        <v>53.1</v>
      </c>
    </row>
    <row r="81" spans="1:23" x14ac:dyDescent="0.35">
      <c r="A81" s="106">
        <v>43190</v>
      </c>
      <c r="B81">
        <f>VLOOKUP($A81,'框架指示的股债胜率（综合）'!$A:$Y,COLUMN(Y$1),0)</f>
        <v>1.9676522571444499</v>
      </c>
      <c r="D81">
        <f t="shared" si="16"/>
        <v>2.5</v>
      </c>
      <c r="E81">
        <f t="shared" si="17"/>
        <v>54</v>
      </c>
      <c r="F81">
        <f t="shared" si="18"/>
        <v>3.0129000000000001</v>
      </c>
      <c r="G81">
        <f t="shared" si="19"/>
        <v>54.183333333333337</v>
      </c>
      <c r="Q81" s="112">
        <v>39082</v>
      </c>
      <c r="R81" s="113">
        <v>4.6787999999999998</v>
      </c>
      <c r="U81" s="112">
        <v>43708</v>
      </c>
      <c r="V81" s="113">
        <v>1.36</v>
      </c>
      <c r="W81" s="113">
        <v>53</v>
      </c>
    </row>
    <row r="82" spans="1:23" x14ac:dyDescent="0.35">
      <c r="A82" s="106">
        <v>43159</v>
      </c>
      <c r="B82">
        <f>VLOOKUP($A82,'框架指示的股债胜率（综合）'!$A:$Y,COLUMN(Y$1),0)</f>
        <v>1.781807203983927</v>
      </c>
      <c r="D82">
        <f t="shared" si="16"/>
        <v>3.22</v>
      </c>
      <c r="E82">
        <f t="shared" si="17"/>
        <v>52.9</v>
      </c>
      <c r="F82" t="e">
        <f t="shared" si="18"/>
        <v>#N/A</v>
      </c>
      <c r="G82">
        <f t="shared" si="19"/>
        <v>54.133333333333333</v>
      </c>
      <c r="Q82" s="112">
        <v>38990</v>
      </c>
      <c r="R82" s="113">
        <v>3.9975999999999998</v>
      </c>
      <c r="U82" s="112">
        <v>43677</v>
      </c>
      <c r="V82" s="113">
        <v>1.56</v>
      </c>
      <c r="W82" s="113">
        <v>53.1</v>
      </c>
    </row>
    <row r="83" spans="1:23" x14ac:dyDescent="0.35">
      <c r="A83" s="106">
        <v>43100</v>
      </c>
      <c r="B83">
        <f>VLOOKUP($A83,'框架指示的股债胜率（综合）'!$A:$Y,COLUMN(Y$1),0)</f>
        <v>1.7134089355856583</v>
      </c>
      <c r="D83">
        <f t="shared" si="16"/>
        <v>3.04</v>
      </c>
      <c r="E83">
        <f t="shared" si="17"/>
        <v>54.6</v>
      </c>
      <c r="F83">
        <f t="shared" si="18"/>
        <v>3.9590999999999998</v>
      </c>
      <c r="G83">
        <f t="shared" si="19"/>
        <v>54.333333333333336</v>
      </c>
      <c r="Q83" s="112">
        <v>38898</v>
      </c>
      <c r="R83" s="113">
        <v>3.4234</v>
      </c>
      <c r="U83" s="112">
        <v>43646</v>
      </c>
      <c r="V83" s="113">
        <v>1.62</v>
      </c>
      <c r="W83" s="113">
        <v>53</v>
      </c>
    </row>
    <row r="84" spans="1:23" x14ac:dyDescent="0.35">
      <c r="A84" s="106">
        <v>43069</v>
      </c>
      <c r="B84">
        <f>VLOOKUP($A84,'框架指示的股债胜率（综合）'!$A:$Y,COLUMN(Y$1),0)</f>
        <v>1.4275381780685592</v>
      </c>
      <c r="D84">
        <f t="shared" si="16"/>
        <v>3.34</v>
      </c>
      <c r="E84">
        <f t="shared" si="17"/>
        <v>54.6</v>
      </c>
      <c r="F84" t="e">
        <f t="shared" si="18"/>
        <v>#N/A</v>
      </c>
      <c r="G84">
        <f t="shared" si="19"/>
        <v>54.35</v>
      </c>
      <c r="Q84" s="112">
        <v>38807</v>
      </c>
      <c r="R84" s="113">
        <v>3.4474999999999998</v>
      </c>
      <c r="U84" s="112">
        <v>43616</v>
      </c>
      <c r="V84" s="113">
        <v>1.86</v>
      </c>
      <c r="W84" s="113">
        <v>53.3</v>
      </c>
    </row>
    <row r="85" spans="1:23" x14ac:dyDescent="0.35">
      <c r="A85" s="106">
        <v>43039</v>
      </c>
      <c r="B85">
        <f>VLOOKUP($A85,'框架指示的股债胜率（综合）'!$A:$Y,COLUMN(Y$1),0)</f>
        <v>1.3228549957537981</v>
      </c>
      <c r="D85">
        <f t="shared" si="16"/>
        <v>3.9</v>
      </c>
      <c r="E85">
        <f t="shared" si="17"/>
        <v>53.9</v>
      </c>
      <c r="F85" t="e">
        <f t="shared" si="18"/>
        <v>#N/A</v>
      </c>
      <c r="G85">
        <f t="shared" si="19"/>
        <v>54.266666666666673</v>
      </c>
      <c r="Q85" s="112">
        <v>38717</v>
      </c>
      <c r="R85" s="113">
        <v>2.8348</v>
      </c>
      <c r="U85" s="112">
        <v>43585</v>
      </c>
      <c r="V85" s="113">
        <v>1.86</v>
      </c>
      <c r="W85" s="113">
        <v>53.4</v>
      </c>
    </row>
    <row r="86" spans="1:23" x14ac:dyDescent="0.35">
      <c r="A86" s="106">
        <v>43008</v>
      </c>
      <c r="B86">
        <f>VLOOKUP($A86,'框架指示的股债胜率（综合）'!$A:$Y,COLUMN(Y$1),0)</f>
        <v>1.3108026962014985</v>
      </c>
      <c r="D86">
        <f t="shared" si="16"/>
        <v>3.72</v>
      </c>
      <c r="E86">
        <f t="shared" si="17"/>
        <v>55.1</v>
      </c>
      <c r="F86">
        <f t="shared" si="18"/>
        <v>4.0850999999999997</v>
      </c>
      <c r="G86">
        <f t="shared" si="19"/>
        <v>54.266666666666673</v>
      </c>
      <c r="Q86" s="112">
        <v>38625</v>
      </c>
      <c r="R86" s="113">
        <v>3.6063999999999998</v>
      </c>
      <c r="U86" s="112">
        <v>43555</v>
      </c>
      <c r="V86" s="113">
        <v>1.54</v>
      </c>
      <c r="W86" s="113">
        <v>54</v>
      </c>
    </row>
    <row r="87" spans="1:23" x14ac:dyDescent="0.35">
      <c r="A87" s="106">
        <v>42978</v>
      </c>
      <c r="B87">
        <f>VLOOKUP($A87,'框架指示的股债胜率（综合）'!$A:$Y,COLUMN(Y$1),0)</f>
        <v>1.3999198741731655</v>
      </c>
      <c r="D87">
        <f t="shared" si="16"/>
        <v>3.6</v>
      </c>
      <c r="E87">
        <f t="shared" si="17"/>
        <v>53.7</v>
      </c>
      <c r="F87" t="e">
        <f t="shared" si="18"/>
        <v>#N/A</v>
      </c>
      <c r="G87">
        <f t="shared" si="19"/>
        <v>54.199999999999996</v>
      </c>
      <c r="Q87" s="112">
        <v>38533</v>
      </c>
      <c r="R87" s="113">
        <v>4.1783000000000001</v>
      </c>
      <c r="U87" s="112">
        <v>43524</v>
      </c>
      <c r="V87" s="113">
        <v>0.94</v>
      </c>
      <c r="W87" s="113">
        <v>52.4</v>
      </c>
    </row>
    <row r="88" spans="1:23" x14ac:dyDescent="0.35">
      <c r="A88" s="106">
        <v>42947</v>
      </c>
      <c r="B88">
        <f>VLOOKUP($A88,'框架指示的股债胜率（综合）'!$A:$Y,COLUMN(Y$1),0)</f>
        <v>1.4900533631438639</v>
      </c>
      <c r="D88">
        <f t="shared" si="16"/>
        <v>3.04</v>
      </c>
      <c r="E88">
        <f t="shared" si="17"/>
        <v>54.1</v>
      </c>
      <c r="F88" t="e">
        <f t="shared" si="18"/>
        <v>#N/A</v>
      </c>
      <c r="G88">
        <f t="shared" si="19"/>
        <v>54.25</v>
      </c>
      <c r="Q88" s="112">
        <v>38442</v>
      </c>
      <c r="R88" s="113">
        <v>5.4046000000000003</v>
      </c>
      <c r="U88" s="112">
        <v>43496</v>
      </c>
      <c r="V88" s="113">
        <v>1.06</v>
      </c>
      <c r="W88" s="113">
        <v>53.2</v>
      </c>
    </row>
    <row r="89" spans="1:23" x14ac:dyDescent="0.35">
      <c r="A89" s="106">
        <v>42916</v>
      </c>
      <c r="B89">
        <f>VLOOKUP($A89,'框架指示的股债胜率（综合）'!$A:$Y,COLUMN(Y$1),0)</f>
        <v>1.4666615502783669</v>
      </c>
      <c r="D89">
        <f t="shared" si="16"/>
        <v>3.1</v>
      </c>
      <c r="E89">
        <f t="shared" si="17"/>
        <v>54.7</v>
      </c>
      <c r="F89">
        <f t="shared" si="18"/>
        <v>3.9293</v>
      </c>
      <c r="Q89" s="112">
        <v>38352</v>
      </c>
      <c r="R89" s="113">
        <v>8.0266000000000002</v>
      </c>
      <c r="U89" s="112">
        <v>43465</v>
      </c>
      <c r="V89" s="113">
        <v>1.5</v>
      </c>
      <c r="W89" s="113">
        <v>52.6</v>
      </c>
    </row>
    <row r="90" spans="1:23" x14ac:dyDescent="0.35">
      <c r="A90" s="106">
        <v>42886</v>
      </c>
      <c r="B90">
        <f>VLOOKUP($A90,'框架指示的股债胜率（综合）'!$A:$Y,COLUMN(Y$1),0)</f>
        <v>1.3078427653118057</v>
      </c>
      <c r="D90">
        <f t="shared" si="16"/>
        <v>3.1</v>
      </c>
      <c r="E90">
        <f t="shared" si="17"/>
        <v>54.1</v>
      </c>
      <c r="F90" t="e">
        <f t="shared" si="18"/>
        <v>#N/A</v>
      </c>
      <c r="Q90" s="112">
        <v>38260</v>
      </c>
      <c r="R90" s="113">
        <v>8.0114999999999998</v>
      </c>
      <c r="U90" s="112">
        <v>43434</v>
      </c>
      <c r="V90" s="113">
        <v>2.4</v>
      </c>
      <c r="W90" s="113">
        <v>52.8</v>
      </c>
    </row>
    <row r="91" spans="1:23" x14ac:dyDescent="0.35">
      <c r="A91" s="106">
        <v>42855</v>
      </c>
      <c r="B91">
        <f>VLOOKUP($A91,'框架指示的股债胜率（综合）'!$A:$Y,COLUMN(Y$1),0)</f>
        <v>1.1350097976258964</v>
      </c>
      <c r="D91">
        <f t="shared" si="16"/>
        <v>3.28</v>
      </c>
      <c r="E91">
        <f t="shared" si="17"/>
        <v>53.9</v>
      </c>
      <c r="F91" t="e">
        <f t="shared" si="18"/>
        <v>#N/A</v>
      </c>
      <c r="Q91" s="112">
        <v>38168</v>
      </c>
      <c r="R91" s="113">
        <v>6.5796000000000001</v>
      </c>
      <c r="U91" s="112">
        <v>43404</v>
      </c>
      <c r="V91" s="113">
        <v>2.82</v>
      </c>
      <c r="W91" s="113">
        <v>53.1</v>
      </c>
    </row>
    <row r="92" spans="1:23" x14ac:dyDescent="0.35">
      <c r="A92" s="106">
        <v>42825</v>
      </c>
      <c r="B92">
        <f>VLOOKUP($A92,'框架指示的股债胜率（综合）'!$A:$Y,COLUMN(Y$1),0)</f>
        <v>0.95503167389777277</v>
      </c>
      <c r="D92">
        <f t="shared" si="16"/>
        <v>3.58</v>
      </c>
      <c r="E92">
        <f t="shared" si="17"/>
        <v>54.7</v>
      </c>
      <c r="F92">
        <f t="shared" si="18"/>
        <v>4.6096000000000004</v>
      </c>
      <c r="Q92" s="112">
        <v>38077</v>
      </c>
      <c r="R92" s="113">
        <v>4.7218999999999998</v>
      </c>
      <c r="U92" s="112">
        <v>43373</v>
      </c>
      <c r="V92" s="113">
        <v>2.94</v>
      </c>
      <c r="W92" s="113">
        <v>54.1</v>
      </c>
    </row>
    <row r="93" spans="1:23" x14ac:dyDescent="0.35">
      <c r="A93" s="106">
        <v>42794</v>
      </c>
      <c r="B93">
        <f>VLOOKUP($A93,'框架指示的股债胜率（综合）'!$A:$Y,COLUMN(Y$1),0)</f>
        <v>0.91551202310902202</v>
      </c>
      <c r="D93">
        <f t="shared" si="16"/>
        <v>3.6</v>
      </c>
      <c r="E93">
        <f t="shared" si="17"/>
        <v>54</v>
      </c>
      <c r="F93" t="e">
        <f t="shared" si="18"/>
        <v>#N/A</v>
      </c>
      <c r="Q93" s="112">
        <v>37986</v>
      </c>
      <c r="R93" s="113">
        <v>3.3797000000000001</v>
      </c>
      <c r="U93" s="112">
        <v>43343</v>
      </c>
      <c r="V93" s="113">
        <v>3.02</v>
      </c>
      <c r="W93" s="113">
        <v>53.8</v>
      </c>
    </row>
    <row r="94" spans="1:23" x14ac:dyDescent="0.35">
      <c r="A94" s="106">
        <v>42735</v>
      </c>
      <c r="B94">
        <f>VLOOKUP($A94,'框架指示的股债胜率（综合）'!$A:$Y,COLUMN(Y$1),0)</f>
        <v>0.89302910062609941</v>
      </c>
      <c r="D94">
        <f t="shared" si="16"/>
        <v>3.4459270000000002</v>
      </c>
      <c r="F94">
        <f t="shared" si="18"/>
        <v>2.5808</v>
      </c>
      <c r="Q94" s="112">
        <v>37894</v>
      </c>
      <c r="R94" s="113">
        <v>2.6434000000000002</v>
      </c>
      <c r="U94" s="112">
        <v>43312</v>
      </c>
      <c r="V94" s="113">
        <v>3.1</v>
      </c>
      <c r="W94" s="113">
        <v>53.6</v>
      </c>
    </row>
    <row r="95" spans="1:23" x14ac:dyDescent="0.35">
      <c r="A95" s="106">
        <v>42704</v>
      </c>
      <c r="B95">
        <f>VLOOKUP($A95,'框架指示的股债胜率（综合）'!$A:$Y,COLUMN(Y$1),0)</f>
        <v>0.91936289488185385</v>
      </c>
      <c r="D95">
        <f t="shared" si="16"/>
        <v>2.6713548</v>
      </c>
      <c r="F95" t="e">
        <f t="shared" si="18"/>
        <v>#N/A</v>
      </c>
      <c r="Q95" s="112">
        <v>37802</v>
      </c>
      <c r="R95" s="113">
        <v>2.153</v>
      </c>
      <c r="U95" s="112">
        <v>43281</v>
      </c>
      <c r="V95" s="113">
        <v>3.02</v>
      </c>
      <c r="W95" s="113">
        <v>54.4</v>
      </c>
    </row>
    <row r="96" spans="1:23" x14ac:dyDescent="0.35">
      <c r="A96" s="106">
        <v>42674</v>
      </c>
      <c r="B96">
        <f>VLOOKUP($A96,'框架指示的股债胜率（综合）'!$A:$Y,COLUMN(Y$1),0)</f>
        <v>1.0354389212519979</v>
      </c>
      <c r="D96">
        <f t="shared" si="16"/>
        <v>1.7375681999999999</v>
      </c>
      <c r="F96" t="e">
        <f t="shared" si="18"/>
        <v>#N/A</v>
      </c>
      <c r="Q96" s="112">
        <v>37711</v>
      </c>
      <c r="R96" s="113">
        <v>2.0941000000000001</v>
      </c>
      <c r="U96" s="112">
        <v>43251</v>
      </c>
      <c r="V96" s="113">
        <v>2.72</v>
      </c>
      <c r="W96" s="113">
        <v>54.6</v>
      </c>
    </row>
    <row r="97" spans="1:23" x14ac:dyDescent="0.35">
      <c r="A97" s="106">
        <v>42643</v>
      </c>
      <c r="B97">
        <f>VLOOKUP($A97,'框架指示的股债胜率（综合）'!$A:$Y,COLUMN(Y$1),0)</f>
        <v>1.0185304575298086</v>
      </c>
      <c r="D97">
        <f t="shared" si="16"/>
        <v>1.1921356000000001</v>
      </c>
      <c r="F97">
        <f t="shared" si="18"/>
        <v>1.0499000000000001</v>
      </c>
      <c r="Q97" s="112">
        <v>37621</v>
      </c>
      <c r="R97" s="113">
        <v>1.0613999999999999</v>
      </c>
      <c r="U97" s="112">
        <v>43220</v>
      </c>
      <c r="V97" s="113">
        <v>2.44</v>
      </c>
      <c r="W97" s="113">
        <v>54.1</v>
      </c>
    </row>
    <row r="98" spans="1:23" x14ac:dyDescent="0.35">
      <c r="A98" s="106">
        <v>42613</v>
      </c>
      <c r="B98">
        <f>VLOOKUP($A98,'框架指示的股债胜率（综合）'!$A:$Y,COLUMN(Y$1),0)</f>
        <v>1.0015157592651105</v>
      </c>
      <c r="D98">
        <f t="shared" si="16"/>
        <v>0.48386380000000001</v>
      </c>
      <c r="F98" t="e">
        <f t="shared" si="18"/>
        <v>#N/A</v>
      </c>
      <c r="Q98" s="112">
        <v>37529</v>
      </c>
      <c r="R98" s="113">
        <v>0.65690000000000004</v>
      </c>
      <c r="U98" s="112">
        <v>43190</v>
      </c>
      <c r="V98" s="113">
        <v>2.5</v>
      </c>
      <c r="W98" s="113">
        <v>54</v>
      </c>
    </row>
    <row r="99" spans="1:23" x14ac:dyDescent="0.35">
      <c r="A99" s="106">
        <v>42582</v>
      </c>
      <c r="B99">
        <f>VLOOKUP($A99,'框架指示的股债胜率（综合）'!$A:$Y,COLUMN(Y$1),0)</f>
        <v>0.83566345744506665</v>
      </c>
      <c r="D99">
        <f t="shared" si="16"/>
        <v>0.37906780000000001</v>
      </c>
      <c r="F99" t="e">
        <f t="shared" si="18"/>
        <v>#N/A</v>
      </c>
      <c r="Q99" s="112">
        <v>37437</v>
      </c>
      <c r="R99" s="113">
        <v>0.39979999999999999</v>
      </c>
      <c r="U99" s="112">
        <v>43159</v>
      </c>
      <c r="V99" s="113">
        <v>3.22</v>
      </c>
      <c r="W99" s="113">
        <v>52.9</v>
      </c>
    </row>
    <row r="100" spans="1:23" x14ac:dyDescent="0.35">
      <c r="A100" s="106">
        <v>42551</v>
      </c>
      <c r="B100">
        <f>VLOOKUP($A100,'框架指示的股债胜率（综合）'!$A:$Y,COLUMN(Y$1),0)</f>
        <v>0.42181895519476725</v>
      </c>
      <c r="D100">
        <f t="shared" si="16"/>
        <v>8.7701799999999996E-2</v>
      </c>
      <c r="F100">
        <f t="shared" si="18"/>
        <v>0.58320000000000005</v>
      </c>
      <c r="Q100" s="112">
        <v>37346</v>
      </c>
      <c r="R100" s="113">
        <v>0.2475</v>
      </c>
      <c r="U100" s="112">
        <v>43131</v>
      </c>
      <c r="V100" s="113">
        <v>2.62</v>
      </c>
      <c r="W100" s="113">
        <v>54.6</v>
      </c>
    </row>
    <row r="101" spans="1:23" x14ac:dyDescent="0.35">
      <c r="A101" s="106">
        <v>42521</v>
      </c>
      <c r="B101">
        <f>VLOOKUP($A101,'框架指示的股债胜率（综合）'!$A:$Y,COLUMN(Y$1),0)</f>
        <v>8.8557293484829713E-2</v>
      </c>
      <c r="D101">
        <f t="shared" si="16"/>
        <v>0.1033994</v>
      </c>
      <c r="F101" t="e">
        <f t="shared" si="18"/>
        <v>#N/A</v>
      </c>
      <c r="Q101" s="112">
        <v>37256</v>
      </c>
      <c r="R101" s="113">
        <v>1.0608</v>
      </c>
      <c r="U101" s="112">
        <v>43100</v>
      </c>
      <c r="V101" s="113">
        <v>3.04</v>
      </c>
      <c r="W101" s="113">
        <v>54.6</v>
      </c>
    </row>
    <row r="102" spans="1:23" x14ac:dyDescent="0.35">
      <c r="A102" s="106">
        <v>42490</v>
      </c>
      <c r="B102">
        <f>VLOOKUP($A102,'框架指示的股债胜率（综合）'!$A:$Y,COLUMN(Y$1),0)</f>
        <v>-4.6413846486310271E-2</v>
      </c>
      <c r="D102">
        <f t="shared" si="16"/>
        <v>3.6719000000000002E-2</v>
      </c>
      <c r="F102" t="e">
        <f t="shared" si="18"/>
        <v>#N/A</v>
      </c>
      <c r="Q102" s="112">
        <v>37164</v>
      </c>
      <c r="R102" s="113">
        <v>2.0303</v>
      </c>
      <c r="U102" s="112">
        <v>43069</v>
      </c>
      <c r="V102" s="113">
        <v>3.34</v>
      </c>
      <c r="W102" s="113">
        <v>54.6</v>
      </c>
    </row>
    <row r="103" spans="1:23" x14ac:dyDescent="0.35">
      <c r="A103" s="106">
        <v>42460</v>
      </c>
      <c r="B103">
        <f>VLOOKUP($A103,'框架指示的股债胜率（综合）'!$A:$Y,COLUMN(Y$1),0)</f>
        <v>-9.5347628753425881E-2</v>
      </c>
      <c r="D103">
        <f t="shared" si="16"/>
        <v>-0.33916540000000001</v>
      </c>
      <c r="F103">
        <f t="shared" si="18"/>
        <v>0.29170000000000001</v>
      </c>
      <c r="Q103" s="112">
        <v>37072</v>
      </c>
      <c r="R103" s="113">
        <v>2.3571</v>
      </c>
      <c r="U103" s="112">
        <v>43039</v>
      </c>
      <c r="V103" s="113">
        <v>3.9</v>
      </c>
      <c r="W103" s="113">
        <v>53.9</v>
      </c>
    </row>
    <row r="104" spans="1:23" x14ac:dyDescent="0.35">
      <c r="A104" s="106">
        <v>42429</v>
      </c>
      <c r="B104">
        <f>VLOOKUP($A104,'框架指示的股债胜率（综合）'!$A:$Y,COLUMN(Y$1),0)</f>
        <v>-0.14708293048872764</v>
      </c>
      <c r="D104">
        <f t="shared" si="16"/>
        <v>-0.57999999999999996</v>
      </c>
      <c r="F104" t="e">
        <f t="shared" si="18"/>
        <v>#N/A</v>
      </c>
      <c r="Q104" s="112">
        <v>36981</v>
      </c>
      <c r="R104" s="113">
        <v>3.1261999999999999</v>
      </c>
      <c r="U104" s="112">
        <v>43008</v>
      </c>
      <c r="V104" s="113">
        <v>3.72</v>
      </c>
      <c r="W104" s="113">
        <v>55.1</v>
      </c>
    </row>
    <row r="105" spans="1:23" x14ac:dyDescent="0.35">
      <c r="A105" s="106">
        <v>42369</v>
      </c>
      <c r="B105">
        <f>VLOOKUP($A105,'框架指示的股债胜率（综合）'!$A:$Y,COLUMN(Y$1),0)</f>
        <v>-0.24823011663591377</v>
      </c>
      <c r="D105">
        <f t="shared" si="16"/>
        <v>-1.4</v>
      </c>
      <c r="F105">
        <f t="shared" si="18"/>
        <v>-0.33639999999999998</v>
      </c>
      <c r="Q105" s="112">
        <v>36891</v>
      </c>
      <c r="R105" s="113">
        <v>2.1577000000000002</v>
      </c>
      <c r="U105" s="112">
        <v>42978</v>
      </c>
      <c r="V105" s="113">
        <v>3.6</v>
      </c>
      <c r="W105" s="113">
        <v>53.7</v>
      </c>
    </row>
    <row r="106" spans="1:23" x14ac:dyDescent="0.35">
      <c r="A106" s="106">
        <v>42338</v>
      </c>
      <c r="B106">
        <f>VLOOKUP($A106,'框架指示的股债胜率（综合）'!$A:$Y,COLUMN(Y$1),0)</f>
        <v>-9.0795870795870828E-2</v>
      </c>
      <c r="D106">
        <f t="shared" si="16"/>
        <v>-1.4686399999999999</v>
      </c>
      <c r="F106" t="e">
        <f t="shared" si="18"/>
        <v>#N/A</v>
      </c>
      <c r="Q106" s="112">
        <v>36799</v>
      </c>
      <c r="R106" s="113">
        <v>2.5249000000000001</v>
      </c>
      <c r="U106" s="112">
        <v>42947</v>
      </c>
      <c r="V106" s="113">
        <v>3.04</v>
      </c>
      <c r="W106" s="113">
        <v>54.1</v>
      </c>
    </row>
    <row r="107" spans="1:23" x14ac:dyDescent="0.35">
      <c r="A107" s="106">
        <v>42308</v>
      </c>
      <c r="B107">
        <f>VLOOKUP($A107,'框架指示的股债胜率（综合）'!$A:$Y,COLUMN(Y$1),0)</f>
        <v>4.4285714285714262E-2</v>
      </c>
      <c r="D107">
        <f t="shared" si="16"/>
        <v>-1.5995600000000001</v>
      </c>
      <c r="F107" t="e">
        <f t="shared" si="18"/>
        <v>#N/A</v>
      </c>
      <c r="Q107" s="112">
        <v>36707</v>
      </c>
      <c r="R107" s="113">
        <v>2.1802999999999999</v>
      </c>
      <c r="U107" s="112">
        <v>42916</v>
      </c>
      <c r="V107" s="113">
        <v>3.1</v>
      </c>
      <c r="W107" s="113">
        <v>54.7</v>
      </c>
    </row>
    <row r="108" spans="1:23" x14ac:dyDescent="0.35">
      <c r="A108" s="106">
        <v>42277</v>
      </c>
      <c r="B108">
        <f>VLOOKUP($A108,'框架指示的股债胜率（综合）'!$A:$Y,COLUMN(Y$1),0)</f>
        <v>0</v>
      </c>
      <c r="D108">
        <f t="shared" si="16"/>
        <v>-1.4206399999999999</v>
      </c>
      <c r="F108">
        <f t="shared" si="18"/>
        <v>-0.86370000000000002</v>
      </c>
      <c r="Q108" s="112">
        <v>36616</v>
      </c>
      <c r="R108" s="113">
        <v>1.3471</v>
      </c>
      <c r="U108" s="112">
        <v>42886</v>
      </c>
      <c r="V108" s="113">
        <v>3.1</v>
      </c>
      <c r="W108" s="113">
        <v>54.1</v>
      </c>
    </row>
    <row r="109" spans="1:23" x14ac:dyDescent="0.35">
      <c r="A109" s="106">
        <v>42247</v>
      </c>
      <c r="B109">
        <f>VLOOKUP($A109,'框架指示的股债胜率（综合）'!$A:$Y,COLUMN(Y$1),0)</f>
        <v>0</v>
      </c>
      <c r="D109">
        <f t="shared" si="16"/>
        <v>-1.19584</v>
      </c>
      <c r="F109" t="e">
        <f t="shared" si="18"/>
        <v>#N/A</v>
      </c>
      <c r="Q109" s="112">
        <v>36525</v>
      </c>
      <c r="R109" s="113">
        <v>-0.63639999999999997</v>
      </c>
      <c r="U109" s="112">
        <v>42855</v>
      </c>
      <c r="V109" s="113">
        <v>3.28</v>
      </c>
      <c r="W109" s="113">
        <v>53.9</v>
      </c>
    </row>
    <row r="110" spans="1:23" x14ac:dyDescent="0.35">
      <c r="A110" s="106">
        <v>42216</v>
      </c>
      <c r="B110">
        <f>VLOOKUP($A110,'框架指示的股债胜率（综合）'!$A:$Y,COLUMN(Y$1),0)</f>
        <v>0</v>
      </c>
      <c r="D110">
        <f t="shared" si="16"/>
        <v>-1.1593</v>
      </c>
      <c r="F110" t="e">
        <f t="shared" si="18"/>
        <v>#N/A</v>
      </c>
      <c r="Q110" s="112">
        <v>36433</v>
      </c>
      <c r="R110" s="113">
        <v>-1.6207</v>
      </c>
      <c r="U110" s="112">
        <v>42825</v>
      </c>
      <c r="V110" s="113">
        <v>3.58</v>
      </c>
      <c r="W110" s="113">
        <v>54.7</v>
      </c>
    </row>
    <row r="111" spans="1:23" x14ac:dyDescent="0.35">
      <c r="Q111" s="112">
        <v>36341</v>
      </c>
      <c r="R111" s="113">
        <v>-1.5175000000000001</v>
      </c>
      <c r="U111" s="112">
        <v>42794</v>
      </c>
      <c r="V111" s="113">
        <v>3.6</v>
      </c>
      <c r="W111" s="113">
        <v>54</v>
      </c>
    </row>
    <row r="112" spans="1:23" x14ac:dyDescent="0.35">
      <c r="Q112" s="112">
        <v>36250</v>
      </c>
      <c r="R112" s="113">
        <v>-1.4936</v>
      </c>
      <c r="U112" s="112">
        <v>42766</v>
      </c>
      <c r="V112" s="113">
        <v>4.2894329999999998</v>
      </c>
      <c r="W112" s="113">
        <v>54</v>
      </c>
    </row>
    <row r="113" spans="17:23" x14ac:dyDescent="0.35">
      <c r="Q113" s="112">
        <v>36160</v>
      </c>
      <c r="R113" s="113">
        <v>-1.6212</v>
      </c>
      <c r="U113" s="112">
        <v>42735</v>
      </c>
      <c r="V113" s="113">
        <v>3.4459270000000002</v>
      </c>
      <c r="W113" s="113">
        <v>0</v>
      </c>
    </row>
    <row r="114" spans="17:23" x14ac:dyDescent="0.35">
      <c r="Q114" s="112">
        <v>36068</v>
      </c>
      <c r="R114" s="113">
        <v>-1.4677</v>
      </c>
      <c r="U114" s="112">
        <v>42704</v>
      </c>
      <c r="V114" s="113">
        <v>2.6713548</v>
      </c>
      <c r="W114" s="113">
        <v>0</v>
      </c>
    </row>
    <row r="115" spans="17:23" x14ac:dyDescent="0.35">
      <c r="Q115" s="112">
        <v>35976</v>
      </c>
      <c r="R115" s="113">
        <v>-0.92400000000000004</v>
      </c>
      <c r="U115" s="112">
        <v>42674</v>
      </c>
      <c r="V115" s="113">
        <v>1.7375681999999999</v>
      </c>
      <c r="W115" s="113">
        <v>0</v>
      </c>
    </row>
    <row r="116" spans="17:23" x14ac:dyDescent="0.35">
      <c r="Q116" s="112">
        <v>35885</v>
      </c>
      <c r="R116" s="113">
        <v>0.7913</v>
      </c>
      <c r="U116" s="112">
        <v>42643</v>
      </c>
      <c r="V116" s="113">
        <v>1.1921356000000001</v>
      </c>
      <c r="W116" s="113">
        <v>0</v>
      </c>
    </row>
    <row r="117" spans="17:23" x14ac:dyDescent="0.35">
      <c r="Q117" s="112">
        <v>35795</v>
      </c>
      <c r="R117" s="113">
        <v>0.36909999999999998</v>
      </c>
      <c r="U117" s="112">
        <v>42613</v>
      </c>
      <c r="V117" s="113">
        <v>0.48386380000000001</v>
      </c>
      <c r="W117" s="113">
        <v>0</v>
      </c>
    </row>
    <row r="118" spans="17:23" x14ac:dyDescent="0.35">
      <c r="Q118" s="112">
        <v>35703</v>
      </c>
      <c r="R118" s="113">
        <v>1.46</v>
      </c>
      <c r="U118" s="112">
        <v>42582</v>
      </c>
      <c r="V118" s="113">
        <v>0.37906780000000001</v>
      </c>
      <c r="W118" s="113">
        <v>0</v>
      </c>
    </row>
    <row r="119" spans="17:23" x14ac:dyDescent="0.35">
      <c r="Q119" s="112">
        <v>35611</v>
      </c>
      <c r="R119" s="113">
        <v>1.5975999999999999</v>
      </c>
      <c r="U119" s="112">
        <v>42551</v>
      </c>
      <c r="V119" s="113">
        <v>8.7701799999999996E-2</v>
      </c>
      <c r="W119" s="113">
        <v>0</v>
      </c>
    </row>
    <row r="120" spans="17:23" x14ac:dyDescent="0.35">
      <c r="Q120" s="112">
        <v>35520</v>
      </c>
      <c r="R120" s="113">
        <v>3.6240999999999999</v>
      </c>
      <c r="U120" s="112">
        <v>42521</v>
      </c>
      <c r="V120" s="113">
        <v>0.1033994</v>
      </c>
      <c r="W120" s="113">
        <v>0</v>
      </c>
    </row>
    <row r="121" spans="17:23" x14ac:dyDescent="0.35">
      <c r="Q121" s="112">
        <v>35430</v>
      </c>
      <c r="R121" s="113">
        <v>5.3102999999999998</v>
      </c>
      <c r="U121" s="112">
        <v>42490</v>
      </c>
      <c r="V121" s="113">
        <v>3.6719000000000002E-2</v>
      </c>
      <c r="W121" s="113">
        <v>0</v>
      </c>
    </row>
    <row r="122" spans="17:23" x14ac:dyDescent="0.35">
      <c r="Q122" s="112">
        <v>35338</v>
      </c>
      <c r="R122" s="113">
        <v>5.4081000000000001</v>
      </c>
      <c r="U122" s="112">
        <v>42460</v>
      </c>
      <c r="V122" s="113">
        <v>-0.33916540000000001</v>
      </c>
      <c r="W122" s="113">
        <v>0</v>
      </c>
    </row>
    <row r="123" spans="17:23" x14ac:dyDescent="0.35">
      <c r="Q123" s="112">
        <v>35246</v>
      </c>
      <c r="R123" s="113">
        <v>7.2622999999999998</v>
      </c>
      <c r="U123" s="112">
        <v>42429</v>
      </c>
      <c r="V123" s="113">
        <v>-0.57999999999999996</v>
      </c>
      <c r="W123" s="113">
        <v>0</v>
      </c>
    </row>
    <row r="124" spans="17:23" x14ac:dyDescent="0.35">
      <c r="Q124" s="112">
        <v>35155</v>
      </c>
      <c r="R124" s="113">
        <v>8.9050999999999991</v>
      </c>
      <c r="U124" s="112">
        <v>42400</v>
      </c>
      <c r="V124" s="113">
        <v>-1.04</v>
      </c>
      <c r="W124" s="113">
        <v>0</v>
      </c>
    </row>
    <row r="125" spans="17:23" x14ac:dyDescent="0.35">
      <c r="Q125" s="112">
        <v>35064</v>
      </c>
      <c r="R125" s="113">
        <v>11.663500000000001</v>
      </c>
      <c r="U125" s="112">
        <v>42369</v>
      </c>
      <c r="V125" s="113">
        <v>-1.4</v>
      </c>
      <c r="W125" s="113">
        <v>0</v>
      </c>
    </row>
    <row r="126" spans="17:23" x14ac:dyDescent="0.35">
      <c r="Q126" s="112">
        <v>34972</v>
      </c>
      <c r="R126" s="113">
        <v>13.7814</v>
      </c>
      <c r="U126" s="112">
        <v>42338</v>
      </c>
      <c r="V126" s="113">
        <v>-1.4686399999999999</v>
      </c>
      <c r="W126" s="113">
        <v>0</v>
      </c>
    </row>
    <row r="127" spans="17:23" x14ac:dyDescent="0.35">
      <c r="Q127" s="112">
        <v>34880</v>
      </c>
      <c r="R127" s="113">
        <v>14.665800000000001</v>
      </c>
      <c r="U127" s="112">
        <v>42308</v>
      </c>
      <c r="V127" s="113">
        <v>-1.5995600000000001</v>
      </c>
      <c r="W127" s="113">
        <v>0</v>
      </c>
    </row>
    <row r="128" spans="17:23" x14ac:dyDescent="0.35">
      <c r="Q128" s="112">
        <v>34789</v>
      </c>
      <c r="R128" s="113">
        <v>15.4514</v>
      </c>
      <c r="U128" s="112">
        <v>42277</v>
      </c>
      <c r="V128" s="113">
        <v>-1.4206399999999999</v>
      </c>
      <c r="W128" s="113">
        <v>0</v>
      </c>
    </row>
    <row r="129" spans="17:23" x14ac:dyDescent="0.35">
      <c r="Q129" s="112">
        <v>34699</v>
      </c>
      <c r="R129" s="113">
        <v>20.003299999999999</v>
      </c>
      <c r="U129" s="112">
        <v>42247</v>
      </c>
      <c r="V129" s="113">
        <v>-1.19584</v>
      </c>
      <c r="W129" s="113">
        <v>0</v>
      </c>
    </row>
    <row r="130" spans="17:23" x14ac:dyDescent="0.35">
      <c r="Q130" s="112">
        <v>34607</v>
      </c>
      <c r="R130" s="113">
        <v>21.220800000000001</v>
      </c>
      <c r="U130" s="112">
        <v>42216</v>
      </c>
      <c r="V130" s="113">
        <v>-1.1593</v>
      </c>
      <c r="W130" s="113">
        <v>0</v>
      </c>
    </row>
    <row r="131" spans="17:23" x14ac:dyDescent="0.35">
      <c r="Q131" s="112">
        <v>34515</v>
      </c>
      <c r="R131" s="113">
        <v>21.254899999999999</v>
      </c>
      <c r="U131" s="112">
        <v>42185</v>
      </c>
      <c r="V131" s="113">
        <v>-1.0908599999999999</v>
      </c>
      <c r="W131" s="113">
        <v>0</v>
      </c>
    </row>
    <row r="132" spans="17:23" x14ac:dyDescent="0.35">
      <c r="Q132" s="112">
        <v>34424</v>
      </c>
      <c r="R132" s="113">
        <v>20.220099999999999</v>
      </c>
      <c r="U132" s="112">
        <v>42155</v>
      </c>
      <c r="V132" s="113">
        <v>-1.10432</v>
      </c>
      <c r="W132" s="113">
        <v>0</v>
      </c>
    </row>
    <row r="133" spans="17:23" x14ac:dyDescent="0.35">
      <c r="Q133" s="112">
        <v>34334</v>
      </c>
      <c r="R133" s="113">
        <v>17.806799999999999</v>
      </c>
      <c r="U133" s="112">
        <v>42124</v>
      </c>
      <c r="V133" s="113">
        <v>-0.92354000000000003</v>
      </c>
      <c r="W133" s="113">
        <v>0</v>
      </c>
    </row>
    <row r="134" spans="17:23" x14ac:dyDescent="0.35">
      <c r="Q134" s="112">
        <v>34242</v>
      </c>
      <c r="R134" s="113">
        <v>15.5823</v>
      </c>
      <c r="U134" s="112">
        <v>42094</v>
      </c>
      <c r="V134" s="113">
        <v>-0.99863999999999997</v>
      </c>
      <c r="W134" s="113">
        <v>0</v>
      </c>
    </row>
    <row r="135" spans="17:23" x14ac:dyDescent="0.35">
      <c r="Q135" s="112">
        <v>34150</v>
      </c>
      <c r="R135" s="113">
        <v>13.5511</v>
      </c>
      <c r="U135" s="112">
        <v>42063</v>
      </c>
      <c r="V135" s="113">
        <v>-1.0603800000000001</v>
      </c>
      <c r="W135" s="113">
        <v>0</v>
      </c>
    </row>
    <row r="136" spans="17:23" x14ac:dyDescent="0.35">
      <c r="Q136" s="112">
        <v>34059</v>
      </c>
      <c r="R136" s="113">
        <v>12.6333</v>
      </c>
      <c r="U136" s="112">
        <v>42035</v>
      </c>
      <c r="V136" s="113">
        <v>-1.2698</v>
      </c>
      <c r="W136" s="113">
        <v>0</v>
      </c>
    </row>
    <row r="137" spans="17:23" x14ac:dyDescent="0.35">
      <c r="U137" s="112">
        <v>42004</v>
      </c>
      <c r="V137" s="113">
        <v>-0.42271999999999998</v>
      </c>
      <c r="W137" s="113">
        <v>0</v>
      </c>
    </row>
    <row r="138" spans="17:23" x14ac:dyDescent="0.35">
      <c r="U138" s="112">
        <v>41973</v>
      </c>
      <c r="V138" s="113">
        <v>-0.21354000000000001</v>
      </c>
      <c r="W138" s="113">
        <v>0</v>
      </c>
    </row>
    <row r="139" spans="17:23" x14ac:dyDescent="0.35">
      <c r="U139" s="112">
        <v>41943</v>
      </c>
      <c r="V139" s="113">
        <v>6.3539999999999999E-2</v>
      </c>
      <c r="W139" s="113">
        <v>0</v>
      </c>
    </row>
    <row r="140" spans="17:23" x14ac:dyDescent="0.35">
      <c r="U140" s="112">
        <v>41912</v>
      </c>
      <c r="V140" s="113">
        <v>0.25666</v>
      </c>
      <c r="W140" s="113">
        <v>0</v>
      </c>
    </row>
    <row r="141" spans="17:23" x14ac:dyDescent="0.35">
      <c r="U141" s="112">
        <v>41882</v>
      </c>
      <c r="V141" s="113">
        <v>0.71301999999999999</v>
      </c>
      <c r="W141" s="113">
        <v>0</v>
      </c>
    </row>
    <row r="142" spans="17:23" x14ac:dyDescent="0.35">
      <c r="U142" s="112">
        <v>41851</v>
      </c>
      <c r="V142" s="113">
        <v>1.0236000000000001</v>
      </c>
      <c r="W142" s="113">
        <v>0</v>
      </c>
    </row>
    <row r="143" spans="17:23" x14ac:dyDescent="0.35">
      <c r="U143" s="112">
        <v>41820</v>
      </c>
      <c r="V143" s="113">
        <v>0.95798000000000005</v>
      </c>
      <c r="W143" s="113">
        <v>0</v>
      </c>
    </row>
    <row r="144" spans="17:23" x14ac:dyDescent="0.35">
      <c r="U144" s="112">
        <v>41790</v>
      </c>
      <c r="V144" s="113">
        <v>0.90781999999999996</v>
      </c>
      <c r="W144" s="113">
        <v>0</v>
      </c>
    </row>
    <row r="145" spans="21:23" x14ac:dyDescent="0.35">
      <c r="U145" s="112">
        <v>41759</v>
      </c>
      <c r="V145" s="113">
        <v>0.27916000000000002</v>
      </c>
      <c r="W145" s="113">
        <v>0</v>
      </c>
    </row>
    <row r="146" spans="21:23" x14ac:dyDescent="0.35">
      <c r="U146" s="112">
        <v>41729</v>
      </c>
      <c r="V146" s="113">
        <v>0.51012000000000002</v>
      </c>
      <c r="W146" s="113">
        <v>0</v>
      </c>
    </row>
    <row r="147" spans="21:23" x14ac:dyDescent="0.35">
      <c r="U147" s="112">
        <v>41698</v>
      </c>
      <c r="V147" s="113">
        <v>0.37065999999999999</v>
      </c>
      <c r="W147" s="113">
        <v>0</v>
      </c>
    </row>
    <row r="148" spans="21:23" x14ac:dyDescent="0.35">
      <c r="U148" s="112">
        <v>41670</v>
      </c>
      <c r="V148" s="113">
        <v>0.83565999999999996</v>
      </c>
      <c r="W148" s="113">
        <v>0</v>
      </c>
    </row>
    <row r="149" spans="21:23" x14ac:dyDescent="0.35">
      <c r="U149" s="112">
        <v>41639</v>
      </c>
      <c r="V149" s="113">
        <v>0.95521999999999996</v>
      </c>
      <c r="W149" s="113">
        <v>0</v>
      </c>
    </row>
    <row r="150" spans="21:23" x14ac:dyDescent="0.35">
      <c r="U150" s="112">
        <v>41608</v>
      </c>
      <c r="V150" s="113">
        <v>1.2427999999999999</v>
      </c>
      <c r="W150" s="113">
        <v>0</v>
      </c>
    </row>
    <row r="151" spans="21:23" x14ac:dyDescent="0.35">
      <c r="U151" s="112">
        <v>41578</v>
      </c>
      <c r="V151" s="113">
        <v>1.31948</v>
      </c>
      <c r="W151" s="113">
        <v>0</v>
      </c>
    </row>
    <row r="152" spans="21:23" x14ac:dyDescent="0.35">
      <c r="U152" s="112">
        <v>41547</v>
      </c>
      <c r="V152" s="113">
        <v>1.29514</v>
      </c>
      <c r="W152" s="113">
        <v>0</v>
      </c>
    </row>
    <row r="153" spans="21:23" x14ac:dyDescent="0.35">
      <c r="U153" s="112">
        <v>41517</v>
      </c>
      <c r="V153" s="113">
        <v>0.89195999999999998</v>
      </c>
      <c r="W153" s="113">
        <v>0</v>
      </c>
    </row>
    <row r="154" spans="21:23" x14ac:dyDescent="0.35">
      <c r="U154" s="112">
        <v>41486</v>
      </c>
      <c r="V154" s="113">
        <v>0.69645999999999997</v>
      </c>
      <c r="W154" s="113">
        <v>0</v>
      </c>
    </row>
    <row r="155" spans="21:23" x14ac:dyDescent="0.35">
      <c r="U155" s="112">
        <v>41455</v>
      </c>
      <c r="V155" s="113">
        <v>0.52103999999999995</v>
      </c>
      <c r="W155" s="113">
        <v>0</v>
      </c>
    </row>
    <row r="156" spans="21:23" x14ac:dyDescent="0.35">
      <c r="U156" s="112">
        <v>41425</v>
      </c>
      <c r="V156" s="113">
        <v>0.11086</v>
      </c>
      <c r="W156" s="113">
        <v>0</v>
      </c>
    </row>
    <row r="157" spans="21:23" x14ac:dyDescent="0.35">
      <c r="U157" s="112">
        <v>41394</v>
      </c>
      <c r="V157" s="113">
        <v>0.38366</v>
      </c>
      <c r="W157" s="113">
        <v>0</v>
      </c>
    </row>
    <row r="158" spans="21:23" x14ac:dyDescent="0.35">
      <c r="U158" s="112">
        <v>41364</v>
      </c>
      <c r="V158" s="113">
        <v>0.47376000000000001</v>
      </c>
      <c r="W158" s="113">
        <v>0</v>
      </c>
    </row>
    <row r="159" spans="21:23" x14ac:dyDescent="0.35">
      <c r="U159" s="112">
        <v>41333</v>
      </c>
      <c r="V159" s="113">
        <v>1.2798799999999999</v>
      </c>
      <c r="W159" s="113">
        <v>0</v>
      </c>
    </row>
    <row r="160" spans="21:23" x14ac:dyDescent="0.35">
      <c r="U160" s="112">
        <v>41305</v>
      </c>
      <c r="V160" s="113">
        <v>0.56230000000000002</v>
      </c>
      <c r="W160" s="113">
        <v>0</v>
      </c>
    </row>
    <row r="161" spans="21:23" x14ac:dyDescent="0.35">
      <c r="U161" s="112">
        <v>41274</v>
      </c>
      <c r="V161" s="113">
        <v>0.72399999999999998</v>
      </c>
      <c r="W161" s="113">
        <v>0</v>
      </c>
    </row>
    <row r="162" spans="21:23" x14ac:dyDescent="0.35">
      <c r="U162" s="112">
        <v>41243</v>
      </c>
      <c r="V162" s="113">
        <v>0.32</v>
      </c>
      <c r="W162" s="113">
        <v>0</v>
      </c>
    </row>
    <row r="163" spans="21:23" x14ac:dyDescent="0.35">
      <c r="U163" s="112">
        <v>41213</v>
      </c>
      <c r="V163" s="113">
        <v>-8.4000000000000005E-2</v>
      </c>
      <c r="W163" s="113">
        <v>0</v>
      </c>
    </row>
    <row r="164" spans="21:23" x14ac:dyDescent="0.35">
      <c r="U164" s="112">
        <v>41182</v>
      </c>
      <c r="V164" s="113">
        <v>-0.28000000000000003</v>
      </c>
      <c r="W164" s="113">
        <v>0</v>
      </c>
    </row>
    <row r="165" spans="21:23" x14ac:dyDescent="0.35">
      <c r="U165" s="112">
        <v>41152</v>
      </c>
      <c r="V165" s="113">
        <v>-0.192</v>
      </c>
      <c r="W165" s="113">
        <v>0</v>
      </c>
    </row>
    <row r="166" spans="21:23" x14ac:dyDescent="0.35">
      <c r="U166" s="112">
        <v>41121</v>
      </c>
      <c r="V166" s="113">
        <v>-6.8000000000000005E-2</v>
      </c>
      <c r="W166" s="113">
        <v>0</v>
      </c>
    </row>
    <row r="167" spans="21:23" x14ac:dyDescent="0.35">
      <c r="U167" s="112">
        <v>41090</v>
      </c>
      <c r="V167" s="113">
        <v>0.48799999999999999</v>
      </c>
      <c r="W167" s="113">
        <v>0</v>
      </c>
    </row>
    <row r="168" spans="21:23" x14ac:dyDescent="0.35">
      <c r="U168" s="112">
        <v>41060</v>
      </c>
      <c r="V168" s="113">
        <v>1.24</v>
      </c>
      <c r="W168" s="113">
        <v>0</v>
      </c>
    </row>
    <row r="169" spans="21:23" x14ac:dyDescent="0.35">
      <c r="U169" s="112">
        <v>41029</v>
      </c>
      <c r="V169" s="113">
        <v>1.76</v>
      </c>
      <c r="W169" s="113">
        <v>0</v>
      </c>
    </row>
    <row r="170" spans="21:23" x14ac:dyDescent="0.35">
      <c r="U170" s="112">
        <v>40999</v>
      </c>
      <c r="V170" s="113">
        <v>2.032</v>
      </c>
      <c r="W170" s="113">
        <v>0</v>
      </c>
    </row>
    <row r="171" spans="21:23" x14ac:dyDescent="0.35">
      <c r="U171" s="112">
        <v>40968</v>
      </c>
      <c r="V171" s="113">
        <v>1.9319999999999999</v>
      </c>
      <c r="W171" s="113">
        <v>0</v>
      </c>
    </row>
    <row r="172" spans="21:23" x14ac:dyDescent="0.35">
      <c r="U172" s="112">
        <v>40939</v>
      </c>
      <c r="V172" s="113">
        <v>2.992</v>
      </c>
      <c r="W172" s="113">
        <v>0</v>
      </c>
    </row>
    <row r="173" spans="21:23" x14ac:dyDescent="0.35">
      <c r="U173" s="112">
        <v>40908</v>
      </c>
      <c r="V173" s="113">
        <v>3.1179999999999999</v>
      </c>
      <c r="W173" s="113">
        <v>0</v>
      </c>
    </row>
    <row r="174" spans="21:23" x14ac:dyDescent="0.35">
      <c r="U174" s="112">
        <v>40877</v>
      </c>
      <c r="V174" s="113">
        <v>3.6230000000000002</v>
      </c>
      <c r="W174" s="113">
        <v>0</v>
      </c>
    </row>
    <row r="175" spans="21:23" x14ac:dyDescent="0.35">
      <c r="U175" s="112">
        <v>40847</v>
      </c>
      <c r="V175" s="113">
        <v>5.2969999999999997</v>
      </c>
      <c r="W175" s="113">
        <v>0</v>
      </c>
    </row>
    <row r="176" spans="21:23" x14ac:dyDescent="0.35">
      <c r="U176" s="112">
        <v>40816</v>
      </c>
      <c r="V176" s="113">
        <v>6.2481999999999998</v>
      </c>
      <c r="W176" s="113">
        <v>0</v>
      </c>
    </row>
    <row r="177" spans="21:23" x14ac:dyDescent="0.35">
      <c r="U177" s="112">
        <v>40786</v>
      </c>
      <c r="V177" s="113">
        <v>6.5906000000000002</v>
      </c>
      <c r="W177" s="113">
        <v>0</v>
      </c>
    </row>
    <row r="178" spans="21:23" x14ac:dyDescent="0.35">
      <c r="U178" s="112">
        <v>40755</v>
      </c>
      <c r="V178" s="113">
        <v>6.8865999999999996</v>
      </c>
      <c r="W178" s="113">
        <v>0</v>
      </c>
    </row>
    <row r="179" spans="21:23" x14ac:dyDescent="0.35">
      <c r="U179" s="112">
        <v>40724</v>
      </c>
      <c r="V179" s="113">
        <v>6.6609999999999996</v>
      </c>
      <c r="W179" s="113">
        <v>0</v>
      </c>
    </row>
    <row r="180" spans="21:23" x14ac:dyDescent="0.35">
      <c r="U180" s="112">
        <v>40694</v>
      </c>
      <c r="V180" s="113">
        <v>6.0250000000000004</v>
      </c>
      <c r="W180" s="113">
        <v>0</v>
      </c>
    </row>
    <row r="181" spans="21:23" x14ac:dyDescent="0.35">
      <c r="U181" s="112">
        <v>40663</v>
      </c>
      <c r="V181" s="113">
        <v>5.9344000000000001</v>
      </c>
      <c r="W181" s="113">
        <v>0</v>
      </c>
    </row>
    <row r="182" spans="21:23" x14ac:dyDescent="0.35">
      <c r="U182" s="112">
        <v>40633</v>
      </c>
      <c r="V182" s="113">
        <v>6.1538000000000004</v>
      </c>
      <c r="W182" s="113">
        <v>0</v>
      </c>
    </row>
    <row r="183" spans="21:23" x14ac:dyDescent="0.35">
      <c r="U183" s="112">
        <v>40602</v>
      </c>
      <c r="V183" s="113">
        <v>5.8583999999999996</v>
      </c>
      <c r="W183" s="113">
        <v>0</v>
      </c>
    </row>
    <row r="184" spans="21:23" x14ac:dyDescent="0.35">
      <c r="U184" s="112">
        <v>40574</v>
      </c>
      <c r="V184" s="113">
        <v>5.58</v>
      </c>
      <c r="W184" s="113">
        <v>0</v>
      </c>
    </row>
    <row r="185" spans="21:23" x14ac:dyDescent="0.35">
      <c r="U185" s="112">
        <v>40543</v>
      </c>
      <c r="V185" s="113">
        <v>5.1319999999999997</v>
      </c>
      <c r="W185" s="113">
        <v>0</v>
      </c>
    </row>
    <row r="186" spans="21:23" x14ac:dyDescent="0.35">
      <c r="U186" s="112">
        <v>40512</v>
      </c>
      <c r="V186" s="113">
        <v>5.484</v>
      </c>
      <c r="W186" s="113">
        <v>0</v>
      </c>
    </row>
    <row r="187" spans="21:23" x14ac:dyDescent="0.35">
      <c r="U187" s="112">
        <v>40482</v>
      </c>
      <c r="V187" s="113">
        <v>4.6559999999999997</v>
      </c>
      <c r="W187" s="113">
        <v>0</v>
      </c>
    </row>
    <row r="188" spans="21:23" x14ac:dyDescent="0.35">
      <c r="U188" s="112">
        <v>40451</v>
      </c>
      <c r="V188" s="113">
        <v>3.8919999999999999</v>
      </c>
      <c r="W188" s="113">
        <v>0</v>
      </c>
    </row>
    <row r="189" spans="21:23" x14ac:dyDescent="0.35">
      <c r="U189" s="112">
        <v>40421</v>
      </c>
      <c r="V189" s="113">
        <v>3.8279999999999998</v>
      </c>
      <c r="W189" s="113">
        <v>0</v>
      </c>
    </row>
    <row r="190" spans="21:23" x14ac:dyDescent="0.35">
      <c r="U190" s="112">
        <v>40390</v>
      </c>
      <c r="V190" s="113">
        <v>3.9159999999999999</v>
      </c>
      <c r="W190" s="113">
        <v>0</v>
      </c>
    </row>
    <row r="191" spans="21:23" x14ac:dyDescent="0.35">
      <c r="U191" s="112">
        <v>40359</v>
      </c>
      <c r="V191" s="113">
        <v>4.3040000000000003</v>
      </c>
      <c r="W191" s="113">
        <v>0</v>
      </c>
    </row>
    <row r="192" spans="21:23" x14ac:dyDescent="0.35">
      <c r="U192" s="112">
        <v>40329</v>
      </c>
      <c r="V192" s="113">
        <v>4.7119999999999997</v>
      </c>
      <c r="W192" s="113">
        <v>0</v>
      </c>
    </row>
    <row r="193" spans="21:23" x14ac:dyDescent="0.35">
      <c r="U193" s="112">
        <v>40298</v>
      </c>
      <c r="V193" s="113">
        <v>4.4039999999999999</v>
      </c>
      <c r="W193" s="113">
        <v>0</v>
      </c>
    </row>
    <row r="194" spans="21:23" x14ac:dyDescent="0.35">
      <c r="U194" s="112">
        <v>40268</v>
      </c>
      <c r="V194" s="113">
        <v>3.8039999999999998</v>
      </c>
      <c r="W194" s="113">
        <v>0</v>
      </c>
    </row>
    <row r="195" spans="21:23" x14ac:dyDescent="0.35">
      <c r="U195" s="112">
        <v>40237</v>
      </c>
      <c r="V195" s="113">
        <v>3.7759999999999998</v>
      </c>
      <c r="W195" s="113">
        <v>0</v>
      </c>
    </row>
    <row r="196" spans="21:23" x14ac:dyDescent="0.35">
      <c r="U196" s="112">
        <v>40209</v>
      </c>
      <c r="V196" s="113">
        <v>2.6280000000000001</v>
      </c>
      <c r="W196" s="113">
        <v>0</v>
      </c>
    </row>
    <row r="197" spans="21:23" x14ac:dyDescent="0.35">
      <c r="U197" s="112">
        <v>40178</v>
      </c>
      <c r="V197" s="113">
        <v>1.82</v>
      </c>
      <c r="W197" s="113">
        <v>0</v>
      </c>
    </row>
    <row r="198" spans="21:23" x14ac:dyDescent="0.35">
      <c r="U198" s="112">
        <v>40147</v>
      </c>
      <c r="V198" s="113">
        <v>-0.47199999999999998</v>
      </c>
      <c r="W198" s="113">
        <v>0</v>
      </c>
    </row>
    <row r="199" spans="21:23" x14ac:dyDescent="0.35">
      <c r="U199" s="112">
        <v>40117</v>
      </c>
      <c r="V199" s="113">
        <v>-2.64</v>
      </c>
      <c r="W199" s="113">
        <v>0</v>
      </c>
    </row>
    <row r="200" spans="21:23" x14ac:dyDescent="0.35">
      <c r="U200" s="112">
        <v>40086</v>
      </c>
      <c r="V200" s="113">
        <v>-3.2759999999999998</v>
      </c>
      <c r="W200" s="113">
        <v>0</v>
      </c>
    </row>
    <row r="201" spans="21:23" x14ac:dyDescent="0.35">
      <c r="U201" s="112">
        <v>40056</v>
      </c>
      <c r="V201" s="113">
        <v>-3.8639999999999999</v>
      </c>
      <c r="W201" s="113">
        <v>0</v>
      </c>
    </row>
    <row r="202" spans="21:23" x14ac:dyDescent="0.35">
      <c r="U202" s="112">
        <v>40025</v>
      </c>
      <c r="V202" s="113">
        <v>-4.3600000000000003</v>
      </c>
      <c r="W202" s="113">
        <v>0</v>
      </c>
    </row>
    <row r="203" spans="21:23" x14ac:dyDescent="0.35">
      <c r="U203" s="112">
        <v>39994</v>
      </c>
      <c r="V203" s="113">
        <v>-4.1399999999999997</v>
      </c>
      <c r="W203" s="113">
        <v>0</v>
      </c>
    </row>
    <row r="204" spans="21:23" x14ac:dyDescent="0.35">
      <c r="U204" s="112">
        <v>39964</v>
      </c>
      <c r="V204" s="113">
        <v>-3.72</v>
      </c>
      <c r="W204" s="113">
        <v>0</v>
      </c>
    </row>
    <row r="205" spans="21:23" x14ac:dyDescent="0.35">
      <c r="U205" s="112">
        <v>39933</v>
      </c>
      <c r="V205" s="113">
        <v>-3.54</v>
      </c>
      <c r="W205" s="113">
        <v>0</v>
      </c>
    </row>
    <row r="206" spans="21:23" x14ac:dyDescent="0.35">
      <c r="U206" s="112">
        <v>39903</v>
      </c>
      <c r="V206" s="113">
        <v>-3.12</v>
      </c>
      <c r="W206" s="113">
        <v>0</v>
      </c>
    </row>
    <row r="207" spans="21:23" x14ac:dyDescent="0.35">
      <c r="U207" s="112">
        <v>39872</v>
      </c>
      <c r="V207" s="113">
        <v>-2.7480000000000002</v>
      </c>
      <c r="W207" s="113">
        <v>0</v>
      </c>
    </row>
    <row r="208" spans="21:23" x14ac:dyDescent="0.35">
      <c r="U208" s="112">
        <v>39844</v>
      </c>
      <c r="V208" s="113">
        <v>-0.74</v>
      </c>
      <c r="W208" s="113">
        <v>0</v>
      </c>
    </row>
    <row r="209" spans="21:23" x14ac:dyDescent="0.35">
      <c r="U209" s="112">
        <v>39813</v>
      </c>
      <c r="V209" s="113">
        <v>0.26400000000000001</v>
      </c>
      <c r="W209" s="113">
        <v>0</v>
      </c>
    </row>
    <row r="210" spans="21:23" x14ac:dyDescent="0.35">
      <c r="U210" s="112">
        <v>39782</v>
      </c>
      <c r="V210" s="113">
        <v>2.2360000000000002</v>
      </c>
      <c r="W210" s="113">
        <v>0</v>
      </c>
    </row>
    <row r="211" spans="21:23" x14ac:dyDescent="0.35">
      <c r="U211" s="112">
        <v>39752</v>
      </c>
      <c r="V211" s="113">
        <v>5.0359999999999996</v>
      </c>
      <c r="W211" s="113">
        <v>0</v>
      </c>
    </row>
    <row r="212" spans="21:23" x14ac:dyDescent="0.35">
      <c r="U212" s="112">
        <v>39721</v>
      </c>
      <c r="V212" s="113">
        <v>6.4119999999999999</v>
      </c>
      <c r="W212" s="113">
        <v>0</v>
      </c>
    </row>
    <row r="213" spans="21:23" x14ac:dyDescent="0.35">
      <c r="U213" s="112">
        <v>39691</v>
      </c>
      <c r="V213" s="113">
        <v>6.9640000000000004</v>
      </c>
      <c r="W213" s="113">
        <v>0</v>
      </c>
    </row>
    <row r="214" spans="21:23" x14ac:dyDescent="0.35">
      <c r="U214" s="112">
        <v>39660</v>
      </c>
      <c r="V214" s="113">
        <v>7.7919999999999998</v>
      </c>
      <c r="W214" s="113">
        <v>0</v>
      </c>
    </row>
    <row r="215" spans="21:23" x14ac:dyDescent="0.35">
      <c r="U215" s="112">
        <v>39629</v>
      </c>
      <c r="V215" s="113">
        <v>7.7960000000000003</v>
      </c>
      <c r="W215" s="113">
        <v>0</v>
      </c>
    </row>
    <row r="216" spans="21:23" x14ac:dyDescent="0.35">
      <c r="U216" s="112">
        <v>39599</v>
      </c>
      <c r="V216" s="113">
        <v>7.9080000000000004</v>
      </c>
      <c r="W216" s="113">
        <v>0</v>
      </c>
    </row>
    <row r="217" spans="21:23" x14ac:dyDescent="0.35">
      <c r="U217" s="112">
        <v>39568</v>
      </c>
      <c r="V217" s="113">
        <v>8.3480000000000008</v>
      </c>
      <c r="W217" s="113">
        <v>0</v>
      </c>
    </row>
    <row r="218" spans="21:23" x14ac:dyDescent="0.35">
      <c r="U218" s="112">
        <v>39538</v>
      </c>
      <c r="V218" s="113">
        <v>8.16</v>
      </c>
      <c r="W218" s="113">
        <v>0</v>
      </c>
    </row>
    <row r="219" spans="21:23" x14ac:dyDescent="0.35">
      <c r="U219" s="112">
        <v>39507</v>
      </c>
      <c r="V219" s="113">
        <v>7.8680000000000003</v>
      </c>
      <c r="W219" s="113">
        <v>0</v>
      </c>
    </row>
    <row r="220" spans="21:23" x14ac:dyDescent="0.35">
      <c r="U220" s="112">
        <v>39478</v>
      </c>
      <c r="V220" s="113">
        <v>6.7</v>
      </c>
      <c r="W220" s="113">
        <v>0</v>
      </c>
    </row>
    <row r="221" spans="21:23" x14ac:dyDescent="0.35">
      <c r="U221" s="112">
        <v>39447</v>
      </c>
      <c r="V221" s="113">
        <v>6.0720000000000001</v>
      </c>
      <c r="W221" s="113">
        <v>0</v>
      </c>
    </row>
    <row r="222" spans="21:23" x14ac:dyDescent="0.35">
      <c r="U222" s="112">
        <v>39416</v>
      </c>
      <c r="V222" s="113">
        <v>5.96</v>
      </c>
      <c r="W222" s="113">
        <v>0</v>
      </c>
    </row>
    <row r="223" spans="21:23" x14ac:dyDescent="0.35">
      <c r="U223" s="112">
        <v>39386</v>
      </c>
      <c r="V223" s="113">
        <v>5.18</v>
      </c>
      <c r="W223" s="113">
        <v>0</v>
      </c>
    </row>
    <row r="224" spans="21:23" x14ac:dyDescent="0.35">
      <c r="U224" s="112">
        <v>39355</v>
      </c>
      <c r="V224" s="113">
        <v>4.8</v>
      </c>
      <c r="W224" s="113">
        <v>0</v>
      </c>
    </row>
    <row r="225" spans="21:23" x14ac:dyDescent="0.35">
      <c r="U225" s="112">
        <v>39325</v>
      </c>
      <c r="V225" s="113">
        <v>4.9400000000000004</v>
      </c>
      <c r="W225" s="113">
        <v>0</v>
      </c>
    </row>
    <row r="226" spans="21:23" x14ac:dyDescent="0.35">
      <c r="U226" s="112">
        <v>39294</v>
      </c>
      <c r="V226" s="113">
        <v>4.32</v>
      </c>
      <c r="W226" s="113">
        <v>0</v>
      </c>
    </row>
    <row r="227" spans="21:23" x14ac:dyDescent="0.35">
      <c r="U227" s="112">
        <v>39263</v>
      </c>
      <c r="V227" s="113">
        <v>3.6360000000000001</v>
      </c>
      <c r="W227" s="113">
        <v>0</v>
      </c>
    </row>
    <row r="228" spans="21:23" x14ac:dyDescent="0.35">
      <c r="U228" s="112">
        <v>39233</v>
      </c>
      <c r="V228" s="113">
        <v>3.16</v>
      </c>
      <c r="W228" s="113">
        <v>0</v>
      </c>
    </row>
    <row r="229" spans="21:23" x14ac:dyDescent="0.35">
      <c r="U229" s="112">
        <v>39202</v>
      </c>
      <c r="V229" s="113">
        <v>2.96</v>
      </c>
      <c r="W229" s="113">
        <v>0</v>
      </c>
    </row>
    <row r="230" spans="21:23" x14ac:dyDescent="0.35">
      <c r="U230" s="112">
        <v>39172</v>
      </c>
      <c r="V230" s="113">
        <v>3.06</v>
      </c>
      <c r="W230" s="113">
        <v>0</v>
      </c>
    </row>
    <row r="231" spans="21:23" x14ac:dyDescent="0.35">
      <c r="U231" s="112">
        <v>39141</v>
      </c>
      <c r="V231" s="113">
        <v>2.66</v>
      </c>
      <c r="W231" s="113">
        <v>0</v>
      </c>
    </row>
    <row r="232" spans="21:23" x14ac:dyDescent="0.35">
      <c r="U232" s="112">
        <v>39113</v>
      </c>
      <c r="V232" s="113">
        <v>2.64</v>
      </c>
      <c r="W232" s="113">
        <v>0</v>
      </c>
    </row>
    <row r="233" spans="21:23" x14ac:dyDescent="0.35">
      <c r="U233" s="112">
        <v>39082</v>
      </c>
      <c r="V233" s="113">
        <v>2.92</v>
      </c>
      <c r="W233" s="113">
        <v>0</v>
      </c>
    </row>
    <row r="234" spans="21:23" x14ac:dyDescent="0.35">
      <c r="U234" s="112">
        <v>39051</v>
      </c>
      <c r="V234" s="113">
        <v>2.2519999999999998</v>
      </c>
      <c r="W234" s="113">
        <v>0</v>
      </c>
    </row>
    <row r="235" spans="21:23" x14ac:dyDescent="0.35">
      <c r="U235" s="112">
        <v>39021</v>
      </c>
      <c r="V235" s="113">
        <v>2</v>
      </c>
      <c r="W235" s="113">
        <v>0</v>
      </c>
    </row>
    <row r="236" spans="21:23" x14ac:dyDescent="0.35">
      <c r="U236" s="112">
        <v>38990</v>
      </c>
      <c r="V236" s="113">
        <v>2.2999999999999998</v>
      </c>
      <c r="W236" s="113">
        <v>0</v>
      </c>
    </row>
    <row r="237" spans="21:23" x14ac:dyDescent="0.35">
      <c r="U237" s="112">
        <v>38960</v>
      </c>
      <c r="V237" s="113">
        <v>2.14</v>
      </c>
      <c r="W237" s="113">
        <v>0</v>
      </c>
    </row>
    <row r="238" spans="21:23" x14ac:dyDescent="0.35">
      <c r="U238" s="112">
        <v>38929</v>
      </c>
      <c r="V238" s="113">
        <v>2.032</v>
      </c>
      <c r="W238" s="113">
        <v>0</v>
      </c>
    </row>
    <row r="239" spans="21:23" x14ac:dyDescent="0.35">
      <c r="U239" s="112">
        <v>38898</v>
      </c>
      <c r="V239" s="113">
        <v>2.3079999999999998</v>
      </c>
      <c r="W239" s="113">
        <v>0</v>
      </c>
    </row>
    <row r="240" spans="21:23" x14ac:dyDescent="0.35">
      <c r="U240" s="112">
        <v>38868</v>
      </c>
      <c r="V240" s="113">
        <v>1.8120000000000001</v>
      </c>
      <c r="W240" s="113">
        <v>0</v>
      </c>
    </row>
    <row r="241" spans="21:23" x14ac:dyDescent="0.35">
      <c r="U241" s="112">
        <v>38837</v>
      </c>
      <c r="V241" s="113">
        <v>1.468</v>
      </c>
      <c r="W241" s="113">
        <v>0</v>
      </c>
    </row>
    <row r="242" spans="21:23" x14ac:dyDescent="0.35">
      <c r="U242" s="112">
        <v>38807</v>
      </c>
      <c r="V242" s="113">
        <v>1.476</v>
      </c>
      <c r="W242" s="113">
        <v>0</v>
      </c>
    </row>
    <row r="243" spans="21:23" x14ac:dyDescent="0.35">
      <c r="U243" s="112">
        <v>38776</v>
      </c>
      <c r="V243" s="113">
        <v>1.744</v>
      </c>
      <c r="W243" s="113">
        <v>0</v>
      </c>
    </row>
    <row r="244" spans="21:23" x14ac:dyDescent="0.35">
      <c r="U244" s="112">
        <v>38748</v>
      </c>
      <c r="V244" s="113">
        <v>2.36</v>
      </c>
      <c r="W244" s="113">
        <v>0</v>
      </c>
    </row>
    <row r="245" spans="21:23" x14ac:dyDescent="0.35">
      <c r="U245" s="112">
        <v>38717</v>
      </c>
      <c r="V245" s="113">
        <v>2.2400000000000002</v>
      </c>
      <c r="W245" s="113">
        <v>0</v>
      </c>
    </row>
    <row r="246" spans="21:23" x14ac:dyDescent="0.35">
      <c r="U246" s="112">
        <v>38686</v>
      </c>
      <c r="V246" s="113">
        <v>2.06</v>
      </c>
      <c r="W246" s="113">
        <v>0</v>
      </c>
    </row>
    <row r="247" spans="21:23" x14ac:dyDescent="0.35">
      <c r="U247" s="112">
        <v>38656</v>
      </c>
      <c r="V247" s="113">
        <v>2.3199999999999998</v>
      </c>
      <c r="W247" s="113">
        <v>0</v>
      </c>
    </row>
    <row r="248" spans="21:23" x14ac:dyDescent="0.35">
      <c r="U248" s="112">
        <v>38625</v>
      </c>
      <c r="V248" s="113">
        <v>2.34</v>
      </c>
      <c r="W248" s="113">
        <v>0</v>
      </c>
    </row>
    <row r="249" spans="21:23" x14ac:dyDescent="0.35">
      <c r="U249" s="112">
        <v>38595</v>
      </c>
      <c r="V249" s="113">
        <v>2.9</v>
      </c>
      <c r="W249" s="113">
        <v>0</v>
      </c>
    </row>
    <row r="250" spans="21:23" x14ac:dyDescent="0.35">
      <c r="U250" s="112">
        <v>38564</v>
      </c>
      <c r="V250" s="113">
        <v>3.16</v>
      </c>
      <c r="W250" s="113">
        <v>0</v>
      </c>
    </row>
    <row r="251" spans="21:23" x14ac:dyDescent="0.35">
      <c r="U251" s="112">
        <v>38533</v>
      </c>
      <c r="V251" s="113">
        <v>3.04</v>
      </c>
      <c r="W251" s="113">
        <v>0</v>
      </c>
    </row>
    <row r="252" spans="21:23" x14ac:dyDescent="0.35">
      <c r="U252" s="112">
        <v>38503</v>
      </c>
      <c r="V252" s="113">
        <v>3.44</v>
      </c>
      <c r="W252" s="113">
        <v>0</v>
      </c>
    </row>
    <row r="253" spans="21:23" x14ac:dyDescent="0.35">
      <c r="U253" s="112">
        <v>38472</v>
      </c>
      <c r="V253" s="113">
        <v>3.3919999999999999</v>
      </c>
      <c r="W253" s="113">
        <v>0</v>
      </c>
    </row>
    <row r="254" spans="21:23" x14ac:dyDescent="0.35">
      <c r="U254" s="112">
        <v>38442</v>
      </c>
      <c r="V254" s="113">
        <v>3.86</v>
      </c>
      <c r="W254" s="113">
        <v>0</v>
      </c>
    </row>
    <row r="255" spans="21:23" x14ac:dyDescent="0.35">
      <c r="U255" s="112">
        <v>38411</v>
      </c>
      <c r="V255" s="113">
        <v>4.492</v>
      </c>
      <c r="W255" s="113">
        <v>0</v>
      </c>
    </row>
    <row r="256" spans="21:23" x14ac:dyDescent="0.35">
      <c r="U256" s="112">
        <v>38383</v>
      </c>
      <c r="V256" s="113">
        <v>3.46</v>
      </c>
      <c r="W256" s="113">
        <v>0</v>
      </c>
    </row>
    <row r="257" spans="21:23" x14ac:dyDescent="0.35">
      <c r="U257" s="112">
        <v>38352</v>
      </c>
      <c r="V257" s="113">
        <v>4.28</v>
      </c>
      <c r="W257" s="113">
        <v>0</v>
      </c>
    </row>
    <row r="258" spans="21:23" x14ac:dyDescent="0.35">
      <c r="U258" s="112">
        <v>38321</v>
      </c>
      <c r="V258" s="113">
        <v>4.92</v>
      </c>
      <c r="W258" s="113">
        <v>0</v>
      </c>
    </row>
    <row r="259" spans="21:23" x14ac:dyDescent="0.35">
      <c r="U259" s="112">
        <v>38291</v>
      </c>
      <c r="V259" s="113">
        <v>5.94</v>
      </c>
      <c r="W259" s="113">
        <v>0</v>
      </c>
    </row>
    <row r="260" spans="21:23" x14ac:dyDescent="0.35">
      <c r="U260" s="112">
        <v>38260</v>
      </c>
      <c r="V260" s="113">
        <v>6.28</v>
      </c>
      <c r="W260" s="113">
        <v>0</v>
      </c>
    </row>
    <row r="261" spans="21:23" x14ac:dyDescent="0.35">
      <c r="U261" s="112">
        <v>38230</v>
      </c>
      <c r="V261" s="113">
        <v>5.9</v>
      </c>
      <c r="W261" s="113">
        <v>0</v>
      </c>
    </row>
    <row r="262" spans="21:23" x14ac:dyDescent="0.35">
      <c r="U262" s="112">
        <v>38199</v>
      </c>
      <c r="V262" s="113">
        <v>5.74</v>
      </c>
      <c r="W262" s="113">
        <v>0</v>
      </c>
    </row>
    <row r="263" spans="21:23" x14ac:dyDescent="0.35">
      <c r="U263" s="112">
        <v>38168</v>
      </c>
      <c r="V263" s="113">
        <v>5.56</v>
      </c>
      <c r="W263" s="113">
        <v>0</v>
      </c>
    </row>
    <row r="264" spans="21:23" x14ac:dyDescent="0.35">
      <c r="U264" s="112">
        <v>38138</v>
      </c>
      <c r="V264" s="113">
        <v>4.92</v>
      </c>
      <c r="W264" s="113">
        <v>0</v>
      </c>
    </row>
    <row r="265" spans="21:23" x14ac:dyDescent="0.35">
      <c r="U265" s="112">
        <v>38107</v>
      </c>
      <c r="V265" s="113">
        <v>4.28</v>
      </c>
      <c r="W265" s="113">
        <v>0</v>
      </c>
    </row>
    <row r="266" spans="21:23" x14ac:dyDescent="0.35">
      <c r="U266" s="112">
        <v>38077</v>
      </c>
      <c r="V266" s="113">
        <v>3.4</v>
      </c>
      <c r="W266" s="113">
        <v>0</v>
      </c>
    </row>
    <row r="267" spans="21:23" x14ac:dyDescent="0.35">
      <c r="U267" s="112">
        <v>38046</v>
      </c>
      <c r="V267" s="113">
        <v>2.66</v>
      </c>
      <c r="W267" s="113">
        <v>0</v>
      </c>
    </row>
    <row r="268" spans="21:23" x14ac:dyDescent="0.35">
      <c r="U268" s="112">
        <v>38017</v>
      </c>
      <c r="V268" s="113">
        <v>3.32</v>
      </c>
      <c r="W268" s="113">
        <v>0</v>
      </c>
    </row>
    <row r="269" spans="21:23" x14ac:dyDescent="0.35">
      <c r="U269" s="112">
        <v>37986</v>
      </c>
      <c r="V269" s="113">
        <v>3.12</v>
      </c>
      <c r="W269" s="113">
        <v>0</v>
      </c>
    </row>
    <row r="270" spans="21:23" x14ac:dyDescent="0.35">
      <c r="U270" s="112">
        <v>37955</v>
      </c>
      <c r="V270" s="113">
        <v>2.56</v>
      </c>
      <c r="W270" s="113">
        <v>0</v>
      </c>
    </row>
    <row r="271" spans="21:23" x14ac:dyDescent="0.35">
      <c r="U271" s="112">
        <v>37925</v>
      </c>
      <c r="V271" s="113">
        <v>1.56</v>
      </c>
      <c r="W271" s="113">
        <v>0</v>
      </c>
    </row>
    <row r="272" spans="21:23" x14ac:dyDescent="0.35">
      <c r="U272" s="112">
        <v>37894</v>
      </c>
      <c r="V272" s="113">
        <v>1.22</v>
      </c>
      <c r="W272" s="113">
        <v>0</v>
      </c>
    </row>
    <row r="273" spans="21:23" x14ac:dyDescent="0.35">
      <c r="U273" s="112">
        <v>37864</v>
      </c>
      <c r="V273" s="113">
        <v>1.1000000000000001</v>
      </c>
      <c r="W273" s="113">
        <v>0</v>
      </c>
    </row>
    <row r="274" spans="21:23" x14ac:dyDescent="0.35">
      <c r="U274" s="112">
        <v>37833</v>
      </c>
      <c r="V274" s="113">
        <v>0.86</v>
      </c>
      <c r="W274" s="113">
        <v>0</v>
      </c>
    </row>
    <row r="275" spans="21:23" x14ac:dyDescent="0.35">
      <c r="U275" s="112">
        <v>37802</v>
      </c>
      <c r="V275" s="113">
        <v>0.7</v>
      </c>
      <c r="W275" s="113">
        <v>0</v>
      </c>
    </row>
    <row r="276" spans="21:23" x14ac:dyDescent="0.35">
      <c r="U276" s="112">
        <v>37772</v>
      </c>
      <c r="V276" s="113">
        <v>1.22</v>
      </c>
      <c r="W276" s="113">
        <v>0</v>
      </c>
    </row>
    <row r="277" spans="21:23" x14ac:dyDescent="0.35">
      <c r="U277" s="112">
        <v>37741</v>
      </c>
      <c r="V277" s="113">
        <v>2.04</v>
      </c>
      <c r="W277" s="113">
        <v>0</v>
      </c>
    </row>
    <row r="278" spans="21:23" x14ac:dyDescent="0.35">
      <c r="U278" s="112">
        <v>37711</v>
      </c>
      <c r="V278" s="113">
        <v>2.38</v>
      </c>
      <c r="W278" s="113">
        <v>0</v>
      </c>
    </row>
    <row r="279" spans="21:23" x14ac:dyDescent="0.35">
      <c r="U279" s="112">
        <v>37680</v>
      </c>
      <c r="V279" s="113">
        <v>1.72</v>
      </c>
      <c r="W279" s="113">
        <v>0</v>
      </c>
    </row>
    <row r="280" spans="21:23" x14ac:dyDescent="0.35">
      <c r="U280" s="112">
        <v>37652</v>
      </c>
      <c r="V280" s="113">
        <v>1.2</v>
      </c>
      <c r="W280" s="113">
        <v>0</v>
      </c>
    </row>
    <row r="281" spans="21:23" x14ac:dyDescent="0.35">
      <c r="U281" s="112">
        <v>37621</v>
      </c>
      <c r="V281" s="113">
        <v>-0.08</v>
      </c>
      <c r="W281" s="113">
        <v>0</v>
      </c>
    </row>
    <row r="282" spans="21:23" x14ac:dyDescent="0.35">
      <c r="U282" s="112">
        <v>37590</v>
      </c>
      <c r="V282" s="113">
        <v>-0.57999999999999996</v>
      </c>
      <c r="W282" s="113">
        <v>0</v>
      </c>
    </row>
    <row r="283" spans="21:23" x14ac:dyDescent="0.35">
      <c r="U283" s="112">
        <v>37560</v>
      </c>
      <c r="V283" s="113">
        <v>-0.88</v>
      </c>
      <c r="W283" s="113">
        <v>0</v>
      </c>
    </row>
    <row r="284" spans="21:23" x14ac:dyDescent="0.35">
      <c r="U284" s="112">
        <v>37529</v>
      </c>
      <c r="V284" s="113">
        <v>-0.98</v>
      </c>
      <c r="W284" s="113">
        <v>0</v>
      </c>
    </row>
    <row r="285" spans="21:23" x14ac:dyDescent="0.35">
      <c r="U285" s="112">
        <v>37499</v>
      </c>
      <c r="V285" s="113">
        <v>-1.1000000000000001</v>
      </c>
      <c r="W285" s="113">
        <v>0</v>
      </c>
    </row>
    <row r="286" spans="21:23" x14ac:dyDescent="0.35">
      <c r="U286" s="112">
        <v>37468</v>
      </c>
      <c r="V286" s="113">
        <v>-1.46</v>
      </c>
      <c r="W286" s="113">
        <v>0</v>
      </c>
    </row>
    <row r="287" spans="21:23" x14ac:dyDescent="0.35">
      <c r="U287" s="112">
        <v>37437</v>
      </c>
      <c r="V287" s="113">
        <v>-1.48</v>
      </c>
      <c r="W287" s="113">
        <v>0</v>
      </c>
    </row>
    <row r="288" spans="21:23" x14ac:dyDescent="0.35">
      <c r="U288" s="112">
        <v>37407</v>
      </c>
      <c r="V288" s="113">
        <v>-1.712</v>
      </c>
      <c r="W288" s="113">
        <v>0</v>
      </c>
    </row>
    <row r="289" spans="21:23" x14ac:dyDescent="0.35">
      <c r="U289" s="112">
        <v>37376</v>
      </c>
      <c r="V289" s="113">
        <v>-2.004</v>
      </c>
      <c r="W289" s="113">
        <v>0</v>
      </c>
    </row>
    <row r="290" spans="21:23" x14ac:dyDescent="0.35">
      <c r="U290" s="112">
        <v>37346</v>
      </c>
      <c r="V290" s="113">
        <v>-2.08</v>
      </c>
      <c r="W290" s="113">
        <v>0</v>
      </c>
    </row>
    <row r="291" spans="21:23" x14ac:dyDescent="0.35">
      <c r="U291" s="112">
        <v>37315</v>
      </c>
      <c r="V291" s="113">
        <v>-1.68</v>
      </c>
      <c r="W291" s="113">
        <v>0</v>
      </c>
    </row>
    <row r="292" spans="21:23" x14ac:dyDescent="0.35">
      <c r="U292" s="112">
        <v>37287</v>
      </c>
      <c r="V292" s="113">
        <v>-2.2799999999999998</v>
      </c>
      <c r="W292" s="113">
        <v>0</v>
      </c>
    </row>
    <row r="293" spans="21:23" x14ac:dyDescent="0.35">
      <c r="U293" s="112">
        <v>37256</v>
      </c>
      <c r="V293" s="113">
        <v>-1.78</v>
      </c>
      <c r="W293" s="113">
        <v>0</v>
      </c>
    </row>
    <row r="294" spans="21:23" x14ac:dyDescent="0.35">
      <c r="U294" s="112">
        <v>37225</v>
      </c>
      <c r="V294" s="113">
        <v>-1.66</v>
      </c>
      <c r="W294" s="113">
        <v>0</v>
      </c>
    </row>
    <row r="295" spans="21:23" x14ac:dyDescent="0.35">
      <c r="U295" s="112">
        <v>37195</v>
      </c>
      <c r="V295" s="113">
        <v>-1.1200000000000001</v>
      </c>
      <c r="W295" s="113">
        <v>0</v>
      </c>
    </row>
    <row r="296" spans="21:23" x14ac:dyDescent="0.35">
      <c r="U296" s="112">
        <v>37164</v>
      </c>
      <c r="V296" s="113">
        <v>-1.22</v>
      </c>
      <c r="W296" s="113">
        <v>0</v>
      </c>
    </row>
    <row r="297" spans="21:23" x14ac:dyDescent="0.35">
      <c r="U297" s="112">
        <v>37134</v>
      </c>
      <c r="V297" s="113">
        <v>-0.2</v>
      </c>
      <c r="W297" s="113">
        <v>0</v>
      </c>
    </row>
    <row r="298" spans="21:23" x14ac:dyDescent="0.35">
      <c r="U298" s="112">
        <v>37103</v>
      </c>
      <c r="V298" s="113">
        <v>0.38</v>
      </c>
      <c r="W298" s="113">
        <v>0</v>
      </c>
    </row>
    <row r="299" spans="21:23" x14ac:dyDescent="0.35">
      <c r="U299" s="112">
        <v>37072</v>
      </c>
      <c r="V299" s="113">
        <v>0.6</v>
      </c>
      <c r="W299" s="113">
        <v>0</v>
      </c>
    </row>
    <row r="300" spans="21:23" x14ac:dyDescent="0.35">
      <c r="U300" s="112">
        <v>37042</v>
      </c>
      <c r="V300" s="113">
        <v>0.94</v>
      </c>
      <c r="W300" s="113">
        <v>0</v>
      </c>
    </row>
    <row r="301" spans="21:23" x14ac:dyDescent="0.35">
      <c r="U301" s="112">
        <v>37011</v>
      </c>
      <c r="V301" s="113">
        <v>0.92</v>
      </c>
      <c r="W301" s="113">
        <v>0</v>
      </c>
    </row>
    <row r="302" spans="21:23" x14ac:dyDescent="0.35">
      <c r="U302" s="112">
        <v>36981</v>
      </c>
      <c r="V302" s="113">
        <v>0.56000000000000005</v>
      </c>
      <c r="W302" s="113">
        <v>0</v>
      </c>
    </row>
    <row r="303" spans="21:23" x14ac:dyDescent="0.35">
      <c r="U303" s="112">
        <v>36950</v>
      </c>
      <c r="V303" s="113">
        <v>0.36</v>
      </c>
      <c r="W303" s="113">
        <v>0</v>
      </c>
    </row>
    <row r="304" spans="21:23" x14ac:dyDescent="0.35">
      <c r="U304" s="112">
        <v>36922</v>
      </c>
      <c r="V304" s="113">
        <v>1.292</v>
      </c>
      <c r="W304" s="113">
        <v>0</v>
      </c>
    </row>
    <row r="305" spans="21:23" x14ac:dyDescent="0.35">
      <c r="U305" s="112">
        <v>36891</v>
      </c>
      <c r="V305" s="113">
        <v>2.02</v>
      </c>
      <c r="W305" s="113">
        <v>0</v>
      </c>
    </row>
    <row r="306" spans="21:23" x14ac:dyDescent="0.35">
      <c r="U306" s="112">
        <v>36860</v>
      </c>
      <c r="V306" s="113">
        <v>2.1800000000000002</v>
      </c>
      <c r="W306" s="113">
        <v>0</v>
      </c>
    </row>
    <row r="307" spans="21:23" x14ac:dyDescent="0.35">
      <c r="U307" s="112">
        <v>36830</v>
      </c>
      <c r="V307" s="113">
        <v>1.44</v>
      </c>
      <c r="W307" s="113">
        <v>0</v>
      </c>
    </row>
    <row r="308" spans="21:23" x14ac:dyDescent="0.35">
      <c r="U308" s="112">
        <v>36799</v>
      </c>
      <c r="V308" s="113">
        <v>1.48</v>
      </c>
      <c r="W308" s="113">
        <v>0</v>
      </c>
    </row>
    <row r="309" spans="21:23" x14ac:dyDescent="0.35">
      <c r="U309" s="112">
        <v>36769</v>
      </c>
      <c r="V309" s="113">
        <v>1.748</v>
      </c>
      <c r="W309" s="113">
        <v>0</v>
      </c>
    </row>
    <row r="310" spans="21:23" x14ac:dyDescent="0.35">
      <c r="U310" s="112">
        <v>36738</v>
      </c>
      <c r="V310" s="113">
        <v>2.1</v>
      </c>
      <c r="W310" s="113">
        <v>0</v>
      </c>
    </row>
    <row r="311" spans="21:23" x14ac:dyDescent="0.35">
      <c r="U311" s="112">
        <v>36707</v>
      </c>
      <c r="V311" s="113">
        <v>1.48</v>
      </c>
      <c r="W311" s="113">
        <v>0</v>
      </c>
    </row>
    <row r="312" spans="21:23" x14ac:dyDescent="0.35">
      <c r="U312" s="112">
        <v>36677</v>
      </c>
      <c r="V312" s="113">
        <v>0.32800000000000001</v>
      </c>
      <c r="W312" s="113">
        <v>0</v>
      </c>
    </row>
    <row r="313" spans="21:23" x14ac:dyDescent="0.35">
      <c r="U313" s="112">
        <v>36646</v>
      </c>
      <c r="V313" s="113">
        <v>0.85599999999999998</v>
      </c>
      <c r="W313" s="113">
        <v>0</v>
      </c>
    </row>
    <row r="314" spans="21:23" x14ac:dyDescent="0.35">
      <c r="U314" s="112">
        <v>36616</v>
      </c>
      <c r="V314" s="113">
        <v>0.628</v>
      </c>
      <c r="W314" s="113">
        <v>0</v>
      </c>
    </row>
    <row r="315" spans="21:23" x14ac:dyDescent="0.35">
      <c r="U315" s="112">
        <v>36585</v>
      </c>
      <c r="V315" s="113">
        <v>0.9</v>
      </c>
      <c r="W315" s="113">
        <v>0</v>
      </c>
    </row>
    <row r="316" spans="21:23" x14ac:dyDescent="0.35">
      <c r="U316" s="112">
        <v>36556</v>
      </c>
      <c r="V316" s="113">
        <v>-0.108</v>
      </c>
      <c r="W316" s="113">
        <v>0</v>
      </c>
    </row>
    <row r="317" spans="21:23" x14ac:dyDescent="0.35">
      <c r="U317" s="112">
        <v>36525</v>
      </c>
      <c r="V317" s="113">
        <v>-0.93200000000000005</v>
      </c>
      <c r="W317" s="113">
        <v>0</v>
      </c>
    </row>
    <row r="318" spans="21:23" x14ac:dyDescent="0.35">
      <c r="U318" s="112">
        <v>36494</v>
      </c>
      <c r="V318" s="113">
        <v>-0.95599999999999996</v>
      </c>
      <c r="W318" s="113">
        <v>0</v>
      </c>
    </row>
    <row r="319" spans="21:23" x14ac:dyDescent="0.35">
      <c r="U319" s="112">
        <v>36464</v>
      </c>
      <c r="V319" s="113">
        <v>-0.65600000000000003</v>
      </c>
      <c r="W319" s="113">
        <v>0</v>
      </c>
    </row>
    <row r="320" spans="21:23" x14ac:dyDescent="0.35">
      <c r="U320" s="112">
        <v>36433</v>
      </c>
      <c r="V320" s="113">
        <v>-1.32</v>
      </c>
      <c r="W320" s="113">
        <v>0</v>
      </c>
    </row>
    <row r="321" spans="21:23" x14ac:dyDescent="0.35">
      <c r="U321" s="112">
        <v>36403</v>
      </c>
      <c r="V321" s="113">
        <v>-1.7</v>
      </c>
      <c r="W321" s="113">
        <v>0</v>
      </c>
    </row>
    <row r="322" spans="21:23" x14ac:dyDescent="0.35">
      <c r="U322" s="112">
        <v>36372</v>
      </c>
      <c r="V322" s="113">
        <v>-1.8440000000000001</v>
      </c>
      <c r="W322" s="113">
        <v>0</v>
      </c>
    </row>
    <row r="323" spans="21:23" x14ac:dyDescent="0.35">
      <c r="U323" s="112">
        <v>36341</v>
      </c>
      <c r="V323" s="113">
        <v>-2.7</v>
      </c>
      <c r="W323" s="113">
        <v>0</v>
      </c>
    </row>
    <row r="324" spans="21:23" x14ac:dyDescent="0.35">
      <c r="U324" s="112">
        <v>36311</v>
      </c>
      <c r="V324" s="113">
        <v>-2.6880000000000002</v>
      </c>
      <c r="W324" s="113">
        <v>0</v>
      </c>
    </row>
    <row r="325" spans="21:23" x14ac:dyDescent="0.35">
      <c r="U325" s="112">
        <v>36280</v>
      </c>
      <c r="V325" s="113">
        <v>-2.8639999999999999</v>
      </c>
      <c r="W325" s="113">
        <v>0</v>
      </c>
    </row>
    <row r="326" spans="21:23" x14ac:dyDescent="0.35">
      <c r="U326" s="112">
        <v>36250</v>
      </c>
      <c r="V326" s="113">
        <v>-2.9279999999999999</v>
      </c>
      <c r="W326" s="113">
        <v>0</v>
      </c>
    </row>
    <row r="327" spans="21:23" x14ac:dyDescent="0.35">
      <c r="U327" s="112">
        <v>36219</v>
      </c>
      <c r="V327" s="113">
        <v>-2.7360000000000002</v>
      </c>
      <c r="W327" s="113">
        <v>0</v>
      </c>
    </row>
    <row r="328" spans="21:23" x14ac:dyDescent="0.35">
      <c r="U328" s="112">
        <v>36191</v>
      </c>
      <c r="V328" s="113">
        <v>-2.6880000000000002</v>
      </c>
      <c r="W328" s="113">
        <v>0</v>
      </c>
    </row>
    <row r="329" spans="21:23" x14ac:dyDescent="0.35">
      <c r="U329" s="112">
        <v>36160</v>
      </c>
      <c r="V329" s="113">
        <v>-2.7519999999999998</v>
      </c>
      <c r="W329" s="113">
        <v>0</v>
      </c>
    </row>
    <row r="330" spans="21:23" x14ac:dyDescent="0.35">
      <c r="U330" s="112">
        <v>36129</v>
      </c>
      <c r="V330" s="113">
        <v>-2.992</v>
      </c>
      <c r="W330" s="113">
        <v>0</v>
      </c>
    </row>
    <row r="331" spans="21:23" x14ac:dyDescent="0.35">
      <c r="U331" s="112">
        <v>36099</v>
      </c>
      <c r="V331" s="113">
        <v>-2.8119999999999998</v>
      </c>
      <c r="W331" s="113">
        <v>0</v>
      </c>
    </row>
    <row r="332" spans="21:23" x14ac:dyDescent="0.35">
      <c r="U332" s="112">
        <v>36068</v>
      </c>
      <c r="V332" s="113">
        <v>-2.5760000000000001</v>
      </c>
      <c r="W332" s="113">
        <v>0</v>
      </c>
    </row>
    <row r="333" spans="21:23" x14ac:dyDescent="0.35">
      <c r="U333" s="112">
        <v>36038</v>
      </c>
      <c r="V333" s="113">
        <v>-3.056</v>
      </c>
      <c r="W333" s="113">
        <v>0</v>
      </c>
    </row>
    <row r="334" spans="21:23" x14ac:dyDescent="0.35">
      <c r="U334" s="112">
        <v>36007</v>
      </c>
      <c r="V334" s="113">
        <v>-2.8239999999999998</v>
      </c>
      <c r="W334" s="113">
        <v>0</v>
      </c>
    </row>
    <row r="335" spans="21:23" x14ac:dyDescent="0.35">
      <c r="U335" s="112">
        <v>35976</v>
      </c>
      <c r="V335" s="113">
        <v>-2.7320000000000002</v>
      </c>
      <c r="W335" s="113">
        <v>0</v>
      </c>
    </row>
    <row r="336" spans="21:23" x14ac:dyDescent="0.35">
      <c r="U336" s="112">
        <v>35946</v>
      </c>
      <c r="V336" s="113">
        <v>-2.3879999999999999</v>
      </c>
      <c r="W336" s="113">
        <v>0</v>
      </c>
    </row>
    <row r="337" spans="21:23" x14ac:dyDescent="0.35">
      <c r="U337" s="112">
        <v>35915</v>
      </c>
      <c r="V337" s="113">
        <v>-1.6559999999999999</v>
      </c>
      <c r="W337" s="113">
        <v>0</v>
      </c>
    </row>
    <row r="338" spans="21:23" x14ac:dyDescent="0.35">
      <c r="U338" s="112">
        <v>35885</v>
      </c>
      <c r="V338" s="113">
        <v>-0.86</v>
      </c>
      <c r="W338" s="113">
        <v>0</v>
      </c>
    </row>
    <row r="339" spans="21:23" x14ac:dyDescent="0.35">
      <c r="U339" s="112">
        <v>35854</v>
      </c>
      <c r="V339" s="113">
        <v>-1.1200000000000001</v>
      </c>
      <c r="W339" s="113">
        <v>0</v>
      </c>
    </row>
    <row r="340" spans="21:23" x14ac:dyDescent="0.35">
      <c r="U340" s="112">
        <v>35826</v>
      </c>
      <c r="V340" s="113">
        <v>-0.34799999999999998</v>
      </c>
      <c r="W340" s="113">
        <v>0</v>
      </c>
    </row>
    <row r="341" spans="21:23" x14ac:dyDescent="0.35">
      <c r="U341" s="112">
        <v>35795</v>
      </c>
      <c r="V341" s="113">
        <v>-0.128</v>
      </c>
      <c r="W341" s="113">
        <v>0</v>
      </c>
    </row>
    <row r="342" spans="21:23" x14ac:dyDescent="0.35">
      <c r="U342" s="112">
        <v>35764</v>
      </c>
      <c r="V342" s="113">
        <v>0.41599999999999998</v>
      </c>
      <c r="W342" s="113">
        <v>0</v>
      </c>
    </row>
    <row r="343" spans="21:23" x14ac:dyDescent="0.35">
      <c r="U343" s="112">
        <v>35734</v>
      </c>
      <c r="V343" s="113">
        <v>0.53200000000000003</v>
      </c>
      <c r="W343" s="113">
        <v>0</v>
      </c>
    </row>
    <row r="344" spans="21:23" x14ac:dyDescent="0.35">
      <c r="U344" s="112">
        <v>35703</v>
      </c>
      <c r="V344" s="113">
        <v>0.7</v>
      </c>
      <c r="W344" s="113">
        <v>0</v>
      </c>
    </row>
    <row r="345" spans="21:23" x14ac:dyDescent="0.35">
      <c r="U345" s="112">
        <v>35673</v>
      </c>
      <c r="V345" s="113">
        <v>0.78400000000000003</v>
      </c>
      <c r="W345" s="113">
        <v>0</v>
      </c>
    </row>
    <row r="346" spans="21:23" x14ac:dyDescent="0.35">
      <c r="U346" s="112">
        <v>35642</v>
      </c>
      <c r="V346" s="113">
        <v>1.36</v>
      </c>
      <c r="W346" s="113">
        <v>0</v>
      </c>
    </row>
    <row r="347" spans="21:23" x14ac:dyDescent="0.35">
      <c r="U347" s="112">
        <v>35611</v>
      </c>
      <c r="V347" s="113">
        <v>1.532</v>
      </c>
      <c r="W347" s="113">
        <v>0</v>
      </c>
    </row>
    <row r="348" spans="21:23" x14ac:dyDescent="0.35">
      <c r="U348" s="112">
        <v>35581</v>
      </c>
      <c r="V348" s="113">
        <v>1.708</v>
      </c>
      <c r="W348" s="113">
        <v>0</v>
      </c>
    </row>
    <row r="349" spans="21:23" x14ac:dyDescent="0.35">
      <c r="U349" s="112">
        <v>35550</v>
      </c>
      <c r="V349" s="113">
        <v>1.944</v>
      </c>
      <c r="W349" s="113">
        <v>0</v>
      </c>
    </row>
    <row r="350" spans="21:23" x14ac:dyDescent="0.35">
      <c r="U350" s="112">
        <v>35520</v>
      </c>
      <c r="V350" s="113">
        <v>2.5880000000000001</v>
      </c>
      <c r="W350" s="113">
        <v>0</v>
      </c>
    </row>
    <row r="351" spans="21:23" x14ac:dyDescent="0.35">
      <c r="U351" s="112">
        <v>35489</v>
      </c>
      <c r="V351" s="113">
        <v>3.536</v>
      </c>
      <c r="W351" s="113">
        <v>0</v>
      </c>
    </row>
    <row r="352" spans="21:23" x14ac:dyDescent="0.35">
      <c r="U352" s="112">
        <v>35461</v>
      </c>
      <c r="V352" s="113">
        <v>3.5880000000000001</v>
      </c>
      <c r="W352" s="113">
        <v>0</v>
      </c>
    </row>
    <row r="353" spans="21:23" x14ac:dyDescent="0.35">
      <c r="U353" s="112">
        <v>35430</v>
      </c>
      <c r="V353" s="113">
        <v>4.3719999999999999</v>
      </c>
      <c r="W353" s="113">
        <v>0</v>
      </c>
    </row>
    <row r="354" spans="21:23" x14ac:dyDescent="0.35">
      <c r="U354" s="112">
        <v>35399</v>
      </c>
      <c r="V354" s="113">
        <v>4.1559999999999997</v>
      </c>
      <c r="W354" s="113">
        <v>0</v>
      </c>
    </row>
    <row r="355" spans="21:23" x14ac:dyDescent="0.35">
      <c r="U355" s="112">
        <v>35369</v>
      </c>
      <c r="V355" s="113">
        <v>4.3360000000000003</v>
      </c>
      <c r="W355" s="113">
        <v>0</v>
      </c>
    </row>
  </sheetData>
  <phoneticPr fontId="29" type="noConversion"/>
  <pageMargins left="0.7" right="0.7" top="0.75" bottom="0.75" header="0.3" footer="0.3"/>
  <pageSetup paperSize="9" orientation="portrait" horizontalDpi="1200" verticalDpi="1200" r:id="rId1"/>
  <customProperties>
    <customPr name="SheetID" r:id="rId2"/>
  </customProperties>
  <drawing r:id="rId3"/>
  <legacy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2:K185"/>
  <sheetViews>
    <sheetView workbookViewId="0">
      <pane ySplit="4" topLeftCell="A5" activePane="bottomLeft" state="frozen"/>
      <selection pane="bottomLeft" activeCell="H17" sqref="H17"/>
    </sheetView>
  </sheetViews>
  <sheetFormatPr defaultColWidth="9" defaultRowHeight="14.15" x14ac:dyDescent="0.35"/>
  <cols>
    <col min="1" max="1" width="13.35546875" style="106" customWidth="1"/>
    <col min="2" max="4" width="13.78515625"/>
    <col min="7" max="8" width="34.35546875" customWidth="1"/>
    <col min="10" max="10" width="34.35546875" customWidth="1"/>
  </cols>
  <sheetData>
    <row r="2" spans="1:11" ht="205.95" customHeight="1" x14ac:dyDescent="0.35"/>
    <row r="3" spans="1:11" x14ac:dyDescent="0.35">
      <c r="C3" t="s">
        <v>10</v>
      </c>
      <c r="D3" t="s">
        <v>7</v>
      </c>
      <c r="E3" t="s">
        <v>8</v>
      </c>
      <c r="F3" t="s">
        <v>9</v>
      </c>
    </row>
    <row r="4" spans="1:11" x14ac:dyDescent="0.35">
      <c r="B4" t="s">
        <v>146</v>
      </c>
      <c r="C4" t="s">
        <v>147</v>
      </c>
      <c r="D4" t="s">
        <v>148</v>
      </c>
      <c r="E4" t="s">
        <v>149</v>
      </c>
      <c r="F4" t="s">
        <v>150</v>
      </c>
      <c r="G4" t="s">
        <v>24</v>
      </c>
    </row>
    <row r="5" spans="1:11" x14ac:dyDescent="0.35">
      <c r="A5" s="106">
        <v>45688</v>
      </c>
      <c r="B5">
        <f>VLOOKUP(A5,'框架指示的股债胜率（综合）'!A:AA,25,0)</f>
        <v>-1.419533616352453</v>
      </c>
      <c r="C5">
        <v>0</v>
      </c>
      <c r="D5">
        <v>0</v>
      </c>
      <c r="E5">
        <v>1</v>
      </c>
      <c r="F5">
        <v>0</v>
      </c>
      <c r="G5" t="s">
        <v>149</v>
      </c>
    </row>
    <row r="6" spans="1:11" x14ac:dyDescent="0.35">
      <c r="A6" s="106">
        <v>45657</v>
      </c>
      <c r="B6">
        <f>VLOOKUP(A6,'框架指示的股债胜率（综合）'!A:AA,25,0)</f>
        <v>-1.7174815018003387</v>
      </c>
      <c r="C6">
        <v>0</v>
      </c>
      <c r="D6">
        <v>0</v>
      </c>
      <c r="E6">
        <v>1</v>
      </c>
      <c r="F6">
        <v>0</v>
      </c>
      <c r="G6" t="s">
        <v>149</v>
      </c>
      <c r="I6" t="s">
        <v>151</v>
      </c>
    </row>
    <row r="7" spans="1:11" x14ac:dyDescent="0.35">
      <c r="A7" s="106">
        <v>45626</v>
      </c>
      <c r="B7">
        <f>VLOOKUP(A7,'框架指示的股债胜率（综合）'!A:AA,25,0)</f>
        <v>-2.0424001069991724</v>
      </c>
      <c r="C7">
        <v>0</v>
      </c>
      <c r="D7">
        <v>0</v>
      </c>
      <c r="E7">
        <v>1</v>
      </c>
      <c r="F7">
        <v>0</v>
      </c>
      <c r="G7" t="s">
        <v>149</v>
      </c>
      <c r="J7" t="s">
        <v>148</v>
      </c>
      <c r="K7" t="s">
        <v>7</v>
      </c>
    </row>
    <row r="8" spans="1:11" x14ac:dyDescent="0.35">
      <c r="A8" s="106">
        <v>45596</v>
      </c>
      <c r="B8">
        <f>VLOOKUP(A8,'框架指示的股债胜率（综合）'!A:AA,25,0)</f>
        <v>-2.3084845861271295</v>
      </c>
      <c r="C8">
        <v>0</v>
      </c>
      <c r="D8">
        <v>0</v>
      </c>
      <c r="E8">
        <v>1</v>
      </c>
      <c r="F8">
        <v>0</v>
      </c>
      <c r="G8" t="s">
        <v>149</v>
      </c>
      <c r="J8" t="s">
        <v>149</v>
      </c>
      <c r="K8" t="s">
        <v>8</v>
      </c>
    </row>
    <row r="9" spans="1:11" x14ac:dyDescent="0.35">
      <c r="A9" s="106">
        <v>45565</v>
      </c>
      <c r="B9">
        <f>VLOOKUP(A9,'框架指示的股债胜率（综合）'!A:AA,25,0)</f>
        <v>-2.5968375343484991</v>
      </c>
      <c r="C9">
        <v>0</v>
      </c>
      <c r="D9">
        <v>0</v>
      </c>
      <c r="E9">
        <v>1</v>
      </c>
      <c r="F9">
        <v>0</v>
      </c>
      <c r="G9" t="s">
        <v>149</v>
      </c>
      <c r="J9" t="s">
        <v>150</v>
      </c>
      <c r="K9" t="s">
        <v>9</v>
      </c>
    </row>
    <row r="10" spans="1:11" x14ac:dyDescent="0.35">
      <c r="A10" s="106">
        <v>45535</v>
      </c>
      <c r="B10">
        <f>VLOOKUP(A10,'框架指示的股债胜率（综合）'!A:AA,25,0)</f>
        <v>-2.648594768342575</v>
      </c>
      <c r="C10">
        <v>0</v>
      </c>
      <c r="D10">
        <v>1</v>
      </c>
      <c r="E10">
        <v>0</v>
      </c>
      <c r="F10">
        <v>0</v>
      </c>
      <c r="G10" t="s">
        <v>149</v>
      </c>
      <c r="J10" t="s">
        <v>147</v>
      </c>
      <c r="K10" t="s">
        <v>10</v>
      </c>
    </row>
    <row r="11" spans="1:11" x14ac:dyDescent="0.35">
      <c r="A11" s="106">
        <v>45504</v>
      </c>
      <c r="B11">
        <f>VLOOKUP(A11,'框架指示的股债胜率（综合）'!A:AA,25,0)</f>
        <v>-2.2078798521802372</v>
      </c>
      <c r="C11">
        <v>0</v>
      </c>
      <c r="D11">
        <v>1</v>
      </c>
      <c r="E11">
        <v>0</v>
      </c>
      <c r="F11">
        <v>0</v>
      </c>
      <c r="G11" t="s">
        <v>148</v>
      </c>
    </row>
    <row r="12" spans="1:11" x14ac:dyDescent="0.35">
      <c r="A12" s="106">
        <v>45473</v>
      </c>
      <c r="B12">
        <f>VLOOKUP(A12,'框架指示的股债胜率（综合）'!A:AA,25,0)</f>
        <v>-2.020826832186041</v>
      </c>
      <c r="C12">
        <v>0</v>
      </c>
      <c r="D12">
        <v>1</v>
      </c>
      <c r="E12">
        <v>0</v>
      </c>
      <c r="F12">
        <v>0</v>
      </c>
      <c r="G12" t="s">
        <v>148</v>
      </c>
    </row>
    <row r="13" spans="1:11" x14ac:dyDescent="0.35">
      <c r="A13" s="106">
        <v>45443</v>
      </c>
      <c r="B13">
        <f>VLOOKUP(A13,'框架指示的股债胜率（综合）'!A:AA,25,0)</f>
        <v>-1.8498160316271772</v>
      </c>
      <c r="C13">
        <v>0</v>
      </c>
      <c r="D13">
        <v>1</v>
      </c>
      <c r="E13">
        <v>0</v>
      </c>
      <c r="F13">
        <v>0</v>
      </c>
      <c r="G13" t="s">
        <v>148</v>
      </c>
    </row>
    <row r="14" spans="1:11" x14ac:dyDescent="0.35">
      <c r="A14" s="106">
        <v>45412</v>
      </c>
      <c r="B14">
        <f>VLOOKUP(A14,'框架指示的股债胜率（综合）'!A:AA,25,0)</f>
        <v>-1.6840842421453874</v>
      </c>
      <c r="C14">
        <v>0</v>
      </c>
      <c r="D14">
        <v>1</v>
      </c>
      <c r="E14">
        <v>0</v>
      </c>
      <c r="F14">
        <v>0</v>
      </c>
      <c r="G14" t="s">
        <v>148</v>
      </c>
    </row>
    <row r="15" spans="1:11" x14ac:dyDescent="0.35">
      <c r="A15" s="106">
        <v>45382</v>
      </c>
      <c r="B15">
        <f>VLOOKUP(A15,'框架指示的股债胜率（综合）'!A:AA,25,0)</f>
        <v>-1.2461303093230336</v>
      </c>
      <c r="C15">
        <v>0</v>
      </c>
      <c r="D15">
        <v>1</v>
      </c>
      <c r="E15">
        <v>0</v>
      </c>
      <c r="F15">
        <v>0</v>
      </c>
      <c r="G15" t="s">
        <v>148</v>
      </c>
    </row>
    <row r="16" spans="1:11" x14ac:dyDescent="0.35">
      <c r="A16" s="106">
        <v>45351</v>
      </c>
      <c r="B16">
        <f>VLOOKUP(A16,'框架指示的股债胜率（综合）'!A:AA,25,0)</f>
        <v>-0.86496174341762566</v>
      </c>
      <c r="C16">
        <v>0</v>
      </c>
      <c r="D16">
        <v>1</v>
      </c>
      <c r="E16">
        <v>0</v>
      </c>
      <c r="F16">
        <v>0</v>
      </c>
      <c r="G16" t="s">
        <v>148</v>
      </c>
    </row>
    <row r="17" spans="1:7" x14ac:dyDescent="0.35">
      <c r="A17" s="106">
        <v>45322</v>
      </c>
      <c r="B17" t="e">
        <f>VLOOKUP(A17,'框架指示的股债胜率（综合）'!A:AA,25,0)</f>
        <v>#N/A</v>
      </c>
      <c r="C17">
        <v>0</v>
      </c>
      <c r="D17">
        <v>1</v>
      </c>
      <c r="E17">
        <v>0</v>
      </c>
      <c r="F17">
        <v>0</v>
      </c>
      <c r="G17" t="s">
        <v>148</v>
      </c>
    </row>
    <row r="18" spans="1:7" x14ac:dyDescent="0.35">
      <c r="A18" s="106">
        <v>45291</v>
      </c>
      <c r="B18">
        <f>VLOOKUP(A18,'框架指示的股债胜率（综合）'!A:AA,25,0)</f>
        <v>-0.77144220739808966</v>
      </c>
      <c r="C18">
        <v>0</v>
      </c>
      <c r="D18">
        <v>1</v>
      </c>
      <c r="E18">
        <v>0</v>
      </c>
      <c r="F18">
        <v>0</v>
      </c>
      <c r="G18" t="s">
        <v>148</v>
      </c>
    </row>
    <row r="19" spans="1:7" x14ac:dyDescent="0.35">
      <c r="A19" s="106">
        <v>45260</v>
      </c>
      <c r="B19">
        <f>VLOOKUP(A19,'框架指示的股债胜率（综合）'!A:AA,25,0)</f>
        <v>-0.79189289203995072</v>
      </c>
      <c r="C19">
        <v>0</v>
      </c>
      <c r="D19">
        <v>1</v>
      </c>
      <c r="E19">
        <v>0</v>
      </c>
      <c r="F19">
        <v>0</v>
      </c>
      <c r="G19" t="s">
        <v>148</v>
      </c>
    </row>
    <row r="20" spans="1:7" x14ac:dyDescent="0.35">
      <c r="A20" s="106">
        <v>45230</v>
      </c>
      <c r="B20">
        <f>VLOOKUP(A20,'框架指示的股债胜率（综合）'!A:AA,25,0)</f>
        <v>-0.64542370502896806</v>
      </c>
      <c r="C20">
        <v>0</v>
      </c>
      <c r="D20">
        <v>1</v>
      </c>
      <c r="E20">
        <v>0</v>
      </c>
      <c r="F20">
        <v>0</v>
      </c>
      <c r="G20" t="s">
        <v>148</v>
      </c>
    </row>
    <row r="21" spans="1:7" x14ac:dyDescent="0.35">
      <c r="A21" s="106">
        <v>45199</v>
      </c>
      <c r="B21">
        <f>VLOOKUP(A21,'框架指示的股债胜率（综合）'!A:AA,25,0)</f>
        <v>-0.39051039886566191</v>
      </c>
      <c r="C21">
        <v>0</v>
      </c>
      <c r="D21">
        <v>1</v>
      </c>
      <c r="E21">
        <v>0</v>
      </c>
      <c r="F21">
        <v>0</v>
      </c>
      <c r="G21" t="s">
        <v>148</v>
      </c>
    </row>
    <row r="22" spans="1:7" x14ac:dyDescent="0.35">
      <c r="A22" s="106">
        <v>45169</v>
      </c>
      <c r="B22">
        <f>VLOOKUP(A22,'框架指示的股债胜率（综合）'!A:AA,25,0)</f>
        <v>-0.40977377989374886</v>
      </c>
      <c r="C22">
        <v>0</v>
      </c>
      <c r="D22">
        <v>1</v>
      </c>
      <c r="E22">
        <v>0</v>
      </c>
      <c r="F22">
        <v>0</v>
      </c>
      <c r="G22" t="s">
        <v>148</v>
      </c>
    </row>
    <row r="23" spans="1:7" x14ac:dyDescent="0.35">
      <c r="A23" s="106">
        <v>45138</v>
      </c>
      <c r="B23">
        <f>VLOOKUP(A23,'框架指示的股债胜率（综合）'!A:AA,25,0)</f>
        <v>-0.44441917512737944</v>
      </c>
      <c r="C23">
        <v>0</v>
      </c>
      <c r="D23">
        <v>1</v>
      </c>
      <c r="E23">
        <v>0</v>
      </c>
      <c r="F23">
        <v>0</v>
      </c>
      <c r="G23" t="s">
        <v>148</v>
      </c>
    </row>
    <row r="24" spans="1:7" x14ac:dyDescent="0.35">
      <c r="A24" s="106">
        <v>45107</v>
      </c>
      <c r="B24">
        <f>VLOOKUP(A24,'框架指示的股债胜率（综合）'!A:AA,25,0)</f>
        <v>-0.58278607731007104</v>
      </c>
      <c r="C24">
        <v>0</v>
      </c>
      <c r="D24">
        <v>1</v>
      </c>
      <c r="E24">
        <v>0</v>
      </c>
      <c r="F24">
        <v>0</v>
      </c>
      <c r="G24" t="s">
        <v>148</v>
      </c>
    </row>
    <row r="25" spans="1:7" x14ac:dyDescent="0.35">
      <c r="A25" s="106">
        <v>45077</v>
      </c>
      <c r="B25">
        <f>VLOOKUP(A25,'框架指示的股债胜率（综合）'!A:AA,25,0)</f>
        <v>-0.66536141815154093</v>
      </c>
      <c r="C25">
        <v>0</v>
      </c>
      <c r="D25">
        <v>0</v>
      </c>
      <c r="E25">
        <v>1</v>
      </c>
      <c r="F25">
        <v>0</v>
      </c>
      <c r="G25" t="s">
        <v>149</v>
      </c>
    </row>
    <row r="26" spans="1:7" x14ac:dyDescent="0.35">
      <c r="A26" s="106">
        <v>45046</v>
      </c>
      <c r="B26">
        <f>VLOOKUP(A26,'框架指示的股债胜率（综合）'!A:AA,25,0)</f>
        <v>-0.80832806901292864</v>
      </c>
      <c r="C26">
        <v>0</v>
      </c>
      <c r="D26">
        <v>0</v>
      </c>
      <c r="E26">
        <v>1</v>
      </c>
      <c r="F26">
        <v>0</v>
      </c>
      <c r="G26" t="s">
        <v>149</v>
      </c>
    </row>
    <row r="27" spans="1:7" x14ac:dyDescent="0.35">
      <c r="A27" s="106">
        <v>45016</v>
      </c>
      <c r="B27">
        <f>VLOOKUP(A27,'框架指示的股债胜率（综合）'!A:AA,25,0)</f>
        <v>-0.70828594488358354</v>
      </c>
      <c r="C27">
        <v>0</v>
      </c>
      <c r="D27">
        <v>0</v>
      </c>
      <c r="E27">
        <v>1</v>
      </c>
      <c r="F27">
        <v>0</v>
      </c>
      <c r="G27" t="s">
        <v>149</v>
      </c>
    </row>
    <row r="28" spans="1:7" x14ac:dyDescent="0.35">
      <c r="A28" s="106">
        <v>44985</v>
      </c>
      <c r="B28">
        <f>VLOOKUP(A28,'框架指示的股债胜率（综合）'!A:AA,25,0)</f>
        <v>-0.30840265823559082</v>
      </c>
      <c r="C28">
        <v>0</v>
      </c>
      <c r="D28">
        <v>0</v>
      </c>
      <c r="E28">
        <v>1</v>
      </c>
      <c r="F28">
        <v>0</v>
      </c>
      <c r="G28" t="s">
        <v>149</v>
      </c>
    </row>
    <row r="29" spans="1:7" x14ac:dyDescent="0.35">
      <c r="A29" s="106">
        <v>44957</v>
      </c>
      <c r="B29" t="e">
        <f>VLOOKUP(A29,'框架指示的股债胜率（综合）'!A:AA,25,0)</f>
        <v>#N/A</v>
      </c>
      <c r="C29">
        <v>0</v>
      </c>
      <c r="D29">
        <v>0</v>
      </c>
      <c r="E29">
        <v>1</v>
      </c>
      <c r="F29">
        <v>0</v>
      </c>
      <c r="G29" t="s">
        <v>149</v>
      </c>
    </row>
    <row r="30" spans="1:7" x14ac:dyDescent="0.35">
      <c r="A30" s="106">
        <v>44926</v>
      </c>
      <c r="B30">
        <f>VLOOKUP(A30,'框架指示的股债胜率（综合）'!A:AA,25,0)</f>
        <v>-0.10910293834763581</v>
      </c>
      <c r="C30">
        <v>0</v>
      </c>
      <c r="D30">
        <v>0</v>
      </c>
      <c r="E30">
        <v>1</v>
      </c>
      <c r="F30">
        <v>0</v>
      </c>
      <c r="G30" t="s">
        <v>149</v>
      </c>
    </row>
    <row r="31" spans="1:7" x14ac:dyDescent="0.35">
      <c r="A31" s="106">
        <v>44895</v>
      </c>
      <c r="B31">
        <f>VLOOKUP(A31,'框架指示的股债胜率（综合）'!A:AA,25,0)</f>
        <v>-0.18593988470212605</v>
      </c>
      <c r="C31">
        <v>0</v>
      </c>
      <c r="D31">
        <v>0</v>
      </c>
      <c r="E31">
        <v>1</v>
      </c>
      <c r="F31">
        <v>0</v>
      </c>
      <c r="G31" t="s">
        <v>149</v>
      </c>
    </row>
    <row r="32" spans="1:7" x14ac:dyDescent="0.35">
      <c r="A32" s="106">
        <v>44865</v>
      </c>
      <c r="B32">
        <f>VLOOKUP(A32,'框架指示的股债胜率（综合）'!A:AA,25,0)</f>
        <v>-0.22302937227548458</v>
      </c>
      <c r="C32">
        <v>0</v>
      </c>
      <c r="D32">
        <v>0</v>
      </c>
      <c r="E32">
        <v>1</v>
      </c>
      <c r="F32">
        <v>0</v>
      </c>
      <c r="G32" t="s">
        <v>149</v>
      </c>
    </row>
    <row r="33" spans="1:7" x14ac:dyDescent="0.35">
      <c r="A33" s="106">
        <v>44834</v>
      </c>
      <c r="B33">
        <f>VLOOKUP(A33,'框架指示的股债胜率（综合）'!A:AA,25,0)</f>
        <v>-0.32728793534983713</v>
      </c>
      <c r="C33">
        <v>0</v>
      </c>
      <c r="D33">
        <v>0</v>
      </c>
      <c r="E33">
        <v>1</v>
      </c>
      <c r="F33">
        <v>0</v>
      </c>
      <c r="G33" t="s">
        <v>149</v>
      </c>
    </row>
    <row r="34" spans="1:7" x14ac:dyDescent="0.35">
      <c r="A34" s="106">
        <v>44804</v>
      </c>
      <c r="B34">
        <f>VLOOKUP(A34,'框架指示的股债胜率（综合）'!A:AA,25,0)</f>
        <v>-0.80717247953899374</v>
      </c>
      <c r="C34">
        <v>0</v>
      </c>
      <c r="D34">
        <v>0</v>
      </c>
      <c r="E34">
        <v>1</v>
      </c>
      <c r="F34">
        <v>0</v>
      </c>
      <c r="G34" t="s">
        <v>149</v>
      </c>
    </row>
    <row r="35" spans="1:7" x14ac:dyDescent="0.35">
      <c r="A35" s="106">
        <v>44773</v>
      </c>
      <c r="B35">
        <f>VLOOKUP(A35,'框架指示的股债胜率（综合）'!A:AA,25,0)</f>
        <v>-1.4132283659657239</v>
      </c>
      <c r="C35">
        <v>0</v>
      </c>
      <c r="D35">
        <v>0</v>
      </c>
      <c r="E35">
        <v>1</v>
      </c>
      <c r="F35">
        <v>0</v>
      </c>
      <c r="G35" t="s">
        <v>149</v>
      </c>
    </row>
    <row r="36" spans="1:7" x14ac:dyDescent="0.35">
      <c r="A36" s="106">
        <v>44742</v>
      </c>
      <c r="B36">
        <f>VLOOKUP(A36,'框架指示的股债胜率（综合）'!A:AA,25,0)</f>
        <v>-1.7622182649556228</v>
      </c>
      <c r="C36">
        <v>0</v>
      </c>
      <c r="D36">
        <v>0</v>
      </c>
      <c r="E36">
        <v>1</v>
      </c>
      <c r="F36">
        <v>0</v>
      </c>
      <c r="G36" t="s">
        <v>149</v>
      </c>
    </row>
    <row r="37" spans="1:7" x14ac:dyDescent="0.35">
      <c r="A37" s="106">
        <v>44712</v>
      </c>
      <c r="B37">
        <f>VLOOKUP(A37,'框架指示的股债胜率（综合）'!A:AA,25,0)</f>
        <v>-1.7890809084849331</v>
      </c>
      <c r="C37">
        <v>0</v>
      </c>
      <c r="D37">
        <v>0</v>
      </c>
      <c r="E37">
        <v>1</v>
      </c>
      <c r="F37">
        <v>0</v>
      </c>
      <c r="G37" t="s">
        <v>149</v>
      </c>
    </row>
    <row r="38" spans="1:7" x14ac:dyDescent="0.35">
      <c r="A38" s="106">
        <v>44681</v>
      </c>
      <c r="B38">
        <f>VLOOKUP(A38,'框架指示的股债胜率（综合）'!A:AA,25,0)</f>
        <v>-1.6619965308742397</v>
      </c>
      <c r="C38">
        <v>0</v>
      </c>
      <c r="D38">
        <v>0</v>
      </c>
      <c r="E38">
        <v>1</v>
      </c>
      <c r="F38">
        <v>0</v>
      </c>
      <c r="G38" t="s">
        <v>149</v>
      </c>
    </row>
    <row r="39" spans="1:7" x14ac:dyDescent="0.35">
      <c r="A39" s="106">
        <v>44651</v>
      </c>
      <c r="B39">
        <f>VLOOKUP(A39,'框架指示的股债胜率（综合）'!A:AA,25,0)</f>
        <v>-1.8376982852602044</v>
      </c>
      <c r="C39">
        <v>0</v>
      </c>
      <c r="D39">
        <v>0</v>
      </c>
      <c r="E39">
        <v>1</v>
      </c>
      <c r="F39">
        <v>0</v>
      </c>
      <c r="G39" t="s">
        <v>149</v>
      </c>
    </row>
    <row r="40" spans="1:7" x14ac:dyDescent="0.35">
      <c r="A40" s="106">
        <v>44620</v>
      </c>
      <c r="B40">
        <f>VLOOKUP(A40,'框架指示的股债胜率（综合）'!A:AA,25,0)</f>
        <v>-1.7266396413371108</v>
      </c>
      <c r="C40">
        <v>0</v>
      </c>
      <c r="D40">
        <v>0</v>
      </c>
      <c r="E40">
        <v>1</v>
      </c>
      <c r="F40">
        <v>0</v>
      </c>
      <c r="G40" t="s">
        <v>149</v>
      </c>
    </row>
    <row r="41" spans="1:7" x14ac:dyDescent="0.35">
      <c r="A41" s="106">
        <v>44592</v>
      </c>
      <c r="B41" t="e">
        <f>VLOOKUP(A41,'框架指示的股债胜率（综合）'!A:AA,25,0)</f>
        <v>#N/A</v>
      </c>
      <c r="C41">
        <v>0</v>
      </c>
      <c r="D41">
        <v>0</v>
      </c>
      <c r="E41">
        <v>1</v>
      </c>
      <c r="F41">
        <v>0</v>
      </c>
      <c r="G41" t="s">
        <v>149</v>
      </c>
    </row>
    <row r="42" spans="1:7" x14ac:dyDescent="0.35">
      <c r="A42" s="106">
        <v>44561</v>
      </c>
      <c r="B42">
        <f>VLOOKUP(A42,'框架指示的股债胜率（综合）'!A:AA,25,0)</f>
        <v>-1.9153258184024438</v>
      </c>
      <c r="C42">
        <v>0</v>
      </c>
      <c r="D42">
        <v>0</v>
      </c>
      <c r="E42">
        <v>1</v>
      </c>
      <c r="F42">
        <v>0</v>
      </c>
      <c r="G42" t="s">
        <v>149</v>
      </c>
    </row>
    <row r="43" spans="1:7" x14ac:dyDescent="0.35">
      <c r="A43" s="106">
        <v>44530</v>
      </c>
      <c r="B43">
        <f>VLOOKUP(A43,'框架指示的股债胜率（综合）'!A:AA,25,0)</f>
        <v>-2.1126322157088411</v>
      </c>
      <c r="C43">
        <v>0</v>
      </c>
      <c r="D43">
        <v>0</v>
      </c>
      <c r="E43">
        <v>1</v>
      </c>
      <c r="F43">
        <v>0</v>
      </c>
      <c r="G43" t="s">
        <v>149</v>
      </c>
    </row>
    <row r="44" spans="1:7" x14ac:dyDescent="0.35">
      <c r="A44" s="106">
        <v>44500</v>
      </c>
      <c r="B44">
        <f>VLOOKUP(A44,'框架指示的股债胜率（综合）'!A:AA,25,0)</f>
        <v>-2.2571608352374604</v>
      </c>
      <c r="C44">
        <v>0</v>
      </c>
      <c r="D44">
        <v>1</v>
      </c>
      <c r="E44">
        <v>0</v>
      </c>
      <c r="F44">
        <v>0</v>
      </c>
      <c r="G44" t="s">
        <v>148</v>
      </c>
    </row>
    <row r="45" spans="1:7" x14ac:dyDescent="0.35">
      <c r="A45" s="106">
        <v>44469</v>
      </c>
      <c r="B45">
        <f>VLOOKUP(A45,'框架指示的股债胜率（综合）'!A:AA,25,0)</f>
        <v>-2.444149139331028</v>
      </c>
      <c r="C45">
        <v>0</v>
      </c>
      <c r="D45">
        <v>1</v>
      </c>
      <c r="E45">
        <v>0</v>
      </c>
      <c r="F45">
        <v>0</v>
      </c>
      <c r="G45" t="s">
        <v>148</v>
      </c>
    </row>
    <row r="46" spans="1:7" x14ac:dyDescent="0.35">
      <c r="A46" s="106">
        <v>44439</v>
      </c>
      <c r="B46">
        <f>VLOOKUP(A46,'框架指示的股债胜率（综合）'!A:AA,25,0)</f>
        <v>-2.2880818878690397</v>
      </c>
      <c r="C46">
        <v>0</v>
      </c>
      <c r="D46">
        <v>1</v>
      </c>
      <c r="E46">
        <v>0</v>
      </c>
      <c r="F46">
        <v>0</v>
      </c>
      <c r="G46" t="s">
        <v>148</v>
      </c>
    </row>
    <row r="47" spans="1:7" x14ac:dyDescent="0.35">
      <c r="A47" s="106">
        <v>44408</v>
      </c>
      <c r="B47">
        <f>VLOOKUP(A47,'框架指示的股债胜率（综合）'!A:AA,25,0)</f>
        <v>-1.8609730060387955</v>
      </c>
      <c r="C47">
        <v>0</v>
      </c>
      <c r="D47">
        <v>1</v>
      </c>
      <c r="E47">
        <v>0</v>
      </c>
      <c r="F47">
        <v>0</v>
      </c>
      <c r="G47" t="s">
        <v>148</v>
      </c>
    </row>
    <row r="48" spans="1:7" x14ac:dyDescent="0.35">
      <c r="A48" s="106">
        <v>44377</v>
      </c>
      <c r="B48">
        <f>VLOOKUP(A48,'框架指示的股债胜率（综合）'!A:AA,25,0)</f>
        <v>-1.3289920118867486</v>
      </c>
      <c r="C48">
        <v>0</v>
      </c>
      <c r="D48">
        <v>1</v>
      </c>
      <c r="E48">
        <v>0</v>
      </c>
      <c r="F48">
        <v>0</v>
      </c>
      <c r="G48" t="s">
        <v>148</v>
      </c>
    </row>
    <row r="49" spans="1:7" x14ac:dyDescent="0.35">
      <c r="A49" s="106">
        <v>44347</v>
      </c>
      <c r="B49">
        <f>VLOOKUP(A49,'框架指示的股债胜率（综合）'!A:AA,25,0)</f>
        <v>-0.64556121266647581</v>
      </c>
      <c r="C49">
        <v>1</v>
      </c>
      <c r="D49">
        <v>0</v>
      </c>
      <c r="E49">
        <v>0</v>
      </c>
      <c r="F49">
        <v>0</v>
      </c>
      <c r="G49" t="s">
        <v>147</v>
      </c>
    </row>
    <row r="50" spans="1:7" x14ac:dyDescent="0.35">
      <c r="A50" s="106">
        <v>44316</v>
      </c>
      <c r="B50">
        <f>VLOOKUP(A50,'框架指示的股债胜率（综合）'!A:AA,25,0)</f>
        <v>7.5269458783390683E-2</v>
      </c>
      <c r="C50">
        <v>1</v>
      </c>
      <c r="D50">
        <v>0</v>
      </c>
      <c r="E50">
        <v>0</v>
      </c>
      <c r="F50">
        <v>0</v>
      </c>
      <c r="G50" t="s">
        <v>147</v>
      </c>
    </row>
    <row r="51" spans="1:7" x14ac:dyDescent="0.35">
      <c r="A51" s="106">
        <v>44286</v>
      </c>
      <c r="B51">
        <f>VLOOKUP(A51,'框架指示的股债胜率（综合）'!A:AA,25,0)</f>
        <v>0.5854893193321985</v>
      </c>
      <c r="C51">
        <v>1</v>
      </c>
      <c r="D51">
        <v>0</v>
      </c>
      <c r="E51">
        <v>0</v>
      </c>
      <c r="F51">
        <v>0</v>
      </c>
      <c r="G51" t="s">
        <v>147</v>
      </c>
    </row>
    <row r="52" spans="1:7" x14ac:dyDescent="0.35">
      <c r="A52" s="106">
        <v>44255</v>
      </c>
      <c r="B52">
        <f>VLOOKUP(A52,'框架指示的股债胜率（综合）'!A:AA,25,0)</f>
        <v>0.99577893225339043</v>
      </c>
      <c r="C52">
        <v>1</v>
      </c>
      <c r="D52">
        <v>0</v>
      </c>
      <c r="E52">
        <v>0</v>
      </c>
      <c r="F52">
        <v>0</v>
      </c>
      <c r="G52" t="s">
        <v>147</v>
      </c>
    </row>
    <row r="53" spans="1:7" x14ac:dyDescent="0.35">
      <c r="A53" s="106">
        <v>44227</v>
      </c>
      <c r="B53" t="e">
        <f>VLOOKUP(A53,'框架指示的股债胜率（综合）'!A:AA,25,0)</f>
        <v>#N/A</v>
      </c>
      <c r="C53">
        <v>1</v>
      </c>
      <c r="D53">
        <v>0</v>
      </c>
      <c r="E53">
        <v>0</v>
      </c>
      <c r="F53">
        <v>0</v>
      </c>
      <c r="G53" t="s">
        <v>147</v>
      </c>
    </row>
    <row r="54" spans="1:7" x14ac:dyDescent="0.35">
      <c r="A54" s="106">
        <v>44196</v>
      </c>
      <c r="B54">
        <f>VLOOKUP(A54,'框架指示的股债胜率（综合）'!A:AA,25,0)</f>
        <v>0.84900129840145311</v>
      </c>
      <c r="C54">
        <v>1</v>
      </c>
      <c r="D54">
        <v>0</v>
      </c>
      <c r="E54">
        <v>0</v>
      </c>
      <c r="F54">
        <v>0</v>
      </c>
      <c r="G54" t="s">
        <v>147</v>
      </c>
    </row>
    <row r="55" spans="1:7" x14ac:dyDescent="0.35">
      <c r="A55" s="106">
        <v>44165</v>
      </c>
      <c r="B55">
        <f>VLOOKUP(A55,'框架指示的股债胜率（综合）'!A:AA,25,0)</f>
        <v>0.74506042015716945</v>
      </c>
      <c r="C55">
        <v>1</v>
      </c>
      <c r="D55">
        <v>0</v>
      </c>
      <c r="E55">
        <v>0</v>
      </c>
      <c r="F55">
        <v>0</v>
      </c>
      <c r="G55" t="s">
        <v>147</v>
      </c>
    </row>
    <row r="56" spans="1:7" x14ac:dyDescent="0.35">
      <c r="A56" s="106">
        <v>44135</v>
      </c>
      <c r="B56">
        <f>VLOOKUP(A56,'框架指示的股债胜率（综合）'!A:AA,25,0)</f>
        <v>0.54955650886378438</v>
      </c>
      <c r="C56">
        <v>0</v>
      </c>
      <c r="D56">
        <v>0</v>
      </c>
      <c r="E56">
        <v>0</v>
      </c>
      <c r="F56">
        <v>1</v>
      </c>
      <c r="G56" t="s">
        <v>150</v>
      </c>
    </row>
    <row r="57" spans="1:7" x14ac:dyDescent="0.35">
      <c r="A57" s="106">
        <v>44104</v>
      </c>
      <c r="B57">
        <f>VLOOKUP(A57,'框架指示的股债胜率（综合）'!A:AA,25,0)</f>
        <v>0.48898768205076254</v>
      </c>
      <c r="C57">
        <v>0</v>
      </c>
      <c r="D57">
        <v>0</v>
      </c>
      <c r="E57">
        <v>0</v>
      </c>
      <c r="F57">
        <v>1</v>
      </c>
      <c r="G57" t="s">
        <v>150</v>
      </c>
    </row>
    <row r="58" spans="1:7" x14ac:dyDescent="0.35">
      <c r="A58" s="106">
        <v>44074</v>
      </c>
      <c r="B58">
        <f>VLOOKUP(A58,'框架指示的股债胜率（综合）'!A:AA,25,0)</f>
        <v>0.49608079055516141</v>
      </c>
      <c r="C58">
        <v>0</v>
      </c>
      <c r="D58">
        <v>0</v>
      </c>
      <c r="E58">
        <v>0</v>
      </c>
      <c r="F58">
        <v>1</v>
      </c>
      <c r="G58" t="s">
        <v>150</v>
      </c>
    </row>
    <row r="59" spans="1:7" x14ac:dyDescent="0.35">
      <c r="A59" s="106">
        <v>44043</v>
      </c>
      <c r="B59">
        <f>VLOOKUP(A59,'框架指示的股债胜率（综合）'!A:AA,25,0)</f>
        <v>0.36920805315610816</v>
      </c>
      <c r="C59">
        <v>0</v>
      </c>
      <c r="D59">
        <v>0</v>
      </c>
      <c r="E59">
        <v>0</v>
      </c>
      <c r="F59">
        <v>1</v>
      </c>
      <c r="G59" t="s">
        <v>150</v>
      </c>
    </row>
    <row r="60" spans="1:7" x14ac:dyDescent="0.35">
      <c r="A60" s="106">
        <v>44012</v>
      </c>
      <c r="B60">
        <f>VLOOKUP(A60,'框架指示的股债胜率（综合）'!A:AA,25,0)</f>
        <v>0.35672170537564279</v>
      </c>
      <c r="C60">
        <v>0</v>
      </c>
      <c r="D60">
        <v>0</v>
      </c>
      <c r="E60">
        <v>0</v>
      </c>
      <c r="F60">
        <v>1</v>
      </c>
      <c r="G60" t="s">
        <v>150</v>
      </c>
    </row>
    <row r="61" spans="1:7" x14ac:dyDescent="0.35">
      <c r="A61" s="106">
        <v>43982</v>
      </c>
      <c r="B61">
        <f>VLOOKUP(A61,'框架指示的股债胜率（综合）'!A:AA,25,0)</f>
        <v>0.34854448120577158</v>
      </c>
      <c r="C61">
        <v>0</v>
      </c>
      <c r="D61">
        <v>0</v>
      </c>
      <c r="E61">
        <v>0</v>
      </c>
      <c r="F61">
        <v>1</v>
      </c>
      <c r="G61" t="s">
        <v>150</v>
      </c>
    </row>
    <row r="62" spans="1:7" x14ac:dyDescent="0.35">
      <c r="A62" s="106">
        <v>43951</v>
      </c>
      <c r="B62">
        <f>VLOOKUP(A62,'框架指示的股债胜率（综合）'!A:AA,25,0)</f>
        <v>0.30534693800822837</v>
      </c>
      <c r="C62">
        <v>0</v>
      </c>
      <c r="D62">
        <v>0</v>
      </c>
      <c r="E62">
        <v>0</v>
      </c>
      <c r="F62">
        <v>1</v>
      </c>
      <c r="G62" t="s">
        <v>150</v>
      </c>
    </row>
    <row r="63" spans="1:7" x14ac:dyDescent="0.35">
      <c r="A63" s="106">
        <v>43921</v>
      </c>
      <c r="B63">
        <f>VLOOKUP(A63,'框架指示的股债胜率（综合）'!A:AA,25,0)</f>
        <v>0.15306415939392801</v>
      </c>
      <c r="C63">
        <v>0</v>
      </c>
      <c r="D63">
        <v>0</v>
      </c>
      <c r="E63">
        <v>0</v>
      </c>
      <c r="F63">
        <v>1</v>
      </c>
      <c r="G63" t="s">
        <v>150</v>
      </c>
    </row>
    <row r="64" spans="1:7" x14ac:dyDescent="0.35">
      <c r="A64" s="106">
        <v>43890</v>
      </c>
      <c r="B64">
        <f>VLOOKUP(A64,'框架指示的股债胜率（综合）'!A:AA,25,0)</f>
        <v>-5.217574962796101E-2</v>
      </c>
      <c r="C64">
        <v>0</v>
      </c>
      <c r="D64">
        <v>0</v>
      </c>
      <c r="E64">
        <v>1</v>
      </c>
      <c r="F64">
        <v>0</v>
      </c>
      <c r="G64" t="s">
        <v>149</v>
      </c>
    </row>
    <row r="65" spans="1:7" x14ac:dyDescent="0.35">
      <c r="A65" s="106">
        <v>43861</v>
      </c>
      <c r="B65" t="e">
        <f>VLOOKUP(A65,'框架指示的股债胜率（综合）'!A:AA,25,0)</f>
        <v>#N/A</v>
      </c>
      <c r="C65">
        <v>0</v>
      </c>
      <c r="D65">
        <v>0</v>
      </c>
      <c r="E65">
        <v>1</v>
      </c>
      <c r="F65">
        <v>0</v>
      </c>
      <c r="G65" t="s">
        <v>149</v>
      </c>
    </row>
    <row r="66" spans="1:7" x14ac:dyDescent="0.35">
      <c r="A66" s="106">
        <v>43830</v>
      </c>
      <c r="B66">
        <f>VLOOKUP(A66,'框架指示的股债胜率（综合）'!A:AA,25,0)</f>
        <v>-5.6527409776722611E-2</v>
      </c>
      <c r="C66">
        <v>0</v>
      </c>
      <c r="D66">
        <v>0</v>
      </c>
      <c r="E66">
        <v>1</v>
      </c>
      <c r="F66">
        <v>0</v>
      </c>
      <c r="G66" t="s">
        <v>149</v>
      </c>
    </row>
    <row r="67" spans="1:7" x14ac:dyDescent="0.35">
      <c r="A67" s="106">
        <v>43799</v>
      </c>
      <c r="B67">
        <f>VLOOKUP(A67,'框架指示的股债胜率（综合）'!A:AA,25,0)</f>
        <v>-6.5502385418364936E-2</v>
      </c>
      <c r="C67">
        <v>0</v>
      </c>
      <c r="D67">
        <v>0</v>
      </c>
      <c r="E67">
        <v>1</v>
      </c>
      <c r="F67">
        <v>0</v>
      </c>
      <c r="G67" t="s">
        <v>149</v>
      </c>
    </row>
    <row r="68" spans="1:7" x14ac:dyDescent="0.35">
      <c r="A68" s="106">
        <v>43769</v>
      </c>
      <c r="B68">
        <f>VLOOKUP(A68,'框架指示的股债胜率（综合）'!A:AA,25,0)</f>
        <v>-6.3956082874255374E-2</v>
      </c>
      <c r="C68">
        <v>0</v>
      </c>
      <c r="D68">
        <v>0</v>
      </c>
      <c r="E68">
        <v>1</v>
      </c>
      <c r="F68">
        <v>0</v>
      </c>
      <c r="G68" t="s">
        <v>149</v>
      </c>
    </row>
    <row r="69" spans="1:7" x14ac:dyDescent="0.35">
      <c r="A69" s="106">
        <v>43738</v>
      </c>
      <c r="B69">
        <f>VLOOKUP(A69,'框架指示的股债胜率（综合）'!A:AA,25,0)</f>
        <v>-5.590764982582231E-2</v>
      </c>
      <c r="C69">
        <v>0</v>
      </c>
      <c r="D69">
        <v>0</v>
      </c>
      <c r="E69">
        <v>1</v>
      </c>
      <c r="F69">
        <v>0</v>
      </c>
      <c r="G69" t="s">
        <v>149</v>
      </c>
    </row>
    <row r="70" spans="1:7" x14ac:dyDescent="0.35">
      <c r="A70" s="106">
        <v>43708</v>
      </c>
      <c r="B70">
        <f>VLOOKUP(A70,'框架指示的股债胜率（综合）'!A:AA,25,0)</f>
        <v>-0.10784669750184672</v>
      </c>
      <c r="C70">
        <v>0</v>
      </c>
      <c r="D70">
        <v>0</v>
      </c>
      <c r="E70">
        <v>1</v>
      </c>
      <c r="F70">
        <v>0</v>
      </c>
      <c r="G70" t="s">
        <v>149</v>
      </c>
    </row>
    <row r="71" spans="1:7" x14ac:dyDescent="0.35">
      <c r="A71" s="106">
        <v>43677</v>
      </c>
      <c r="B71">
        <f>VLOOKUP(A71,'框架指示的股债胜率（综合）'!A:AA,25,0)</f>
        <v>-0.11819857423303382</v>
      </c>
      <c r="C71">
        <v>0</v>
      </c>
      <c r="D71">
        <v>0</v>
      </c>
      <c r="E71">
        <v>1</v>
      </c>
      <c r="F71">
        <v>0</v>
      </c>
      <c r="G71" t="s">
        <v>149</v>
      </c>
    </row>
    <row r="72" spans="1:7" x14ac:dyDescent="0.35">
      <c r="A72" s="106">
        <v>43646</v>
      </c>
      <c r="B72">
        <f>VLOOKUP(A72,'框架指示的股债胜率（综合）'!A:AA,25,0)</f>
        <v>-1.2026139399720266E-3</v>
      </c>
      <c r="C72">
        <v>0</v>
      </c>
      <c r="D72">
        <v>0</v>
      </c>
      <c r="E72">
        <v>1</v>
      </c>
      <c r="F72">
        <v>0</v>
      </c>
      <c r="G72" t="s">
        <v>149</v>
      </c>
    </row>
    <row r="73" spans="1:7" x14ac:dyDescent="0.35">
      <c r="A73" s="106">
        <v>43616</v>
      </c>
      <c r="B73">
        <f>VLOOKUP(A73,'框架指示的股债胜率（综合）'!A:AA,25,0)</f>
        <v>0.15096944239875099</v>
      </c>
      <c r="C73">
        <v>0</v>
      </c>
      <c r="D73">
        <v>0</v>
      </c>
      <c r="E73">
        <v>1</v>
      </c>
      <c r="F73">
        <v>0</v>
      </c>
      <c r="G73" t="s">
        <v>149</v>
      </c>
    </row>
    <row r="74" spans="1:7" x14ac:dyDescent="0.35">
      <c r="A74" s="106">
        <v>43585</v>
      </c>
      <c r="B74">
        <f>VLOOKUP(A74,'框架指示的股债胜率（综合）'!A:AA,25,0)</f>
        <v>0.22421604521819896</v>
      </c>
      <c r="C74">
        <v>0</v>
      </c>
      <c r="D74">
        <v>0</v>
      </c>
      <c r="E74">
        <v>1</v>
      </c>
      <c r="F74">
        <v>0</v>
      </c>
      <c r="G74" t="s">
        <v>149</v>
      </c>
    </row>
    <row r="75" spans="1:7" x14ac:dyDescent="0.35">
      <c r="A75" s="106">
        <v>43555</v>
      </c>
      <c r="B75">
        <f>VLOOKUP(A75,'框架指示的股债胜率（综合）'!A:AA,25,0)</f>
        <v>0.31309164330432337</v>
      </c>
      <c r="C75">
        <v>0</v>
      </c>
      <c r="D75">
        <v>0</v>
      </c>
      <c r="E75">
        <v>1</v>
      </c>
      <c r="F75">
        <v>0</v>
      </c>
      <c r="G75" t="s">
        <v>149</v>
      </c>
    </row>
    <row r="76" spans="1:7" x14ac:dyDescent="0.35">
      <c r="A76" s="106">
        <v>43524</v>
      </c>
      <c r="B76">
        <f>VLOOKUP(A76,'框架指示的股债胜率（综合）'!A:AA,25,0)</f>
        <v>0.50916802707420561</v>
      </c>
      <c r="C76">
        <v>0</v>
      </c>
      <c r="D76">
        <v>0</v>
      </c>
      <c r="E76">
        <v>1</v>
      </c>
      <c r="F76">
        <v>0</v>
      </c>
      <c r="G76" t="s">
        <v>149</v>
      </c>
    </row>
    <row r="77" spans="1:7" x14ac:dyDescent="0.35">
      <c r="A77" s="106">
        <v>43496</v>
      </c>
      <c r="B77" t="e">
        <f>VLOOKUP(A77,'框架指示的股债胜率（综合）'!A:AA,25,0)</f>
        <v>#N/A</v>
      </c>
      <c r="C77">
        <v>0</v>
      </c>
      <c r="D77">
        <v>0</v>
      </c>
      <c r="E77">
        <v>1</v>
      </c>
      <c r="F77">
        <v>0</v>
      </c>
      <c r="G77" t="s">
        <v>149</v>
      </c>
    </row>
    <row r="78" spans="1:7" x14ac:dyDescent="0.35">
      <c r="A78" s="106">
        <v>43465</v>
      </c>
      <c r="B78">
        <f>VLOOKUP(A78,'框架指示的股债胜率（综合）'!A:AA,25,0)</f>
        <v>0.7682716685307881</v>
      </c>
      <c r="C78">
        <v>0</v>
      </c>
      <c r="D78">
        <v>0</v>
      </c>
      <c r="E78">
        <v>1</v>
      </c>
      <c r="F78">
        <v>0</v>
      </c>
      <c r="G78" t="s">
        <v>149</v>
      </c>
    </row>
    <row r="79" spans="1:7" x14ac:dyDescent="0.35">
      <c r="A79" s="106">
        <v>43434</v>
      </c>
      <c r="B79">
        <f>VLOOKUP(A79,'框架指示的股债胜率（综合）'!A:AA,25,0)</f>
        <v>0.75929800330712283</v>
      </c>
      <c r="C79">
        <v>0</v>
      </c>
      <c r="D79">
        <v>0</v>
      </c>
      <c r="E79">
        <v>1</v>
      </c>
      <c r="F79">
        <v>0</v>
      </c>
      <c r="G79" t="s">
        <v>149</v>
      </c>
    </row>
    <row r="80" spans="1:7" x14ac:dyDescent="0.35">
      <c r="A80" s="106">
        <v>43404</v>
      </c>
      <c r="B80">
        <f>VLOOKUP(A80,'框架指示的股债胜率（综合）'!A:AA,25,0)</f>
        <v>0.80047488198400174</v>
      </c>
      <c r="C80">
        <v>0</v>
      </c>
      <c r="D80">
        <v>0</v>
      </c>
      <c r="E80">
        <v>1</v>
      </c>
      <c r="F80">
        <v>0</v>
      </c>
      <c r="G80" t="s">
        <v>149</v>
      </c>
    </row>
    <row r="81" spans="1:7" x14ac:dyDescent="0.35">
      <c r="A81" s="106">
        <v>43373</v>
      </c>
      <c r="B81">
        <f>VLOOKUP(A81,'框架指示的股债胜率（综合）'!A:AA,25,0)</f>
        <v>0.9704024182158858</v>
      </c>
      <c r="C81">
        <v>0</v>
      </c>
      <c r="D81">
        <v>1</v>
      </c>
      <c r="E81">
        <v>0</v>
      </c>
      <c r="F81">
        <v>0</v>
      </c>
      <c r="G81" t="s">
        <v>148</v>
      </c>
    </row>
    <row r="82" spans="1:7" x14ac:dyDescent="0.35">
      <c r="A82" s="106">
        <v>43343</v>
      </c>
      <c r="B82">
        <f>VLOOKUP(A82,'框架指示的股债胜率（综合）'!A:AA,25,0)</f>
        <v>1.2552056372868394</v>
      </c>
      <c r="C82">
        <v>0</v>
      </c>
      <c r="D82">
        <v>1</v>
      </c>
      <c r="E82">
        <v>0</v>
      </c>
      <c r="F82">
        <v>0</v>
      </c>
      <c r="G82" t="s">
        <v>148</v>
      </c>
    </row>
    <row r="83" spans="1:7" x14ac:dyDescent="0.35">
      <c r="A83" s="106">
        <v>43312</v>
      </c>
      <c r="B83">
        <f>VLOOKUP(A83,'框架指示的股债胜率（综合）'!A:AA,25,0)</f>
        <v>1.3657996728808748</v>
      </c>
      <c r="C83">
        <v>0</v>
      </c>
      <c r="D83">
        <v>1</v>
      </c>
      <c r="E83">
        <v>0</v>
      </c>
      <c r="F83">
        <v>0</v>
      </c>
      <c r="G83" t="s">
        <v>148</v>
      </c>
    </row>
    <row r="84" spans="1:7" x14ac:dyDescent="0.35">
      <c r="A84" s="106">
        <v>43281</v>
      </c>
      <c r="B84">
        <f>VLOOKUP(A84,'框架指示的股债胜率（综合）'!A:AA,25,0)</f>
        <v>1.6668150790433398</v>
      </c>
      <c r="C84">
        <v>0</v>
      </c>
      <c r="D84">
        <v>1</v>
      </c>
      <c r="E84">
        <v>0</v>
      </c>
      <c r="F84">
        <v>0</v>
      </c>
      <c r="G84" t="s">
        <v>148</v>
      </c>
    </row>
    <row r="85" spans="1:7" x14ac:dyDescent="0.35">
      <c r="A85" s="106">
        <v>43251</v>
      </c>
      <c r="B85">
        <f>VLOOKUP(A85,'框架指示的股债胜率（综合）'!A:AA,25,0)</f>
        <v>1.9461853797952198</v>
      </c>
      <c r="C85">
        <v>0</v>
      </c>
      <c r="D85">
        <v>1</v>
      </c>
      <c r="E85">
        <v>0</v>
      </c>
      <c r="F85">
        <v>0</v>
      </c>
      <c r="G85" t="s">
        <v>148</v>
      </c>
    </row>
    <row r="86" spans="1:7" x14ac:dyDescent="0.35">
      <c r="A86" s="106">
        <v>43220</v>
      </c>
      <c r="B86">
        <f>VLOOKUP(A86,'框架指示的股债胜率（综合）'!A:AA,25,0)</f>
        <v>2.0030280741379145</v>
      </c>
      <c r="C86">
        <v>0</v>
      </c>
      <c r="D86">
        <v>1</v>
      </c>
      <c r="E86">
        <v>0</v>
      </c>
      <c r="F86">
        <v>0</v>
      </c>
      <c r="G86" t="s">
        <v>148</v>
      </c>
    </row>
    <row r="87" spans="1:7" x14ac:dyDescent="0.35">
      <c r="A87" s="106">
        <v>43190</v>
      </c>
      <c r="B87">
        <f>VLOOKUP(A87,'框架指示的股债胜率（综合）'!A:AA,25,0)</f>
        <v>1.9676522571444499</v>
      </c>
      <c r="C87">
        <v>1</v>
      </c>
      <c r="D87">
        <v>0</v>
      </c>
      <c r="E87">
        <v>0</v>
      </c>
      <c r="F87">
        <v>0</v>
      </c>
      <c r="G87" t="s">
        <v>147</v>
      </c>
    </row>
    <row r="88" spans="1:7" x14ac:dyDescent="0.35">
      <c r="A88" s="106">
        <v>43159</v>
      </c>
      <c r="B88">
        <f>VLOOKUP(A88,'框架指示的股债胜率（综合）'!A:AA,25,0)</f>
        <v>1.781807203983927</v>
      </c>
      <c r="C88">
        <v>1</v>
      </c>
      <c r="D88">
        <v>0</v>
      </c>
      <c r="E88">
        <v>0</v>
      </c>
      <c r="F88">
        <v>0</v>
      </c>
      <c r="G88" t="s">
        <v>147</v>
      </c>
    </row>
    <row r="89" spans="1:7" x14ac:dyDescent="0.35">
      <c r="A89" s="106">
        <v>43131</v>
      </c>
      <c r="B89" t="e">
        <f>VLOOKUP(A89,'框架指示的股债胜率（综合）'!A:AA,25,0)</f>
        <v>#N/A</v>
      </c>
      <c r="C89">
        <v>1</v>
      </c>
      <c r="D89">
        <v>0</v>
      </c>
      <c r="E89">
        <v>0</v>
      </c>
      <c r="F89">
        <v>0</v>
      </c>
      <c r="G89" t="s">
        <v>147</v>
      </c>
    </row>
    <row r="90" spans="1:7" x14ac:dyDescent="0.35">
      <c r="A90" s="106">
        <v>43100</v>
      </c>
      <c r="B90">
        <f>VLOOKUP(A90,'框架指示的股债胜率（综合）'!A:AA,25,0)</f>
        <v>1.7134089355856583</v>
      </c>
      <c r="C90">
        <v>1</v>
      </c>
      <c r="D90">
        <v>0</v>
      </c>
      <c r="E90">
        <v>0</v>
      </c>
      <c r="F90">
        <v>0</v>
      </c>
      <c r="G90" t="s">
        <v>147</v>
      </c>
    </row>
    <row r="91" spans="1:7" x14ac:dyDescent="0.35">
      <c r="A91" s="106">
        <v>43069</v>
      </c>
      <c r="B91">
        <f>VLOOKUP(A91,'框架指示的股债胜率（综合）'!A:AA,25,0)</f>
        <v>1.4275381780685592</v>
      </c>
      <c r="C91">
        <v>1</v>
      </c>
      <c r="D91">
        <v>0</v>
      </c>
      <c r="E91">
        <v>0</v>
      </c>
      <c r="F91">
        <v>0</v>
      </c>
      <c r="G91" t="s">
        <v>147</v>
      </c>
    </row>
    <row r="92" spans="1:7" x14ac:dyDescent="0.35">
      <c r="A92" s="106">
        <v>43039</v>
      </c>
      <c r="B92">
        <f>VLOOKUP(A92,'框架指示的股债胜率（综合）'!A:AA,25,0)</f>
        <v>1.3228549957537981</v>
      </c>
      <c r="C92">
        <v>1</v>
      </c>
      <c r="D92">
        <v>0</v>
      </c>
      <c r="E92">
        <v>0</v>
      </c>
      <c r="F92">
        <v>0</v>
      </c>
      <c r="G92" t="s">
        <v>147</v>
      </c>
    </row>
    <row r="93" spans="1:7" x14ac:dyDescent="0.35">
      <c r="A93" s="106">
        <v>43008</v>
      </c>
      <c r="B93">
        <f>VLOOKUP(A93,'框架指示的股债胜率（综合）'!A:AA,25,0)</f>
        <v>1.3108026962014985</v>
      </c>
      <c r="C93">
        <v>1</v>
      </c>
      <c r="D93">
        <v>0</v>
      </c>
      <c r="E93">
        <v>0</v>
      </c>
      <c r="F93">
        <v>0</v>
      </c>
      <c r="G93" t="s">
        <v>147</v>
      </c>
    </row>
    <row r="94" spans="1:7" x14ac:dyDescent="0.35">
      <c r="A94" s="106">
        <v>42978</v>
      </c>
      <c r="B94">
        <f>VLOOKUP(A94,'框架指示的股债胜率（综合）'!A:AA,25,0)</f>
        <v>1.3999198741731655</v>
      </c>
      <c r="C94">
        <v>1</v>
      </c>
      <c r="D94">
        <v>0</v>
      </c>
      <c r="E94">
        <v>0</v>
      </c>
      <c r="F94">
        <v>0</v>
      </c>
      <c r="G94" t="s">
        <v>147</v>
      </c>
    </row>
    <row r="95" spans="1:7" x14ac:dyDescent="0.35">
      <c r="A95" s="106">
        <v>42947</v>
      </c>
      <c r="B95">
        <f>VLOOKUP(A95,'框架指示的股债胜率（综合）'!A:AA,25,0)</f>
        <v>1.4900533631438639</v>
      </c>
      <c r="C95">
        <v>1</v>
      </c>
      <c r="D95">
        <v>0</v>
      </c>
      <c r="E95">
        <v>0</v>
      </c>
      <c r="F95">
        <v>0</v>
      </c>
      <c r="G95" t="s">
        <v>147</v>
      </c>
    </row>
    <row r="96" spans="1:7" x14ac:dyDescent="0.35">
      <c r="A96" s="106">
        <v>42916</v>
      </c>
      <c r="B96">
        <f>VLOOKUP(A96,'框架指示的股债胜率（综合）'!A:AA,25,0)</f>
        <v>1.4666615502783669</v>
      </c>
      <c r="C96">
        <v>1</v>
      </c>
      <c r="D96">
        <v>0</v>
      </c>
      <c r="E96">
        <v>0</v>
      </c>
      <c r="F96">
        <v>0</v>
      </c>
      <c r="G96" t="s">
        <v>147</v>
      </c>
    </row>
    <row r="97" spans="1:7" x14ac:dyDescent="0.35">
      <c r="A97" s="106">
        <v>42886</v>
      </c>
      <c r="B97">
        <f>VLOOKUP(A97,'框架指示的股债胜率（综合）'!A:AA,25,0)</f>
        <v>1.3078427653118057</v>
      </c>
      <c r="C97">
        <v>1</v>
      </c>
      <c r="D97">
        <v>0</v>
      </c>
      <c r="E97">
        <v>0</v>
      </c>
      <c r="F97">
        <v>0</v>
      </c>
      <c r="G97" t="s">
        <v>147</v>
      </c>
    </row>
    <row r="98" spans="1:7" x14ac:dyDescent="0.35">
      <c r="A98" s="106">
        <v>42855</v>
      </c>
      <c r="B98">
        <f>VLOOKUP(A98,'框架指示的股债胜率（综合）'!A:AA,25,0)</f>
        <v>1.1350097976258964</v>
      </c>
      <c r="C98">
        <v>1</v>
      </c>
      <c r="D98">
        <v>0</v>
      </c>
      <c r="E98">
        <v>0</v>
      </c>
      <c r="F98">
        <v>0</v>
      </c>
      <c r="G98" t="s">
        <v>147</v>
      </c>
    </row>
    <row r="99" spans="1:7" x14ac:dyDescent="0.35">
      <c r="A99" s="106">
        <v>42825</v>
      </c>
      <c r="B99">
        <f>VLOOKUP(A99,'框架指示的股债胜率（综合）'!A:AA,25,0)</f>
        <v>0.95503167389777277</v>
      </c>
      <c r="C99">
        <v>1</v>
      </c>
      <c r="D99">
        <v>0</v>
      </c>
      <c r="E99">
        <v>0</v>
      </c>
      <c r="F99">
        <v>0</v>
      </c>
      <c r="G99" t="s">
        <v>147</v>
      </c>
    </row>
    <row r="100" spans="1:7" x14ac:dyDescent="0.35">
      <c r="A100" s="106">
        <v>42794</v>
      </c>
      <c r="B100">
        <f>VLOOKUP(A100,'框架指示的股债胜率（综合）'!A:AA,25,0)</f>
        <v>0.91551202310902202</v>
      </c>
      <c r="C100">
        <v>1</v>
      </c>
      <c r="D100">
        <v>0</v>
      </c>
      <c r="E100">
        <v>0</v>
      </c>
      <c r="F100">
        <v>0</v>
      </c>
      <c r="G100" t="s">
        <v>147</v>
      </c>
    </row>
    <row r="101" spans="1:7" x14ac:dyDescent="0.35">
      <c r="A101" s="106">
        <v>42766</v>
      </c>
      <c r="B101" t="e">
        <f>VLOOKUP(A101,'框架指示的股债胜率（综合）'!A:AA,25,0)</f>
        <v>#N/A</v>
      </c>
      <c r="C101">
        <v>1</v>
      </c>
      <c r="D101">
        <v>0</v>
      </c>
      <c r="E101">
        <v>0</v>
      </c>
      <c r="F101">
        <v>0</v>
      </c>
      <c r="G101" t="s">
        <v>147</v>
      </c>
    </row>
    <row r="102" spans="1:7" x14ac:dyDescent="0.35">
      <c r="A102" s="106">
        <v>42735</v>
      </c>
      <c r="B102">
        <f>VLOOKUP(A102,'框架指示的股债胜率（综合）'!A:AA,25,0)</f>
        <v>0.89302910062609941</v>
      </c>
      <c r="C102">
        <v>1</v>
      </c>
      <c r="D102">
        <v>0</v>
      </c>
      <c r="E102">
        <v>0</v>
      </c>
      <c r="F102">
        <v>0</v>
      </c>
      <c r="G102" t="s">
        <v>147</v>
      </c>
    </row>
    <row r="103" spans="1:7" x14ac:dyDescent="0.35">
      <c r="A103" s="106">
        <v>42704</v>
      </c>
      <c r="B103">
        <f>VLOOKUP(A103,'框架指示的股债胜率（综合）'!A:AA,25,0)</f>
        <v>0.91936289488185385</v>
      </c>
      <c r="C103">
        <v>1</v>
      </c>
      <c r="D103">
        <v>0</v>
      </c>
      <c r="E103">
        <v>0</v>
      </c>
      <c r="F103">
        <v>0</v>
      </c>
      <c r="G103" t="s">
        <v>147</v>
      </c>
    </row>
    <row r="104" spans="1:7" x14ac:dyDescent="0.35">
      <c r="A104" s="106">
        <v>42674</v>
      </c>
      <c r="B104">
        <f>VLOOKUP(A104,'框架指示的股债胜率（综合）'!A:AA,25,0)</f>
        <v>1.0354389212519979</v>
      </c>
      <c r="C104">
        <v>1</v>
      </c>
      <c r="D104">
        <v>0</v>
      </c>
      <c r="E104">
        <v>0</v>
      </c>
      <c r="F104">
        <v>0</v>
      </c>
      <c r="G104" t="s">
        <v>147</v>
      </c>
    </row>
    <row r="105" spans="1:7" x14ac:dyDescent="0.35">
      <c r="A105" s="106">
        <v>42643</v>
      </c>
      <c r="B105">
        <f>VLOOKUP(A105,'框架指示的股债胜率（综合）'!A:AA,25,0)</f>
        <v>1.0185304575298086</v>
      </c>
      <c r="C105">
        <v>1</v>
      </c>
      <c r="D105">
        <v>0</v>
      </c>
      <c r="E105">
        <v>0</v>
      </c>
      <c r="F105">
        <v>0</v>
      </c>
      <c r="G105" t="s">
        <v>147</v>
      </c>
    </row>
    <row r="106" spans="1:7" x14ac:dyDescent="0.35">
      <c r="A106" s="106">
        <v>42613</v>
      </c>
      <c r="B106">
        <f>VLOOKUP(A106,'框架指示的股债胜率（综合）'!A:AA,25,0)</f>
        <v>1.0015157592651105</v>
      </c>
      <c r="C106">
        <v>0</v>
      </c>
      <c r="D106">
        <v>0</v>
      </c>
      <c r="E106">
        <v>0</v>
      </c>
      <c r="F106">
        <v>1</v>
      </c>
      <c r="G106" t="s">
        <v>150</v>
      </c>
    </row>
    <row r="107" spans="1:7" x14ac:dyDescent="0.35">
      <c r="A107" s="106">
        <v>42582</v>
      </c>
      <c r="B107">
        <f>VLOOKUP(A107,'框架指示的股债胜率（综合）'!A:AA,25,0)</f>
        <v>0.83566345744506665</v>
      </c>
      <c r="C107">
        <v>0</v>
      </c>
      <c r="D107">
        <v>0</v>
      </c>
      <c r="E107">
        <v>0</v>
      </c>
      <c r="F107">
        <v>1</v>
      </c>
      <c r="G107" t="s">
        <v>150</v>
      </c>
    </row>
    <row r="108" spans="1:7" x14ac:dyDescent="0.35">
      <c r="A108" s="106">
        <v>42551</v>
      </c>
      <c r="B108">
        <f>VLOOKUP(A108,'框架指示的股债胜率（综合）'!A:AA,25,0)</f>
        <v>0.42181895519476725</v>
      </c>
      <c r="C108">
        <v>0</v>
      </c>
      <c r="D108">
        <v>0</v>
      </c>
      <c r="E108">
        <v>0</v>
      </c>
      <c r="F108">
        <v>1</v>
      </c>
      <c r="G108" t="s">
        <v>150</v>
      </c>
    </row>
    <row r="109" spans="1:7" x14ac:dyDescent="0.35">
      <c r="A109" s="106">
        <v>42521</v>
      </c>
      <c r="B109">
        <f>VLOOKUP(A109,'框架指示的股债胜率（综合）'!A:AA,25,0)</f>
        <v>8.8557293484829713E-2</v>
      </c>
      <c r="C109">
        <v>0</v>
      </c>
      <c r="D109">
        <v>0</v>
      </c>
      <c r="E109">
        <v>0</v>
      </c>
      <c r="F109">
        <v>1</v>
      </c>
      <c r="G109" t="s">
        <v>150</v>
      </c>
    </row>
    <row r="110" spans="1:7" x14ac:dyDescent="0.35">
      <c r="A110" s="106">
        <v>42490</v>
      </c>
      <c r="B110">
        <f>VLOOKUP(A110,'框架指示的股债胜率（综合）'!A:AA,25,0)</f>
        <v>-4.6413846486310271E-2</v>
      </c>
      <c r="C110">
        <v>0</v>
      </c>
      <c r="D110">
        <v>0</v>
      </c>
      <c r="E110">
        <v>0</v>
      </c>
      <c r="F110">
        <v>1</v>
      </c>
      <c r="G110" t="s">
        <v>150</v>
      </c>
    </row>
    <row r="111" spans="1:7" x14ac:dyDescent="0.35">
      <c r="A111" s="106">
        <v>42460</v>
      </c>
      <c r="B111">
        <f>VLOOKUP(A111,'框架指示的股债胜率（综合）'!A:AA,25,0)</f>
        <v>-9.5347628753425881E-2</v>
      </c>
      <c r="C111">
        <v>0</v>
      </c>
      <c r="D111">
        <v>0</v>
      </c>
      <c r="E111">
        <v>0</v>
      </c>
      <c r="F111">
        <v>1</v>
      </c>
      <c r="G111" t="s">
        <v>150</v>
      </c>
    </row>
    <row r="112" spans="1:7" x14ac:dyDescent="0.35">
      <c r="A112" s="106">
        <v>42429</v>
      </c>
      <c r="B112">
        <f>VLOOKUP(A112,'框架指示的股债胜率（综合）'!A:AA,25,0)</f>
        <v>-0.14708293048872764</v>
      </c>
      <c r="C112">
        <v>0</v>
      </c>
      <c r="D112">
        <v>0</v>
      </c>
      <c r="E112">
        <v>1</v>
      </c>
      <c r="F112">
        <v>0</v>
      </c>
      <c r="G112" t="s">
        <v>149</v>
      </c>
    </row>
    <row r="113" spans="1:7" x14ac:dyDescent="0.35">
      <c r="A113" s="106">
        <v>42400</v>
      </c>
      <c r="B113" t="e">
        <f>VLOOKUP(A113,'框架指示的股债胜率（综合）'!A:AA,25,0)</f>
        <v>#N/A</v>
      </c>
      <c r="C113">
        <v>0</v>
      </c>
      <c r="D113">
        <v>0</v>
      </c>
      <c r="E113">
        <v>1</v>
      </c>
      <c r="F113">
        <v>0</v>
      </c>
      <c r="G113" t="s">
        <v>149</v>
      </c>
    </row>
    <row r="114" spans="1:7" x14ac:dyDescent="0.35">
      <c r="A114" s="106">
        <v>42369</v>
      </c>
      <c r="B114">
        <f>VLOOKUP(A114,'框架指示的股债胜率（综合）'!A:AA,25,0)</f>
        <v>-0.24823011663591377</v>
      </c>
      <c r="C114">
        <v>0</v>
      </c>
      <c r="D114">
        <v>0</v>
      </c>
      <c r="E114">
        <v>1</v>
      </c>
      <c r="F114">
        <v>0</v>
      </c>
      <c r="G114" t="s">
        <v>149</v>
      </c>
    </row>
    <row r="115" spans="1:7" x14ac:dyDescent="0.35">
      <c r="A115" s="106">
        <v>42338</v>
      </c>
      <c r="B115">
        <f>VLOOKUP(A115,'框架指示的股债胜率（综合）'!A:AA,25,0)</f>
        <v>-9.0795870795870828E-2</v>
      </c>
      <c r="C115">
        <v>0</v>
      </c>
      <c r="D115">
        <v>0</v>
      </c>
      <c r="E115">
        <v>1</v>
      </c>
      <c r="F115">
        <v>0</v>
      </c>
      <c r="G115" t="s">
        <v>149</v>
      </c>
    </row>
    <row r="116" spans="1:7" x14ac:dyDescent="0.35">
      <c r="A116" s="106">
        <v>42308</v>
      </c>
      <c r="B116">
        <f>VLOOKUP(A116,'框架指示的股债胜率（综合）'!A:AA,25,0)</f>
        <v>4.4285714285714262E-2</v>
      </c>
      <c r="C116">
        <v>0</v>
      </c>
      <c r="D116">
        <v>0</v>
      </c>
      <c r="E116">
        <v>1</v>
      </c>
      <c r="F116">
        <v>0</v>
      </c>
      <c r="G116" t="s">
        <v>149</v>
      </c>
    </row>
    <row r="117" spans="1:7" x14ac:dyDescent="0.35">
      <c r="A117" s="106">
        <v>42277</v>
      </c>
      <c r="B117">
        <f>VLOOKUP(A117,'框架指示的股债胜率（综合）'!A:AA,25,0)</f>
        <v>0</v>
      </c>
      <c r="C117">
        <v>0</v>
      </c>
      <c r="D117">
        <v>0</v>
      </c>
      <c r="E117">
        <v>1</v>
      </c>
      <c r="F117">
        <v>0</v>
      </c>
      <c r="G117" t="s">
        <v>149</v>
      </c>
    </row>
    <row r="118" spans="1:7" x14ac:dyDescent="0.35">
      <c r="A118" s="106">
        <v>42247</v>
      </c>
      <c r="B118">
        <f>VLOOKUP(A118,'框架指示的股债胜率（综合）'!A:AA,25,0)</f>
        <v>0</v>
      </c>
      <c r="C118">
        <v>0</v>
      </c>
      <c r="D118">
        <v>0</v>
      </c>
      <c r="E118">
        <v>1</v>
      </c>
      <c r="F118">
        <v>0</v>
      </c>
      <c r="G118" t="s">
        <v>149</v>
      </c>
    </row>
    <row r="119" spans="1:7" x14ac:dyDescent="0.35">
      <c r="A119" s="106">
        <v>42216</v>
      </c>
      <c r="B119">
        <f>VLOOKUP(A119,'框架指示的股债胜率（综合）'!A:AA,25,0)</f>
        <v>0</v>
      </c>
      <c r="C119">
        <v>0</v>
      </c>
      <c r="D119">
        <v>0</v>
      </c>
      <c r="E119">
        <v>1</v>
      </c>
      <c r="F119">
        <v>0</v>
      </c>
      <c r="G119" t="s">
        <v>149</v>
      </c>
    </row>
    <row r="120" spans="1:7" x14ac:dyDescent="0.35">
      <c r="A120" s="106">
        <v>42185</v>
      </c>
      <c r="B120">
        <f>VLOOKUP(A120,'框架指示的股债胜率（综合）'!A:AA,25,0)</f>
        <v>0</v>
      </c>
      <c r="C120">
        <v>0</v>
      </c>
      <c r="D120">
        <v>0</v>
      </c>
      <c r="E120">
        <v>1</v>
      </c>
      <c r="F120">
        <v>0</v>
      </c>
      <c r="G120" t="s">
        <v>149</v>
      </c>
    </row>
    <row r="121" spans="1:7" x14ac:dyDescent="0.35">
      <c r="A121" s="106">
        <v>42155</v>
      </c>
      <c r="B121">
        <f>VLOOKUP(A121,'框架指示的股债胜率（综合）'!A:AA,25,0)</f>
        <v>0</v>
      </c>
      <c r="C121">
        <v>0</v>
      </c>
      <c r="D121">
        <v>0</v>
      </c>
      <c r="E121">
        <v>1</v>
      </c>
      <c r="F121">
        <v>0</v>
      </c>
      <c r="G121" t="s">
        <v>149</v>
      </c>
    </row>
    <row r="122" spans="1:7" x14ac:dyDescent="0.35">
      <c r="A122" s="106">
        <v>42124</v>
      </c>
      <c r="B122">
        <f>VLOOKUP(A122,'框架指示的股债胜率（综合）'!A:AA,25,0)</f>
        <v>0</v>
      </c>
      <c r="C122">
        <v>0</v>
      </c>
      <c r="D122">
        <v>0</v>
      </c>
      <c r="E122">
        <v>1</v>
      </c>
      <c r="F122">
        <v>0</v>
      </c>
      <c r="G122" t="s">
        <v>149</v>
      </c>
    </row>
    <row r="123" spans="1:7" x14ac:dyDescent="0.35">
      <c r="A123" s="106">
        <v>42094</v>
      </c>
      <c r="B123">
        <f>VLOOKUP(A123,'框架指示的股债胜率（综合）'!A:AA,25,0)</f>
        <v>0</v>
      </c>
      <c r="C123">
        <v>0</v>
      </c>
      <c r="D123">
        <v>0</v>
      </c>
      <c r="E123">
        <v>1</v>
      </c>
      <c r="F123">
        <v>0</v>
      </c>
      <c r="G123" t="s">
        <v>149</v>
      </c>
    </row>
    <row r="124" spans="1:7" x14ac:dyDescent="0.35">
      <c r="A124" s="106">
        <v>42063</v>
      </c>
      <c r="B124">
        <f>VLOOKUP(A124,'框架指示的股债胜率（综合）'!A:AA,25,0)</f>
        <v>0</v>
      </c>
      <c r="C124">
        <v>0</v>
      </c>
      <c r="D124">
        <v>0</v>
      </c>
      <c r="E124">
        <v>1</v>
      </c>
      <c r="F124">
        <v>0</v>
      </c>
      <c r="G124" t="s">
        <v>149</v>
      </c>
    </row>
    <row r="125" spans="1:7" x14ac:dyDescent="0.35">
      <c r="A125" s="106">
        <v>42035</v>
      </c>
      <c r="B125" t="e">
        <f>VLOOKUP(A125,'框架指示的股债胜率（综合）'!A:AA,25,0)</f>
        <v>#N/A</v>
      </c>
      <c r="C125">
        <v>0</v>
      </c>
      <c r="D125">
        <v>0</v>
      </c>
      <c r="E125">
        <v>1</v>
      </c>
      <c r="F125">
        <v>0</v>
      </c>
      <c r="G125" t="s">
        <v>149</v>
      </c>
    </row>
    <row r="126" spans="1:7" x14ac:dyDescent="0.35">
      <c r="A126" s="106">
        <v>42004</v>
      </c>
      <c r="B126">
        <f>VLOOKUP(A126,'框架指示的股债胜率（综合）'!A:AA,25,0)</f>
        <v>0</v>
      </c>
      <c r="C126">
        <v>0</v>
      </c>
      <c r="D126">
        <v>1</v>
      </c>
      <c r="E126">
        <v>0</v>
      </c>
      <c r="F126">
        <v>0</v>
      </c>
      <c r="G126" t="s">
        <v>148</v>
      </c>
    </row>
    <row r="127" spans="1:7" x14ac:dyDescent="0.35">
      <c r="A127" s="106">
        <v>41973</v>
      </c>
      <c r="B127">
        <f>VLOOKUP(A127,'框架指示的股债胜率（综合）'!A:AA,25,0)</f>
        <v>0</v>
      </c>
      <c r="C127">
        <v>0</v>
      </c>
      <c r="D127">
        <v>1</v>
      </c>
      <c r="E127">
        <v>0</v>
      </c>
      <c r="F127">
        <v>0</v>
      </c>
      <c r="G127" t="s">
        <v>148</v>
      </c>
    </row>
    <row r="128" spans="1:7" x14ac:dyDescent="0.35">
      <c r="A128" s="106">
        <v>41943</v>
      </c>
      <c r="B128">
        <f>VLOOKUP(A128,'框架指示的股债胜率（综合）'!A:AA,25,0)</f>
        <v>0</v>
      </c>
      <c r="C128">
        <v>0</v>
      </c>
      <c r="D128">
        <v>1</v>
      </c>
      <c r="E128">
        <v>0</v>
      </c>
      <c r="F128">
        <v>0</v>
      </c>
      <c r="G128" t="s">
        <v>148</v>
      </c>
    </row>
    <row r="129" spans="1:7" x14ac:dyDescent="0.35">
      <c r="A129" s="106">
        <v>41912</v>
      </c>
      <c r="B129">
        <f>VLOOKUP(A129,'框架指示的股债胜率（综合）'!A:AA,25,0)</f>
        <v>0</v>
      </c>
      <c r="C129">
        <v>0</v>
      </c>
      <c r="D129">
        <v>1</v>
      </c>
      <c r="E129">
        <v>0</v>
      </c>
      <c r="F129">
        <v>0</v>
      </c>
      <c r="G129" t="s">
        <v>148</v>
      </c>
    </row>
    <row r="130" spans="1:7" x14ac:dyDescent="0.35">
      <c r="A130" s="106">
        <v>41882</v>
      </c>
      <c r="B130">
        <f>VLOOKUP(A130,'框架指示的股债胜率（综合）'!A:AA,25,0)</f>
        <v>0</v>
      </c>
      <c r="C130">
        <v>0</v>
      </c>
      <c r="D130">
        <v>1</v>
      </c>
      <c r="E130">
        <v>0</v>
      </c>
      <c r="F130">
        <v>0</v>
      </c>
      <c r="G130" t="s">
        <v>148</v>
      </c>
    </row>
    <row r="131" spans="1:7" x14ac:dyDescent="0.35">
      <c r="A131" s="106">
        <v>41851</v>
      </c>
      <c r="B131">
        <f>VLOOKUP(A131,'框架指示的股债胜率（综合）'!A:AA,25,0)</f>
        <v>0</v>
      </c>
      <c r="C131">
        <v>0</v>
      </c>
      <c r="D131">
        <v>1</v>
      </c>
      <c r="E131">
        <v>0</v>
      </c>
      <c r="F131">
        <v>0</v>
      </c>
      <c r="G131" t="s">
        <v>148</v>
      </c>
    </row>
    <row r="132" spans="1:7" x14ac:dyDescent="0.35">
      <c r="A132" s="106">
        <v>41820</v>
      </c>
      <c r="B132">
        <f>VLOOKUP(A132,'框架指示的股债胜率（综合）'!A:AA,25,0)</f>
        <v>0</v>
      </c>
      <c r="C132">
        <v>0</v>
      </c>
      <c r="D132">
        <v>1</v>
      </c>
      <c r="E132">
        <v>0</v>
      </c>
      <c r="F132">
        <v>0</v>
      </c>
      <c r="G132" t="s">
        <v>148</v>
      </c>
    </row>
    <row r="133" spans="1:7" x14ac:dyDescent="0.35">
      <c r="A133" s="106">
        <v>41790</v>
      </c>
      <c r="B133">
        <f>VLOOKUP(A133,'框架指示的股债胜率（综合）'!A:AA,25,0)</f>
        <v>0</v>
      </c>
      <c r="C133">
        <v>1</v>
      </c>
      <c r="D133">
        <v>0</v>
      </c>
      <c r="E133">
        <v>0</v>
      </c>
      <c r="F133">
        <v>0</v>
      </c>
      <c r="G133" t="s">
        <v>147</v>
      </c>
    </row>
    <row r="134" spans="1:7" x14ac:dyDescent="0.35">
      <c r="A134" s="106">
        <v>41759</v>
      </c>
      <c r="B134">
        <f>VLOOKUP(A134,'框架指示的股债胜率（综合）'!A:AA,25,0)</f>
        <v>0</v>
      </c>
      <c r="C134">
        <v>1</v>
      </c>
      <c r="D134">
        <v>0</v>
      </c>
      <c r="E134">
        <v>0</v>
      </c>
      <c r="F134">
        <v>0</v>
      </c>
      <c r="G134" t="s">
        <v>147</v>
      </c>
    </row>
    <row r="135" spans="1:7" x14ac:dyDescent="0.35">
      <c r="A135" s="106">
        <v>41729</v>
      </c>
      <c r="B135">
        <f>VLOOKUP(A135,'框架指示的股债胜率（综合）'!A:AA,25,0)</f>
        <v>0</v>
      </c>
      <c r="C135">
        <v>1</v>
      </c>
      <c r="D135">
        <v>0</v>
      </c>
      <c r="E135">
        <v>0</v>
      </c>
      <c r="F135">
        <v>0</v>
      </c>
      <c r="G135" t="s">
        <v>147</v>
      </c>
    </row>
    <row r="136" spans="1:7" x14ac:dyDescent="0.35">
      <c r="A136" s="106">
        <v>41698</v>
      </c>
      <c r="B136">
        <f>VLOOKUP(A136,'框架指示的股债胜率（综合）'!A:AA,25,0)</f>
        <v>0</v>
      </c>
      <c r="C136">
        <v>1</v>
      </c>
      <c r="D136">
        <v>0</v>
      </c>
      <c r="E136">
        <v>0</v>
      </c>
      <c r="F136">
        <v>0</v>
      </c>
      <c r="G136" t="s">
        <v>147</v>
      </c>
    </row>
    <row r="137" spans="1:7" x14ac:dyDescent="0.35">
      <c r="A137" s="106">
        <v>41670</v>
      </c>
      <c r="B137" t="e">
        <f>VLOOKUP(A137,'框架指示的股债胜率（综合）'!A:AA,25,0)</f>
        <v>#N/A</v>
      </c>
      <c r="C137">
        <v>1</v>
      </c>
      <c r="D137">
        <v>0</v>
      </c>
      <c r="E137">
        <v>0</v>
      </c>
      <c r="F137">
        <v>0</v>
      </c>
      <c r="G137" t="s">
        <v>147</v>
      </c>
    </row>
    <row r="138" spans="1:7" x14ac:dyDescent="0.35">
      <c r="A138" s="106">
        <v>41639</v>
      </c>
      <c r="B138">
        <f>VLOOKUP(A138,'框架指示的股债胜率（综合）'!A:AA,25,0)</f>
        <v>0</v>
      </c>
      <c r="C138">
        <v>1</v>
      </c>
      <c r="D138">
        <v>0</v>
      </c>
      <c r="E138">
        <v>0</v>
      </c>
      <c r="F138">
        <v>0</v>
      </c>
      <c r="G138" t="s">
        <v>147</v>
      </c>
    </row>
    <row r="139" spans="1:7" x14ac:dyDescent="0.35">
      <c r="A139" s="106">
        <v>41608</v>
      </c>
      <c r="B139">
        <f>VLOOKUP(A139,'框架指示的股债胜率（综合）'!A:AA,25,0)</f>
        <v>0</v>
      </c>
      <c r="C139">
        <v>1</v>
      </c>
      <c r="D139">
        <v>0</v>
      </c>
      <c r="E139">
        <v>0</v>
      </c>
      <c r="F139">
        <v>0</v>
      </c>
      <c r="G139" t="s">
        <v>147</v>
      </c>
    </row>
    <row r="140" spans="1:7" x14ac:dyDescent="0.35">
      <c r="A140" s="106">
        <v>41578</v>
      </c>
      <c r="B140">
        <f>VLOOKUP(A140,'框架指示的股债胜率（综合）'!A:AA,25,0)</f>
        <v>0</v>
      </c>
      <c r="C140">
        <v>1</v>
      </c>
      <c r="D140">
        <v>0</v>
      </c>
      <c r="E140">
        <v>0</v>
      </c>
      <c r="F140">
        <v>0</v>
      </c>
      <c r="G140" t="s">
        <v>147</v>
      </c>
    </row>
    <row r="141" spans="1:7" x14ac:dyDescent="0.35">
      <c r="A141" s="106">
        <v>41547</v>
      </c>
      <c r="B141">
        <f>VLOOKUP(A141,'框架指示的股债胜率（综合）'!A:AA,25,0)</f>
        <v>0</v>
      </c>
      <c r="C141">
        <v>1</v>
      </c>
      <c r="D141">
        <v>0</v>
      </c>
      <c r="E141">
        <v>0</v>
      </c>
      <c r="F141">
        <v>0</v>
      </c>
      <c r="G141" t="s">
        <v>147</v>
      </c>
    </row>
    <row r="142" spans="1:7" x14ac:dyDescent="0.35">
      <c r="A142" s="106">
        <v>41517</v>
      </c>
      <c r="B142">
        <f>VLOOKUP(A142,'框架指示的股债胜率（综合）'!A:AA,25,0)</f>
        <v>0</v>
      </c>
      <c r="C142">
        <v>1</v>
      </c>
      <c r="D142">
        <v>0</v>
      </c>
      <c r="E142">
        <v>0</v>
      </c>
      <c r="F142">
        <v>0</v>
      </c>
      <c r="G142" t="s">
        <v>147</v>
      </c>
    </row>
    <row r="143" spans="1:7" x14ac:dyDescent="0.35">
      <c r="A143" s="106">
        <v>41486</v>
      </c>
      <c r="B143">
        <f>VLOOKUP(A143,'框架指示的股债胜率（综合）'!A:AA,25,0)</f>
        <v>0</v>
      </c>
      <c r="C143">
        <v>0</v>
      </c>
      <c r="D143">
        <v>0</v>
      </c>
      <c r="E143">
        <v>0</v>
      </c>
      <c r="F143">
        <v>1</v>
      </c>
      <c r="G143" t="s">
        <v>150</v>
      </c>
    </row>
    <row r="144" spans="1:7" x14ac:dyDescent="0.35">
      <c r="A144" s="106">
        <v>41455</v>
      </c>
      <c r="B144">
        <f>VLOOKUP(A144,'框架指示的股债胜率（综合）'!A:AA,25,0)</f>
        <v>0</v>
      </c>
      <c r="C144">
        <v>0</v>
      </c>
      <c r="D144">
        <v>0</v>
      </c>
      <c r="E144">
        <v>0</v>
      </c>
      <c r="F144">
        <v>1</v>
      </c>
      <c r="G144" t="s">
        <v>150</v>
      </c>
    </row>
    <row r="145" spans="1:7" x14ac:dyDescent="0.35">
      <c r="A145" s="106">
        <v>41425</v>
      </c>
      <c r="B145">
        <f>VLOOKUP(A145,'框架指示的股债胜率（综合）'!A:AA,25,0)</f>
        <v>0</v>
      </c>
      <c r="C145">
        <v>0</v>
      </c>
      <c r="D145">
        <v>0</v>
      </c>
      <c r="E145">
        <v>0</v>
      </c>
      <c r="F145">
        <v>1</v>
      </c>
      <c r="G145" t="s">
        <v>150</v>
      </c>
    </row>
    <row r="146" spans="1:7" x14ac:dyDescent="0.35">
      <c r="A146" s="106">
        <v>41394</v>
      </c>
      <c r="B146">
        <f>VLOOKUP(A146,'框架指示的股债胜率（综合）'!A:AA,25,0)</f>
        <v>0</v>
      </c>
      <c r="C146">
        <v>0</v>
      </c>
      <c r="D146">
        <v>0</v>
      </c>
      <c r="E146">
        <v>0</v>
      </c>
      <c r="F146">
        <v>1</v>
      </c>
      <c r="G146" t="s">
        <v>150</v>
      </c>
    </row>
    <row r="147" spans="1:7" x14ac:dyDescent="0.35">
      <c r="A147" s="106">
        <v>41364</v>
      </c>
      <c r="B147">
        <f>VLOOKUP(A147,'框架指示的股债胜率（综合）'!A:AA,25,0)</f>
        <v>0</v>
      </c>
      <c r="C147">
        <v>0</v>
      </c>
      <c r="D147">
        <v>0</v>
      </c>
      <c r="E147">
        <v>0</v>
      </c>
      <c r="F147">
        <v>1</v>
      </c>
      <c r="G147" t="s">
        <v>150</v>
      </c>
    </row>
    <row r="148" spans="1:7" x14ac:dyDescent="0.35">
      <c r="A148" s="106">
        <v>41333</v>
      </c>
      <c r="B148">
        <f>VLOOKUP(A148,'框架指示的股债胜率（综合）'!A:AA,25,0)</f>
        <v>0</v>
      </c>
      <c r="C148">
        <v>0</v>
      </c>
      <c r="D148">
        <v>0</v>
      </c>
      <c r="E148">
        <v>0</v>
      </c>
      <c r="F148">
        <v>1</v>
      </c>
      <c r="G148" t="s">
        <v>150</v>
      </c>
    </row>
    <row r="149" spans="1:7" x14ac:dyDescent="0.35">
      <c r="A149" s="106">
        <v>41305</v>
      </c>
      <c r="B149" t="e">
        <f>VLOOKUP(A149,'框架指示的股债胜率（综合）'!A:AA,25,0)</f>
        <v>#N/A</v>
      </c>
      <c r="C149">
        <v>0</v>
      </c>
      <c r="D149">
        <v>0</v>
      </c>
      <c r="E149">
        <v>0</v>
      </c>
      <c r="F149">
        <v>1</v>
      </c>
      <c r="G149" t="s">
        <v>150</v>
      </c>
    </row>
    <row r="150" spans="1:7" x14ac:dyDescent="0.35">
      <c r="A150" s="106">
        <v>41274</v>
      </c>
      <c r="B150">
        <f>VLOOKUP(A150,'框架指示的股债胜率（综合）'!A:AA,25,0)</f>
        <v>0</v>
      </c>
      <c r="C150">
        <v>0</v>
      </c>
      <c r="D150">
        <v>0</v>
      </c>
      <c r="E150">
        <v>0</v>
      </c>
      <c r="F150">
        <v>1</v>
      </c>
      <c r="G150" t="s">
        <v>150</v>
      </c>
    </row>
    <row r="151" spans="1:7" x14ac:dyDescent="0.35">
      <c r="A151" s="106">
        <v>41243</v>
      </c>
      <c r="B151">
        <f>VLOOKUP(A151,'框架指示的股债胜率（综合）'!A:AA,25,0)</f>
        <v>0</v>
      </c>
      <c r="C151">
        <v>0</v>
      </c>
      <c r="D151">
        <v>0</v>
      </c>
      <c r="E151">
        <v>0</v>
      </c>
      <c r="F151">
        <v>1</v>
      </c>
      <c r="G151" t="s">
        <v>150</v>
      </c>
    </row>
    <row r="152" spans="1:7" x14ac:dyDescent="0.35">
      <c r="A152" s="106">
        <v>41213</v>
      </c>
      <c r="B152">
        <f>VLOOKUP(A152,'框架指示的股债胜率（综合）'!A:AA,25,0)</f>
        <v>0</v>
      </c>
      <c r="C152">
        <v>0</v>
      </c>
      <c r="D152">
        <v>0</v>
      </c>
      <c r="E152">
        <v>0</v>
      </c>
      <c r="F152">
        <v>1</v>
      </c>
      <c r="G152" t="s">
        <v>150</v>
      </c>
    </row>
    <row r="153" spans="1:7" x14ac:dyDescent="0.35">
      <c r="A153" s="106">
        <v>41182</v>
      </c>
      <c r="B153">
        <f>VLOOKUP(A153,'框架指示的股债胜率（综合）'!A:AA,25,0)</f>
        <v>0</v>
      </c>
      <c r="C153">
        <v>0</v>
      </c>
      <c r="D153">
        <v>0</v>
      </c>
      <c r="E153">
        <v>1</v>
      </c>
      <c r="F153">
        <v>0</v>
      </c>
      <c r="G153" t="s">
        <v>149</v>
      </c>
    </row>
    <row r="154" spans="1:7" x14ac:dyDescent="0.35">
      <c r="A154" s="106">
        <v>41152</v>
      </c>
      <c r="B154">
        <f>VLOOKUP(A154,'框架指示的股债胜率（综合）'!A:AA,25,0)</f>
        <v>0</v>
      </c>
      <c r="C154">
        <v>0</v>
      </c>
      <c r="D154">
        <v>0</v>
      </c>
      <c r="E154">
        <v>1</v>
      </c>
      <c r="F154">
        <v>0</v>
      </c>
      <c r="G154" t="s">
        <v>149</v>
      </c>
    </row>
    <row r="155" spans="1:7" x14ac:dyDescent="0.35">
      <c r="A155" s="106">
        <v>41121</v>
      </c>
      <c r="B155">
        <f>VLOOKUP(A155,'框架指示的股债胜率（综合）'!A:AA,25,0)</f>
        <v>0</v>
      </c>
      <c r="C155">
        <v>0</v>
      </c>
      <c r="D155">
        <v>0</v>
      </c>
      <c r="E155">
        <v>1</v>
      </c>
      <c r="F155">
        <v>0</v>
      </c>
      <c r="G155" t="s">
        <v>149</v>
      </c>
    </row>
    <row r="156" spans="1:7" x14ac:dyDescent="0.35">
      <c r="A156" s="106">
        <v>41090</v>
      </c>
      <c r="B156">
        <f>VLOOKUP(A156,'框架指示的股债胜率（综合）'!A:AA,25,0)</f>
        <v>0</v>
      </c>
      <c r="C156">
        <v>0</v>
      </c>
      <c r="D156">
        <v>0</v>
      </c>
      <c r="E156">
        <v>1</v>
      </c>
      <c r="F156">
        <v>0</v>
      </c>
      <c r="G156" t="s">
        <v>149</v>
      </c>
    </row>
    <row r="157" spans="1:7" x14ac:dyDescent="0.35">
      <c r="A157" s="106">
        <v>41060</v>
      </c>
      <c r="B157">
        <f>VLOOKUP(A157,'框架指示的股债胜率（综合）'!A:AA,25,0)</f>
        <v>0</v>
      </c>
      <c r="C157">
        <v>0</v>
      </c>
      <c r="D157">
        <v>1</v>
      </c>
      <c r="E157">
        <v>0</v>
      </c>
      <c r="F157">
        <v>0</v>
      </c>
      <c r="G157" t="s">
        <v>148</v>
      </c>
    </row>
    <row r="158" spans="1:7" x14ac:dyDescent="0.35">
      <c r="A158" s="106">
        <v>41029</v>
      </c>
      <c r="B158">
        <f>VLOOKUP(A158,'框架指示的股债胜率（综合）'!A:AA,25,0)</f>
        <v>0</v>
      </c>
      <c r="C158">
        <v>0</v>
      </c>
      <c r="D158">
        <v>1</v>
      </c>
      <c r="E158">
        <v>0</v>
      </c>
      <c r="F158">
        <v>0</v>
      </c>
      <c r="G158" t="s">
        <v>148</v>
      </c>
    </row>
    <row r="159" spans="1:7" x14ac:dyDescent="0.35">
      <c r="A159" s="106">
        <v>40999</v>
      </c>
      <c r="B159">
        <f>VLOOKUP(A159,'框架指示的股债胜率（综合）'!A:AA,25,0)</f>
        <v>0</v>
      </c>
      <c r="C159">
        <v>0</v>
      </c>
      <c r="D159">
        <v>1</v>
      </c>
      <c r="E159">
        <v>0</v>
      </c>
      <c r="F159">
        <v>0</v>
      </c>
      <c r="G159" t="s">
        <v>148</v>
      </c>
    </row>
    <row r="160" spans="1:7" x14ac:dyDescent="0.35">
      <c r="A160" s="106">
        <v>40968</v>
      </c>
      <c r="B160">
        <f>VLOOKUP(A160,'框架指示的股债胜率（综合）'!A:AA,25,0)</f>
        <v>0</v>
      </c>
      <c r="C160">
        <v>0</v>
      </c>
      <c r="D160">
        <v>1</v>
      </c>
      <c r="E160">
        <v>0</v>
      </c>
      <c r="F160">
        <v>0</v>
      </c>
      <c r="G160" t="s">
        <v>148</v>
      </c>
    </row>
    <row r="161" spans="1:7" x14ac:dyDescent="0.35">
      <c r="A161" s="106">
        <v>40939</v>
      </c>
      <c r="B161" t="e">
        <f>VLOOKUP(A161,'框架指示的股债胜率（综合）'!A:AA,25,0)</f>
        <v>#N/A</v>
      </c>
      <c r="C161">
        <v>0</v>
      </c>
      <c r="D161">
        <v>1</v>
      </c>
      <c r="E161">
        <v>0</v>
      </c>
      <c r="F161">
        <v>0</v>
      </c>
      <c r="G161" t="s">
        <v>148</v>
      </c>
    </row>
    <row r="162" spans="1:7" x14ac:dyDescent="0.35">
      <c r="A162" s="106">
        <v>40908</v>
      </c>
      <c r="B162">
        <f>VLOOKUP(A162,'框架指示的股债胜率（综合）'!A:AA,25,0)</f>
        <v>0</v>
      </c>
      <c r="C162">
        <v>0</v>
      </c>
      <c r="D162">
        <v>1</v>
      </c>
      <c r="E162">
        <v>0</v>
      </c>
      <c r="F162">
        <v>0</v>
      </c>
      <c r="G162" t="s">
        <v>148</v>
      </c>
    </row>
    <row r="163" spans="1:7" x14ac:dyDescent="0.35">
      <c r="A163" s="106">
        <v>40877</v>
      </c>
      <c r="B163">
        <f>VLOOKUP(A163,'框架指示的股债胜率（综合）'!A:AA,25,0)</f>
        <v>0</v>
      </c>
      <c r="C163">
        <v>0</v>
      </c>
      <c r="D163">
        <v>1</v>
      </c>
      <c r="E163">
        <v>0</v>
      </c>
      <c r="F163">
        <v>0</v>
      </c>
      <c r="G163" t="s">
        <v>148</v>
      </c>
    </row>
    <row r="164" spans="1:7" x14ac:dyDescent="0.35">
      <c r="A164" s="106">
        <v>40847</v>
      </c>
      <c r="B164">
        <f>VLOOKUP(A164,'框架指示的股债胜率（综合）'!A:AA,25,0)</f>
        <v>0</v>
      </c>
      <c r="C164">
        <v>1</v>
      </c>
      <c r="D164">
        <v>0</v>
      </c>
      <c r="E164">
        <v>0</v>
      </c>
      <c r="F164">
        <v>0</v>
      </c>
      <c r="G164" t="s">
        <v>147</v>
      </c>
    </row>
    <row r="165" spans="1:7" x14ac:dyDescent="0.35">
      <c r="A165" s="106">
        <v>40816</v>
      </c>
      <c r="B165">
        <f>VLOOKUP(A165,'框架指示的股债胜率（综合）'!A:AA,25,0)</f>
        <v>0</v>
      </c>
      <c r="C165">
        <v>1</v>
      </c>
      <c r="D165">
        <v>0</v>
      </c>
      <c r="E165">
        <v>0</v>
      </c>
      <c r="F165">
        <v>0</v>
      </c>
      <c r="G165" t="s">
        <v>147</v>
      </c>
    </row>
    <row r="166" spans="1:7" x14ac:dyDescent="0.35">
      <c r="A166" s="106">
        <v>40786</v>
      </c>
      <c r="B166">
        <f>VLOOKUP(A166,'框架指示的股债胜率（综合）'!A:AA,25,0)</f>
        <v>0</v>
      </c>
      <c r="C166">
        <v>1</v>
      </c>
      <c r="D166">
        <v>0</v>
      </c>
      <c r="E166">
        <v>0</v>
      </c>
      <c r="F166">
        <v>0</v>
      </c>
      <c r="G166" t="s">
        <v>147</v>
      </c>
    </row>
    <row r="167" spans="1:7" x14ac:dyDescent="0.35">
      <c r="A167" s="106">
        <v>40755</v>
      </c>
      <c r="B167">
        <f>VLOOKUP(A167,'框架指示的股债胜率（综合）'!A:AA,25,0)</f>
        <v>0</v>
      </c>
      <c r="C167">
        <v>1</v>
      </c>
      <c r="D167">
        <v>0</v>
      </c>
      <c r="E167">
        <v>0</v>
      </c>
      <c r="F167">
        <v>0</v>
      </c>
      <c r="G167" t="s">
        <v>147</v>
      </c>
    </row>
    <row r="168" spans="1:7" x14ac:dyDescent="0.35">
      <c r="A168" s="106">
        <v>40724</v>
      </c>
      <c r="B168">
        <f>VLOOKUP(A168,'框架指示的股债胜率（综合）'!A:AA,25,0)</f>
        <v>0</v>
      </c>
      <c r="C168">
        <v>1</v>
      </c>
      <c r="D168">
        <v>0</v>
      </c>
      <c r="E168">
        <v>0</v>
      </c>
      <c r="F168">
        <v>0</v>
      </c>
      <c r="G168" t="s">
        <v>147</v>
      </c>
    </row>
    <row r="169" spans="1:7" x14ac:dyDescent="0.35">
      <c r="A169" s="106">
        <v>40694</v>
      </c>
      <c r="B169">
        <f>VLOOKUP(A169,'框架指示的股债胜率（综合）'!A:AA,25,0)</f>
        <v>0</v>
      </c>
      <c r="C169">
        <v>1</v>
      </c>
      <c r="D169">
        <v>0</v>
      </c>
      <c r="E169">
        <v>0</v>
      </c>
      <c r="F169">
        <v>0</v>
      </c>
      <c r="G169" t="s">
        <v>147</v>
      </c>
    </row>
    <row r="170" spans="1:7" x14ac:dyDescent="0.35">
      <c r="A170" s="106">
        <v>40663</v>
      </c>
      <c r="B170">
        <f>VLOOKUP(A170,'框架指示的股债胜率（综合）'!A:AA,25,0)</f>
        <v>0</v>
      </c>
      <c r="C170">
        <v>1</v>
      </c>
      <c r="D170">
        <v>0</v>
      </c>
      <c r="E170">
        <v>0</v>
      </c>
      <c r="F170">
        <v>0</v>
      </c>
      <c r="G170" t="s">
        <v>147</v>
      </c>
    </row>
    <row r="171" spans="1:7" x14ac:dyDescent="0.35">
      <c r="A171" s="106">
        <v>40633</v>
      </c>
      <c r="B171">
        <f>VLOOKUP(A171,'框架指示的股债胜率（综合）'!A:AA,25,0)</f>
        <v>0</v>
      </c>
      <c r="C171">
        <v>1</v>
      </c>
      <c r="D171">
        <v>0</v>
      </c>
      <c r="E171">
        <v>0</v>
      </c>
      <c r="F171">
        <v>0</v>
      </c>
      <c r="G171" t="s">
        <v>147</v>
      </c>
    </row>
    <row r="172" spans="1:7" x14ac:dyDescent="0.35">
      <c r="A172" s="106">
        <v>40602</v>
      </c>
      <c r="B172">
        <f>VLOOKUP(A172,'框架指示的股债胜率（综合）'!A:AA,25,0)</f>
        <v>0</v>
      </c>
      <c r="C172">
        <v>1</v>
      </c>
      <c r="D172">
        <v>0</v>
      </c>
      <c r="E172">
        <v>0</v>
      </c>
      <c r="F172">
        <v>0</v>
      </c>
      <c r="G172" t="s">
        <v>147</v>
      </c>
    </row>
    <row r="173" spans="1:7" x14ac:dyDescent="0.35">
      <c r="A173" s="106">
        <v>40574</v>
      </c>
      <c r="B173" t="e">
        <f>VLOOKUP(A173,'框架指示的股债胜率（综合）'!A:AA,25,0)</f>
        <v>#N/A</v>
      </c>
      <c r="C173">
        <v>1</v>
      </c>
      <c r="D173">
        <v>0</v>
      </c>
      <c r="E173">
        <v>0</v>
      </c>
      <c r="F173">
        <v>0</v>
      </c>
      <c r="G173" t="s">
        <v>147</v>
      </c>
    </row>
    <row r="174" spans="1:7" x14ac:dyDescent="0.35">
      <c r="A174" s="106">
        <v>40543</v>
      </c>
      <c r="B174">
        <f>VLOOKUP(A174,'框架指示的股债胜率（综合）'!A:AA,25,0)</f>
        <v>0</v>
      </c>
      <c r="C174">
        <v>1</v>
      </c>
      <c r="D174">
        <v>0</v>
      </c>
      <c r="E174">
        <v>0</v>
      </c>
      <c r="F174">
        <v>0</v>
      </c>
      <c r="G174" t="s">
        <v>147</v>
      </c>
    </row>
    <row r="175" spans="1:7" x14ac:dyDescent="0.35">
      <c r="A175" s="106">
        <v>40512</v>
      </c>
      <c r="B175">
        <f>VLOOKUP(A175,'框架指示的股债胜率（综合）'!A:AA,25,0)</f>
        <v>0</v>
      </c>
      <c r="C175">
        <v>1</v>
      </c>
      <c r="D175">
        <v>0</v>
      </c>
      <c r="E175">
        <v>0</v>
      </c>
      <c r="F175">
        <v>0</v>
      </c>
      <c r="G175" t="s">
        <v>147</v>
      </c>
    </row>
    <row r="176" spans="1:7" x14ac:dyDescent="0.35">
      <c r="A176" s="106">
        <v>40482</v>
      </c>
      <c r="B176">
        <f>VLOOKUP(A176,'框架指示的股债胜率（综合）'!A:AA,25,0)</f>
        <v>0</v>
      </c>
      <c r="C176">
        <v>1</v>
      </c>
      <c r="D176">
        <v>0</v>
      </c>
      <c r="E176">
        <v>0</v>
      </c>
      <c r="F176">
        <v>0</v>
      </c>
      <c r="G176" t="s">
        <v>147</v>
      </c>
    </row>
    <row r="177" spans="1:7" x14ac:dyDescent="0.35">
      <c r="A177" s="106">
        <v>40451</v>
      </c>
      <c r="B177">
        <f>VLOOKUP(A177,'框架指示的股债胜率（综合）'!A:AA,25,0)</f>
        <v>0</v>
      </c>
      <c r="C177">
        <v>1</v>
      </c>
      <c r="D177">
        <v>0</v>
      </c>
      <c r="E177">
        <v>0</v>
      </c>
      <c r="F177">
        <v>0</v>
      </c>
      <c r="G177" t="s">
        <v>147</v>
      </c>
    </row>
    <row r="178" spans="1:7" x14ac:dyDescent="0.35">
      <c r="A178" s="106">
        <v>40421</v>
      </c>
      <c r="B178">
        <f>VLOOKUP(A178,'框架指示的股债胜率（综合）'!A:AA,25,0)</f>
        <v>0</v>
      </c>
      <c r="C178">
        <v>1</v>
      </c>
      <c r="D178">
        <v>0</v>
      </c>
      <c r="E178">
        <v>0</v>
      </c>
      <c r="F178">
        <v>0</v>
      </c>
      <c r="G178" t="s">
        <v>147</v>
      </c>
    </row>
    <row r="179" spans="1:7" x14ac:dyDescent="0.35">
      <c r="A179" s="106">
        <v>40390</v>
      </c>
      <c r="B179">
        <f>VLOOKUP(A179,'框架指示的股债胜率（综合）'!A:AA,25,0)</f>
        <v>0</v>
      </c>
      <c r="C179">
        <v>1</v>
      </c>
      <c r="D179">
        <v>0</v>
      </c>
      <c r="E179">
        <v>0</v>
      </c>
      <c r="F179">
        <v>0</v>
      </c>
      <c r="G179" t="s">
        <v>147</v>
      </c>
    </row>
    <row r="180" spans="1:7" x14ac:dyDescent="0.35">
      <c r="A180" s="106">
        <v>40359</v>
      </c>
      <c r="B180">
        <f>VLOOKUP(A180,'框架指示的股债胜率（综合）'!A:AA,25,0)</f>
        <v>0</v>
      </c>
      <c r="C180">
        <v>1</v>
      </c>
      <c r="D180">
        <v>0</v>
      </c>
      <c r="E180">
        <v>0</v>
      </c>
      <c r="F180">
        <v>0</v>
      </c>
      <c r="G180" t="s">
        <v>147</v>
      </c>
    </row>
    <row r="181" spans="1:7" x14ac:dyDescent="0.35">
      <c r="A181" s="106">
        <v>40329</v>
      </c>
      <c r="B181">
        <f>VLOOKUP(A181,'框架指示的股债胜率（综合）'!A:AA,25,0)</f>
        <v>0</v>
      </c>
      <c r="C181">
        <v>1</v>
      </c>
      <c r="D181">
        <v>0</v>
      </c>
      <c r="E181">
        <v>0</v>
      </c>
      <c r="F181">
        <v>0</v>
      </c>
      <c r="G181" t="s">
        <v>147</v>
      </c>
    </row>
    <row r="182" spans="1:7" x14ac:dyDescent="0.35">
      <c r="A182" s="106">
        <v>40298</v>
      </c>
      <c r="B182">
        <f>VLOOKUP(A182,'框架指示的股债胜率（综合）'!A:AA,25,0)</f>
        <v>0</v>
      </c>
      <c r="C182">
        <v>1</v>
      </c>
      <c r="D182">
        <v>0</v>
      </c>
      <c r="E182">
        <v>0</v>
      </c>
      <c r="F182">
        <v>0</v>
      </c>
      <c r="G182" t="s">
        <v>147</v>
      </c>
    </row>
    <row r="183" spans="1:7" x14ac:dyDescent="0.35">
      <c r="A183" s="106">
        <v>40268</v>
      </c>
      <c r="B183">
        <f>VLOOKUP(A183,'框架指示的股债胜率（综合）'!A:AA,25,0)</f>
        <v>0</v>
      </c>
      <c r="C183">
        <v>1</v>
      </c>
      <c r="D183">
        <v>0</v>
      </c>
      <c r="E183">
        <v>0</v>
      </c>
      <c r="F183">
        <v>0</v>
      </c>
      <c r="G183" t="s">
        <v>147</v>
      </c>
    </row>
    <row r="184" spans="1:7" x14ac:dyDescent="0.35">
      <c r="A184" s="106">
        <v>40237</v>
      </c>
      <c r="B184">
        <f>VLOOKUP(A184,'框架指示的股债胜率（综合）'!A:AA,25,0)</f>
        <v>0</v>
      </c>
      <c r="C184">
        <v>1</v>
      </c>
      <c r="D184">
        <v>0</v>
      </c>
      <c r="E184">
        <v>0</v>
      </c>
      <c r="F184">
        <v>0</v>
      </c>
      <c r="G184" t="s">
        <v>147</v>
      </c>
    </row>
    <row r="185" spans="1:7" x14ac:dyDescent="0.35">
      <c r="A185" s="106">
        <v>40209</v>
      </c>
      <c r="B185" t="e">
        <f>VLOOKUP(A185,'框架指示的股债胜率（综合）'!A:AA,25,0)</f>
        <v>#N/A</v>
      </c>
      <c r="C185">
        <v>1</v>
      </c>
      <c r="D185">
        <v>0</v>
      </c>
      <c r="E185">
        <v>0</v>
      </c>
      <c r="F185">
        <v>0</v>
      </c>
      <c r="G185" t="s">
        <v>147</v>
      </c>
    </row>
  </sheetData>
  <phoneticPr fontId="29" type="noConversion"/>
  <pageMargins left="0.75" right="0.75" top="1" bottom="1" header="0.5" footer="0.5"/>
  <pageSetup paperSize="9" orientation="portrait" horizontalDpi="1200" verticalDpi="1200" r:id="rId1"/>
  <customProperties>
    <customPr name="SheetID" r:id="rId2"/>
  </customProperties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2">
    <tabColor theme="5" tint="0.79992065187536243"/>
  </sheetPr>
  <dimension ref="A1:XEQ295"/>
  <sheetViews>
    <sheetView workbookViewId="0">
      <selection activeCell="G30" sqref="G30"/>
    </sheetView>
  </sheetViews>
  <sheetFormatPr defaultColWidth="9" defaultRowHeight="14.15" x14ac:dyDescent="0.35"/>
  <cols>
    <col min="1" max="1" width="9" style="1"/>
    <col min="2" max="2" width="31.140625" style="1" customWidth="1"/>
    <col min="3" max="3" width="9" style="1"/>
    <col min="4" max="4" width="11.640625" style="1" customWidth="1"/>
    <col min="5" max="5" width="9" style="1"/>
    <col min="6" max="6" width="11.640625" style="90" customWidth="1"/>
    <col min="7" max="8" width="9" style="1"/>
    <col min="9" max="9" width="13.85546875" style="1" customWidth="1"/>
    <col min="10" max="10" width="12.85546875" style="1" customWidth="1"/>
    <col min="11" max="11" width="34" style="1" customWidth="1"/>
    <col min="12" max="14" width="9" style="1"/>
    <col min="15" max="15" width="12.85546875" style="1" customWidth="1"/>
    <col min="16" max="16" width="10.35546875" style="91"/>
    <col min="17" max="17" width="11.42578125" style="91"/>
    <col min="18" max="18" width="9.42578125" style="1" bestFit="1" customWidth="1"/>
    <col min="19" max="19" width="9.42578125" style="1" customWidth="1"/>
    <col min="20" max="20" width="14.140625" style="1"/>
    <col min="21" max="21" width="9" style="1" customWidth="1"/>
    <col min="22" max="28" width="15.35546875" style="1"/>
    <col min="29" max="29" width="15.2109375" style="1" customWidth="1"/>
    <col min="30" max="30" width="12.78515625" style="1" customWidth="1"/>
    <col min="31" max="62" width="15.35546875" style="1"/>
    <col min="63" max="66" width="10.42578125" style="1" customWidth="1"/>
    <col min="67" max="67" width="11.640625" style="1" customWidth="1"/>
    <col min="68" max="69" width="17.35546875" style="1" customWidth="1"/>
    <col min="70" max="72" width="10.42578125" style="1" customWidth="1"/>
    <col min="73" max="16371" width="9" style="1"/>
  </cols>
  <sheetData>
    <row r="1" spans="1:72" x14ac:dyDescent="0.35">
      <c r="B1" s="1" t="s">
        <v>100</v>
      </c>
      <c r="D1" s="1" t="s">
        <v>6</v>
      </c>
      <c r="F1" s="90" t="s">
        <v>5</v>
      </c>
      <c r="H1" s="1" t="s">
        <v>152</v>
      </c>
      <c r="I1" s="1" t="s">
        <v>5</v>
      </c>
      <c r="J1" s="90" t="s">
        <v>6</v>
      </c>
      <c r="K1" s="1" t="s">
        <v>153</v>
      </c>
      <c r="L1" s="1" t="s">
        <v>154</v>
      </c>
      <c r="V1" s="1" t="s">
        <v>155</v>
      </c>
      <c r="W1" s="1" t="s">
        <v>79</v>
      </c>
      <c r="X1" s="1" t="s">
        <v>80</v>
      </c>
      <c r="Y1" s="1" t="s">
        <v>81</v>
      </c>
      <c r="Z1" s="1" t="s">
        <v>82</v>
      </c>
      <c r="AA1" s="105" t="s">
        <v>84</v>
      </c>
      <c r="AB1" s="105" t="s">
        <v>85</v>
      </c>
      <c r="AC1" s="105" t="s">
        <v>86</v>
      </c>
      <c r="AD1" s="105" t="s">
        <v>87</v>
      </c>
      <c r="AE1" s="105" t="s">
        <v>88</v>
      </c>
      <c r="AF1" s="105" t="s">
        <v>156</v>
      </c>
      <c r="AG1" s="105" t="s">
        <v>157</v>
      </c>
      <c r="AH1" s="105" t="s">
        <v>158</v>
      </c>
      <c r="AI1" s="105" t="s">
        <v>159</v>
      </c>
      <c r="AJ1" s="105" t="s">
        <v>160</v>
      </c>
      <c r="AK1" s="105" t="s">
        <v>161</v>
      </c>
      <c r="AL1" s="105" t="s">
        <v>162</v>
      </c>
      <c r="AM1" s="105" t="s">
        <v>163</v>
      </c>
      <c r="AN1" s="105" t="s">
        <v>164</v>
      </c>
      <c r="AO1" s="105" t="s">
        <v>165</v>
      </c>
      <c r="AP1" s="105" t="s">
        <v>166</v>
      </c>
      <c r="AQ1" s="105" t="s">
        <v>167</v>
      </c>
      <c r="AR1" s="105" t="s">
        <v>168</v>
      </c>
      <c r="AS1" s="105" t="s">
        <v>169</v>
      </c>
      <c r="AT1" s="105" t="s">
        <v>170</v>
      </c>
      <c r="AU1" s="105" t="s">
        <v>171</v>
      </c>
      <c r="AV1" s="105" t="s">
        <v>172</v>
      </c>
      <c r="AW1" s="105" t="s">
        <v>173</v>
      </c>
      <c r="AX1" s="105" t="s">
        <v>174</v>
      </c>
      <c r="AY1" s="105" t="s">
        <v>175</v>
      </c>
      <c r="AZ1" s="105" t="s">
        <v>176</v>
      </c>
      <c r="BA1" s="105" t="s">
        <v>177</v>
      </c>
      <c r="BB1" s="105" t="s">
        <v>178</v>
      </c>
      <c r="BC1" s="105" t="s">
        <v>179</v>
      </c>
      <c r="BD1" s="105" t="s">
        <v>180</v>
      </c>
      <c r="BE1" s="105" t="s">
        <v>181</v>
      </c>
      <c r="BF1" s="105" t="s">
        <v>182</v>
      </c>
      <c r="BG1" s="105" t="s">
        <v>183</v>
      </c>
      <c r="BH1" s="105" t="s">
        <v>184</v>
      </c>
      <c r="BI1" s="105" t="s">
        <v>185</v>
      </c>
      <c r="BJ1" s="105" t="s">
        <v>186</v>
      </c>
      <c r="BK1" s="1" t="s">
        <v>187</v>
      </c>
      <c r="BL1" s="1" t="s">
        <v>90</v>
      </c>
      <c r="BM1" s="1" t="s">
        <v>91</v>
      </c>
      <c r="BN1" s="1" t="s">
        <v>92</v>
      </c>
      <c r="BO1" s="1" t="s">
        <v>93</v>
      </c>
      <c r="BP1" s="1" t="s">
        <v>95</v>
      </c>
      <c r="BQ1" s="1" t="s">
        <v>96</v>
      </c>
      <c r="BR1" s="1" t="s">
        <v>76</v>
      </c>
      <c r="BS1" s="1" t="s">
        <v>77</v>
      </c>
      <c r="BT1" s="1" t="s">
        <v>78</v>
      </c>
    </row>
    <row r="2" spans="1:72" x14ac:dyDescent="0.35">
      <c r="A2" s="92">
        <v>45688</v>
      </c>
      <c r="B2" s="1" t="str">
        <f>VLOOKUP(A2,周期整合计算!A:G,7,0)</f>
        <v>周期3（景气值&lt;0，方向上升）</v>
      </c>
      <c r="C2" s="1">
        <f>IF(ISNUMBER(D2),COUNTIF(D$2:D2,"&gt;0"),"")</f>
        <v>1</v>
      </c>
      <c r="D2" s="90">
        <f t="shared" ref="D2:D16" si="0">IF(B1=B2,"",A2)</f>
        <v>45688</v>
      </c>
      <c r="E2" s="1" t="str">
        <f>IF(ISNUMBER(F2),COUNTIF(F$2:F2,"&gt;0"),"")</f>
        <v/>
      </c>
      <c r="F2" s="90" t="str">
        <f t="shared" ref="F2:F20" si="1">IF(B2=B3,"",A2)</f>
        <v/>
      </c>
      <c r="H2" s="1">
        <v>1</v>
      </c>
      <c r="I2" s="93">
        <f>EOMONTH(VLOOKUP($H2,$E:$F,2,FALSE),-1)+1</f>
        <v>45505</v>
      </c>
      <c r="J2" s="93">
        <f t="shared" ref="J2:J17" si="2">VLOOKUP($H2,$C:$D,2,FALSE)</f>
        <v>45688</v>
      </c>
      <c r="K2" s="1" t="str">
        <f t="shared" ref="K2:K17" si="3">VLOOKUP(VLOOKUP($H2,$C:$F,2,FALSE),A:B,2,FALSE)</f>
        <v>周期3（景气值&lt;0，方向上升）</v>
      </c>
      <c r="L2" s="1" t="str">
        <f>VLOOKUP(K2,周期整合计算!J:K,2,0)</f>
        <v>复苏</v>
      </c>
      <c r="O2" s="94" t="s">
        <v>4</v>
      </c>
      <c r="P2" s="94" t="s">
        <v>5</v>
      </c>
      <c r="Q2" s="100" t="s">
        <v>6</v>
      </c>
      <c r="R2" s="1" t="s">
        <v>12</v>
      </c>
      <c r="S2" s="1" t="s">
        <v>13</v>
      </c>
      <c r="T2" s="1" t="s">
        <v>14</v>
      </c>
      <c r="U2" s="1" t="s">
        <v>15</v>
      </c>
      <c r="V2" s="1" t="s">
        <v>16</v>
      </c>
      <c r="W2" s="1" t="s">
        <v>17</v>
      </c>
      <c r="X2" s="1" t="s">
        <v>18</v>
      </c>
      <c r="Y2" s="1" t="s">
        <v>19</v>
      </c>
      <c r="Z2" s="1" t="s">
        <v>20</v>
      </c>
      <c r="AA2" s="1" t="s">
        <v>24</v>
      </c>
      <c r="AB2" s="1" t="s">
        <v>25</v>
      </c>
      <c r="AC2" s="1" t="s">
        <v>26</v>
      </c>
      <c r="AD2" s="1" t="s">
        <v>27</v>
      </c>
      <c r="AE2" s="1" t="s">
        <v>28</v>
      </c>
      <c r="AF2" s="105" t="s">
        <v>36</v>
      </c>
      <c r="AG2" s="105" t="s">
        <v>37</v>
      </c>
      <c r="AH2" s="105" t="s">
        <v>38</v>
      </c>
      <c r="AI2" s="105" t="s">
        <v>39</v>
      </c>
      <c r="AJ2" s="105" t="s">
        <v>40</v>
      </c>
      <c r="AK2" s="105" t="s">
        <v>41</v>
      </c>
      <c r="AL2" s="105" t="s">
        <v>42</v>
      </c>
      <c r="AM2" s="105" t="s">
        <v>43</v>
      </c>
      <c r="AN2" s="105" t="s">
        <v>44</v>
      </c>
      <c r="AO2" s="105" t="s">
        <v>45</v>
      </c>
      <c r="AP2" s="105" t="s">
        <v>46</v>
      </c>
      <c r="AQ2" s="105" t="s">
        <v>47</v>
      </c>
      <c r="AR2" s="105" t="s">
        <v>48</v>
      </c>
      <c r="AS2" s="105" t="s">
        <v>49</v>
      </c>
      <c r="AT2" s="105" t="s">
        <v>50</v>
      </c>
      <c r="AU2" s="105" t="s">
        <v>51</v>
      </c>
      <c r="AV2" s="105" t="s">
        <v>52</v>
      </c>
      <c r="AW2" s="105" t="s">
        <v>53</v>
      </c>
      <c r="AX2" s="105" t="s">
        <v>54</v>
      </c>
      <c r="AY2" s="105" t="s">
        <v>55</v>
      </c>
      <c r="AZ2" s="105" t="s">
        <v>56</v>
      </c>
      <c r="BA2" s="105" t="s">
        <v>57</v>
      </c>
      <c r="BB2" s="105" t="s">
        <v>58</v>
      </c>
      <c r="BC2" s="105" t="s">
        <v>59</v>
      </c>
      <c r="BD2" s="105" t="s">
        <v>60</v>
      </c>
      <c r="BE2" s="105" t="s">
        <v>61</v>
      </c>
      <c r="BF2" s="105" t="s">
        <v>62</v>
      </c>
      <c r="BG2" s="105" t="s">
        <v>63</v>
      </c>
      <c r="BH2" s="105" t="s">
        <v>64</v>
      </c>
      <c r="BI2" s="105" t="s">
        <v>65</v>
      </c>
      <c r="BJ2" s="105" t="s">
        <v>66</v>
      </c>
      <c r="BK2" s="1" t="s">
        <v>29</v>
      </c>
      <c r="BL2" s="1" t="s">
        <v>30</v>
      </c>
      <c r="BM2" s="1" t="s">
        <v>31</v>
      </c>
      <c r="BN2" s="1" t="s">
        <v>32</v>
      </c>
      <c r="BO2" s="1" t="s">
        <v>33</v>
      </c>
      <c r="BP2" s="1" t="s">
        <v>34</v>
      </c>
      <c r="BQ2" s="1" t="s">
        <v>35</v>
      </c>
      <c r="BR2" s="1" t="s">
        <v>21</v>
      </c>
      <c r="BS2" s="1" t="s">
        <v>22</v>
      </c>
      <c r="BT2" s="1" t="s">
        <v>23</v>
      </c>
    </row>
    <row r="3" spans="1:72" x14ac:dyDescent="0.35">
      <c r="A3" s="92">
        <v>45657</v>
      </c>
      <c r="B3" s="1" t="str">
        <f>VLOOKUP(A3,周期整合计算!A:G,7,0)</f>
        <v>周期3（景气值&lt;0，方向上升）</v>
      </c>
      <c r="C3" s="1" t="str">
        <f>IF(ISNUMBER(D3),COUNTIF(D$2:D3,"&gt;0"),"")</f>
        <v/>
      </c>
      <c r="D3" s="90" t="str">
        <f t="shared" si="0"/>
        <v/>
      </c>
      <c r="E3" s="1" t="str">
        <f>IF(ISNUMBER(F3),COUNTIF(F$2:F3,"&gt;0"),"")</f>
        <v/>
      </c>
      <c r="F3" s="90" t="str">
        <f t="shared" si="1"/>
        <v/>
      </c>
      <c r="H3" s="1">
        <v>2</v>
      </c>
      <c r="I3" s="93">
        <f>EOMONTH(VLOOKUP($H3,$E:$F,2,FALSE),-1)+1</f>
        <v>45078</v>
      </c>
      <c r="J3" s="93">
        <f t="shared" si="2"/>
        <v>45504</v>
      </c>
      <c r="K3" s="1" t="str">
        <f t="shared" si="3"/>
        <v>周期2（景气值&lt;0，方向下降）</v>
      </c>
      <c r="L3" s="1" t="str">
        <f>VLOOKUP(K3,周期整合计算!J:K,2,0)</f>
        <v>衰退</v>
      </c>
      <c r="N3" s="1" t="s">
        <v>7</v>
      </c>
      <c r="O3" s="151" t="s">
        <v>7</v>
      </c>
      <c r="P3" s="96">
        <v>45078</v>
      </c>
      <c r="Q3" s="96">
        <v>45443</v>
      </c>
      <c r="R3" s="1">
        <v>5</v>
      </c>
      <c r="S3" s="101">
        <f t="shared" ref="S3:S7" si="4">DATEDIF(P3,Q3,"M")+1</f>
        <v>12</v>
      </c>
      <c r="V3" s="1">
        <f>[1]!s_pq_pctchange(V$1,$P3,$Q3)</f>
        <v>-9.3936892957549585</v>
      </c>
      <c r="W3" s="1">
        <f>[1]!s_pq_pctchange(W$1,$P3,$Q3)</f>
        <v>-1.2499851605246137</v>
      </c>
      <c r="X3" s="1">
        <f>[1]!s_pq_pctchange(X$1,$P3,$Q3)</f>
        <v>-5.7553297929938125</v>
      </c>
      <c r="Y3" s="1">
        <f>[1]!s_pq_pctchange(Y$1,$P3,$Q3)</f>
        <v>-12.22364402433076</v>
      </c>
      <c r="Z3" s="1">
        <f>[1]!s_pq_pctchange(Z$1,$P3,$Q3)</f>
        <v>-18.386214428090309</v>
      </c>
      <c r="AA3" s="1">
        <f>[1]!s_pq_pctchange(AA$1,$P3,$Q3)</f>
        <v>4.606016270189417</v>
      </c>
      <c r="AB3" s="1">
        <f>[1]!s_pq_pctchange(AB$1,$P3,$Q3)</f>
        <v>-8.9396061794474022</v>
      </c>
      <c r="AC3" s="1">
        <f>[1]!s_pq_pctchange(AC$1,$P3,$Q3)</f>
        <v>2.8145632933018083</v>
      </c>
      <c r="AD3" s="1">
        <f>[1]!s_pq_pctchange(AD$1,$P3,$Q3)</f>
        <v>-2.0729171212930719</v>
      </c>
      <c r="AE3" s="1">
        <f>[1]!s_pq_pctchange(AE$1,$P3,$Q3)</f>
        <v>-21.265329712777405</v>
      </c>
      <c r="AF3" s="1">
        <f>[1]!s_pq_pctchange(AF$1,$P3,$Q3)</f>
        <v>-3.6209955489768131</v>
      </c>
      <c r="AG3" s="1">
        <f>[1]!s_pq_pctchange(AG$1,$P3,$Q3)</f>
        <v>-8.1374386582006011</v>
      </c>
      <c r="AH3" s="1">
        <f>[1]!s_pq_pctchange(AH$1,$P3,$Q3)</f>
        <v>-5.4312256844707862</v>
      </c>
      <c r="AI3" s="1">
        <f>[1]!s_pq_pctchange(AI$1,$P3,$Q3)</f>
        <v>5.3467847068602747</v>
      </c>
      <c r="AJ3" s="1">
        <f>[1]!s_pq_pctchange(AJ$1,$P3,$Q3)</f>
        <v>-13.495797083948069</v>
      </c>
      <c r="AK3" s="1">
        <f>[1]!s_pq_pctchange(AK$1,$P3,$Q3)</f>
        <v>17.03489375618885</v>
      </c>
      <c r="AL3" s="1">
        <f>[1]!s_pq_pctchange(AL$1,$P3,$Q3)</f>
        <v>-9.4879572481224592</v>
      </c>
      <c r="AM3" s="1">
        <f>[1]!s_pq_pctchange(AM$1,$P3,$Q3)</f>
        <v>-5.8048045004181041</v>
      </c>
      <c r="AN3" s="1">
        <f>[1]!s_pq_pctchange(AN$1,$P3,$Q3)</f>
        <v>-11.325938142466619</v>
      </c>
      <c r="AO3" s="1">
        <f>[1]!s_pq_pctchange(AO$1,$P3,$Q3)</f>
        <v>-18.779457365637608</v>
      </c>
      <c r="AP3" s="1">
        <f>[1]!s_pq_pctchange(AP$1,$P3,$Q3)</f>
        <v>1.3233817046366614</v>
      </c>
      <c r="AQ3" s="1">
        <f>[1]!s_pq_pctchange(AQ$1,$P3,$Q3)</f>
        <v>-3.9361659471524812</v>
      </c>
      <c r="AR3" s="1">
        <f>[1]!s_pq_pctchange(AR$1,$P3,$Q3)</f>
        <v>-20.576929858588709</v>
      </c>
      <c r="AS3" s="1">
        <f>[1]!s_pq_pctchange(AS$1,$P3,$Q3)</f>
        <v>-24.941850934593933</v>
      </c>
      <c r="AT3" s="1">
        <f>[1]!s_pq_pctchange(AT$1,$P3,$Q3)</f>
        <v>-26.809836265652397</v>
      </c>
      <c r="AU3" s="1">
        <f>[1]!s_pq_pctchange(AU$1,$P3,$Q3)</f>
        <v>-24.994383528883148</v>
      </c>
      <c r="AV3" s="1">
        <f>[1]!s_pq_pctchange(AV$1,$P3,$Q3)</f>
        <v>-17.0553717647411</v>
      </c>
      <c r="AW3" s="1">
        <f>[1]!s_pq_pctchange(AW$1,$P3,$Q3)</f>
        <v>-18.217346435141557</v>
      </c>
      <c r="AX3" s="1">
        <f>[1]!s_pq_pctchange(AX$1,$P3,$Q3)</f>
        <v>-24.868016041127305</v>
      </c>
      <c r="AY3" s="1">
        <f>[1]!s_pq_pctchange(AY$1,$P3,$Q3)</f>
        <v>-15.049068749010718</v>
      </c>
      <c r="AZ3" s="1">
        <f>[1]!s_pq_pctchange(AZ$1,$P3,$Q3)</f>
        <v>-31.122760534692308</v>
      </c>
      <c r="BA3" s="1">
        <f>[1]!s_pq_pctchange(BA$1,$P3,$Q3)</f>
        <v>-30.589754407496905</v>
      </c>
      <c r="BB3" s="1">
        <f>[1]!s_pq_pctchange(BB$1,$P3,$Q3)</f>
        <v>-6.7868899728476322</v>
      </c>
      <c r="BC3" s="1">
        <f>[1]!s_pq_pctchange(BC$1,$P3,$Q3)</f>
        <v>10.861162622203647</v>
      </c>
      <c r="BD3" s="1">
        <f>[1]!s_pq_pctchange(BD$1,$P3,$Q3)</f>
        <v>-7.7114362053913865</v>
      </c>
      <c r="BE3" s="1">
        <f>[1]!s_pq_pctchange(BE$1,$P3,$Q3)</f>
        <v>5.6860790095701441</v>
      </c>
      <c r="BF3" s="1">
        <f>[1]!s_pq_pctchange(BF$1,$P3,$Q3)</f>
        <v>-8.6832383864900322</v>
      </c>
      <c r="BG3" s="1">
        <f>[1]!s_pq_pctchange(BG$1,$P3,$Q3)</f>
        <v>32.135158309759838</v>
      </c>
      <c r="BH3" s="1">
        <f>[1]!s_pq_pctchange(BH$1,$P3,$Q3)</f>
        <v>6.8277451093773589</v>
      </c>
      <c r="BI3" s="1">
        <f>[1]!s_pq_pctchange(BI$1,$P3,$Q3)</f>
        <v>-14.578155839101548</v>
      </c>
      <c r="BJ3" s="1">
        <f>[1]!s_pq_pctchange(BJ$1,$P3,$Q3)</f>
        <v>-26.863829848451182</v>
      </c>
      <c r="BK3" s="1">
        <f>[1]!s_pq_pctchange(BK$1,$P3,$Q3)</f>
        <v>9.6940398545076967</v>
      </c>
      <c r="BL3" s="1">
        <f>[1]!s_pq_pctchange(BL$1,$P3,$Q3)</f>
        <v>7.4233277601557734</v>
      </c>
      <c r="BM3" s="1">
        <f>[1]!s_pq_pctchange(BM$1,$P3,$Q3)</f>
        <v>-0.23097720863806126</v>
      </c>
      <c r="BN3" s="1">
        <f>[1]!s_pq_pctchange(BN$1,$P3,$Q3)</f>
        <v>7.8990283077401635</v>
      </c>
      <c r="BO3" s="1">
        <f>[1]!s_pq_pctchange(BO$1,$P3,$Q3)</f>
        <v>8.731461838757749</v>
      </c>
      <c r="BP3" s="1">
        <f>[1]!s_pq_pctchange(BP$1,$P3,$Q3)</f>
        <v>5.2096278013131547</v>
      </c>
      <c r="BQ3" s="1">
        <f>[1]!s_pq_pctchange(BQ$1,$P3,$Q3)</f>
        <v>-24.983744081471926</v>
      </c>
      <c r="BR3" s="1">
        <f>[1]!s_pq_pctchange(BR$1,$P3,$Q3)</f>
        <v>-4.556417077638752</v>
      </c>
      <c r="BS3" s="1">
        <f>[1]!s_pq_pctchange(BS$1,$P3,$Q3)</f>
        <v>-12.011956154220005</v>
      </c>
      <c r="BT3" s="1">
        <f>[1]!s_pq_pctchange(BT$1,$P3,$Q3)</f>
        <v>-13.22890577979935</v>
      </c>
    </row>
    <row r="4" spans="1:72" x14ac:dyDescent="0.35">
      <c r="A4" s="92">
        <v>45626</v>
      </c>
      <c r="B4" s="1" t="str">
        <f>VLOOKUP(A4,周期整合计算!A:G,7,0)</f>
        <v>周期3（景气值&lt;0，方向上升）</v>
      </c>
      <c r="C4" s="1" t="str">
        <f>IF(ISNUMBER(D4),COUNTIF(D$2:D4,"&gt;0"),"")</f>
        <v/>
      </c>
      <c r="D4" s="90" t="str">
        <f t="shared" si="0"/>
        <v/>
      </c>
      <c r="E4" s="1" t="str">
        <f>IF(ISNUMBER(F4),COUNTIF(F$2:F4,"&gt;0"),"")</f>
        <v/>
      </c>
      <c r="F4" s="90" t="str">
        <f t="shared" si="1"/>
        <v/>
      </c>
      <c r="H4" s="1">
        <v>3</v>
      </c>
      <c r="I4" s="93">
        <f t="shared" ref="I4:I16" si="5">EOMONTH(VLOOKUP($H4,$E:$F,2,FALSE),-1)+1</f>
        <v>44501</v>
      </c>
      <c r="J4" s="93">
        <f t="shared" si="2"/>
        <v>45077</v>
      </c>
      <c r="K4" s="1" t="str">
        <f t="shared" si="3"/>
        <v>周期3（景气值&lt;0，方向上升）</v>
      </c>
      <c r="L4" s="1" t="str">
        <f>VLOOKUP(K4,周期整合计算!J:K,2,0)</f>
        <v>复苏</v>
      </c>
      <c r="N4" s="1" t="s">
        <v>7</v>
      </c>
      <c r="O4" s="151"/>
      <c r="P4" s="96">
        <v>44348</v>
      </c>
      <c r="Q4" s="96">
        <v>44500</v>
      </c>
      <c r="S4" s="101">
        <f t="shared" si="4"/>
        <v>5</v>
      </c>
      <c r="V4" s="1">
        <f>[1]!s_pq_pctchange(V$1,$P4,$Q4)</f>
        <v>0.74693526769133989</v>
      </c>
      <c r="W4" s="1">
        <f>[1]!s_pq_pctchange(W$1,$P4,$Q4)</f>
        <v>-10.491831392836248</v>
      </c>
      <c r="X4" s="1">
        <f>[1]!s_pq_pctchange(X$1,$P4,$Q4)</f>
        <v>-7.9301131134066001</v>
      </c>
      <c r="Y4" s="1">
        <f>[1]!s_pq_pctchange(Y$1,$P4,$Q4)</f>
        <v>4.3618518355487135</v>
      </c>
      <c r="Z4" s="1">
        <f>[1]!s_pq_pctchange(Z$1,$P4,$Q4)</f>
        <v>8.3785056889616136</v>
      </c>
      <c r="AA4" s="1">
        <f>[1]!s_pq_pctchange(AA$1,$P4,$Q4)</f>
        <v>10.97297326551654</v>
      </c>
      <c r="AB4" s="1">
        <f>[1]!s_pq_pctchange(AB$1,$P4,$Q4)</f>
        <v>-14.638137456406197</v>
      </c>
      <c r="AC4" s="1">
        <f>[1]!s_pq_pctchange(AC$1,$P4,$Q4)</f>
        <v>-9.9648409691447615</v>
      </c>
      <c r="AD4" s="1">
        <f>[1]!s_pq_pctchange(AD$1,$P4,$Q4)</f>
        <v>7.7795394969018661</v>
      </c>
      <c r="AE4" s="1">
        <f>[1]!s_pq_pctchange(AE$1,$P4,$Q4)</f>
        <v>10.927325727301508</v>
      </c>
      <c r="AF4" s="1">
        <f>[1]!s_pq_pctchange(AF$1,$P4,$Q4)</f>
        <v>-7.6501187078187094</v>
      </c>
      <c r="AG4" s="1">
        <f>[1]!s_pq_pctchange(AG$1,$P4,$Q4)</f>
        <v>19.369440046405263</v>
      </c>
      <c r="AH4" s="1">
        <f>[1]!s_pq_pctchange(AH$1,$P4,$Q4)</f>
        <v>4.743585610562473</v>
      </c>
      <c r="AI4" s="1">
        <f>[1]!s_pq_pctchange(AI$1,$P4,$Q4)</f>
        <v>16.973681752030888</v>
      </c>
      <c r="AJ4" s="1">
        <f>[1]!s_pq_pctchange(AJ$1,$P4,$Q4)</f>
        <v>5.7096513256131853</v>
      </c>
      <c r="AK4" s="1">
        <f>[1]!s_pq_pctchange(AK$1,$P4,$Q4)</f>
        <v>-16.578508142763614</v>
      </c>
      <c r="AL4" s="1">
        <f>[1]!s_pq_pctchange(AL$1,$P4,$Q4)</f>
        <v>-16.471966690839167</v>
      </c>
      <c r="AM4" s="1">
        <f>[1]!s_pq_pctchange(AM$1,$P4,$Q4)</f>
        <v>-9.4090690712886662</v>
      </c>
      <c r="AN4" s="1">
        <f>[1]!s_pq_pctchange(AN$1,$P4,$Q4)</f>
        <v>-11.156302840048237</v>
      </c>
      <c r="AO4" s="1">
        <f>[1]!s_pq_pctchange(AO$1,$P4,$Q4)</f>
        <v>-17.429131693285704</v>
      </c>
      <c r="AP4" s="1">
        <f>[1]!s_pq_pctchange(AP$1,$P4,$Q4)</f>
        <v>14.417947691800649</v>
      </c>
      <c r="AQ4" s="1">
        <f>[1]!s_pq_pctchange(AQ$1,$P4,$Q4)</f>
        <v>-3.8294125465178075</v>
      </c>
      <c r="AR4" s="1">
        <f>[1]!s_pq_pctchange(AR$1,$P4,$Q4)</f>
        <v>-18.335859479385064</v>
      </c>
      <c r="AS4" s="1">
        <f>[1]!s_pq_pctchange(AS$1,$P4,$Q4)</f>
        <v>-7.058891992551219</v>
      </c>
      <c r="AT4" s="1">
        <f>[1]!s_pq_pctchange(AT$1,$P4,$Q4)</f>
        <v>-18.006169351738411</v>
      </c>
      <c r="AU4" s="1">
        <f>[1]!s_pq_pctchange(AU$1,$P4,$Q4)</f>
        <v>3.9887303773922689</v>
      </c>
      <c r="AV4" s="1">
        <f>[1]!s_pq_pctchange(AV$1,$P4,$Q4)</f>
        <v>-15.237435235125218</v>
      </c>
      <c r="AW4" s="1">
        <f>[1]!s_pq_pctchange(AW$1,$P4,$Q4)</f>
        <v>4.4597453317603009</v>
      </c>
      <c r="AX4" s="1">
        <f>[1]!s_pq_pctchange(AX$1,$P4,$Q4)</f>
        <v>43.509780212887009</v>
      </c>
      <c r="AY4" s="1">
        <f>[1]!s_pq_pctchange(AY$1,$P4,$Q4)</f>
        <v>13.516115368323756</v>
      </c>
      <c r="AZ4" s="1">
        <f>[1]!s_pq_pctchange(AZ$1,$P4,$Q4)</f>
        <v>-3.9697630387297456</v>
      </c>
      <c r="BA4" s="1">
        <f>[1]!s_pq_pctchange(BA$1,$P4,$Q4)</f>
        <v>-13.365148351726397</v>
      </c>
      <c r="BB4" s="1">
        <f>[1]!s_pq_pctchange(BB$1,$P4,$Q4)</f>
        <v>-0.34207348360379974</v>
      </c>
      <c r="BC4" s="1">
        <f>[1]!s_pq_pctchange(BC$1,$P4,$Q4)</f>
        <v>-12.158884897420318</v>
      </c>
      <c r="BD4" s="1">
        <f>[1]!s_pq_pctchange(BD$1,$P4,$Q4)</f>
        <v>-12.982356872137323</v>
      </c>
      <c r="BE4" s="1">
        <f>[1]!s_pq_pctchange(BE$1,$P4,$Q4)</f>
        <v>17.19183226521972</v>
      </c>
      <c r="BF4" s="1">
        <f>[1]!s_pq_pctchange(BF$1,$P4,$Q4)</f>
        <v>5.0263496143958974</v>
      </c>
      <c r="BG4" s="1">
        <f>[1]!s_pq_pctchange(BG$1,$P4,$Q4)</f>
        <v>18.133700365851823</v>
      </c>
      <c r="BH4" s="1">
        <f>[1]!s_pq_pctchange(BH$1,$P4,$Q4)</f>
        <v>9.5853013627426709</v>
      </c>
      <c r="BI4" s="1">
        <f>[1]!s_pq_pctchange(BI$1,$P4,$Q4)</f>
        <v>1.860106377650661</v>
      </c>
      <c r="BJ4" s="1">
        <f>[1]!s_pq_pctchange(BJ$1,$P4,$Q4)</f>
        <v>-22.107892690879183</v>
      </c>
      <c r="BK4" s="1">
        <f>[1]!s_pq_pctchange(BK$1,$P4,$Q4)</f>
        <v>-4.5358014259768158</v>
      </c>
      <c r="BL4" s="1">
        <f>[1]!s_pq_pctchange(BL$1,$P4,$Q4)</f>
        <v>-12.081150783077522</v>
      </c>
      <c r="BM4" s="1">
        <f>[1]!s_pq_pctchange(BM$1,$P4,$Q4)</f>
        <v>-19.286731732315431</v>
      </c>
      <c r="BN4" s="1">
        <f>[1]!s_pq_pctchange(BN$1,$P4,$Q4)</f>
        <v>-5.2819579416785611</v>
      </c>
      <c r="BO4" s="1">
        <f>[1]!s_pq_pctchange(BO$1,$P4,$Q4)</f>
        <v>-4.6122850976543344</v>
      </c>
      <c r="BP4" s="1">
        <f>[1]!s_pq_pctchange(BP$1,$P4,$Q4)</f>
        <v>-8.3492490781970403</v>
      </c>
      <c r="BQ4" s="1">
        <f>[1]!s_pq_pctchange(BQ$1,$P4,$Q4)</f>
        <v>-12.338758798720928</v>
      </c>
      <c r="BR4" s="1">
        <f>[1]!s_pq_pctchange(BR$1,$P4,$Q4)</f>
        <v>-7.3247282005259766</v>
      </c>
      <c r="BS4" s="1">
        <f>[1]!s_pq_pctchange(BS$1,$P4,$Q4)</f>
        <v>1.2300282178577149</v>
      </c>
      <c r="BT4" s="1">
        <f>[1]!s_pq_pctchange(BT$1,$P4,$Q4)</f>
        <v>6.3736596179692739</v>
      </c>
    </row>
    <row r="5" spans="1:72" x14ac:dyDescent="0.35">
      <c r="A5" s="92">
        <v>45596</v>
      </c>
      <c r="B5" s="1" t="str">
        <f>VLOOKUP(A5,周期整合计算!A:G,7,0)</f>
        <v>周期3（景气值&lt;0，方向上升）</v>
      </c>
      <c r="C5" s="1" t="str">
        <f>IF(ISNUMBER(D5),COUNTIF(D$2:D5,"&gt;0"),"")</f>
        <v/>
      </c>
      <c r="D5" s="90" t="str">
        <f t="shared" si="0"/>
        <v/>
      </c>
      <c r="E5" s="1" t="str">
        <f>IF(ISNUMBER(F5),COUNTIF(F$2:F5,"&gt;0"),"")</f>
        <v/>
      </c>
      <c r="F5" s="90" t="str">
        <f t="shared" si="1"/>
        <v/>
      </c>
      <c r="H5" s="1">
        <v>4</v>
      </c>
      <c r="I5" s="93">
        <f t="shared" si="5"/>
        <v>44348</v>
      </c>
      <c r="J5" s="93">
        <f t="shared" si="2"/>
        <v>44500</v>
      </c>
      <c r="K5" s="1" t="str">
        <f t="shared" si="3"/>
        <v>周期2（景气值&lt;0，方向下降）</v>
      </c>
      <c r="L5" s="1" t="str">
        <f>VLOOKUP(K5,周期整合计算!J:K,2,0)</f>
        <v>衰退</v>
      </c>
      <c r="N5" s="1" t="s">
        <v>7</v>
      </c>
      <c r="O5" s="151"/>
      <c r="P5" s="96">
        <v>43191</v>
      </c>
      <c r="Q5" s="96">
        <v>43373</v>
      </c>
      <c r="S5" s="101">
        <f t="shared" si="4"/>
        <v>6</v>
      </c>
      <c r="V5" s="1">
        <f>[1]!s_pq_pctchange(V$1,$P5,$Q5)</f>
        <v>-16.029505079223195</v>
      </c>
      <c r="W5" s="1">
        <f>[1]!s_pq_pctchange(W$1,$P5,$Q5)</f>
        <v>-4.242428695227618</v>
      </c>
      <c r="X5" s="1">
        <f>[1]!s_pq_pctchange(X$1,$P5,$Q5)</f>
        <v>-11.789997977939038</v>
      </c>
      <c r="Y5" s="1">
        <f>[1]!s_pq_pctchange(Y$1,$P5,$Q5)</f>
        <v>-21.489219276795858</v>
      </c>
      <c r="Z5" s="1">
        <f>[1]!s_pq_pctchange(Z$1,$P5,$Q5)</f>
        <v>-26.643389461383336</v>
      </c>
      <c r="AA5" s="1">
        <f>[1]!s_pq_pctchange(AA$1,$P5,$Q5)</f>
        <v>-17.762533542164473</v>
      </c>
      <c r="AB5" s="1">
        <f>[1]!s_pq_pctchange(AB$1,$P5,$Q5)</f>
        <v>-13.711583773651592</v>
      </c>
      <c r="AC5" s="1">
        <f>[1]!s_pq_pctchange(AC$1,$P5,$Q5)</f>
        <v>-7.2954123815853311</v>
      </c>
      <c r="AD5" s="1">
        <f>[1]!s_pq_pctchange(AD$1,$P5,$Q5)</f>
        <v>-10.528593053737511</v>
      </c>
      <c r="AE5" s="1">
        <f>[1]!s_pq_pctchange(AE$1,$P5,$Q5)</f>
        <v>-25.185689129838341</v>
      </c>
      <c r="AF5" s="1">
        <f>[1]!s_pq_pctchange(AF$1,$P5,$Q5)</f>
        <v>-16.175414430772296</v>
      </c>
      <c r="AG5" s="1">
        <f>[1]!s_pq_pctchange(AG$1,$P5,$Q5)</f>
        <v>-14.950685590570123</v>
      </c>
      <c r="AH5" s="1">
        <f>[1]!s_pq_pctchange(AH$1,$P5,$Q5)</f>
        <v>-7.8900842869868981</v>
      </c>
      <c r="AI5" s="1">
        <f>[1]!s_pq_pctchange(AI$1,$P5,$Q5)</f>
        <v>-27.129763405162254</v>
      </c>
      <c r="AJ5" s="1">
        <f>[1]!s_pq_pctchange(AJ$1,$P5,$Q5)</f>
        <v>-29.726834814349413</v>
      </c>
      <c r="AK5" s="1">
        <f>[1]!s_pq_pctchange(AK$1,$P5,$Q5)</f>
        <v>-21.576794410094237</v>
      </c>
      <c r="AL5" s="1">
        <f>[1]!s_pq_pctchange(AL$1,$P5,$Q5)</f>
        <v>2.0791404514310274</v>
      </c>
      <c r="AM5" s="1">
        <f>[1]!s_pq_pctchange(AM$1,$P5,$Q5)</f>
        <v>-24.886482110191611</v>
      </c>
      <c r="AN5" s="1">
        <f>[1]!s_pq_pctchange(AN$1,$P5,$Q5)</f>
        <v>-26.693476441745791</v>
      </c>
      <c r="AO5" s="1">
        <f>[1]!s_pq_pctchange(AO$1,$P5,$Q5)</f>
        <v>-16.768690310909161</v>
      </c>
      <c r="AP5" s="1">
        <f>[1]!s_pq_pctchange(AP$1,$P5,$Q5)</f>
        <v>-18.072400332192593</v>
      </c>
      <c r="AQ5" s="1">
        <f>[1]!s_pq_pctchange(AQ$1,$P5,$Q5)</f>
        <v>-17.453684053964835</v>
      </c>
      <c r="AR5" s="1">
        <f>[1]!s_pq_pctchange(AR$1,$P5,$Q5)</f>
        <v>-23.831948082459707</v>
      </c>
      <c r="AS5" s="1">
        <f>[1]!s_pq_pctchange(AS$1,$P5,$Q5)</f>
        <v>-21.295689344769329</v>
      </c>
      <c r="AT5" s="1">
        <f>[1]!s_pq_pctchange(AT$1,$P5,$Q5)</f>
        <v>-4.7612826582637879</v>
      </c>
      <c r="AU5" s="1">
        <f>[1]!s_pq_pctchange(AU$1,$P5,$Q5)</f>
        <v>-29.112037777678523</v>
      </c>
      <c r="AV5" s="1">
        <f>[1]!s_pq_pctchange(AV$1,$P5,$Q5)</f>
        <v>-18.978896956171631</v>
      </c>
      <c r="AW5" s="1">
        <f>[1]!s_pq_pctchange(AW$1,$P5,$Q5)</f>
        <v>-17.81547985851628</v>
      </c>
      <c r="AX5" s="1">
        <f>[1]!s_pq_pctchange(AX$1,$P5,$Q5)</f>
        <v>-27.139375752408192</v>
      </c>
      <c r="AY5" s="1">
        <f>[1]!s_pq_pctchange(AY$1,$P5,$Q5)</f>
        <v>-18.62448440063066</v>
      </c>
      <c r="AZ5" s="1">
        <f>[1]!s_pq_pctchange(AZ$1,$P5,$Q5)</f>
        <v>-21.172446686460965</v>
      </c>
      <c r="BA5" s="1">
        <f>[1]!s_pq_pctchange(BA$1,$P5,$Q5)</f>
        <v>-31.231290502977071</v>
      </c>
      <c r="BB5" s="1">
        <f>[1]!s_pq_pctchange(BB$1,$P5,$Q5)</f>
        <v>-25.050438506196738</v>
      </c>
      <c r="BC5" s="1">
        <f>[1]!s_pq_pctchange(BC$1,$P5,$Q5)</f>
        <v>-3.6277682131461098</v>
      </c>
      <c r="BD5" s="1">
        <f>[1]!s_pq_pctchange(BD$1,$P5,$Q5)</f>
        <v>-9.2560429227280352</v>
      </c>
      <c r="BE5" s="1">
        <f>[1]!s_pq_pctchange(BE$1,$P5,$Q5)</f>
        <v>-19.423512464820401</v>
      </c>
      <c r="BF5" s="1">
        <f>[1]!s_pq_pctchange(BF$1,$P5,$Q5)</f>
        <v>-23.557060846209477</v>
      </c>
      <c r="BG5" s="1">
        <f>[1]!s_pq_pctchange(BG$1,$P5,$Q5)</f>
        <v>-13.415884696049174</v>
      </c>
      <c r="BH5" s="1">
        <f>[1]!s_pq_pctchange(BH$1,$P5,$Q5)</f>
        <v>1.6074821639837866</v>
      </c>
      <c r="BI5" s="1">
        <f>[1]!s_pq_pctchange(BI$1,$P5,$Q5)</f>
        <v>-30.91780410267766</v>
      </c>
      <c r="BJ5" s="1">
        <f>[1]!s_pq_pctchange(BJ$1,$P5,$Q5)</f>
        <v>-20.220295616994687</v>
      </c>
      <c r="BK5" s="1">
        <f>[1]!s_pq_pctchange(BK$1,$P5,$Q5)</f>
        <v>-7.4837820909666286</v>
      </c>
      <c r="BL5" s="1">
        <f>[1]!s_pq_pctchange(BL$1,$P5,$Q5)</f>
        <v>-4.7513844285168467</v>
      </c>
      <c r="BM5" s="1">
        <f>[1]!s_pq_pctchange(BM$1,$P5,$Q5)</f>
        <v>-16.627121583339633</v>
      </c>
      <c r="BN5" s="1">
        <f>[1]!s_pq_pctchange(BN$1,$P5,$Q5)</f>
        <v>-7.9201825612536521</v>
      </c>
      <c r="BO5" s="1">
        <f>[1]!s_pq_pctchange(BO$1,$P5,$Q5)</f>
        <v>-10.71604478233037</v>
      </c>
      <c r="BP5" s="1">
        <f>[1]!s_pq_pctchange(BP$1,$P5,$Q5)</f>
        <v>-6.6215222862098022</v>
      </c>
      <c r="BQ5" s="1">
        <f>[1]!s_pq_pctchange(BQ$1,$P5,$Q5)</f>
        <v>-19.602146333994519</v>
      </c>
      <c r="BR5" s="1">
        <f>[1]!s_pq_pctchange(BR$1,$P5,$Q5)</f>
        <v>-10.669583705850084</v>
      </c>
      <c r="BS5" s="1">
        <f>[1]!s_pq_pctchange(BS$1,$P5,$Q5)</f>
        <v>-21.224828981574529</v>
      </c>
      <c r="BT5" s="1">
        <f>[1]!s_pq_pctchange(BT$1,$P5,$Q5)</f>
        <v>-23.702298243534948</v>
      </c>
    </row>
    <row r="6" spans="1:72" x14ac:dyDescent="0.35">
      <c r="A6" s="92">
        <v>45565</v>
      </c>
      <c r="B6" s="1" t="str">
        <f>VLOOKUP(A6,周期整合计算!A:G,7,0)</f>
        <v>周期3（景气值&lt;0，方向上升）</v>
      </c>
      <c r="C6" s="1" t="str">
        <f>IF(ISNUMBER(D6),COUNTIF(D$2:D6,"&gt;0"),"")</f>
        <v/>
      </c>
      <c r="D6" s="90" t="str">
        <f t="shared" si="0"/>
        <v/>
      </c>
      <c r="E6" s="1" t="str">
        <f>IF(ISNUMBER(F6),COUNTIF(F$2:F6,"&gt;0"),"")</f>
        <v/>
      </c>
      <c r="F6" s="90" t="str">
        <f t="shared" si="1"/>
        <v/>
      </c>
      <c r="H6" s="1">
        <v>5</v>
      </c>
      <c r="I6" s="93">
        <f t="shared" si="5"/>
        <v>44136</v>
      </c>
      <c r="J6" s="93">
        <f t="shared" si="2"/>
        <v>44347</v>
      </c>
      <c r="K6" s="1" t="str">
        <f t="shared" si="3"/>
        <v>周期1（景气值&gt;0，方向下降）</v>
      </c>
      <c r="L6" s="1" t="str">
        <f>VLOOKUP(K6,周期整合计算!J:K,2,0)</f>
        <v>滞涨</v>
      </c>
      <c r="N6" s="1" t="s">
        <v>7</v>
      </c>
      <c r="O6" s="151"/>
      <c r="P6" s="97">
        <v>41791</v>
      </c>
      <c r="Q6" s="97">
        <v>42004</v>
      </c>
      <c r="S6" s="101">
        <f t="shared" si="4"/>
        <v>7</v>
      </c>
      <c r="V6" s="1">
        <f>[1]!s_pq_pctchange(V$1,$P6,$Q6)</f>
        <v>56.238469511942398</v>
      </c>
      <c r="W6" s="1">
        <f>[1]!s_pq_pctchange(W$1,$P6,$Q6)</f>
        <v>74.183521175416445</v>
      </c>
      <c r="X6" s="1">
        <f>[1]!s_pq_pctchange(X$1,$P6,$Q6)</f>
        <v>63.865707936696367</v>
      </c>
      <c r="Y6" s="1">
        <f>[1]!s_pq_pctchange(Y$1,$P6,$Q6)</f>
        <v>39.001911085181959</v>
      </c>
      <c r="Z6" s="1">
        <f>[1]!s_pq_pctchange(Z$1,$P6,$Q6)</f>
        <v>29.673361899027007</v>
      </c>
      <c r="AA6" s="1">
        <f>[1]!s_pq_pctchange(AA$1,$P6,$Q6)</f>
        <v>47.923117566120979</v>
      </c>
      <c r="AB6" s="1">
        <f>[1]!s_pq_pctchange(AB$1,$P6,$Q6)</f>
        <v>28.821733742276411</v>
      </c>
      <c r="AC6" s="1">
        <f>[1]!s_pq_pctchange(AC$1,$P6,$Q6)</f>
        <v>101.89344123180479</v>
      </c>
      <c r="AD6" s="1">
        <f>[1]!s_pq_pctchange(AD$1,$P6,$Q6)</f>
        <v>95.209249830876018</v>
      </c>
      <c r="AE6" s="1">
        <f>[1]!s_pq_pctchange(AE$1,$P6,$Q6)</f>
        <v>32.836098535631834</v>
      </c>
      <c r="AF6" s="1">
        <f>[1]!s_pq_pctchange(AF$1,$P6,$Q6)</f>
        <v>31.228948701898716</v>
      </c>
      <c r="AG6" s="1">
        <f>[1]!s_pq_pctchange(AG$1,$P6,$Q6)</f>
        <v>33.003801841986657</v>
      </c>
      <c r="AH6" s="1">
        <f>[1]!s_pq_pctchange(AH$1,$P6,$Q6)</f>
        <v>92.593650705167519</v>
      </c>
      <c r="AI6" s="1">
        <f>[1]!s_pq_pctchange(AI$1,$P6,$Q6)</f>
        <v>40.647116158833761</v>
      </c>
      <c r="AJ6" s="1">
        <f>[1]!s_pq_pctchange(AJ$1,$P6,$Q6)</f>
        <v>11.563052050688839</v>
      </c>
      <c r="AK6" s="1">
        <f>[1]!s_pq_pctchange(AK$1,$P6,$Q6)</f>
        <v>30.284878154524275</v>
      </c>
      <c r="AL6" s="1">
        <f>[1]!s_pq_pctchange(AL$1,$P6,$Q6)</f>
        <v>25.769252712895231</v>
      </c>
      <c r="AM6" s="1">
        <f>[1]!s_pq_pctchange(AM$1,$P6,$Q6)</f>
        <v>37.83722597441799</v>
      </c>
      <c r="AN6" s="1">
        <f>[1]!s_pq_pctchange(AN$1,$P6,$Q6)</f>
        <v>23.888360216801541</v>
      </c>
      <c r="AO6" s="1">
        <f>[1]!s_pq_pctchange(AO$1,$P6,$Q6)</f>
        <v>18.00475634504226</v>
      </c>
      <c r="AP6" s="1">
        <f>[1]!s_pq_pctchange(AP$1,$P6,$Q6)</f>
        <v>64.977872906603395</v>
      </c>
      <c r="AQ6" s="1">
        <f>[1]!s_pq_pctchange(AQ$1,$P6,$Q6)</f>
        <v>73.129481890235184</v>
      </c>
      <c r="AR6" s="1">
        <f>[1]!s_pq_pctchange(AR$1,$P6,$Q6)</f>
        <v>64.533874585704325</v>
      </c>
      <c r="AS6" s="1">
        <f>[1]!s_pq_pctchange(AS$1,$P6,$Q6)</f>
        <v>40.987083560043949</v>
      </c>
      <c r="AT6" s="1">
        <f>[1]!s_pq_pctchange(AT$1,$P6,$Q6)</f>
        <v>26.922942833870533</v>
      </c>
      <c r="AU6" s="1">
        <f>[1]!s_pq_pctchange(AU$1,$P6,$Q6)</f>
        <v>37.038066934311217</v>
      </c>
      <c r="AV6" s="1">
        <f>[1]!s_pq_pctchange(AV$1,$P6,$Q6)</f>
        <v>47.177150624550478</v>
      </c>
      <c r="AW6" s="1">
        <f>[1]!s_pq_pctchange(AW$1,$P6,$Q6)</f>
        <v>99.580278734357279</v>
      </c>
      <c r="AX6" s="1">
        <f>[1]!s_pq_pctchange(AX$1,$P6,$Q6)</f>
        <v>30.668533385317897</v>
      </c>
      <c r="AY6" s="1">
        <f>[1]!s_pq_pctchange(AY$1,$P6,$Q6)</f>
        <v>64.84317281214318</v>
      </c>
      <c r="AZ6" s="1">
        <f>[1]!s_pq_pctchange(AZ$1,$P6,$Q6)</f>
        <v>28.267881362049387</v>
      </c>
      <c r="BA6" s="1">
        <f>[1]!s_pq_pctchange(BA$1,$P6,$Q6)</f>
        <v>16.257375861236035</v>
      </c>
      <c r="BB6" s="1">
        <f>[1]!s_pq_pctchange(BB$1,$P6,$Q6)</f>
        <v>29.433127237227463</v>
      </c>
      <c r="BC6" s="1">
        <f>[1]!s_pq_pctchange(BC$1,$P6,$Q6)</f>
        <v>67.1780845960335</v>
      </c>
      <c r="BD6" s="1">
        <f>[1]!s_pq_pctchange(BD$1,$P6,$Q6)</f>
        <v>143.55741865220025</v>
      </c>
      <c r="BE6" s="1">
        <f>[1]!s_pq_pctchange(BE$1,$P6,$Q6)</f>
        <v>35.440584669299028</v>
      </c>
      <c r="BF6" s="1">
        <f>[1]!s_pq_pctchange(BF$1,$P6,$Q6)</f>
        <v>49.563790079597055</v>
      </c>
      <c r="BG6" s="1">
        <f>[1]!s_pq_pctchange(BG$1,$P6,$Q6)</f>
        <v>50.174805298163847</v>
      </c>
      <c r="BH6" s="1">
        <f>[1]!s_pq_pctchange(BH$1,$P6,$Q6)</f>
        <v>25.767685980829857</v>
      </c>
      <c r="BI6" s="1">
        <f>[1]!s_pq_pctchange(BI$1,$P6,$Q6)</f>
        <v>46.588705528513195</v>
      </c>
      <c r="BJ6" s="1">
        <f>[1]!s_pq_pctchange(BJ$1,$P6,$Q6)</f>
        <v>12.826450213575914</v>
      </c>
      <c r="BK6" s="1">
        <f>[1]!s_pq_pctchange(BK$1,$P6,$Q6)</f>
        <v>57.348124715512739</v>
      </c>
      <c r="BL6" s="1">
        <f>[1]!s_pq_pctchange(BL$1,$P6,$Q6)</f>
        <v>72.479276844877432</v>
      </c>
      <c r="BM6" s="1">
        <f>[1]!s_pq_pctchange(BM$1,$P6,$Q6)</f>
        <v>63.855431020013519</v>
      </c>
      <c r="BN6" s="1">
        <f>[1]!s_pq_pctchange(BN$1,$P6,$Q6)</f>
        <v>0</v>
      </c>
      <c r="BO6" s="1">
        <f>[1]!s_pq_pctchange(BO$1,$P6,$Q6)</f>
        <v>56.416476860935205</v>
      </c>
      <c r="BP6" s="1">
        <f>[1]!s_pq_pctchange(BP$1,$P6,$Q6)</f>
        <v>73.949163065555567</v>
      </c>
      <c r="BQ6" s="1">
        <f>[1]!s_pq_pctchange(BQ$1,$P6,$Q6)</f>
        <v>22.191705695306108</v>
      </c>
      <c r="BR6" s="1">
        <f>[1]!s_pq_pctchange(BR$1,$P6,$Q6)</f>
        <v>64.859418590400793</v>
      </c>
      <c r="BS6" s="1">
        <f>[1]!s_pq_pctchange(BS$1,$P6,$Q6)</f>
        <v>43.046297861964966</v>
      </c>
      <c r="BT6" s="1">
        <f>[1]!s_pq_pctchange(BT$1,$P6,$Q6)</f>
        <v>39.956560290583276</v>
      </c>
    </row>
    <row r="7" spans="1:72" ht="14.6" thickBot="1" x14ac:dyDescent="0.4">
      <c r="A7" s="92">
        <v>45535</v>
      </c>
      <c r="B7" s="1" t="str">
        <f>VLOOKUP(A7,周期整合计算!A:G,7,0)</f>
        <v>周期3（景气值&lt;0，方向上升）</v>
      </c>
      <c r="C7" s="1" t="str">
        <f>IF(ISNUMBER(D7),COUNTIF(D$2:D7,"&gt;0"),"")</f>
        <v/>
      </c>
      <c r="D7" s="90" t="str">
        <f t="shared" si="0"/>
        <v/>
      </c>
      <c r="E7" s="1">
        <f>IF(ISNUMBER(F7),COUNTIF(F$2:F7,"&gt;0"),"")</f>
        <v>1</v>
      </c>
      <c r="F7" s="90">
        <f t="shared" si="1"/>
        <v>45535</v>
      </c>
      <c r="H7" s="1">
        <v>6</v>
      </c>
      <c r="I7" s="93">
        <f t="shared" si="5"/>
        <v>43891</v>
      </c>
      <c r="J7" s="93">
        <f t="shared" si="2"/>
        <v>44135</v>
      </c>
      <c r="K7" s="1" t="str">
        <f t="shared" si="3"/>
        <v>周期4（景气值&gt;0，方向上升）</v>
      </c>
      <c r="L7" s="1" t="str">
        <f>VLOOKUP(K7,周期整合计算!J:K,2,0)</f>
        <v>过热</v>
      </c>
      <c r="N7" s="1" t="s">
        <v>7</v>
      </c>
      <c r="O7" s="152"/>
      <c r="P7" s="99">
        <v>40848</v>
      </c>
      <c r="Q7" s="99">
        <v>41060</v>
      </c>
      <c r="S7" s="101">
        <f t="shared" si="4"/>
        <v>7</v>
      </c>
      <c r="V7" s="1">
        <f>[1]!s_pq_pctchange(V$1,$P7,$Q7)</f>
        <v>-4.018892485833458</v>
      </c>
      <c r="W7" s="1">
        <f>[1]!s_pq_pctchange(W$1,$P7,$Q7)</f>
        <v>0.69986847472534031</v>
      </c>
      <c r="X7" s="1">
        <f>[1]!s_pq_pctchange(X$1,$P7,$Q7)</f>
        <v>-2.3472279781115768</v>
      </c>
      <c r="Y7" s="1">
        <f>[1]!s_pq_pctchange(Y$1,$P7,$Q7)</f>
        <v>-6.1452051602230657</v>
      </c>
      <c r="Z7" s="1">
        <f>[1]!s_pq_pctchange(Z$1,$P7,$Q7)</f>
        <v>-10.379979099494408</v>
      </c>
      <c r="AA7" s="1">
        <f>[1]!s_pq_pctchange(AA$1,$P7,$Q7)</f>
        <v>-10.033634774336885</v>
      </c>
      <c r="AB7" s="1">
        <f>[1]!s_pq_pctchange(AB$1,$P7,$Q7)</f>
        <v>-4.9111947885929208</v>
      </c>
      <c r="AC7" s="1">
        <f>[1]!s_pq_pctchange(AC$1,$P7,$Q7)</f>
        <v>4.964036111059511</v>
      </c>
      <c r="AD7" s="1">
        <f>[1]!s_pq_pctchange(AD$1,$P7,$Q7)</f>
        <v>-4.5974200502117757</v>
      </c>
      <c r="AE7" s="1">
        <f>[1]!s_pq_pctchange(AE$1,$P7,$Q7)</f>
        <v>-6.7270276959648374</v>
      </c>
      <c r="AF7" s="1">
        <f>[1]!s_pq_pctchange(AF$1,$P7,$Q7)</f>
        <v>-11.996524329692148</v>
      </c>
      <c r="AG7" s="1">
        <f>[1]!s_pq_pctchange(AG$1,$P7,$Q7)</f>
        <v>-12.369723177753677</v>
      </c>
      <c r="AH7" s="1">
        <f>[1]!s_pq_pctchange(AH$1,$P7,$Q7)</f>
        <v>-9.8286204298434487</v>
      </c>
      <c r="AI7" s="1">
        <f>[1]!s_pq_pctchange(AI$1,$P7,$Q7)</f>
        <v>0.14746058559997888</v>
      </c>
      <c r="AJ7" s="1">
        <f>[1]!s_pq_pctchange(AJ$1,$P7,$Q7)</f>
        <v>-8.5280601774913034</v>
      </c>
      <c r="AK7" s="1">
        <f>[1]!s_pq_pctchange(AK$1,$P7,$Q7)</f>
        <v>1.9340830133479647</v>
      </c>
      <c r="AL7" s="1">
        <f>[1]!s_pq_pctchange(AL$1,$P7,$Q7)</f>
        <v>1.9990522251324583</v>
      </c>
      <c r="AM7" s="1">
        <f>[1]!s_pq_pctchange(AM$1,$P7,$Q7)</f>
        <v>-11.719413814501889</v>
      </c>
      <c r="AN7" s="1">
        <f>[1]!s_pq_pctchange(AN$1,$P7,$Q7)</f>
        <v>-13.229295462161572</v>
      </c>
      <c r="AO7" s="1">
        <f>[1]!s_pq_pctchange(AO$1,$P7,$Q7)</f>
        <v>-8.3370024086400267</v>
      </c>
      <c r="AP7" s="1">
        <f>[1]!s_pq_pctchange(AP$1,$P7,$Q7)</f>
        <v>-5.8635043782042544</v>
      </c>
      <c r="AQ7" s="1">
        <f>[1]!s_pq_pctchange(AQ$1,$P7,$Q7)</f>
        <v>-8.6160544160867829</v>
      </c>
      <c r="AR7" s="1">
        <f>[1]!s_pq_pctchange(AR$1,$P7,$Q7)</f>
        <v>12.038297025359391</v>
      </c>
      <c r="AS7" s="1">
        <f>[1]!s_pq_pctchange(AS$1,$P7,$Q7)</f>
        <v>-12.191518090442932</v>
      </c>
      <c r="AT7" s="1">
        <f>[1]!s_pq_pctchange(AT$1,$P7,$Q7)</f>
        <v>-1.0579774642198614</v>
      </c>
      <c r="AU7" s="1">
        <f>[1]!s_pq_pctchange(AU$1,$P7,$Q7)</f>
        <v>-11.868026153740452</v>
      </c>
      <c r="AV7" s="1">
        <f>[1]!s_pq_pctchange(AV$1,$P7,$Q7)</f>
        <v>-11.092401205853397</v>
      </c>
      <c r="AW7" s="1">
        <f>[1]!s_pq_pctchange(AW$1,$P7,$Q7)</f>
        <v>-4.1083673989386948</v>
      </c>
      <c r="AX7" s="1">
        <f>[1]!s_pq_pctchange(AX$1,$P7,$Q7)</f>
        <v>-17.701575532900836</v>
      </c>
      <c r="AY7" s="1">
        <f>[1]!s_pq_pctchange(AY$1,$P7,$Q7)</f>
        <v>-11.859504132231402</v>
      </c>
      <c r="AZ7" s="1">
        <f>[1]!s_pq_pctchange(AZ$1,$P7,$Q7)</f>
        <v>-8.6250165865703554</v>
      </c>
      <c r="BA7" s="1">
        <f>[1]!s_pq_pctchange(BA$1,$P7,$Q7)</f>
        <v>-11.980140186915889</v>
      </c>
      <c r="BB7" s="1">
        <f>[1]!s_pq_pctchange(BB$1,$P7,$Q7)</f>
        <v>-14.705121405378829</v>
      </c>
      <c r="BC7" s="1">
        <f>[1]!s_pq_pctchange(BC$1,$P7,$Q7)</f>
        <v>-2.202217836402609</v>
      </c>
      <c r="BD7" s="1">
        <f>[1]!s_pq_pctchange(BD$1,$P7,$Q7)</f>
        <v>8.1258513697593635</v>
      </c>
      <c r="BE7" s="1">
        <f>[1]!s_pq_pctchange(BE$1,$P7,$Q7)</f>
        <v>-5.2438657632635781</v>
      </c>
      <c r="BF7" s="1">
        <f>[1]!s_pq_pctchange(BF$1,$P7,$Q7)</f>
        <v>-7.7879163713678086</v>
      </c>
      <c r="BG7" s="1">
        <f>[1]!s_pq_pctchange(BG$1,$P7,$Q7)</f>
        <v>-4.247418485172183</v>
      </c>
      <c r="BH7" s="1">
        <f>[1]!s_pq_pctchange(BH$1,$P7,$Q7)</f>
        <v>-6.1230103773405986</v>
      </c>
      <c r="BI7" s="1">
        <f>[1]!s_pq_pctchange(BI$1,$P7,$Q7)</f>
        <v>-8.8942042531945376</v>
      </c>
      <c r="BJ7" s="1">
        <f>[1]!s_pq_pctchange(BJ$1,$P7,$Q7)</f>
        <v>-7.1152451540740236</v>
      </c>
      <c r="BK7" s="1">
        <f>[1]!s_pq_pctchange(BK$1,$P7,$Q7)</f>
        <v>-2.0195263642569516</v>
      </c>
      <c r="BL7" s="1">
        <f>[1]!s_pq_pctchange(BL$1,$P7,$Q7)</f>
        <v>-0.93424714402127185</v>
      </c>
      <c r="BM7" s="1">
        <f>[1]!s_pq_pctchange(BM$1,$P7,$Q7)</f>
        <v>-2.8711143009673812</v>
      </c>
      <c r="BN7" s="1">
        <f>[1]!s_pq_pctchange(BN$1,$P7,$Q7)</f>
        <v>0</v>
      </c>
      <c r="BO7" s="1">
        <f>[1]!s_pq_pctchange(BO$1,$P7,$Q7)</f>
        <v>-3.4614135907107269</v>
      </c>
      <c r="BP7" s="1">
        <f>[1]!s_pq_pctchange(BP$1,$P7,$Q7)</f>
        <v>0.77873685193834419</v>
      </c>
      <c r="BQ7" s="1">
        <f>[1]!s_pq_pctchange(BQ$1,$P7,$Q7)</f>
        <v>-5.9235667352545596</v>
      </c>
      <c r="BR7" s="1">
        <f>[1]!s_pq_pctchange(BR$1,$P7,$Q7)</f>
        <v>-1.2104842960256601</v>
      </c>
      <c r="BS7" s="1">
        <f>[1]!s_pq_pctchange(BS$1,$P7,$Q7)</f>
        <v>-5.0867568975958788</v>
      </c>
      <c r="BT7" s="1">
        <f>[1]!s_pq_pctchange(BT$1,$P7,$Q7)</f>
        <v>-7.6510964712524387</v>
      </c>
    </row>
    <row r="8" spans="1:72" x14ac:dyDescent="0.35">
      <c r="A8" s="92">
        <v>45504</v>
      </c>
      <c r="B8" s="1" t="str">
        <f>VLOOKUP(A8,周期整合计算!A:G,7,0)</f>
        <v>周期2（景气值&lt;0，方向下降）</v>
      </c>
      <c r="C8" s="1">
        <f>IF(ISNUMBER(D8),COUNTIF(D$2:D8,"&gt;0"),"")</f>
        <v>2</v>
      </c>
      <c r="D8" s="90">
        <f t="shared" si="0"/>
        <v>45504</v>
      </c>
      <c r="E8" s="1" t="str">
        <f>IF(ISNUMBER(F8),COUNTIF(F$2:F8,"&gt;0"),"")</f>
        <v/>
      </c>
      <c r="F8" s="90" t="str">
        <f t="shared" si="1"/>
        <v/>
      </c>
      <c r="H8" s="1">
        <v>7</v>
      </c>
      <c r="I8" s="93">
        <f t="shared" si="5"/>
        <v>43374</v>
      </c>
      <c r="J8" s="93">
        <f t="shared" si="2"/>
        <v>43890</v>
      </c>
      <c r="K8" s="1" t="str">
        <f t="shared" si="3"/>
        <v>周期3（景气值&lt;0，方向上升）</v>
      </c>
      <c r="L8" s="1" t="str">
        <f>VLOOKUP(K8,周期整合计算!J:K,2,0)</f>
        <v>复苏</v>
      </c>
      <c r="N8" s="1" t="s">
        <v>8</v>
      </c>
      <c r="O8" s="156" t="s">
        <v>8</v>
      </c>
      <c r="P8" s="97">
        <v>45505</v>
      </c>
      <c r="Q8" s="97">
        <v>45688</v>
      </c>
      <c r="R8" s="1">
        <v>5</v>
      </c>
      <c r="S8" s="101">
        <f t="shared" ref="S8:S18" si="6">DATEDIF(P9,Q9,"M")+1</f>
        <v>19</v>
      </c>
      <c r="V8" s="1">
        <f>[1]!s_pq_pctchange(V$1,$P8,$Q8)</f>
        <v>16.497201525103144</v>
      </c>
      <c r="W8" s="1">
        <f>[1]!s_pq_pctchange(W$1,$P8,$Q8)</f>
        <v>8.7672774480968219</v>
      </c>
      <c r="X8" s="1">
        <f>[1]!s_pq_pctchange(X$1,$P8,$Q8)</f>
        <v>10.894439427458536</v>
      </c>
      <c r="Y8" s="1">
        <f>[1]!s_pq_pctchange(Y$1,$P8,$Q8)</f>
        <v>14.385388907725716</v>
      </c>
      <c r="Z8" s="1">
        <f>[1]!s_pq_pctchange(Z$1,$P8,$Q8)</f>
        <v>19.573984532511378</v>
      </c>
      <c r="AA8" s="1">
        <f>[1]!s_pq_pctchange(AA$1,$P8,$Q8)</f>
        <v>10.762716556560846</v>
      </c>
      <c r="AB8" s="1">
        <f>[1]!s_pq_pctchange(AB$1,$P8,$Q8)</f>
        <v>8.8874291552822235</v>
      </c>
      <c r="AC8" s="1">
        <f>[1]!s_pq_pctchange(AC$1,$P8,$Q8)</f>
        <v>21.096473109629876</v>
      </c>
      <c r="AD8" s="1">
        <f>[1]!s_pq_pctchange(AD$1,$P8,$Q8)</f>
        <v>0.43097714860860226</v>
      </c>
      <c r="AE8" s="1">
        <f>[1]!s_pq_pctchange(AE$1,$P8,$Q8)</f>
        <v>23.154207782406043</v>
      </c>
      <c r="AF8" s="1">
        <f>[1]!s_pq_pctchange(AF$1,$P8,$Q8)</f>
        <v>-0.71933719082450942</v>
      </c>
      <c r="AG8" s="1">
        <f>[1]!s_pq_pctchange(AG$1,$P8,$Q8)</f>
        <v>11.073503272336005</v>
      </c>
      <c r="AH8" s="1">
        <f>[1]!s_pq_pctchange(AH$1,$P8,$Q8)</f>
        <v>9.7625413465501474</v>
      </c>
      <c r="AI8" s="1">
        <f>[1]!s_pq_pctchange(AI$1,$P8,$Q8)</f>
        <v>8.8338046111234192</v>
      </c>
      <c r="AJ8" s="1">
        <f>[1]!s_pq_pctchange(AJ$1,$P8,$Q8)</f>
        <v>28.548828931527261</v>
      </c>
      <c r="AK8" s="1">
        <f>[1]!s_pq_pctchange(AK$1,$P8,$Q8)</f>
        <v>17.512461655098367</v>
      </c>
      <c r="AL8" s="1">
        <f>[1]!s_pq_pctchange(AL$1,$P8,$Q8)</f>
        <v>3.7725046753899205</v>
      </c>
      <c r="AM8" s="1">
        <f>[1]!s_pq_pctchange(AM$1,$P8,$Q8)</f>
        <v>17.506556384910233</v>
      </c>
      <c r="AN8" s="1">
        <f>[1]!s_pq_pctchange(AN$1,$P8,$Q8)</f>
        <v>18.794033945622026</v>
      </c>
      <c r="AO8" s="1">
        <f>[1]!s_pq_pctchange(AO$1,$P8,$Q8)</f>
        <v>4.2348325324406577</v>
      </c>
      <c r="AP8" s="1">
        <f>[1]!s_pq_pctchange(AP$1,$P8,$Q8)</f>
        <v>-5.6812660656370806</v>
      </c>
      <c r="AQ8" s="1">
        <f>[1]!s_pq_pctchange(AQ$1,$P8,$Q8)</f>
        <v>4.2418071353083509</v>
      </c>
      <c r="AR8" s="1">
        <f>[1]!s_pq_pctchange(AR$1,$P8,$Q8)</f>
        <v>12.904952250338674</v>
      </c>
      <c r="AS8" s="1">
        <f>[1]!s_pq_pctchange(AS$1,$P8,$Q8)</f>
        <v>32.650967113026532</v>
      </c>
      <c r="AT8" s="1">
        <f>[1]!s_pq_pctchange(AT$1,$P8,$Q8)</f>
        <v>19.753957446284076</v>
      </c>
      <c r="AU8" s="1">
        <f>[1]!s_pq_pctchange(AU$1,$P8,$Q8)</f>
        <v>40.09595107549557</v>
      </c>
      <c r="AV8" s="1">
        <f>[1]!s_pq_pctchange(AV$1,$P8,$Q8)</f>
        <v>9.5169765561843089</v>
      </c>
      <c r="AW8" s="1">
        <f>[1]!s_pq_pctchange(AW$1,$P8,$Q8)</f>
        <v>9.648327080980156</v>
      </c>
      <c r="AX8" s="1">
        <f>[1]!s_pq_pctchange(AX$1,$P8,$Q8)</f>
        <v>17.003553577740725</v>
      </c>
      <c r="AY8" s="1">
        <f>[1]!s_pq_pctchange(AY$1,$P8,$Q8)</f>
        <v>5.6394172087202321</v>
      </c>
      <c r="AZ8" s="1">
        <f>[1]!s_pq_pctchange(AZ$1,$P8,$Q8)</f>
        <v>36.403926394341333</v>
      </c>
      <c r="BA8" s="1">
        <f>[1]!s_pq_pctchange(BA$1,$P8,$Q8)</f>
        <v>30.965763924374045</v>
      </c>
      <c r="BB8" s="1">
        <f>[1]!s_pq_pctchange(BB$1,$P8,$Q8)</f>
        <v>26.11236166223161</v>
      </c>
      <c r="BC8" s="1">
        <f>[1]!s_pq_pctchange(BC$1,$P8,$Q8)</f>
        <v>16.9443376288122</v>
      </c>
      <c r="BD8" s="1">
        <f>[1]!s_pq_pctchange(BD$1,$P8,$Q8)</f>
        <v>26.334221490515475</v>
      </c>
      <c r="BE8" s="1">
        <f>[1]!s_pq_pctchange(BE$1,$P8,$Q8)</f>
        <v>20.997043222775048</v>
      </c>
      <c r="BF8" s="1">
        <f>[1]!s_pq_pctchange(BF$1,$P8,$Q8)</f>
        <v>24.848272547310458</v>
      </c>
      <c r="BG8" s="1">
        <f>[1]!s_pq_pctchange(BG$1,$P8,$Q8)</f>
        <v>-2.3246852401394347</v>
      </c>
      <c r="BH8" s="1">
        <f>[1]!s_pq_pctchange(BH$1,$P8,$Q8)</f>
        <v>-0.18721872187218436</v>
      </c>
      <c r="BI8" s="1">
        <f>[1]!s_pq_pctchange(BI$1,$P8,$Q8)</f>
        <v>13.096278545249508</v>
      </c>
      <c r="BJ8" s="1">
        <f>[1]!s_pq_pctchange(BJ$1,$P8,$Q8)</f>
        <v>3.3473606969523173</v>
      </c>
      <c r="BK8" s="1">
        <f>[1]!s_pq_pctchange(BK$1,$P8,$Q8)</f>
        <v>4.5849255058541427</v>
      </c>
      <c r="BL8" s="1">
        <f>[1]!s_pq_pctchange(BL$1,$P8,$Q8)</f>
        <v>9.0740140125715953</v>
      </c>
      <c r="BM8" s="1">
        <f>[1]!s_pq_pctchange(BM$1,$P8,$Q8)</f>
        <v>8.0815294534677165</v>
      </c>
      <c r="BN8" s="1">
        <f>[1]!s_pq_pctchange(BN$1,$P8,$Q8)</f>
        <v>8.2886795888108988</v>
      </c>
      <c r="BO8" s="1">
        <f>[1]!s_pq_pctchange(BO$1,$P8,$Q8)</f>
        <v>5.5324531663897947</v>
      </c>
      <c r="BP8" s="1">
        <f>[1]!s_pq_pctchange(BP$1,$P8,$Q8)</f>
        <v>16.860794074887188</v>
      </c>
      <c r="BQ8" s="1">
        <f>[1]!s_pq_pctchange(BQ$1,$P8,$Q8)</f>
        <v>25.563469854998711</v>
      </c>
      <c r="BR8" s="1">
        <f>[1]!s_pq_pctchange(BR$1,$P8,$Q8)</f>
        <v>11.371995806100465</v>
      </c>
      <c r="BS8" s="1">
        <f>[1]!s_pq_pctchange(BS$1,$P8,$Q8)</f>
        <v>12.963912728643567</v>
      </c>
      <c r="BT8" s="1">
        <f>[1]!s_pq_pctchange(BT$1,$P8,$Q8)</f>
        <v>14.62899222449947</v>
      </c>
    </row>
    <row r="9" spans="1:72" x14ac:dyDescent="0.35">
      <c r="A9" s="92">
        <v>45473</v>
      </c>
      <c r="B9" s="1" t="str">
        <f>VLOOKUP(A9,周期整合计算!A:G,7,0)</f>
        <v>周期2（景气值&lt;0，方向下降）</v>
      </c>
      <c r="C9" s="1" t="str">
        <f>IF(ISNUMBER(D9),COUNTIF(D$2:D9,"&gt;0"),"")</f>
        <v/>
      </c>
      <c r="D9" s="90" t="str">
        <f t="shared" si="0"/>
        <v/>
      </c>
      <c r="E9" s="1" t="str">
        <f>IF(ISNUMBER(F9),COUNTIF(F$2:F9,"&gt;0"),"")</f>
        <v/>
      </c>
      <c r="F9" s="90" t="str">
        <f t="shared" si="1"/>
        <v/>
      </c>
      <c r="H9" s="1">
        <v>8</v>
      </c>
      <c r="I9" s="93">
        <f t="shared" si="5"/>
        <v>43191</v>
      </c>
      <c r="J9" s="93">
        <f t="shared" si="2"/>
        <v>43373</v>
      </c>
      <c r="K9" s="1" t="str">
        <f t="shared" si="3"/>
        <v>周期2（景气值&lt;0，方向下降）</v>
      </c>
      <c r="L9" s="1" t="str">
        <f>VLOOKUP(K9,周期整合计算!J:K,2,0)</f>
        <v>衰退</v>
      </c>
      <c r="N9" s="1" t="s">
        <v>8</v>
      </c>
      <c r="O9" s="151"/>
      <c r="P9" s="97">
        <v>44501</v>
      </c>
      <c r="Q9" s="97">
        <v>45077</v>
      </c>
      <c r="S9" s="101">
        <f t="shared" si="6"/>
        <v>17</v>
      </c>
      <c r="V9" s="1">
        <f>[1]!s_pq_pctchange(V$1,$P9,$Q9)</f>
        <v>-13.99078856211251</v>
      </c>
      <c r="W9" s="1">
        <f>[1]!s_pq_pctchange(W$1,$P9,$Q9)</f>
        <v>-23.686577800266285</v>
      </c>
      <c r="X9" s="1">
        <f>[1]!s_pq_pctchange(X$1,$P9,$Q9)</f>
        <v>-22.617207108558613</v>
      </c>
      <c r="Y9" s="1">
        <f>[1]!s_pq_pctchange(Y$1,$P9,$Q9)</f>
        <v>-13.879632766636707</v>
      </c>
      <c r="Z9" s="1">
        <f>[1]!s_pq_pctchange(Z$1,$P9,$Q9)</f>
        <v>-11.152636365764678</v>
      </c>
      <c r="AA9" s="1">
        <f>[1]!s_pq_pctchange(AA$1,$P9,$Q9)</f>
        <v>-14.639101500486396</v>
      </c>
      <c r="AB9" s="1">
        <f>[1]!s_pq_pctchange(AB$1,$P9,$Q9)</f>
        <v>-13.755274101796067</v>
      </c>
      <c r="AC9" s="1">
        <f>[1]!s_pq_pctchange(AC$1,$P9,$Q9)</f>
        <v>-9.6665436052858276</v>
      </c>
      <c r="AD9" s="1">
        <f>[1]!s_pq_pctchange(AD$1,$P9,$Q9)</f>
        <v>15.312088379607403</v>
      </c>
      <c r="AE9" s="1">
        <f>[1]!s_pq_pctchange(AE$1,$P9,$Q9)</f>
        <v>-21.172691519308138</v>
      </c>
      <c r="AF9" s="1">
        <f>[1]!s_pq_pctchange(AF$1,$P9,$Q9)</f>
        <v>-16.477850441373576</v>
      </c>
      <c r="AG9" s="1">
        <f>[1]!s_pq_pctchange(AG$1,$P9,$Q9)</f>
        <v>-27.639917310273688</v>
      </c>
      <c r="AH9" s="1">
        <f>[1]!s_pq_pctchange(AH$1,$P9,$Q9)</f>
        <v>-24.757540523903977</v>
      </c>
      <c r="AI9" s="1">
        <f>[1]!s_pq_pctchange(AI$1,$P9,$Q9)</f>
        <v>-21.854678404089157</v>
      </c>
      <c r="AJ9" s="1">
        <f>[1]!s_pq_pctchange(AJ$1,$P9,$Q9)</f>
        <v>-23.892885899067551</v>
      </c>
      <c r="AK9" s="1">
        <f>[1]!s_pq_pctchange(AK$1,$P9,$Q9)</f>
        <v>-14.025964220767474</v>
      </c>
      <c r="AL9" s="1">
        <f>[1]!s_pq_pctchange(AL$1,$P9,$Q9)</f>
        <v>-18.996553806966354</v>
      </c>
      <c r="AM9" s="1">
        <f>[1]!s_pq_pctchange(AM$1,$P9,$Q9)</f>
        <v>-8.0068301950568568</v>
      </c>
      <c r="AN9" s="1">
        <f>[1]!s_pq_pctchange(AN$1,$P9,$Q9)</f>
        <v>-12.430608037795121</v>
      </c>
      <c r="AO9" s="1">
        <f>[1]!s_pq_pctchange(AO$1,$P9,$Q9)</f>
        <v>-17.955752584788954</v>
      </c>
      <c r="AP9" s="1">
        <f>[1]!s_pq_pctchange(AP$1,$P9,$Q9)</f>
        <v>-2.0850307384638</v>
      </c>
      <c r="AQ9" s="1">
        <f>[1]!s_pq_pctchange(AQ$1,$P9,$Q9)</f>
        <v>-3.0624319795463539</v>
      </c>
      <c r="AR9" s="1">
        <f>[1]!s_pq_pctchange(AR$1,$P9,$Q9)</f>
        <v>-17.47810144632308</v>
      </c>
      <c r="AS9" s="1">
        <f>[1]!s_pq_pctchange(AS$1,$P9,$Q9)</f>
        <v>-25.617484321912411</v>
      </c>
      <c r="AT9" s="1">
        <f>[1]!s_pq_pctchange(AT$1,$P9,$Q9)</f>
        <v>-14.004015870776366</v>
      </c>
      <c r="AU9" s="1">
        <f>[1]!s_pq_pctchange(AU$1,$P9,$Q9)</f>
        <v>3.2744064904350001</v>
      </c>
      <c r="AV9" s="1">
        <f>[1]!s_pq_pctchange(AV$1,$P9,$Q9)</f>
        <v>-26.441882199432097</v>
      </c>
      <c r="AW9" s="1">
        <f>[1]!s_pq_pctchange(AW$1,$P9,$Q9)</f>
        <v>8.495847491456443</v>
      </c>
      <c r="AX9" s="1">
        <f>[1]!s_pq_pctchange(AX$1,$P9,$Q9)</f>
        <v>-34.678048387133245</v>
      </c>
      <c r="AY9" s="1">
        <f>[1]!s_pq_pctchange(AY$1,$P9,$Q9)</f>
        <v>-14.275699085224513</v>
      </c>
      <c r="AZ9" s="1">
        <f>[1]!s_pq_pctchange(AZ$1,$P9,$Q9)</f>
        <v>3.7189239234500127</v>
      </c>
      <c r="BA9" s="1">
        <f>[1]!s_pq_pctchange(BA$1,$P9,$Q9)</f>
        <v>28.234175451251708</v>
      </c>
      <c r="BB9" s="1">
        <f>[1]!s_pq_pctchange(BB$1,$P9,$Q9)</f>
        <v>29.863064993421084</v>
      </c>
      <c r="BC9" s="1">
        <f>[1]!s_pq_pctchange(BC$1,$P9,$Q9)</f>
        <v>-14.693854213180281</v>
      </c>
      <c r="BD9" s="1">
        <f>[1]!s_pq_pctchange(BD$1,$P9,$Q9)</f>
        <v>-15.241543998116535</v>
      </c>
      <c r="BE9" s="1">
        <f>[1]!s_pq_pctchange(BE$1,$P9,$Q9)</f>
        <v>-22.204785720703192</v>
      </c>
      <c r="BF9" s="1">
        <f>[1]!s_pq_pctchange(BF$1,$P9,$Q9)</f>
        <v>-9.5575232069317941</v>
      </c>
      <c r="BG9" s="1">
        <f>[1]!s_pq_pctchange(BG$1,$P9,$Q9)</f>
        <v>6.9036267920858929</v>
      </c>
      <c r="BH9" s="1">
        <f>[1]!s_pq_pctchange(BH$1,$P9,$Q9)</f>
        <v>-7.273192219490876</v>
      </c>
      <c r="BI9" s="1">
        <f>[1]!s_pq_pctchange(BI$1,$P9,$Q9)</f>
        <v>-11.562100501524231</v>
      </c>
      <c r="BJ9" s="1">
        <f>[1]!s_pq_pctchange(BJ$1,$P9,$Q9)</f>
        <v>-24.402148037692161</v>
      </c>
      <c r="BK9" s="1">
        <f>[1]!s_pq_pctchange(BK$1,$P9,$Q9)</f>
        <v>8.2992154097251358</v>
      </c>
      <c r="BL9" s="1">
        <f>[1]!s_pq_pctchange(BL$1,$P9,$Q9)</f>
        <v>-11.610260658246718</v>
      </c>
      <c r="BM9" s="1">
        <f>[1]!s_pq_pctchange(BM$1,$P9,$Q9)</f>
        <v>-23.038535610200618</v>
      </c>
      <c r="BN9" s="1">
        <f>[1]!s_pq_pctchange(BN$1,$P9,$Q9)</f>
        <v>1.6817569289411471</v>
      </c>
      <c r="BO9" s="1">
        <f>[1]!s_pq_pctchange(BO$1,$P9,$Q9)</f>
        <v>5.0262562090439999</v>
      </c>
      <c r="BP9" s="1">
        <f>[1]!s_pq_pctchange(BP$1,$P9,$Q9)</f>
        <v>1.8749083865879923</v>
      </c>
      <c r="BQ9" s="1">
        <f>[1]!s_pq_pctchange(BQ$1,$P9,$Q9)</f>
        <v>-35.936737829294408</v>
      </c>
      <c r="BR9" s="1">
        <f>[1]!s_pq_pctchange(BR$1,$P9,$Q9)</f>
        <v>-22.76175911441214</v>
      </c>
      <c r="BS9" s="1">
        <f>[1]!s_pq_pctchange(BS$1,$P9,$Q9)</f>
        <v>-21.703222961072822</v>
      </c>
      <c r="BT9" s="1">
        <f>[1]!s_pq_pctchange(BT$1,$P9,$Q9)</f>
        <v>-10.725584968316825</v>
      </c>
    </row>
    <row r="10" spans="1:72" x14ac:dyDescent="0.35">
      <c r="A10" s="92">
        <v>45443</v>
      </c>
      <c r="B10" s="1" t="str">
        <f>VLOOKUP(A10,周期整合计算!A:G,7,0)</f>
        <v>周期2（景气值&lt;0，方向下降）</v>
      </c>
      <c r="C10" s="1" t="str">
        <f>IF(ISNUMBER(D10),COUNTIF(D$2:D10,"&gt;0"),"")</f>
        <v/>
      </c>
      <c r="D10" s="90" t="str">
        <f t="shared" si="0"/>
        <v/>
      </c>
      <c r="E10" s="1" t="str">
        <f>IF(ISNUMBER(F10),COUNTIF(F$2:F10,"&gt;0"),"")</f>
        <v/>
      </c>
      <c r="F10" s="90" t="str">
        <f t="shared" si="1"/>
        <v/>
      </c>
      <c r="H10" s="1">
        <v>9</v>
      </c>
      <c r="I10" s="93">
        <f t="shared" si="5"/>
        <v>42614</v>
      </c>
      <c r="J10" s="93">
        <f t="shared" si="2"/>
        <v>43190</v>
      </c>
      <c r="K10" s="1" t="str">
        <f t="shared" si="3"/>
        <v>周期1（景气值&gt;0，方向下降）</v>
      </c>
      <c r="L10" s="1" t="str">
        <f>VLOOKUP(K10,周期整合计算!J:K,2,0)</f>
        <v>滞涨</v>
      </c>
      <c r="N10" s="1" t="s">
        <v>292</v>
      </c>
      <c r="O10" s="151"/>
      <c r="P10" s="97">
        <v>43374</v>
      </c>
      <c r="Q10" s="97">
        <v>43890</v>
      </c>
      <c r="S10" s="101">
        <f t="shared" si="6"/>
        <v>14</v>
      </c>
      <c r="V10" s="1">
        <f>[1]!s_pq_pctchange(V$1,$P10,$Q10)</f>
        <v>17.134175367759518</v>
      </c>
      <c r="W10" s="1">
        <f>[1]!s_pq_pctchange(W$1,$P10,$Q10)</f>
        <v>8.2240750604334778</v>
      </c>
      <c r="X10" s="1">
        <f>[1]!s_pq_pctchange(X$1,$P10,$Q10)</f>
        <v>14.57410845072744</v>
      </c>
      <c r="Y10" s="1">
        <f>[1]!s_pq_pctchange(Y$1,$P10,$Q10)</f>
        <v>13.551296910404464</v>
      </c>
      <c r="Z10" s="1">
        <f>[1]!s_pq_pctchange(Z$1,$P10,$Q10)</f>
        <v>17.718976947059662</v>
      </c>
      <c r="AA10" s="1">
        <f>[1]!s_pq_pctchange(AA$1,$P10,$Q10)</f>
        <v>2.6299961211092571</v>
      </c>
      <c r="AB10" s="1">
        <f>[1]!s_pq_pctchange(AB$1,$P10,$Q10)</f>
        <v>24.939353250640185</v>
      </c>
      <c r="AC10" s="1">
        <f>[1]!s_pq_pctchange(AC$1,$P10,$Q10)</f>
        <v>11.587446377759814</v>
      </c>
      <c r="AD10" s="1">
        <f>[1]!s_pq_pctchange(AD$1,$P10,$Q10)</f>
        <v>-8.2593771990117091</v>
      </c>
      <c r="AE10" s="1">
        <f>[1]!s_pq_pctchange(AE$1,$P10,$Q10)</f>
        <v>34.883975738733938</v>
      </c>
      <c r="AF10" s="1">
        <f>[1]!s_pq_pctchange(AF$1,$P10,$Q10)</f>
        <v>51.03471911000976</v>
      </c>
      <c r="AG10" s="1">
        <f>[1]!s_pq_pctchange(AG$1,$P10,$Q10)</f>
        <v>3.017654905648115</v>
      </c>
      <c r="AH10" s="1">
        <f>[1]!s_pq_pctchange(AH$1,$P10,$Q10)</f>
        <v>-28.877142602071181</v>
      </c>
      <c r="AI10" s="1">
        <f>[1]!s_pq_pctchange(AI$1,$P10,$Q10)</f>
        <v>3.3086671471006968</v>
      </c>
      <c r="AJ10" s="1">
        <f>[1]!s_pq_pctchange(AJ$1,$P10,$Q10)</f>
        <v>77.329972666195516</v>
      </c>
      <c r="AK10" s="1">
        <f>[1]!s_pq_pctchange(AK$1,$P10,$Q10)</f>
        <v>31.54216081104828</v>
      </c>
      <c r="AL10" s="1">
        <f>[1]!s_pq_pctchange(AL$1,$P10,$Q10)</f>
        <v>30.687139757099224</v>
      </c>
      <c r="AM10" s="1">
        <f>[1]!s_pq_pctchange(AM$1,$P10,$Q10)</f>
        <v>-2.0001321897227586</v>
      </c>
      <c r="AN10" s="1">
        <f>[1]!s_pq_pctchange(AN$1,$P10,$Q10)</f>
        <v>3.5617756520016197</v>
      </c>
      <c r="AO10" s="1">
        <f>[1]!s_pq_pctchange(AO$1,$P10,$Q10)</f>
        <v>20.226566525834833</v>
      </c>
      <c r="AP10" s="1">
        <f>[1]!s_pq_pctchange(AP$1,$P10,$Q10)</f>
        <v>-9.031521936074661</v>
      </c>
      <c r="AQ10" s="1">
        <f>[1]!s_pq_pctchange(AQ$1,$P10,$Q10)</f>
        <v>-8.1406999841791681</v>
      </c>
      <c r="AR10" s="1">
        <f>[1]!s_pq_pctchange(AR$1,$P10,$Q10)</f>
        <v>6.3865191522520792</v>
      </c>
      <c r="AS10" s="1">
        <f>[1]!s_pq_pctchange(AS$1,$P10,$Q10)</f>
        <v>-11.416237521555017</v>
      </c>
      <c r="AT10" s="1">
        <f>[1]!s_pq_pctchange(AT$1,$P10,$Q10)</f>
        <v>-0.14485464239010204</v>
      </c>
      <c r="AU10" s="1">
        <f>[1]!s_pq_pctchange(AU$1,$P10,$Q10)</f>
        <v>27.810522095254477</v>
      </c>
      <c r="AV10" s="1">
        <f>[1]!s_pq_pctchange(AV$1,$P10,$Q10)</f>
        <v>32.762234556788997</v>
      </c>
      <c r="AW10" s="1">
        <f>[1]!s_pq_pctchange(AW$1,$P10,$Q10)</f>
        <v>-13.393058372774391</v>
      </c>
      <c r="AX10" s="1">
        <f>[1]!s_pq_pctchange(AX$1,$P10,$Q10)</f>
        <v>24.911495182445798</v>
      </c>
      <c r="AY10" s="1">
        <f>[1]!s_pq_pctchange(AY$1,$P10,$Q10)</f>
        <v>14.681044689949418</v>
      </c>
      <c r="AZ10" s="1">
        <f>[1]!s_pq_pctchange(AZ$1,$P10,$Q10)</f>
        <v>51.726327724267264</v>
      </c>
      <c r="BA10" s="1">
        <f>[1]!s_pq_pctchange(BA$1,$P10,$Q10)</f>
        <v>13.237662441202257</v>
      </c>
      <c r="BB10" s="1">
        <f>[1]!s_pq_pctchange(BB$1,$P10,$Q10)</f>
        <v>29.779307107220099</v>
      </c>
      <c r="BC10" s="1">
        <f>[1]!s_pq_pctchange(BC$1,$P10,$Q10)</f>
        <v>-9.9796334012214327E-2</v>
      </c>
      <c r="BD10" s="1">
        <f>[1]!s_pq_pctchange(BD$1,$P10,$Q10)</f>
        <v>19.557346272004693</v>
      </c>
      <c r="BE10" s="1">
        <f>[1]!s_pq_pctchange(BE$1,$P10,$Q10)</f>
        <v>4.911866447247748</v>
      </c>
      <c r="BF10" s="1">
        <f>[1]!s_pq_pctchange(BF$1,$P10,$Q10)</f>
        <v>13.125862718032376</v>
      </c>
      <c r="BG10" s="1">
        <f>[1]!s_pq_pctchange(BG$1,$P10,$Q10)</f>
        <v>-14.440027138657108</v>
      </c>
      <c r="BH10" s="1">
        <f>[1]!s_pq_pctchange(BH$1,$P10,$Q10)</f>
        <v>-24.145352863084447</v>
      </c>
      <c r="BI10" s="1">
        <f>[1]!s_pq_pctchange(BI$1,$P10,$Q10)</f>
        <v>-9.7695438956376783</v>
      </c>
      <c r="BJ10" s="1">
        <f>[1]!s_pq_pctchange(BJ$1,$P10,$Q10)</f>
        <v>21.552877853642393</v>
      </c>
      <c r="BK10" s="1">
        <f>[1]!s_pq_pctchange(BK$1,$P10,$Q10)</f>
        <v>-5.5924324981245661</v>
      </c>
      <c r="BL10" s="1">
        <f>[1]!s_pq_pctchange(BL$1,$P10,$Q10)</f>
        <v>10.32869797991216</v>
      </c>
      <c r="BM10" s="1">
        <f>[1]!s_pq_pctchange(BM$1,$P10,$Q10)</f>
        <v>33.262710388538984</v>
      </c>
      <c r="BN10" s="1">
        <f>[1]!s_pq_pctchange(BN$1,$P10,$Q10)</f>
        <v>4.6056924219816109</v>
      </c>
      <c r="BO10" s="1">
        <f>[1]!s_pq_pctchange(BO$1,$P10,$Q10)</f>
        <v>1.9637283079884771</v>
      </c>
      <c r="BP10" s="1">
        <f>[1]!s_pq_pctchange(BP$1,$P10,$Q10)</f>
        <v>-5.4111941536630681</v>
      </c>
      <c r="BQ10" s="1">
        <f>[1]!s_pq_pctchange(BQ$1,$P10,$Q10)</f>
        <v>60.405269660737694</v>
      </c>
      <c r="BR10" s="1">
        <f>[1]!s_pq_pctchange(BR$1,$P10,$Q10)</f>
        <v>14.655926244652573</v>
      </c>
      <c r="BS10" s="1">
        <f>[1]!s_pq_pctchange(BS$1,$P10,$Q10)</f>
        <v>22.1273426956752</v>
      </c>
      <c r="BT10" s="1">
        <f>[1]!s_pq_pctchange(BT$1,$P10,$Q10)</f>
        <v>16.099745760083906</v>
      </c>
    </row>
    <row r="11" spans="1:72" x14ac:dyDescent="0.35">
      <c r="A11" s="92">
        <v>45412</v>
      </c>
      <c r="B11" s="1" t="str">
        <f>VLOOKUP(A11,周期整合计算!A:G,7,0)</f>
        <v>周期2（景气值&lt;0，方向下降）</v>
      </c>
      <c r="C11" s="1" t="str">
        <f>IF(ISNUMBER(D11),COUNTIF(D$2:D11,"&gt;0"),"")</f>
        <v/>
      </c>
      <c r="D11" s="90" t="str">
        <f t="shared" si="0"/>
        <v/>
      </c>
      <c r="E11" s="1" t="str">
        <f>IF(ISNUMBER(F11),COUNTIF(F$2:F11,"&gt;0"),"")</f>
        <v/>
      </c>
      <c r="F11" s="90" t="str">
        <f t="shared" si="1"/>
        <v/>
      </c>
      <c r="H11" s="1">
        <v>10</v>
      </c>
      <c r="I11" s="93">
        <f t="shared" si="5"/>
        <v>42430</v>
      </c>
      <c r="J11" s="93">
        <f t="shared" si="2"/>
        <v>42613</v>
      </c>
      <c r="K11" s="1" t="str">
        <f t="shared" si="3"/>
        <v>周期4（景气值&gt;0，方向上升）</v>
      </c>
      <c r="L11" s="1" t="str">
        <f>VLOOKUP(K11,周期整合计算!J:K,2,0)</f>
        <v>过热</v>
      </c>
      <c r="N11" s="1" t="s">
        <v>8</v>
      </c>
      <c r="O11" s="151"/>
      <c r="P11" s="97">
        <v>42005</v>
      </c>
      <c r="Q11" s="97">
        <v>42429</v>
      </c>
      <c r="S11" s="101">
        <f t="shared" si="6"/>
        <v>4</v>
      </c>
      <c r="V11" s="1">
        <f>[1]!s_pq_pctchange(V$1,$P11,$Q11)</f>
        <v>-2.363361627772631</v>
      </c>
      <c r="W11" s="1">
        <f>[1]!s_pq_pctchange(W$1,$P11,$Q11)</f>
        <v>-24.673227539707465</v>
      </c>
      <c r="X11" s="1">
        <f>[1]!s_pq_pctchange(X$1,$P11,$Q11)</f>
        <v>-18.570831464426142</v>
      </c>
      <c r="Y11" s="1">
        <f>[1]!s_pq_pctchange(Y$1,$P11,$Q11)</f>
        <v>0.52078131569721631</v>
      </c>
      <c r="Z11" s="1">
        <f>[1]!s_pq_pctchange(Z$1,$P11,$Q11)</f>
        <v>19.181293467296669</v>
      </c>
      <c r="AA11" s="1">
        <f>[1]!s_pq_pctchange(AA$1,$P11,$Q11)</f>
        <v>2.3119291382539542</v>
      </c>
      <c r="AB11" s="1">
        <f>[1]!s_pq_pctchange(AB$1,$P11,$Q11)</f>
        <v>9.6335161590935812</v>
      </c>
      <c r="AC11" s="1">
        <f>[1]!s_pq_pctchange(AC$1,$P11,$Q11)</f>
        <v>-20.399219611297937</v>
      </c>
      <c r="AD11" s="1">
        <f>[1]!s_pq_pctchange(AD$1,$P11,$Q11)</f>
        <v>-19.39644464944913</v>
      </c>
      <c r="AE11" s="1">
        <f>[1]!s_pq_pctchange(AE$1,$P11,$Q11)</f>
        <v>14.122842087940723</v>
      </c>
      <c r="AF11" s="1">
        <f>[1]!s_pq_pctchange(AF$1,$P11,$Q11)</f>
        <v>28.681233816381212</v>
      </c>
      <c r="AG11" s="1">
        <f>[1]!s_pq_pctchange(AG$1,$P11,$Q11)</f>
        <v>10.819956992984213</v>
      </c>
      <c r="AH11" s="1">
        <f>[1]!s_pq_pctchange(AH$1,$P11,$Q11)</f>
        <v>-21.593371804844519</v>
      </c>
      <c r="AI11" s="1">
        <f>[1]!s_pq_pctchange(AI$1,$P11,$Q11)</f>
        <v>-11.02189011253898</v>
      </c>
      <c r="AJ11" s="1">
        <f>[1]!s_pq_pctchange(AJ$1,$P11,$Q11)</f>
        <v>19.490349686003249</v>
      </c>
      <c r="AK11" s="1">
        <f>[1]!s_pq_pctchange(AK$1,$P11,$Q11)</f>
        <v>7.6878280908130314</v>
      </c>
      <c r="AL11" s="1">
        <f>[1]!s_pq_pctchange(AL$1,$P11,$Q11)</f>
        <v>8.8368396412996653E-2</v>
      </c>
      <c r="AM11" s="1">
        <f>[1]!s_pq_pctchange(AM$1,$P11,$Q11)</f>
        <v>36.466745138831833</v>
      </c>
      <c r="AN11" s="1">
        <f>[1]!s_pq_pctchange(AN$1,$P11,$Q11)</f>
        <v>29.681827073085778</v>
      </c>
      <c r="AO11" s="1">
        <f>[1]!s_pq_pctchange(AO$1,$P11,$Q11)</f>
        <v>12.978203601144166</v>
      </c>
      <c r="AP11" s="1">
        <f>[1]!s_pq_pctchange(AP$1,$P11,$Q11)</f>
        <v>-11.641052074238479</v>
      </c>
      <c r="AQ11" s="1">
        <f>[1]!s_pq_pctchange(AQ$1,$P11,$Q11)</f>
        <v>-5.549228542970452</v>
      </c>
      <c r="AR11" s="1">
        <f>[1]!s_pq_pctchange(AR$1,$P11,$Q11)</f>
        <v>8.2805665766755752</v>
      </c>
      <c r="AS11" s="1">
        <f>[1]!s_pq_pctchange(AS$1,$P11,$Q11)</f>
        <v>2.230011749841454</v>
      </c>
      <c r="AT11" s="1">
        <f>[1]!s_pq_pctchange(AT$1,$P11,$Q11)</f>
        <v>29.519609654752223</v>
      </c>
      <c r="AU11" s="1">
        <f>[1]!s_pq_pctchange(AU$1,$P11,$Q11)</f>
        <v>16.558374304061264</v>
      </c>
      <c r="AV11" s="1">
        <f>[1]!s_pq_pctchange(AV$1,$P11,$Q11)</f>
        <v>-7.1149160148938133</v>
      </c>
      <c r="AW11" s="1">
        <f>[1]!s_pq_pctchange(AW$1,$P11,$Q11)</f>
        <v>-16.631498719133951</v>
      </c>
      <c r="AX11" s="1">
        <f>[1]!s_pq_pctchange(AX$1,$P11,$Q11)</f>
        <v>9.0378712188682755</v>
      </c>
      <c r="AY11" s="1">
        <f>[1]!s_pq_pctchange(AY$1,$P11,$Q11)</f>
        <v>-11.292195489640843</v>
      </c>
      <c r="AZ11" s="1">
        <f>[1]!s_pq_pctchange(AZ$1,$P11,$Q11)</f>
        <v>31.305460447593191</v>
      </c>
      <c r="BA11" s="1">
        <f>[1]!s_pq_pctchange(BA$1,$P11,$Q11)</f>
        <v>19.388956496789444</v>
      </c>
      <c r="BB11" s="1">
        <f>[1]!s_pq_pctchange(BB$1,$P11,$Q11)</f>
        <v>18.929573498798224</v>
      </c>
      <c r="BC11" s="1">
        <f>[1]!s_pq_pctchange(BC$1,$P11,$Q11)</f>
        <v>-16.22354618863897</v>
      </c>
      <c r="BD11" s="1">
        <f>[1]!s_pq_pctchange(BD$1,$P11,$Q11)</f>
        <v>-40.333766430994046</v>
      </c>
      <c r="BE11" s="1">
        <f>[1]!s_pq_pctchange(BE$1,$P11,$Q11)</f>
        <v>7.1583977226514772</v>
      </c>
      <c r="BF11" s="1">
        <f>[1]!s_pq_pctchange(BF$1,$P11,$Q11)</f>
        <v>-1.8754604086173354</v>
      </c>
      <c r="BG11" s="1">
        <f>[1]!s_pq_pctchange(BG$1,$P11,$Q11)</f>
        <v>-20.038516499635652</v>
      </c>
      <c r="BH11" s="1">
        <f>[1]!s_pq_pctchange(BH$1,$P11,$Q11)</f>
        <v>-16.899502943321963</v>
      </c>
      <c r="BI11" s="1">
        <f>[1]!s_pq_pctchange(BI$1,$P11,$Q11)</f>
        <v>0.67525613163612608</v>
      </c>
      <c r="BJ11" s="1">
        <f>[1]!s_pq_pctchange(BJ$1,$P11,$Q11)</f>
        <v>6.6817547636620622</v>
      </c>
      <c r="BK11" s="1">
        <f>[1]!s_pq_pctchange(BK$1,$P11,$Q11)</f>
        <v>-13.930379230109802</v>
      </c>
      <c r="BL11" s="1">
        <f>[1]!s_pq_pctchange(BL$1,$P11,$Q11)</f>
        <v>-20.137277773185524</v>
      </c>
      <c r="BM11" s="1">
        <f>[1]!s_pq_pctchange(BM$1,$P11,$Q11)</f>
        <v>-9.2095284738651362</v>
      </c>
      <c r="BN11" s="1">
        <f>[1]!s_pq_pctchange(BN$1,$P11,$Q11)</f>
        <v>0</v>
      </c>
      <c r="BO11" s="1">
        <f>[1]!s_pq_pctchange(BO$1,$P11,$Q11)</f>
        <v>-1.5595227912276743</v>
      </c>
      <c r="BP11" s="1">
        <f>[1]!s_pq_pctchange(BP$1,$P11,$Q11)</f>
        <v>-13.785062972800377</v>
      </c>
      <c r="BQ11" s="1">
        <f>[1]!s_pq_pctchange(BQ$1,$P11,$Q11)</f>
        <v>3.8172076230857499</v>
      </c>
      <c r="BR11" s="1">
        <f>[1]!s_pq_pctchange(BR$1,$P11,$Q11)</f>
        <v>-19.494692779189727</v>
      </c>
      <c r="BS11" s="1">
        <f>[1]!s_pq_pctchange(BS$1,$P11,$Q11)</f>
        <v>-8.5124469929657938</v>
      </c>
      <c r="BT11" s="1">
        <f>[1]!s_pq_pctchange(BT$1,$P11,$Q11)</f>
        <v>5.8088796821546218</v>
      </c>
    </row>
    <row r="12" spans="1:72" ht="14.6" thickBot="1" x14ac:dyDescent="0.4">
      <c r="A12" s="92">
        <v>45382</v>
      </c>
      <c r="B12" s="1" t="str">
        <f>VLOOKUP(A12,周期整合计算!A:G,7,0)</f>
        <v>周期2（景气值&lt;0，方向下降）</v>
      </c>
      <c r="C12" s="1" t="str">
        <f>IF(ISNUMBER(D12),COUNTIF(D$2:D12,"&gt;0"),"")</f>
        <v/>
      </c>
      <c r="D12" s="90" t="str">
        <f t="shared" si="0"/>
        <v/>
      </c>
      <c r="E12" s="1" t="str">
        <f>IF(ISNUMBER(F12),COUNTIF(F$2:F12,"&gt;0"),"")</f>
        <v/>
      </c>
      <c r="F12" s="90" t="str">
        <f t="shared" si="1"/>
        <v/>
      </c>
      <c r="H12" s="1">
        <v>11</v>
      </c>
      <c r="I12" s="93">
        <f t="shared" si="5"/>
        <v>42005</v>
      </c>
      <c r="J12" s="93">
        <f t="shared" si="2"/>
        <v>42429</v>
      </c>
      <c r="K12" s="1" t="str">
        <f t="shared" si="3"/>
        <v>周期3（景气值&lt;0，方向上升）</v>
      </c>
      <c r="L12" s="1" t="str">
        <f>VLOOKUP(K12,周期整合计算!J:K,2,0)</f>
        <v>复苏</v>
      </c>
      <c r="N12" s="1" t="s">
        <v>8</v>
      </c>
      <c r="O12" s="152"/>
      <c r="P12" s="99">
        <v>41061</v>
      </c>
      <c r="Q12" s="99">
        <v>41182</v>
      </c>
      <c r="S12" s="101">
        <f t="shared" si="6"/>
        <v>7</v>
      </c>
      <c r="V12" s="1">
        <f>[1]!s_pq_pctchange(V$1,$P12,$Q12)</f>
        <v>-10.413177631604798</v>
      </c>
      <c r="W12" s="1">
        <f>[1]!s_pq_pctchange(W$1,$P12,$Q12)</f>
        <v>-10.611866498429279</v>
      </c>
      <c r="X12" s="1">
        <f>[1]!s_pq_pctchange(X$1,$P12,$Q12)</f>
        <v>-12.877302109920731</v>
      </c>
      <c r="Y12" s="1">
        <f>[1]!s_pq_pctchange(Y$1,$P12,$Q12)</f>
        <v>-14.75495611804476</v>
      </c>
      <c r="Z12" s="1">
        <f>[1]!s_pq_pctchange(Z$1,$P12,$Q12)</f>
        <v>-13.83512658804168</v>
      </c>
      <c r="AA12" s="1">
        <f>[1]!s_pq_pctchange(AA$1,$P12,$Q12)</f>
        <v>-15.922991402417097</v>
      </c>
      <c r="AB12" s="1">
        <f>[1]!s_pq_pctchange(AB$1,$P12,$Q12)</f>
        <v>-7.2502151264426047</v>
      </c>
      <c r="AC12" s="1">
        <f>[1]!s_pq_pctchange(AC$1,$P12,$Q12)</f>
        <v>-10.197469666968706</v>
      </c>
      <c r="AD12" s="1">
        <f>[1]!s_pq_pctchange(AD$1,$P12,$Q12)</f>
        <v>-9.9444440349773835</v>
      </c>
      <c r="AE12" s="1">
        <f>[1]!s_pq_pctchange(AE$1,$P12,$Q12)</f>
        <v>-11.977840445313648</v>
      </c>
      <c r="AF12" s="1">
        <f>[1]!s_pq_pctchange(AF$1,$P12,$Q12)</f>
        <v>-10.472864324443275</v>
      </c>
      <c r="AG12" s="1">
        <f>[1]!s_pq_pctchange(AG$1,$P12,$Q12)</f>
        <v>-12.104197984669884</v>
      </c>
      <c r="AH12" s="1">
        <f>[1]!s_pq_pctchange(AH$1,$P12,$Q12)</f>
        <v>-19.825866971968821</v>
      </c>
      <c r="AI12" s="1">
        <f>[1]!s_pq_pctchange(AI$1,$P12,$Q12)</f>
        <v>-11.417620219053347</v>
      </c>
      <c r="AJ12" s="1">
        <f>[1]!s_pq_pctchange(AJ$1,$P12,$Q12)</f>
        <v>-9.8005178298222866</v>
      </c>
      <c r="AK12" s="1">
        <f>[1]!s_pq_pctchange(AK$1,$P12,$Q12)</f>
        <v>-14.216717266616129</v>
      </c>
      <c r="AL12" s="1">
        <f>[1]!s_pq_pctchange(AL$1,$P12,$Q12)</f>
        <v>-5.5059274217895577</v>
      </c>
      <c r="AM12" s="1">
        <f>[1]!s_pq_pctchange(AM$1,$P12,$Q12)</f>
        <v>-18.560173895176245</v>
      </c>
      <c r="AN12" s="1">
        <f>[1]!s_pq_pctchange(AN$1,$P12,$Q12)</f>
        <v>-16.60995731816941</v>
      </c>
      <c r="AO12" s="1">
        <f>[1]!s_pq_pctchange(AO$1,$P12,$Q12)</f>
        <v>2.7630537974683511</v>
      </c>
      <c r="AP12" s="1">
        <f>[1]!s_pq_pctchange(AP$1,$P12,$Q12)</f>
        <v>-8.1812650235859152</v>
      </c>
      <c r="AQ12" s="1">
        <f>[1]!s_pq_pctchange(AQ$1,$P12,$Q12)</f>
        <v>-20.156407092587514</v>
      </c>
      <c r="AR12" s="1">
        <f>[1]!s_pq_pctchange(AR$1,$P12,$Q12)</f>
        <v>-16.760025669193702</v>
      </c>
      <c r="AS12" s="1">
        <f>[1]!s_pq_pctchange(AS$1,$P12,$Q12)</f>
        <v>-16.863589811757397</v>
      </c>
      <c r="AT12" s="1">
        <f>[1]!s_pq_pctchange(AT$1,$P12,$Q12)</f>
        <v>-4.3365032808200592</v>
      </c>
      <c r="AU12" s="1">
        <f>[1]!s_pq_pctchange(AU$1,$P12,$Q12)</f>
        <v>-16.458353325016784</v>
      </c>
      <c r="AV12" s="1">
        <f>[1]!s_pq_pctchange(AV$1,$P12,$Q12)</f>
        <v>-19.36830530945517</v>
      </c>
      <c r="AW12" s="1">
        <f>[1]!s_pq_pctchange(AW$1,$P12,$Q12)</f>
        <v>-11.640682313117711</v>
      </c>
      <c r="AX12" s="1">
        <f>[1]!s_pq_pctchange(AX$1,$P12,$Q12)</f>
        <v>-18.970918510578571</v>
      </c>
      <c r="AY12" s="1">
        <f>[1]!s_pq_pctchange(AY$1,$P12,$Q12)</f>
        <v>-17.509947467753374</v>
      </c>
      <c r="AZ12" s="1">
        <f>[1]!s_pq_pctchange(AZ$1,$P12,$Q12)</f>
        <v>-6.9142521609011016</v>
      </c>
      <c r="BA12" s="1">
        <f>[1]!s_pq_pctchange(BA$1,$P12,$Q12)</f>
        <v>-5.8796204127679275</v>
      </c>
      <c r="BB12" s="1">
        <f>[1]!s_pq_pctchange(BB$1,$P12,$Q12)</f>
        <v>-15.218660660797301</v>
      </c>
      <c r="BC12" s="1">
        <f>[1]!s_pq_pctchange(BC$1,$P12,$Q12)</f>
        <v>-11.813157563614896</v>
      </c>
      <c r="BD12" s="1">
        <f>[1]!s_pq_pctchange(BD$1,$P12,$Q12)</f>
        <v>-9.0462109149446306</v>
      </c>
      <c r="BE12" s="1">
        <f>[1]!s_pq_pctchange(BE$1,$P12,$Q12)</f>
        <v>-20.569126333948184</v>
      </c>
      <c r="BF12" s="1">
        <f>[1]!s_pq_pctchange(BF$1,$P12,$Q12)</f>
        <v>-21.744852962368753</v>
      </c>
      <c r="BG12" s="1">
        <f>[1]!s_pq_pctchange(BG$1,$P12,$Q12)</f>
        <v>-20.724942402755719</v>
      </c>
      <c r="BH12" s="1">
        <f>[1]!s_pq_pctchange(BH$1,$P12,$Q12)</f>
        <v>-11.248193842391906</v>
      </c>
      <c r="BI12" s="1">
        <f>[1]!s_pq_pctchange(BI$1,$P12,$Q12)</f>
        <v>-11.611131290345201</v>
      </c>
      <c r="BJ12" s="1">
        <f>[1]!s_pq_pctchange(BJ$1,$P12,$Q12)</f>
        <v>9.8381264618407904</v>
      </c>
      <c r="BK12" s="1">
        <f>[1]!s_pq_pctchange(BK$1,$P12,$Q12)</f>
        <v>-12.49420054251229</v>
      </c>
      <c r="BL12" s="1">
        <f>[1]!s_pq_pctchange(BL$1,$P12,$Q12)</f>
        <v>-9.9182722185684575</v>
      </c>
      <c r="BM12" s="1">
        <f>[1]!s_pq_pctchange(BM$1,$P12,$Q12)</f>
        <v>-16.525125213840219</v>
      </c>
      <c r="BN12" s="1">
        <f>[1]!s_pq_pctchange(BN$1,$P12,$Q12)</f>
        <v>0</v>
      </c>
      <c r="BO12" s="1">
        <f>[1]!s_pq_pctchange(BO$1,$P12,$Q12)</f>
        <v>-13.09795853529071</v>
      </c>
      <c r="BP12" s="1">
        <f>[1]!s_pq_pctchange(BP$1,$P12,$Q12)</f>
        <v>-13.59135548291821</v>
      </c>
      <c r="BQ12" s="1">
        <f>[1]!s_pq_pctchange(BQ$1,$P12,$Q12)</f>
        <v>-11.16055441107121</v>
      </c>
      <c r="BR12" s="1">
        <f>[1]!s_pq_pctchange(BR$1,$P12,$Q12)</f>
        <v>-10.636197276503234</v>
      </c>
      <c r="BS12" s="1">
        <f>[1]!s_pq_pctchange(BS$1,$P12,$Q12)</f>
        <v>-14.527648079481603</v>
      </c>
      <c r="BT12" s="1">
        <f>[1]!s_pq_pctchange(BT$1,$P12,$Q12)</f>
        <v>-14.486073019317436</v>
      </c>
    </row>
    <row r="13" spans="1:72" x14ac:dyDescent="0.35">
      <c r="A13" s="92">
        <v>45351</v>
      </c>
      <c r="B13" s="1" t="str">
        <f>VLOOKUP(A13,周期整合计算!A:G,7,0)</f>
        <v>周期2（景气值&lt;0，方向下降）</v>
      </c>
      <c r="C13" s="1" t="str">
        <f>IF(ISNUMBER(D13),COUNTIF(D$2:D13,"&gt;0"),"")</f>
        <v/>
      </c>
      <c r="D13" s="90" t="str">
        <f t="shared" si="0"/>
        <v/>
      </c>
      <c r="E13" s="1" t="str">
        <f>IF(ISNUMBER(F13),COUNTIF(F$2:F13,"&gt;0"),"")</f>
        <v/>
      </c>
      <c r="F13" s="90" t="str">
        <f t="shared" si="1"/>
        <v/>
      </c>
      <c r="H13" s="1">
        <v>12</v>
      </c>
      <c r="I13" s="93">
        <f t="shared" si="5"/>
        <v>41791</v>
      </c>
      <c r="J13" s="93">
        <f t="shared" si="2"/>
        <v>42004</v>
      </c>
      <c r="K13" s="1" t="str">
        <f t="shared" si="3"/>
        <v>周期2（景气值&lt;0，方向下降）</v>
      </c>
      <c r="L13" s="1" t="str">
        <f>VLOOKUP(K13,周期整合计算!J:K,2,0)</f>
        <v>衰退</v>
      </c>
      <c r="N13" s="1" t="s">
        <v>10</v>
      </c>
      <c r="O13" s="156" t="s">
        <v>10</v>
      </c>
      <c r="P13" s="97">
        <v>44136</v>
      </c>
      <c r="Q13" s="97">
        <v>44347</v>
      </c>
      <c r="R13" s="1">
        <v>4</v>
      </c>
      <c r="S13" s="101">
        <f t="shared" si="6"/>
        <v>19</v>
      </c>
      <c r="V13" s="1">
        <f>[1]!s_pq_pctchange(V$1,$P13,$Q13)</f>
        <v>11.47932993733507</v>
      </c>
      <c r="W13" s="1">
        <f>[1]!s_pq_pctchange(W$1,$P13,$Q13)</f>
        <v>11.274322041919781</v>
      </c>
      <c r="X13" s="1">
        <f>[1]!s_pq_pctchange(X$1,$P13,$Q13)</f>
        <v>13.55038485229738</v>
      </c>
      <c r="Y13" s="1">
        <f>[1]!s_pq_pctchange(Y$1,$P13,$Q13)</f>
        <v>10.104103583545875</v>
      </c>
      <c r="Z13" s="1">
        <f>[1]!s_pq_pctchange(Z$1,$P13,$Q13)</f>
        <v>4.656701690493481</v>
      </c>
      <c r="AA13" s="1">
        <f>[1]!s_pq_pctchange(AA$1,$P13,$Q13)</f>
        <v>18.394609649527418</v>
      </c>
      <c r="AB13" s="1">
        <f>[1]!s_pq_pctchange(AB$1,$P13,$Q13)</f>
        <v>15.746945991070538</v>
      </c>
      <c r="AC13" s="1">
        <f>[1]!s_pq_pctchange(AC$1,$P13,$Q13)</f>
        <v>3.9947466017656197</v>
      </c>
      <c r="AD13" s="1">
        <f>[1]!s_pq_pctchange(AD$1,$P13,$Q13)</f>
        <v>1.8849592383746172</v>
      </c>
      <c r="AE13" s="1">
        <f>[1]!s_pq_pctchange(AE$1,$P13,$Q13)</f>
        <v>10.098154034844686</v>
      </c>
      <c r="AF13" s="1">
        <f>[1]!s_pq_pctchange(AF$1,$P13,$Q13)</f>
        <v>0.58115823817290746</v>
      </c>
      <c r="AG13" s="1">
        <f>[1]!s_pq_pctchange(AG$1,$P13,$Q13)</f>
        <v>27.301009893139572</v>
      </c>
      <c r="AH13" s="1">
        <f>[1]!s_pq_pctchange(AH$1,$P13,$Q13)</f>
        <v>37.552719747733555</v>
      </c>
      <c r="AI13" s="1">
        <f>[1]!s_pq_pctchange(AI$1,$P13,$Q13)</f>
        <v>50.441159476417894</v>
      </c>
      <c r="AJ13" s="1">
        <f>[1]!s_pq_pctchange(AJ$1,$P13,$Q13)</f>
        <v>4.9977602441112046</v>
      </c>
      <c r="AK13" s="1">
        <f>[1]!s_pq_pctchange(AK$1,$P13,$Q13)</f>
        <v>2.4406550388847537</v>
      </c>
      <c r="AL13" s="1">
        <f>[1]!s_pq_pctchange(AL$1,$P13,$Q13)</f>
        <v>28.706705723295013</v>
      </c>
      <c r="AM13" s="1">
        <f>[1]!s_pq_pctchange(AM$1,$P13,$Q13)</f>
        <v>0.59321493818242921</v>
      </c>
      <c r="AN13" s="1">
        <f>[1]!s_pq_pctchange(AN$1,$P13,$Q13)</f>
        <v>9.4242730808141051</v>
      </c>
      <c r="AO13" s="1">
        <f>[1]!s_pq_pctchange(AO$1,$P13,$Q13)</f>
        <v>12.08813538657445</v>
      </c>
      <c r="AP13" s="1">
        <f>[1]!s_pq_pctchange(AP$1,$P13,$Q13)</f>
        <v>8.7593259220949413</v>
      </c>
      <c r="AQ13" s="1">
        <f>[1]!s_pq_pctchange(AQ$1,$P13,$Q13)</f>
        <v>6.9457338171997618</v>
      </c>
      <c r="AR13" s="1">
        <f>[1]!s_pq_pctchange(AR$1,$P13,$Q13)</f>
        <v>-2.4644903740905333</v>
      </c>
      <c r="AS13" s="1">
        <f>[1]!s_pq_pctchange(AS$1,$P13,$Q13)</f>
        <v>-7.9720051074048897</v>
      </c>
      <c r="AT13" s="1">
        <f>[1]!s_pq_pctchange(AT$1,$P13,$Q13)</f>
        <v>46.269674630238214</v>
      </c>
      <c r="AU13" s="1">
        <f>[1]!s_pq_pctchange(AU$1,$P13,$Q13)</f>
        <v>8.1622345127155818</v>
      </c>
      <c r="AV13" s="1">
        <f>[1]!s_pq_pctchange(AV$1,$P13,$Q13)</f>
        <v>12.753259053657629</v>
      </c>
      <c r="AW13" s="1">
        <f>[1]!s_pq_pctchange(AW$1,$P13,$Q13)</f>
        <v>-3.4562664467224447</v>
      </c>
      <c r="AX13" s="1">
        <f>[1]!s_pq_pctchange(AX$1,$P13,$Q13)</f>
        <v>32.845316329843932</v>
      </c>
      <c r="AY13" s="1">
        <f>[1]!s_pq_pctchange(AY$1,$P13,$Q13)</f>
        <v>4.9224263319506578</v>
      </c>
      <c r="AZ13" s="1">
        <f>[1]!s_pq_pctchange(AZ$1,$P13,$Q13)</f>
        <v>-7.2756842032290159</v>
      </c>
      <c r="BA13" s="1">
        <f>[1]!s_pq_pctchange(BA$1,$P13,$Q13)</f>
        <v>-10.700877682512299</v>
      </c>
      <c r="BB13" s="1">
        <f>[1]!s_pq_pctchange(BB$1,$P13,$Q13)</f>
        <v>-12.834425118590465</v>
      </c>
      <c r="BC13" s="1">
        <f>[1]!s_pq_pctchange(BC$1,$P13,$Q13)</f>
        <v>19.847737415835653</v>
      </c>
      <c r="BD13" s="1">
        <f>[1]!s_pq_pctchange(BD$1,$P13,$Q13)</f>
        <v>-3.112549918476315</v>
      </c>
      <c r="BE13" s="1">
        <f>[1]!s_pq_pctchange(BE$1,$P13,$Q13)</f>
        <v>7.3644783745694831</v>
      </c>
      <c r="BF13" s="1">
        <f>[1]!s_pq_pctchange(BF$1,$P13,$Q13)</f>
        <v>9.8412384670229169</v>
      </c>
      <c r="BG13" s="1">
        <f>[1]!s_pq_pctchange(BG$1,$P13,$Q13)</f>
        <v>32.207415138013616</v>
      </c>
      <c r="BH13" s="1">
        <f>[1]!s_pq_pctchange(BH$1,$P13,$Q13)</f>
        <v>26.091391966443233</v>
      </c>
      <c r="BI13" s="1">
        <f>[1]!s_pq_pctchange(BI$1,$P13,$Q13)</f>
        <v>-2.0909135487667263</v>
      </c>
      <c r="BJ13" s="1">
        <f>[1]!s_pq_pctchange(BJ$1,$P13,$Q13)</f>
        <v>42.962332015969842</v>
      </c>
      <c r="BK13" s="1">
        <f>[1]!s_pq_pctchange(BK$1,$P13,$Q13)</f>
        <v>12.821138067241723</v>
      </c>
      <c r="BL13" s="1">
        <f>[1]!s_pq_pctchange(BL$1,$P13,$Q13)</f>
        <v>12.947731119955952</v>
      </c>
      <c r="BM13" s="1">
        <f>[1]!s_pq_pctchange(BM$1,$P13,$Q13)</f>
        <v>15.073188302248575</v>
      </c>
      <c r="BN13" s="1">
        <f>[1]!s_pq_pctchange(BN$1,$P13,$Q13)</f>
        <v>15.803457664389175</v>
      </c>
      <c r="BO13" s="1">
        <f>[1]!s_pq_pctchange(BO$1,$P13,$Q13)</f>
        <v>17.38836132309336</v>
      </c>
      <c r="BP13" s="1">
        <f>[1]!s_pq_pctchange(BP$1,$P13,$Q13)</f>
        <v>9.7677949561638222</v>
      </c>
      <c r="BQ13" s="1">
        <f>[1]!s_pq_pctchange(BQ$1,$P13,$Q13)</f>
        <v>24.885414330949995</v>
      </c>
      <c r="BR13" s="1">
        <f>[1]!s_pq_pctchange(BR$1,$P13,$Q13)</f>
        <v>15.668044544728055</v>
      </c>
      <c r="BS13" s="1">
        <f>[1]!s_pq_pctchange(BS$1,$P13,$Q13)</f>
        <v>10.211626942919484</v>
      </c>
      <c r="BT13" s="1">
        <f>[1]!s_pq_pctchange(BT$1,$P13,$Q13)</f>
        <v>9.2231497693803011</v>
      </c>
    </row>
    <row r="14" spans="1:72" x14ac:dyDescent="0.35">
      <c r="A14" s="92">
        <v>45322</v>
      </c>
      <c r="B14" s="1" t="str">
        <f>VLOOKUP(A14,周期整合计算!A:G,7,0)</f>
        <v>周期2（景气值&lt;0，方向下降）</v>
      </c>
      <c r="C14" s="1" t="str">
        <f>IF(ISNUMBER(D14),COUNTIF(D$2:D14,"&gt;0"),"")</f>
        <v/>
      </c>
      <c r="D14" s="90" t="str">
        <f t="shared" si="0"/>
        <v/>
      </c>
      <c r="E14" s="1" t="str">
        <f>IF(ISNUMBER(F14),COUNTIF(F$2:F14,"&gt;0"),"")</f>
        <v/>
      </c>
      <c r="F14" s="90" t="str">
        <f t="shared" si="1"/>
        <v/>
      </c>
      <c r="H14" s="1">
        <v>13</v>
      </c>
      <c r="I14" s="93">
        <f t="shared" si="5"/>
        <v>41487</v>
      </c>
      <c r="J14" s="93">
        <f t="shared" si="2"/>
        <v>41790</v>
      </c>
      <c r="K14" s="1" t="str">
        <f t="shared" si="3"/>
        <v>周期1（景气值&gt;0，方向下降）</v>
      </c>
      <c r="L14" s="1" t="str">
        <f>VLOOKUP(K14,周期整合计算!J:K,2,0)</f>
        <v>滞涨</v>
      </c>
      <c r="N14" s="1" t="s">
        <v>10</v>
      </c>
      <c r="O14" s="151"/>
      <c r="P14" s="97">
        <v>42614</v>
      </c>
      <c r="Q14" s="97">
        <v>43190</v>
      </c>
      <c r="S14" s="101">
        <f t="shared" si="6"/>
        <v>10</v>
      </c>
      <c r="V14" s="1">
        <f>[1]!s_pq_pctchange(V$1,$P14,$Q14)</f>
        <v>1.2402892891739015</v>
      </c>
      <c r="W14" s="1">
        <f>[1]!s_pq_pctchange(W$1,$P14,$Q14)</f>
        <v>21.92138375948851</v>
      </c>
      <c r="X14" s="1">
        <f>[1]!s_pq_pctchange(X$1,$P14,$Q14)</f>
        <v>17.149617262944595</v>
      </c>
      <c r="Y14" s="1">
        <f>[1]!s_pq_pctchange(Y$1,$P14,$Q14)</f>
        <v>-4.9652107267926908</v>
      </c>
      <c r="Z14" s="1">
        <f>[1]!s_pq_pctchange(Z$1,$P14,$Q14)</f>
        <v>-23.07789158017891</v>
      </c>
      <c r="AA14" s="1">
        <f>[1]!s_pq_pctchange(AA$1,$P14,$Q14)</f>
        <v>-4.9481872861171228</v>
      </c>
      <c r="AB14" s="1">
        <f>[1]!s_pq_pctchange(AB$1,$P14,$Q14)</f>
        <v>11.500173939276447</v>
      </c>
      <c r="AC14" s="1">
        <f>[1]!s_pq_pctchange(AC$1,$P14,$Q14)</f>
        <v>6.9461307428815733</v>
      </c>
      <c r="AD14" s="1">
        <f>[1]!s_pq_pctchange(AD$1,$P14,$Q14)</f>
        <v>0.35656223077067395</v>
      </c>
      <c r="AE14" s="1">
        <f>[1]!s_pq_pctchange(AE$1,$P14,$Q14)</f>
        <v>-11.618682423301941</v>
      </c>
      <c r="AF14" s="1">
        <f>[1]!s_pq_pctchange(AF$1,$P14,$Q14)</f>
        <v>-18.460180127152103</v>
      </c>
      <c r="AG14" s="1">
        <f>[1]!s_pq_pctchange(AG$1,$P14,$Q14)</f>
        <v>-3.1828811164160919</v>
      </c>
      <c r="AH14" s="1">
        <f>[1]!s_pq_pctchange(AH$1,$P14,$Q14)</f>
        <v>22.372652525565904</v>
      </c>
      <c r="AI14" s="1">
        <f>[1]!s_pq_pctchange(AI$1,$P14,$Q14)</f>
        <v>4.7908194080934052</v>
      </c>
      <c r="AJ14" s="1">
        <f>[1]!s_pq_pctchange(AJ$1,$P14,$Q14)</f>
        <v>5.6643261579511384</v>
      </c>
      <c r="AK14" s="1">
        <f>[1]!s_pq_pctchange(AK$1,$P14,$Q14)</f>
        <v>48.921836553060061</v>
      </c>
      <c r="AL14" s="1">
        <f>[1]!s_pq_pctchange(AL$1,$P14,$Q14)</f>
        <v>46.273857606715787</v>
      </c>
      <c r="AM14" s="1">
        <f>[1]!s_pq_pctchange(AM$1,$P14,$Q14)</f>
        <v>-24.032098500387299</v>
      </c>
      <c r="AN14" s="1">
        <f>[1]!s_pq_pctchange(AN$1,$P14,$Q14)</f>
        <v>-15.356022290905679</v>
      </c>
      <c r="AO14" s="1">
        <f>[1]!s_pq_pctchange(AO$1,$P14,$Q14)</f>
        <v>5.7530643873573428</v>
      </c>
      <c r="AP14" s="1">
        <f>[1]!s_pq_pctchange(AP$1,$P14,$Q14)</f>
        <v>-14.277705937379615</v>
      </c>
      <c r="AQ14" s="1">
        <f>[1]!s_pq_pctchange(AQ$1,$P14,$Q14)</f>
        <v>0.73856161379914909</v>
      </c>
      <c r="AR14" s="1">
        <f>[1]!s_pq_pctchange(AR$1,$P14,$Q14)</f>
        <v>-3.7644879534798781</v>
      </c>
      <c r="AS14" s="1">
        <f>[1]!s_pq_pctchange(AS$1,$P14,$Q14)</f>
        <v>-11.191918860638062</v>
      </c>
      <c r="AT14" s="1">
        <f>[1]!s_pq_pctchange(AT$1,$P14,$Q14)</f>
        <v>-0.23564371920860028</v>
      </c>
      <c r="AU14" s="1">
        <f>[1]!s_pq_pctchange(AU$1,$P14,$Q14)</f>
        <v>-30.627047460233857</v>
      </c>
      <c r="AV14" s="1">
        <f>[1]!s_pq_pctchange(AV$1,$P14,$Q14)</f>
        <v>15.830237378280088</v>
      </c>
      <c r="AW14" s="1">
        <f>[1]!s_pq_pctchange(AW$1,$P14,$Q14)</f>
        <v>-2.3906958955548285</v>
      </c>
      <c r="AX14" s="1">
        <f>[1]!s_pq_pctchange(AX$1,$P14,$Q14)</f>
        <v>-14.352725309946878</v>
      </c>
      <c r="AY14" s="1">
        <f>[1]!s_pq_pctchange(AY$1,$P14,$Q14)</f>
        <v>-22.753945895407636</v>
      </c>
      <c r="AZ14" s="1">
        <f>[1]!s_pq_pctchange(AZ$1,$P14,$Q14)</f>
        <v>-10.649415468489053</v>
      </c>
      <c r="BA14" s="1">
        <f>[1]!s_pq_pctchange(BA$1,$P14,$Q14)</f>
        <v>-32.824343137471544</v>
      </c>
      <c r="BB14" s="1">
        <f>[1]!s_pq_pctchange(BB$1,$P14,$Q14)</f>
        <v>-8.4257107404589036</v>
      </c>
      <c r="BC14" s="1">
        <f>[1]!s_pq_pctchange(BC$1,$P14,$Q14)</f>
        <v>9.1868193772177253</v>
      </c>
      <c r="BD14" s="1">
        <f>[1]!s_pq_pctchange(BD$1,$P14,$Q14)</f>
        <v>5.6368066470729117</v>
      </c>
      <c r="BE14" s="1">
        <f>[1]!s_pq_pctchange(BE$1,$P14,$Q14)</f>
        <v>-7.2444739646889804</v>
      </c>
      <c r="BF14" s="1">
        <f>[1]!s_pq_pctchange(BF$1,$P14,$Q14)</f>
        <v>-13.992511264834672</v>
      </c>
      <c r="BG14" s="1">
        <f>[1]!s_pq_pctchange(BG$1,$P14,$Q14)</f>
        <v>1.2532675220052303</v>
      </c>
      <c r="BH14" s="1">
        <f>[1]!s_pq_pctchange(BH$1,$P14,$Q14)</f>
        <v>3.3815932729505116</v>
      </c>
      <c r="BI14" s="1">
        <f>[1]!s_pq_pctchange(BI$1,$P14,$Q14)</f>
        <v>-14.52553540673609</v>
      </c>
      <c r="BJ14" s="1">
        <f>[1]!s_pq_pctchange(BJ$1,$P14,$Q14)</f>
        <v>4.5128357034022404</v>
      </c>
      <c r="BK14" s="1">
        <f>[1]!s_pq_pctchange(BK$1,$P14,$Q14)</f>
        <v>15.161975178049648</v>
      </c>
      <c r="BL14" s="1">
        <f>[1]!s_pq_pctchange(BL$1,$P14,$Q14)</f>
        <v>34.482320222487076</v>
      </c>
      <c r="BM14" s="1">
        <f>[1]!s_pq_pctchange(BM$1,$P14,$Q14)</f>
        <v>38.969146967719183</v>
      </c>
      <c r="BN14" s="1">
        <f>[1]!s_pq_pctchange(BN$1,$P14,$Q14)</f>
        <v>17.492620000000002</v>
      </c>
      <c r="BO14" s="1">
        <f>[1]!s_pq_pctchange(BO$1,$P14,$Q14)</f>
        <v>15.436463130467404</v>
      </c>
      <c r="BP14" s="1">
        <f>[1]!s_pq_pctchange(BP$1,$P14,$Q14)</f>
        <v>15.003451242645793</v>
      </c>
      <c r="BQ14" s="1">
        <f>[1]!s_pq_pctchange(BQ$1,$P14,$Q14)</f>
        <v>-26.872267921927374</v>
      </c>
      <c r="BR14" s="1">
        <f>[1]!s_pq_pctchange(BR$1,$P14,$Q14)</f>
        <v>18.933150215564542</v>
      </c>
      <c r="BS14" s="1">
        <f>[1]!s_pq_pctchange(BS$1,$P14,$Q14)</f>
        <v>-2.9935019993404532</v>
      </c>
      <c r="BT14" s="1">
        <f>[1]!s_pq_pctchange(BT$1,$P14,$Q14)</f>
        <v>-14.973774282472775</v>
      </c>
    </row>
    <row r="15" spans="1:72" x14ac:dyDescent="0.35">
      <c r="A15" s="92">
        <v>45291</v>
      </c>
      <c r="B15" s="1" t="str">
        <f>VLOOKUP(A15,周期整合计算!A:G,7,0)</f>
        <v>周期2（景气值&lt;0，方向下降）</v>
      </c>
      <c r="C15" s="1" t="str">
        <f>IF(ISNUMBER(D15),COUNTIF(D$2:D15,"&gt;0"),"")</f>
        <v/>
      </c>
      <c r="D15" s="90" t="str">
        <f t="shared" si="0"/>
        <v/>
      </c>
      <c r="E15" s="1" t="str">
        <f>IF(ISNUMBER(F15),COUNTIF(F$2:F15,"&gt;0"),"")</f>
        <v/>
      </c>
      <c r="F15" s="90" t="str">
        <f t="shared" si="1"/>
        <v/>
      </c>
      <c r="H15" s="1">
        <v>14</v>
      </c>
      <c r="I15" s="93">
        <f t="shared" si="5"/>
        <v>41183</v>
      </c>
      <c r="J15" s="93">
        <f t="shared" si="2"/>
        <v>41486</v>
      </c>
      <c r="K15" s="1" t="str">
        <f t="shared" si="3"/>
        <v>周期4（景气值&gt;0，方向上升）</v>
      </c>
      <c r="L15" s="1" t="str">
        <f>VLOOKUP(K15,周期整合计算!J:K,2,0)</f>
        <v>过热</v>
      </c>
      <c r="N15" s="1" t="s">
        <v>10</v>
      </c>
      <c r="O15" s="151"/>
      <c r="P15" s="97">
        <v>41487</v>
      </c>
      <c r="Q15" s="97">
        <v>41790</v>
      </c>
      <c r="S15" s="101">
        <f t="shared" si="6"/>
        <v>22</v>
      </c>
      <c r="V15" s="1">
        <f>[1]!s_pq_pctchange(V$1,$P15,$Q15)</f>
        <v>7.720927665204913</v>
      </c>
      <c r="W15" s="1">
        <f>[1]!s_pq_pctchange(W$1,$P15,$Q15)</f>
        <v>-1.4673237745542855</v>
      </c>
      <c r="X15" s="1">
        <f>[1]!s_pq_pctchange(X$1,$P15,$Q15)</f>
        <v>-1.6669699013370232</v>
      </c>
      <c r="Y15" s="1">
        <f>[1]!s_pq_pctchange(Y$1,$P15,$Q15)</f>
        <v>11.615413920541418</v>
      </c>
      <c r="Z15" s="1">
        <f>[1]!s_pq_pctchange(Z$1,$P15,$Q15)</f>
        <v>19.170641599698502</v>
      </c>
      <c r="AA15" s="1">
        <f>[1]!s_pq_pctchange(AA$1,$P15,$Q15)</f>
        <v>6.4368458708514265</v>
      </c>
      <c r="AB15" s="1">
        <f>[1]!s_pq_pctchange(AB$1,$P15,$Q15)</f>
        <v>8.684133478017376</v>
      </c>
      <c r="AC15" s="1">
        <f>[1]!s_pq_pctchange(AC$1,$P15,$Q15)</f>
        <v>2.2719183578629565</v>
      </c>
      <c r="AD15" s="1">
        <f>[1]!s_pq_pctchange(AD$1,$P15,$Q15)</f>
        <v>5.5711766456224332</v>
      </c>
      <c r="AE15" s="1">
        <f>[1]!s_pq_pctchange(AE$1,$P15,$Q15)</f>
        <v>13.405072561525945</v>
      </c>
      <c r="AF15" s="1">
        <f>[1]!s_pq_pctchange(AF$1,$P15,$Q15)</f>
        <v>13.034952594659078</v>
      </c>
      <c r="AG15" s="1">
        <f>[1]!s_pq_pctchange(AG$1,$P15,$Q15)</f>
        <v>2.7419785699444921</v>
      </c>
      <c r="AH15" s="1">
        <f>[1]!s_pq_pctchange(AH$1,$P15,$Q15)</f>
        <v>-0.25022241992883609</v>
      </c>
      <c r="AI15" s="1">
        <f>[1]!s_pq_pctchange(AI$1,$P15,$Q15)</f>
        <v>-4.403275009216534</v>
      </c>
      <c r="AJ15" s="1">
        <f>[1]!s_pq_pctchange(AJ$1,$P15,$Q15)</f>
        <v>16.468137692052885</v>
      </c>
      <c r="AK15" s="1">
        <f>[1]!s_pq_pctchange(AK$1,$P15,$Q15)</f>
        <v>18.900029211127723</v>
      </c>
      <c r="AL15" s="1">
        <f>[1]!s_pq_pctchange(AL$1,$P15,$Q15)</f>
        <v>-6.5793260774552387</v>
      </c>
      <c r="AM15" s="1">
        <f>[1]!s_pq_pctchange(AM$1,$P15,$Q15)</f>
        <v>17.450938393246229</v>
      </c>
      <c r="AN15" s="1">
        <f>[1]!s_pq_pctchange(AN$1,$P15,$Q15)</f>
        <v>21.782099822927314</v>
      </c>
      <c r="AO15" s="1">
        <f>[1]!s_pq_pctchange(AO$1,$P15,$Q15)</f>
        <v>3.2086116417265664</v>
      </c>
      <c r="AP15" s="1">
        <f>[1]!s_pq_pctchange(AP$1,$P15,$Q15)</f>
        <v>-0.8511663387802626</v>
      </c>
      <c r="AQ15" s="1">
        <f>[1]!s_pq_pctchange(AQ$1,$P15,$Q15)</f>
        <v>17.113505769025593</v>
      </c>
      <c r="AR15" s="1">
        <f>[1]!s_pq_pctchange(AR$1,$P15,$Q15)</f>
        <v>-0.9371185101850199</v>
      </c>
      <c r="AS15" s="1">
        <f>[1]!s_pq_pctchange(AS$1,$P15,$Q15)</f>
        <v>17.555967488949076</v>
      </c>
      <c r="AT15" s="1">
        <f>[1]!s_pq_pctchange(AT$1,$P15,$Q15)</f>
        <v>27.033828017425353</v>
      </c>
      <c r="AU15" s="1">
        <f>[1]!s_pq_pctchange(AU$1,$P15,$Q15)</f>
        <v>15.262419871794886</v>
      </c>
      <c r="AV15" s="1">
        <f>[1]!s_pq_pctchange(AV$1,$P15,$Q15)</f>
        <v>7.0049707684921136</v>
      </c>
      <c r="AW15" s="1">
        <f>[1]!s_pq_pctchange(AW$1,$P15,$Q15)</f>
        <v>-6.4380312314686776</v>
      </c>
      <c r="AX15" s="1">
        <f>[1]!s_pq_pctchange(AX$1,$P15,$Q15)</f>
        <v>19.050164213428221</v>
      </c>
      <c r="AY15" s="1">
        <f>[1]!s_pq_pctchange(AY$1,$P15,$Q15)</f>
        <v>17.92955961558771</v>
      </c>
      <c r="AZ15" s="1">
        <f>[1]!s_pq_pctchange(AZ$1,$P15,$Q15)</f>
        <v>29.669988620297239</v>
      </c>
      <c r="BA15" s="1">
        <f>[1]!s_pq_pctchange(BA$1,$P15,$Q15)</f>
        <v>13.937670371146993</v>
      </c>
      <c r="BB15" s="1">
        <f>[1]!s_pq_pctchange(BB$1,$P15,$Q15)</f>
        <v>17.288285675027872</v>
      </c>
      <c r="BC15" s="1">
        <f>[1]!s_pq_pctchange(BC$1,$P15,$Q15)</f>
        <v>2.0802643627821693</v>
      </c>
      <c r="BD15" s="1">
        <f>[1]!s_pq_pctchange(BD$1,$P15,$Q15)</f>
        <v>5.3355555796058329</v>
      </c>
      <c r="BE15" s="1">
        <f>[1]!s_pq_pctchange(BE$1,$P15,$Q15)</f>
        <v>19.583151516149488</v>
      </c>
      <c r="BF15" s="1">
        <f>[1]!s_pq_pctchange(BF$1,$P15,$Q15)</f>
        <v>10.028327210202747</v>
      </c>
      <c r="BG15" s="1">
        <f>[1]!s_pq_pctchange(BG$1,$P15,$Q15)</f>
        <v>-20.343693573858467</v>
      </c>
      <c r="BH15" s="1">
        <f>[1]!s_pq_pctchange(BH$1,$P15,$Q15)</f>
        <v>7.7236449720461842</v>
      </c>
      <c r="BI15" s="1">
        <f>[1]!s_pq_pctchange(BI$1,$P15,$Q15)</f>
        <v>-6.7276326170910732</v>
      </c>
      <c r="BJ15" s="1">
        <f>[1]!s_pq_pctchange(BJ$1,$P15,$Q15)</f>
        <v>-20.552822798665417</v>
      </c>
      <c r="BK15" s="1">
        <f>[1]!s_pq_pctchange(BK$1,$P15,$Q15)</f>
        <v>0.41072409734341786</v>
      </c>
      <c r="BL15" s="1">
        <f>[1]!s_pq_pctchange(BL$1,$P15,$Q15)</f>
        <v>-0.20656635083328156</v>
      </c>
      <c r="BM15" s="1">
        <f>[1]!s_pq_pctchange(BM$1,$P15,$Q15)</f>
        <v>0.96308153648105854</v>
      </c>
      <c r="BN15" s="1">
        <f>[1]!s_pq_pctchange(BN$1,$P15,$Q15)</f>
        <v>0</v>
      </c>
      <c r="BO15" s="1">
        <f>[1]!s_pq_pctchange(BO$1,$P15,$Q15)</f>
        <v>2.3673380701760838</v>
      </c>
      <c r="BP15" s="1">
        <f>[1]!s_pq_pctchange(BP$1,$P15,$Q15)</f>
        <v>4.7128636978867045</v>
      </c>
      <c r="BQ15" s="1">
        <f>[1]!s_pq_pctchange(BQ$1,$P15,$Q15)</f>
        <v>1.6565162139314582</v>
      </c>
      <c r="BR15" s="1">
        <f>[1]!s_pq_pctchange(BR$1,$P15,$Q15)</f>
        <v>-1.8126605165658338</v>
      </c>
      <c r="BS15" s="1">
        <f>[1]!s_pq_pctchange(BS$1,$P15,$Q15)</f>
        <v>6.0540960656775722</v>
      </c>
      <c r="BT15" s="1">
        <f>[1]!s_pq_pctchange(BT$1,$P15,$Q15)</f>
        <v>11.644729010639999</v>
      </c>
    </row>
    <row r="16" spans="1:72" ht="14.6" thickBot="1" x14ac:dyDescent="0.4">
      <c r="A16" s="92">
        <v>45260</v>
      </c>
      <c r="B16" s="1" t="str">
        <f>VLOOKUP(A16,周期整合计算!A:G,7,0)</f>
        <v>周期2（景气值&lt;0，方向下降）</v>
      </c>
      <c r="C16" s="1" t="str">
        <f>IF(ISNUMBER(D16),COUNTIF(D$2:D16,"&gt;0"),"")</f>
        <v/>
      </c>
      <c r="D16" s="90" t="str">
        <f t="shared" si="0"/>
        <v/>
      </c>
      <c r="E16" s="1" t="str">
        <f>IF(ISNUMBER(F16),COUNTIF(F$2:F16,"&gt;0"),"")</f>
        <v/>
      </c>
      <c r="F16" s="90" t="str">
        <f t="shared" si="1"/>
        <v/>
      </c>
      <c r="H16" s="1">
        <v>15</v>
      </c>
      <c r="I16" s="93">
        <f t="shared" si="5"/>
        <v>41061</v>
      </c>
      <c r="J16" s="93">
        <f t="shared" si="2"/>
        <v>41182</v>
      </c>
      <c r="K16" s="1" t="str">
        <f t="shared" si="3"/>
        <v>周期3（景气值&lt;0，方向上升）</v>
      </c>
      <c r="L16" s="1" t="str">
        <f>VLOOKUP(K16,周期整合计算!J:K,2,0)</f>
        <v>复苏</v>
      </c>
      <c r="N16" s="1" t="s">
        <v>10</v>
      </c>
      <c r="O16" s="152"/>
      <c r="P16" s="99">
        <v>40179</v>
      </c>
      <c r="Q16" s="99">
        <v>40847</v>
      </c>
      <c r="S16" s="101">
        <f t="shared" si="6"/>
        <v>8</v>
      </c>
      <c r="V16" s="1">
        <f>[1]!s_pq_pctchange(V$1,$P16,$Q16)</f>
        <v>-17.953733313118715</v>
      </c>
      <c r="W16" s="1">
        <f>[1]!s_pq_pctchange(W$1,$P16,$Q16)</f>
        <v>-29.82806014566529</v>
      </c>
      <c r="X16" s="1">
        <f>[1]!s_pq_pctchange(X$1,$P16,$Q16)</f>
        <v>-24.621219324750186</v>
      </c>
      <c r="Y16" s="1">
        <f>[1]!s_pq_pctchange(Y$1,$P16,$Q16)</f>
        <v>-10.833118741297875</v>
      </c>
      <c r="Z16" s="1">
        <f>[1]!s_pq_pctchange(Z$1,$P16,$Q16)</f>
        <v>-0.93701587304478862</v>
      </c>
      <c r="AA16" s="1">
        <f>[1]!s_pq_pctchange(AA$1,$P16,$Q16)</f>
        <v>-15.350073041242418</v>
      </c>
      <c r="AB16" s="1">
        <f>[1]!s_pq_pctchange(AB$1,$P16,$Q16)</f>
        <v>0.36000377951739271</v>
      </c>
      <c r="AC16" s="1">
        <f>[1]!s_pq_pctchange(AC$1,$P16,$Q16)</f>
        <v>-30.848347513387388</v>
      </c>
      <c r="AD16" s="1">
        <f>[1]!s_pq_pctchange(AD$1,$P16,$Q16)</f>
        <v>-23.232189671121283</v>
      </c>
      <c r="AE16" s="1">
        <f>[1]!s_pq_pctchange(AE$1,$P16,$Q16)</f>
        <v>-2.1446258494420056</v>
      </c>
      <c r="AF16" s="1">
        <f>[1]!s_pq_pctchange(AF$1,$P16,$Q16)</f>
        <v>-1.2948314562688079</v>
      </c>
      <c r="AG16" s="1">
        <f>[1]!s_pq_pctchange(AG$1,$P16,$Q16)</f>
        <v>-32.058937008621072</v>
      </c>
      <c r="AH16" s="1">
        <f>[1]!s_pq_pctchange(AH$1,$P16,$Q16)</f>
        <v>-37.195062967814117</v>
      </c>
      <c r="AI16" s="1">
        <f>[1]!s_pq_pctchange(AI$1,$P16,$Q16)</f>
        <v>-7.3027124541942712</v>
      </c>
      <c r="AJ16" s="1">
        <f>[1]!s_pq_pctchange(AJ$1,$P16,$Q16)</f>
        <v>3.0293038880424561E-2</v>
      </c>
      <c r="AK16" s="1">
        <f>[1]!s_pq_pctchange(AK$1,$P16,$Q16)</f>
        <v>-10.673014887830856</v>
      </c>
      <c r="AL16" s="1">
        <f>[1]!s_pq_pctchange(AL$1,$P16,$Q16)</f>
        <v>22.523848705275174</v>
      </c>
      <c r="AM16" s="1">
        <f>[1]!s_pq_pctchange(AM$1,$P16,$Q16)</f>
        <v>-0.88943558688554525</v>
      </c>
      <c r="AN16" s="1">
        <f>[1]!s_pq_pctchange(AN$1,$P16,$Q16)</f>
        <v>-11.372038958245856</v>
      </c>
      <c r="AO16" s="1">
        <f>[1]!s_pq_pctchange(AO$1,$P16,$Q16)</f>
        <v>3.4154858496272755</v>
      </c>
      <c r="AP16" s="1">
        <f>[1]!s_pq_pctchange(AP$1,$P16,$Q16)</f>
        <v>-23.484358659474847</v>
      </c>
      <c r="AQ16" s="1">
        <f>[1]!s_pq_pctchange(AQ$1,$P16,$Q16)</f>
        <v>-28.791435716781876</v>
      </c>
      <c r="AR16" s="1">
        <f>[1]!s_pq_pctchange(AR$1,$P16,$Q16)</f>
        <v>-31.66119067330332</v>
      </c>
      <c r="AS16" s="1">
        <f>[1]!s_pq_pctchange(AS$1,$P16,$Q16)</f>
        <v>-14.399415049309795</v>
      </c>
      <c r="AT16" s="1">
        <f>[1]!s_pq_pctchange(AT$1,$P16,$Q16)</f>
        <v>-5.2885296534527342</v>
      </c>
      <c r="AU16" s="1">
        <f>[1]!s_pq_pctchange(AU$1,$P16,$Q16)</f>
        <v>7.2329788922393279</v>
      </c>
      <c r="AV16" s="1">
        <f>[1]!s_pq_pctchange(AV$1,$P16,$Q16)</f>
        <v>0.86241670106741442</v>
      </c>
      <c r="AW16" s="1">
        <f>[1]!s_pq_pctchange(AW$1,$P16,$Q16)</f>
        <v>-12.661038678309676</v>
      </c>
      <c r="AX16" s="1">
        <f>[1]!s_pq_pctchange(AX$1,$P16,$Q16)</f>
        <v>-15.86252142718293</v>
      </c>
      <c r="AY16" s="1">
        <f>[1]!s_pq_pctchange(AY$1,$P16,$Q16)</f>
        <v>-1.725376677738788</v>
      </c>
      <c r="AZ16" s="1">
        <f>[1]!s_pq_pctchange(AZ$1,$P16,$Q16)</f>
        <v>-4.8499187563128654</v>
      </c>
      <c r="BA16" s="1">
        <f>[1]!s_pq_pctchange(BA$1,$P16,$Q16)</f>
        <v>-11.649349755728345</v>
      </c>
      <c r="BB16" s="1">
        <f>[1]!s_pq_pctchange(BB$1,$P16,$Q16)</f>
        <v>-28.38137061433984</v>
      </c>
      <c r="BC16" s="1">
        <f>[1]!s_pq_pctchange(BC$1,$P16,$Q16)</f>
        <v>-22.928179818561844</v>
      </c>
      <c r="BD16" s="1">
        <f>[1]!s_pq_pctchange(BD$1,$P16,$Q16)</f>
        <v>-38.494120658858591</v>
      </c>
      <c r="BE16" s="1">
        <f>[1]!s_pq_pctchange(BE$1,$P16,$Q16)</f>
        <v>-30.885442011850238</v>
      </c>
      <c r="BF16" s="1">
        <f>[1]!s_pq_pctchange(BF$1,$P16,$Q16)</f>
        <v>1.7028561131633424</v>
      </c>
      <c r="BG16" s="1">
        <f>[1]!s_pq_pctchange(BG$1,$P16,$Q16)</f>
        <v>-19.962930027748914</v>
      </c>
      <c r="BH16" s="1">
        <f>[1]!s_pq_pctchange(BH$1,$P16,$Q16)</f>
        <v>-41.343096315790937</v>
      </c>
      <c r="BI16" s="1">
        <f>[1]!s_pq_pctchange(BI$1,$P16,$Q16)</f>
        <v>-5.1545086119554107</v>
      </c>
      <c r="BJ16" s="1">
        <f>[1]!s_pq_pctchange(BJ$1,$P16,$Q16)</f>
        <v>12.602506522355949</v>
      </c>
      <c r="BK16" s="1">
        <f>[1]!s_pq_pctchange(BK$1,$P16,$Q16)</f>
        <v>-30.19648463248188</v>
      </c>
      <c r="BL16" s="1">
        <f>[1]!s_pq_pctchange(BL$1,$P16,$Q16)</f>
        <v>-26.044597741448705</v>
      </c>
      <c r="BM16" s="1">
        <f>[1]!s_pq_pctchange(BM$1,$P16,$Q16)</f>
        <v>-23.436297149207054</v>
      </c>
      <c r="BN16" s="1">
        <f>[1]!s_pq_pctchange(BN$1,$P16,$Q16)</f>
        <v>0</v>
      </c>
      <c r="BO16" s="1">
        <f>[1]!s_pq_pctchange(BO$1,$P16,$Q16)</f>
        <v>-25.029626052755404</v>
      </c>
      <c r="BP16" s="1">
        <f>[1]!s_pq_pctchange(BP$1,$P16,$Q16)</f>
        <v>-27.923332270240298</v>
      </c>
      <c r="BQ16" s="1">
        <f>[1]!s_pq_pctchange(BQ$1,$P16,$Q16)</f>
        <v>-6.892058390544042</v>
      </c>
      <c r="BR16" s="1">
        <f>[1]!s_pq_pctchange(BR$1,$P16,$Q16)</f>
        <v>-23.085448857579028</v>
      </c>
      <c r="BS16" s="1">
        <f>[1]!s_pq_pctchange(BS$1,$P16,$Q16)</f>
        <v>-14.415502302794136</v>
      </c>
      <c r="BT16" s="1">
        <f>[1]!s_pq_pctchange(BT$1,$P16,$Q16)</f>
        <v>-5.9180069330781349</v>
      </c>
    </row>
    <row r="17" spans="1:72" x14ac:dyDescent="0.35">
      <c r="A17" s="92">
        <v>45230</v>
      </c>
      <c r="B17" s="1" t="str">
        <f>VLOOKUP(A17,周期整合计算!A:G,7,0)</f>
        <v>周期2（景气值&lt;0，方向下降）</v>
      </c>
      <c r="C17" s="1" t="str">
        <f>IF(ISNUMBER(D17),COUNTIF(D$2:D17,"&gt;0"),"")</f>
        <v/>
      </c>
      <c r="D17" s="90" t="str">
        <f t="shared" ref="D17:D48" si="7">IF(B16=B17,"",A17)</f>
        <v/>
      </c>
      <c r="E17" s="1" t="str">
        <f>IF(ISNUMBER(F17),COUNTIF(F$2:F17,"&gt;0"),"")</f>
        <v/>
      </c>
      <c r="F17" s="90" t="str">
        <f t="shared" si="1"/>
        <v/>
      </c>
      <c r="H17" s="1">
        <v>16</v>
      </c>
      <c r="I17" s="93">
        <v>40179</v>
      </c>
      <c r="J17" s="93">
        <f t="shared" si="2"/>
        <v>41060</v>
      </c>
      <c r="K17" s="1" t="str">
        <f t="shared" si="3"/>
        <v>周期2（景气值&lt;0，方向下降）</v>
      </c>
      <c r="L17" s="1" t="str">
        <f>VLOOKUP(K17,周期整合计算!J:K,2,0)</f>
        <v>衰退</v>
      </c>
      <c r="N17" s="1" t="s">
        <v>9</v>
      </c>
      <c r="O17" s="156" t="s">
        <v>9</v>
      </c>
      <c r="P17" s="97">
        <v>43891</v>
      </c>
      <c r="Q17" s="97">
        <v>44135</v>
      </c>
      <c r="R17" s="1">
        <v>3</v>
      </c>
      <c r="S17" s="101">
        <f t="shared" si="6"/>
        <v>6</v>
      </c>
      <c r="V17" s="1">
        <f>[1]!s_pq_pctchange(V$1,$P17,$Q17)</f>
        <v>17.490205309299569</v>
      </c>
      <c r="W17" s="1">
        <f>[1]!s_pq_pctchange(W$1,$P17,$Q17)</f>
        <v>16.282693284349993</v>
      </c>
      <c r="X17" s="1">
        <f>[1]!s_pq_pctchange(X$1,$P17,$Q17)</f>
        <v>19.169432622255854</v>
      </c>
      <c r="Y17" s="1">
        <f>[1]!s_pq_pctchange(Y$1,$P17,$Q17)</f>
        <v>12.110723082649599</v>
      </c>
      <c r="Z17" s="1">
        <f>[1]!s_pq_pctchange(Z$1,$P17,$Q17)</f>
        <v>10.904363206711597</v>
      </c>
      <c r="AA17" s="1">
        <f>[1]!s_pq_pctchange(AA$1,$P17,$Q17)</f>
        <v>18.168744624889111</v>
      </c>
      <c r="AB17" s="1">
        <f>[1]!s_pq_pctchange(AB$1,$P17,$Q17)</f>
        <v>37.525306182221073</v>
      </c>
      <c r="AC17" s="1">
        <f>[1]!s_pq_pctchange(AC$1,$P17,$Q17)</f>
        <v>6.0432257116558086</v>
      </c>
      <c r="AD17" s="1">
        <f>[1]!s_pq_pctchange(AD$1,$P17,$Q17)</f>
        <v>3.8113980130883185</v>
      </c>
      <c r="AE17" s="1">
        <f>[1]!s_pq_pctchange(AE$1,$P17,$Q17)</f>
        <v>18.143015562999043</v>
      </c>
      <c r="AF17" s="1">
        <f>[1]!s_pq_pctchange(AF$1,$P17,$Q17)</f>
        <v>8.4223509972305663</v>
      </c>
      <c r="AG17" s="1">
        <f>[1]!s_pq_pctchange(AG$1,$P17,$Q17)</f>
        <v>22.5988973070844</v>
      </c>
      <c r="AH17" s="1">
        <f>[1]!s_pq_pctchange(AH$1,$P17,$Q17)</f>
        <v>6.1500724368596327</v>
      </c>
      <c r="AI17" s="1">
        <f>[1]!s_pq_pctchange(AI$1,$P17,$Q17)</f>
        <v>8.9500028923665376</v>
      </c>
      <c r="AJ17" s="1">
        <f>[1]!s_pq_pctchange(AJ$1,$P17,$Q17)</f>
        <v>8.2688678565769003</v>
      </c>
      <c r="AK17" s="1">
        <f>[1]!s_pq_pctchange(AK$1,$P17,$Q17)</f>
        <v>22.536695346833735</v>
      </c>
      <c r="AL17" s="1">
        <f>[1]!s_pq_pctchange(AL$1,$P17,$Q17)</f>
        <v>66.80969304607703</v>
      </c>
      <c r="AM17" s="1">
        <f>[1]!s_pq_pctchange(AM$1,$P17,$Q17)</f>
        <v>-2.312285671299541</v>
      </c>
      <c r="AN17" s="1">
        <f>[1]!s_pq_pctchange(AN$1,$P17,$Q17)</f>
        <v>18.407939804693196</v>
      </c>
      <c r="AO17" s="1">
        <f>[1]!s_pq_pctchange(AO$1,$P17,$Q17)</f>
        <v>37.937751824817511</v>
      </c>
      <c r="AP17" s="1">
        <f>[1]!s_pq_pctchange(AP$1,$P17,$Q17)</f>
        <v>5.1274735686139383</v>
      </c>
      <c r="AQ17" s="1">
        <f>[1]!s_pq_pctchange(AQ$1,$P17,$Q17)</f>
        <v>7.7058136864666338</v>
      </c>
      <c r="AR17" s="1">
        <f>[1]!s_pq_pctchange(AR$1,$P17,$Q17)</f>
        <v>-1.2512875290886183</v>
      </c>
      <c r="AS17" s="1">
        <f>[1]!s_pq_pctchange(AS$1,$P17,$Q17)</f>
        <v>17.453155002317434</v>
      </c>
      <c r="AT17" s="1">
        <f>[1]!s_pq_pctchange(AT$1,$P17,$Q17)</f>
        <v>77.522103146183881</v>
      </c>
      <c r="AU17" s="1">
        <f>[1]!s_pq_pctchange(AU$1,$P17,$Q17)</f>
        <v>6.4731242549453727</v>
      </c>
      <c r="AV17" s="1">
        <f>[1]!s_pq_pctchange(AV$1,$P17,$Q17)</f>
        <v>19.302568287572885</v>
      </c>
      <c r="AW17" s="1">
        <f>[1]!s_pq_pctchange(AW$1,$P17,$Q17)</f>
        <v>1.9342117774230339</v>
      </c>
      <c r="AX17" s="1">
        <f>[1]!s_pq_pctchange(AX$1,$P17,$Q17)</f>
        <v>49.21449581093016</v>
      </c>
      <c r="AY17" s="1">
        <f>[1]!s_pq_pctchange(AY$1,$P17,$Q17)</f>
        <v>26.7142223284071</v>
      </c>
      <c r="AZ17" s="1">
        <f>[1]!s_pq_pctchange(AZ$1,$P17,$Q17)</f>
        <v>-4.1261521161573889</v>
      </c>
      <c r="BA17" s="1">
        <f>[1]!s_pq_pctchange(BA$1,$P17,$Q17)</f>
        <v>11.021304758015704</v>
      </c>
      <c r="BB17" s="1">
        <f>[1]!s_pq_pctchange(BB$1,$P17,$Q17)</f>
        <v>-14.81984599458942</v>
      </c>
      <c r="BC17" s="1">
        <f>[1]!s_pq_pctchange(BC$1,$P17,$Q17)</f>
        <v>1.6059087189135512</v>
      </c>
      <c r="BD17" s="1">
        <f>[1]!s_pq_pctchange(BD$1,$P17,$Q17)</f>
        <v>7.8790258028663018</v>
      </c>
      <c r="BE17" s="1">
        <f>[1]!s_pq_pctchange(BE$1,$P17,$Q17)</f>
        <v>30.699145029746667</v>
      </c>
      <c r="BF17" s="1">
        <f>[1]!s_pq_pctchange(BF$1,$P17,$Q17)</f>
        <v>20.874610691582383</v>
      </c>
      <c r="BG17" s="1">
        <f>[1]!s_pq_pctchange(BG$1,$P17,$Q17)</f>
        <v>3.9752926691846824</v>
      </c>
      <c r="BH17" s="1">
        <f>[1]!s_pq_pctchange(BH$1,$P17,$Q17)</f>
        <v>2.0222576256206937</v>
      </c>
      <c r="BI17" s="1">
        <f>[1]!s_pq_pctchange(BI$1,$P17,$Q17)</f>
        <v>3.4878233201560915</v>
      </c>
      <c r="BJ17" s="1">
        <f>[1]!s_pq_pctchange(BJ$1,$P17,$Q17)</f>
        <v>48.766767892925714</v>
      </c>
      <c r="BK17" s="1">
        <f>[1]!s_pq_pctchange(BK$1,$P17,$Q17)</f>
        <v>-0.2241627618314479</v>
      </c>
      <c r="BL17" s="1">
        <f>[1]!s_pq_pctchange(BL$1,$P17,$Q17)</f>
        <v>14.118580857850738</v>
      </c>
      <c r="BM17" s="1">
        <f>[1]!s_pq_pctchange(BM$1,$P17,$Q17)</f>
        <v>25.700904623402</v>
      </c>
      <c r="BN17" s="1">
        <f>[1]!s_pq_pctchange(BN$1,$P17,$Q17)</f>
        <v>9.3163058149372979</v>
      </c>
      <c r="BO17" s="1">
        <f>[1]!s_pq_pctchange(BO$1,$P17,$Q17)</f>
        <v>5.8326931882082045</v>
      </c>
      <c r="BP17" s="1">
        <f>[1]!s_pq_pctchange(BP$1,$P17,$Q17)</f>
        <v>-3.3542289688712534</v>
      </c>
      <c r="BQ17" s="1">
        <f>[1]!s_pq_pctchange(BQ$1,$P17,$Q17)</f>
        <v>26.259634757498173</v>
      </c>
      <c r="BR17" s="1">
        <f>[1]!s_pq_pctchange(BR$1,$P17,$Q17)</f>
        <v>20.905211287860759</v>
      </c>
      <c r="BS17" s="1">
        <f>[1]!s_pq_pctchange(BS$1,$P17,$Q17)</f>
        <v>11.828055715415697</v>
      </c>
      <c r="BT17" s="1">
        <f>[1]!s_pq_pctchange(BT$1,$P17,$Q17)</f>
        <v>12.75471029250177</v>
      </c>
    </row>
    <row r="18" spans="1:72" x14ac:dyDescent="0.35">
      <c r="A18" s="92">
        <v>45199</v>
      </c>
      <c r="B18" s="1" t="str">
        <f>VLOOKUP(A18,周期整合计算!A:G,7,0)</f>
        <v>周期2（景气值&lt;0，方向下降）</v>
      </c>
      <c r="C18" s="1" t="str">
        <f>IF(ISNUMBER(D18),COUNTIF(D$2:D18,"&gt;0"),"")</f>
        <v/>
      </c>
      <c r="D18" s="90" t="str">
        <f t="shared" si="7"/>
        <v/>
      </c>
      <c r="E18" s="1" t="str">
        <f>IF(ISNUMBER(F18),COUNTIF(F$2:F18,"&gt;0"),"")</f>
        <v/>
      </c>
      <c r="F18" s="90" t="str">
        <f t="shared" si="1"/>
        <v/>
      </c>
      <c r="H18" s="1">
        <v>17</v>
      </c>
      <c r="I18" s="93"/>
      <c r="J18" s="93"/>
      <c r="N18" s="1" t="s">
        <v>9</v>
      </c>
      <c r="O18" s="151"/>
      <c r="P18" s="97">
        <v>42430</v>
      </c>
      <c r="Q18" s="97">
        <v>42613</v>
      </c>
      <c r="S18" s="101">
        <f t="shared" si="6"/>
        <v>10</v>
      </c>
      <c r="V18" s="1">
        <f>[1]!s_pq_pctchange(V$1,$P18,$Q18)</f>
        <v>23.892304549267539</v>
      </c>
      <c r="W18" s="1">
        <f>[1]!s_pq_pctchange(W$1,$P18,$Q18)</f>
        <v>14.815332484731769</v>
      </c>
      <c r="X18" s="1">
        <f>[1]!s_pq_pctchange(X$1,$P18,$Q18)</f>
        <v>15.650127789493705</v>
      </c>
      <c r="Y18" s="1">
        <f>[1]!s_pq_pctchange(Y$1,$P18,$Q18)</f>
        <v>20.255864491882214</v>
      </c>
      <c r="Z18" s="1">
        <f>[1]!s_pq_pctchange(Z$1,$P18,$Q18)</f>
        <v>23.034221349867877</v>
      </c>
      <c r="AA18" s="1">
        <f>[1]!s_pq_pctchange(AA$1,$P18,$Q18)</f>
        <v>22.702164943891901</v>
      </c>
      <c r="AB18" s="1">
        <f>[1]!s_pq_pctchange(AB$1,$P18,$Q18)</f>
        <v>27.298310537727154</v>
      </c>
      <c r="AC18" s="1">
        <f>[1]!s_pq_pctchange(AC$1,$P18,$Q18)</f>
        <v>20.902518451653449</v>
      </c>
      <c r="AD18" s="1">
        <f>[1]!s_pq_pctchange(AD$1,$P18,$Q18)</f>
        <v>16.901875451063098</v>
      </c>
      <c r="AE18" s="1">
        <f>[1]!s_pq_pctchange(AE$1,$P18,$Q18)</f>
        <v>25.821315368635943</v>
      </c>
      <c r="AF18" s="1">
        <f>[1]!s_pq_pctchange(AF$1,$P18,$Q18)</f>
        <v>17.55275959698659</v>
      </c>
      <c r="AG18" s="1">
        <f>[1]!s_pq_pctchange(AG$1,$P18,$Q18)</f>
        <v>24.550571928091514</v>
      </c>
      <c r="AH18" s="1">
        <f>[1]!s_pq_pctchange(AH$1,$P18,$Q18)</f>
        <v>10.054357857432915</v>
      </c>
      <c r="AI18" s="1">
        <f>[1]!s_pq_pctchange(AI$1,$P18,$Q18)</f>
        <v>26.149235536140591</v>
      </c>
      <c r="AJ18" s="1">
        <f>[1]!s_pq_pctchange(AJ$1,$P18,$Q18)</f>
        <v>29.774759990153441</v>
      </c>
      <c r="AK18" s="1">
        <f>[1]!s_pq_pctchange(AK$1,$P18,$Q18)</f>
        <v>22.968233367324853</v>
      </c>
      <c r="AL18" s="1">
        <f>[1]!s_pq_pctchange(AL$1,$P18,$Q18)</f>
        <v>32.77385879703909</v>
      </c>
      <c r="AM18" s="1">
        <f>[1]!s_pq_pctchange(AM$1,$P18,$Q18)</f>
        <v>15.235895104240505</v>
      </c>
      <c r="AN18" s="1">
        <f>[1]!s_pq_pctchange(AN$1,$P18,$Q18)</f>
        <v>25.696332458970538</v>
      </c>
      <c r="AO18" s="1">
        <f>[1]!s_pq_pctchange(AO$1,$P18,$Q18)</f>
        <v>24.533499966139892</v>
      </c>
      <c r="AP18" s="1">
        <f>[1]!s_pq_pctchange(AP$1,$P18,$Q18)</f>
        <v>15.38870590102781</v>
      </c>
      <c r="AQ18" s="1">
        <f>[1]!s_pq_pctchange(AQ$1,$P18,$Q18)</f>
        <v>8.8936730722548809</v>
      </c>
      <c r="AR18" s="1">
        <f>[1]!s_pq_pctchange(AR$1,$P18,$Q18)</f>
        <v>13.974547345102749</v>
      </c>
      <c r="AS18" s="1">
        <f>[1]!s_pq_pctchange(AS$1,$P18,$Q18)</f>
        <v>17.304261263904074</v>
      </c>
      <c r="AT18" s="1">
        <f>[1]!s_pq_pctchange(AT$1,$P18,$Q18)</f>
        <v>10.943699607852221</v>
      </c>
      <c r="AU18" s="1">
        <f>[1]!s_pq_pctchange(AU$1,$P18,$Q18)</f>
        <v>28.758523139416802</v>
      </c>
      <c r="AV18" s="1">
        <f>[1]!s_pq_pctchange(AV$1,$P18,$Q18)</f>
        <v>23.426458663165594</v>
      </c>
      <c r="AW18" s="1">
        <f>[1]!s_pq_pctchange(AW$1,$P18,$Q18)</f>
        <v>21.732524082821225</v>
      </c>
      <c r="AX18" s="1">
        <f>[1]!s_pq_pctchange(AX$1,$P18,$Q18)</f>
        <v>24.054214856844336</v>
      </c>
      <c r="AY18" s="1">
        <f>[1]!s_pq_pctchange(AY$1,$P18,$Q18)</f>
        <v>24.451895400820622</v>
      </c>
      <c r="AZ18" s="1">
        <f>[1]!s_pq_pctchange(AZ$1,$P18,$Q18)</f>
        <v>17.505481318403703</v>
      </c>
      <c r="BA18" s="1">
        <f>[1]!s_pq_pctchange(BA$1,$P18,$Q18)</f>
        <v>12.504350708543942</v>
      </c>
      <c r="BB18" s="1">
        <f>[1]!s_pq_pctchange(BB$1,$P18,$Q18)</f>
        <v>23.346017250126859</v>
      </c>
      <c r="BC18" s="1">
        <f>[1]!s_pq_pctchange(BC$1,$P18,$Q18)</f>
        <v>13.698973464635177</v>
      </c>
      <c r="BD18" s="1">
        <f>[1]!s_pq_pctchange(BD$1,$P18,$Q18)</f>
        <v>21.000424208144786</v>
      </c>
      <c r="BE18" s="1">
        <f>[1]!s_pq_pctchange(BE$1,$P18,$Q18)</f>
        <v>22.843236781434719</v>
      </c>
      <c r="BF18" s="1">
        <f>[1]!s_pq_pctchange(BF$1,$P18,$Q18)</f>
        <v>20.707221596610957</v>
      </c>
      <c r="BG18" s="1">
        <f>[1]!s_pq_pctchange(BG$1,$P18,$Q18)</f>
        <v>13.415074353952017</v>
      </c>
      <c r="BH18" s="1">
        <f>[1]!s_pq_pctchange(BH$1,$P18,$Q18)</f>
        <v>10.158159854241822</v>
      </c>
      <c r="BI18" s="1">
        <f>[1]!s_pq_pctchange(BI$1,$P18,$Q18)</f>
        <v>23.975222318684164</v>
      </c>
      <c r="BJ18" s="1">
        <f>[1]!s_pq_pctchange(BJ$1,$P18,$Q18)</f>
        <v>13.286383789536082</v>
      </c>
      <c r="BK18" s="1">
        <f>[1]!s_pq_pctchange(BK$1,$P18,$Q18)</f>
        <v>15.592711443627817</v>
      </c>
      <c r="BL18" s="1">
        <f>[1]!s_pq_pctchange(BL$1,$P18,$Q18)</f>
        <v>14.499204941171783</v>
      </c>
      <c r="BM18" s="1">
        <f>[1]!s_pq_pctchange(BM$1,$P18,$Q18)</f>
        <v>18.760120438522133</v>
      </c>
      <c r="BN18" s="1">
        <f>[1]!s_pq_pctchange(BN$1,$P18,$Q18)</f>
        <v>0</v>
      </c>
      <c r="BO18" s="1">
        <f>[1]!s_pq_pctchange(BO$1,$P18,$Q18)</f>
        <v>17.421832053365449</v>
      </c>
      <c r="BP18" s="1">
        <f>[1]!s_pq_pctchange(BP$1,$P18,$Q18)</f>
        <v>14.304696758613833</v>
      </c>
      <c r="BQ18" s="1">
        <f>[1]!s_pq_pctchange(BQ$1,$P18,$Q18)</f>
        <v>9.760759003279329</v>
      </c>
      <c r="BR18" s="1">
        <f>[1]!s_pq_pctchange(BR$1,$P18,$Q18)</f>
        <v>15.515167003143304</v>
      </c>
      <c r="BS18" s="1">
        <f>[1]!s_pq_pctchange(BS$1,$P18,$Q18)</f>
        <v>14.02763549399717</v>
      </c>
      <c r="BT18" s="1">
        <f>[1]!s_pq_pctchange(BT$1,$P18,$Q18)</f>
        <v>23.472071735720725</v>
      </c>
    </row>
    <row r="19" spans="1:72" ht="14.6" thickBot="1" x14ac:dyDescent="0.4">
      <c r="A19" s="92">
        <v>45169</v>
      </c>
      <c r="B19" s="1" t="str">
        <f>VLOOKUP(A19,周期整合计算!A:G,7,0)</f>
        <v>周期2（景气值&lt;0，方向下降）</v>
      </c>
      <c r="C19" s="1" t="str">
        <f>IF(ISNUMBER(D19),COUNTIF(D$2:D19,"&gt;0"),"")</f>
        <v/>
      </c>
      <c r="D19" s="90" t="str">
        <f t="shared" si="7"/>
        <v/>
      </c>
      <c r="E19" s="1" t="str">
        <f>IF(ISNUMBER(F19),COUNTIF(F$2:F19,"&gt;0"),"")</f>
        <v/>
      </c>
      <c r="F19" s="90" t="str">
        <f t="shared" si="1"/>
        <v/>
      </c>
      <c r="H19" s="1">
        <v>18</v>
      </c>
      <c r="I19" s="93"/>
      <c r="J19" s="93"/>
      <c r="N19" s="1" t="s">
        <v>9</v>
      </c>
      <c r="O19" s="152"/>
      <c r="P19" s="99">
        <v>41183</v>
      </c>
      <c r="Q19" s="99">
        <v>41486</v>
      </c>
      <c r="V19" s="1">
        <f>[1]!s_pq_pctchange(V$1,$P19,$Q19)</f>
        <v>2.3761897414632749</v>
      </c>
      <c r="W19" s="1">
        <f>[1]!s_pq_pctchange(W$1,$P19,$Q19)</f>
        <v>-6.7525596804150156</v>
      </c>
      <c r="X19" s="1">
        <f>[1]!s_pq_pctchange(X$1,$P19,$Q19)</f>
        <v>-4.3646041657036339</v>
      </c>
      <c r="Y19" s="1">
        <f>[1]!s_pq_pctchange(Y$1,$P19,$Q19)</f>
        <v>7.2190282246874071</v>
      </c>
      <c r="Z19" s="1">
        <f>[1]!s_pq_pctchange(Z$1,$P19,$Q19)</f>
        <v>16.112956118332388</v>
      </c>
      <c r="AA19" s="1">
        <f>[1]!s_pq_pctchange(AA$1,$P19,$Q19)</f>
        <v>-7.9481116017925624</v>
      </c>
      <c r="AB19" s="1">
        <f>[1]!s_pq_pctchange(AB$1,$P19,$Q19)</f>
        <v>4.2890118526187626</v>
      </c>
      <c r="AC19" s="1">
        <f>[1]!s_pq_pctchange(AC$1,$P19,$Q19)</f>
        <v>5.3405336886502619</v>
      </c>
      <c r="AD19" s="1">
        <f>[1]!s_pq_pctchange(AD$1,$P19,$Q19)</f>
        <v>-0.42743013320116763</v>
      </c>
      <c r="AE19" s="1">
        <f>[1]!s_pq_pctchange(AE$1,$P19,$Q19)</f>
        <v>26.526349703333384</v>
      </c>
      <c r="AF19" s="1">
        <f>[1]!s_pq_pctchange(AF$1,$P19,$Q19)</f>
        <v>-6.4760488287527451</v>
      </c>
      <c r="AG19" s="1">
        <f>[1]!s_pq_pctchange(AG$1,$P19,$Q19)</f>
        <v>1.8039523780745803</v>
      </c>
      <c r="AH19" s="1">
        <f>[1]!s_pq_pctchange(AH$1,$P19,$Q19)</f>
        <v>-17.157828064720448</v>
      </c>
      <c r="AI19" s="1">
        <f>[1]!s_pq_pctchange(AI$1,$P19,$Q19)</f>
        <v>-28.890662180303416</v>
      </c>
      <c r="AJ19" s="1">
        <f>[1]!s_pq_pctchange(AJ$1,$P19,$Q19)</f>
        <v>28.019701862543634</v>
      </c>
      <c r="AK19" s="1">
        <f>[1]!s_pq_pctchange(AK$1,$P19,$Q19)</f>
        <v>21.69439957342032</v>
      </c>
      <c r="AL19" s="1">
        <f>[1]!s_pq_pctchange(AL$1,$P19,$Q19)</f>
        <v>-16.745209758868274</v>
      </c>
      <c r="AM19" s="1">
        <f>[1]!s_pq_pctchange(AM$1,$P19,$Q19)</f>
        <v>-10.107294142642786</v>
      </c>
      <c r="AN19" s="1">
        <f>[1]!s_pq_pctchange(AN$1,$P19,$Q19)</f>
        <v>10.931361589319376</v>
      </c>
      <c r="AO19" s="1">
        <f>[1]!s_pq_pctchange(AO$1,$P19,$Q19)</f>
        <v>29.832086423113612</v>
      </c>
      <c r="AP19" s="1">
        <f>[1]!s_pq_pctchange(AP$1,$P19,$Q19)</f>
        <v>14.395475332821551</v>
      </c>
      <c r="AQ19" s="1">
        <f>[1]!s_pq_pctchange(AQ$1,$P19,$Q19)</f>
        <v>-6.1192951327528551</v>
      </c>
      <c r="AR19" s="1">
        <f>[1]!s_pq_pctchange(AR$1,$P19,$Q19)</f>
        <v>9.1781000914673783</v>
      </c>
      <c r="AS19" s="1">
        <f>[1]!s_pq_pctchange(AS$1,$P19,$Q19)</f>
        <v>-10.804937697364348</v>
      </c>
      <c r="AT19" s="1">
        <f>[1]!s_pq_pctchange(AT$1,$P19,$Q19)</f>
        <v>-1.8653074932337699</v>
      </c>
      <c r="AU19" s="1">
        <f>[1]!s_pq_pctchange(AU$1,$P19,$Q19)</f>
        <v>7.5136043189225621</v>
      </c>
      <c r="AV19" s="1">
        <f>[1]!s_pq_pctchange(AV$1,$P19,$Q19)</f>
        <v>-7.5906212584373804</v>
      </c>
      <c r="AW19" s="1">
        <f>[1]!s_pq_pctchange(AW$1,$P19,$Q19)</f>
        <v>-0.78122446311248428</v>
      </c>
      <c r="AX19" s="1">
        <f>[1]!s_pq_pctchange(AX$1,$P19,$Q19)</f>
        <v>11.964314539148123</v>
      </c>
      <c r="AY19" s="1">
        <f>[1]!s_pq_pctchange(AY$1,$P19,$Q19)</f>
        <v>10.391862549365349</v>
      </c>
      <c r="AZ19" s="1">
        <f>[1]!s_pq_pctchange(AZ$1,$P19,$Q19)</f>
        <v>37.685848391122704</v>
      </c>
      <c r="BA19" s="1">
        <f>[1]!s_pq_pctchange(BA$1,$P19,$Q19)</f>
        <v>79.33206420832451</v>
      </c>
      <c r="BB19" s="1">
        <f>[1]!s_pq_pctchange(BB$1,$P19,$Q19)</f>
        <v>17.173216937085201</v>
      </c>
      <c r="BC19" s="1">
        <f>[1]!s_pq_pctchange(BC$1,$P19,$Q19)</f>
        <v>10.268680305557986</v>
      </c>
      <c r="BD19" s="1">
        <f>[1]!s_pq_pctchange(BD$1,$P19,$Q19)</f>
        <v>-11.122333160193133</v>
      </c>
      <c r="BE19" s="1">
        <f>[1]!s_pq_pctchange(BE$1,$P19,$Q19)</f>
        <v>14.192368622694818</v>
      </c>
      <c r="BF19" s="1">
        <f>[1]!s_pq_pctchange(BF$1,$P19,$Q19)</f>
        <v>-0.75379043643729604</v>
      </c>
      <c r="BG19" s="1">
        <f>[1]!s_pq_pctchange(BG$1,$P19,$Q19)</f>
        <v>-37.689925652130974</v>
      </c>
      <c r="BH19" s="1">
        <f>[1]!s_pq_pctchange(BH$1,$P19,$Q19)</f>
        <v>-0.92958387886378224</v>
      </c>
      <c r="BI19" s="1">
        <f>[1]!s_pq_pctchange(BI$1,$P19,$Q19)</f>
        <v>56.253514628062227</v>
      </c>
      <c r="BJ19" s="1">
        <f>[1]!s_pq_pctchange(BJ$1,$P19,$Q19)</f>
        <v>37.035821102312873</v>
      </c>
      <c r="BK19" s="1">
        <f>[1]!s_pq_pctchange(BK$1,$P19,$Q19)</f>
        <v>-4.2599540334163137</v>
      </c>
      <c r="BL19" s="1">
        <f>[1]!s_pq_pctchange(BL$1,$P19,$Q19)</f>
        <v>2.1744725252991426</v>
      </c>
      <c r="BM19" s="1">
        <f>[1]!s_pq_pctchange(BM$1,$P19,$Q19)</f>
        <v>-5.6821603214319065</v>
      </c>
      <c r="BN19" s="1">
        <f>[1]!s_pq_pctchange(BN$1,$P19,$Q19)</f>
        <v>0</v>
      </c>
      <c r="BO19" s="1">
        <f>[1]!s_pq_pctchange(BO$1,$P19,$Q19)</f>
        <v>-3.9696682870152489</v>
      </c>
      <c r="BP19" s="1">
        <f>[1]!s_pq_pctchange(BP$1,$P19,$Q19)</f>
        <v>4.7686315360161657</v>
      </c>
      <c r="BQ19" s="1">
        <f>[1]!s_pq_pctchange(BQ$1,$P19,$Q19)</f>
        <v>8.4368318456045763</v>
      </c>
      <c r="BR19" s="1">
        <f>[1]!s_pq_pctchange(BR$1,$P19,$Q19)</f>
        <v>-3.3373679105182408</v>
      </c>
      <c r="BS19" s="1">
        <f>[1]!s_pq_pctchange(BS$1,$P19,$Q19)</f>
        <v>8.0310475020310292</v>
      </c>
      <c r="BT19" s="1">
        <f>[1]!s_pq_pctchange(BT$1,$P19,$Q19)</f>
        <v>8.8024404223892905</v>
      </c>
    </row>
    <row r="20" spans="1:72" ht="14.6" x14ac:dyDescent="0.35">
      <c r="A20" s="92">
        <v>45138</v>
      </c>
      <c r="B20" s="1" t="str">
        <f>VLOOKUP(A20,周期整合计算!A:G,7,0)</f>
        <v>周期2（景气值&lt;0，方向下降）</v>
      </c>
      <c r="C20" s="1" t="str">
        <f>IF(ISNUMBER(D20),COUNTIF(D$2:D20,"&gt;0"),"")</f>
        <v/>
      </c>
      <c r="D20" s="90" t="str">
        <f t="shared" si="7"/>
        <v/>
      </c>
      <c r="E20" s="1" t="str">
        <f>IF(ISNUMBER(F20),COUNTIF(F$2:F20,"&gt;0"),"")</f>
        <v/>
      </c>
      <c r="F20" s="90" t="str">
        <f t="shared" si="1"/>
        <v/>
      </c>
      <c r="H20" s="1">
        <v>19</v>
      </c>
      <c r="I20" s="93"/>
      <c r="J20" s="93"/>
      <c r="Q20" s="102"/>
      <c r="R20" s="102" t="s">
        <v>12</v>
      </c>
      <c r="S20" s="102" t="s">
        <v>13</v>
      </c>
      <c r="T20" s="102" t="s">
        <v>14</v>
      </c>
      <c r="U20" s="102" t="s">
        <v>15</v>
      </c>
      <c r="V20" s="102" t="s">
        <v>16</v>
      </c>
      <c r="W20" s="102" t="s">
        <v>17</v>
      </c>
      <c r="X20" s="102" t="s">
        <v>18</v>
      </c>
      <c r="Y20" s="102" t="s">
        <v>19</v>
      </c>
      <c r="Z20" s="102" t="s">
        <v>20</v>
      </c>
      <c r="AA20" s="102" t="s">
        <v>24</v>
      </c>
      <c r="AB20" s="102" t="s">
        <v>25</v>
      </c>
      <c r="AC20" s="102" t="s">
        <v>26</v>
      </c>
      <c r="AD20" s="102" t="s">
        <v>27</v>
      </c>
      <c r="AE20" s="102" t="s">
        <v>28</v>
      </c>
      <c r="AF20" s="102" t="s">
        <v>36</v>
      </c>
      <c r="AG20" s="102" t="s">
        <v>37</v>
      </c>
      <c r="AH20" s="102" t="s">
        <v>38</v>
      </c>
      <c r="AI20" s="102" t="s">
        <v>39</v>
      </c>
      <c r="AJ20" s="102" t="s">
        <v>40</v>
      </c>
      <c r="AK20" s="102" t="s">
        <v>41</v>
      </c>
      <c r="AL20" s="102" t="s">
        <v>42</v>
      </c>
      <c r="AM20" s="102" t="s">
        <v>43</v>
      </c>
      <c r="AN20" s="102" t="s">
        <v>44</v>
      </c>
      <c r="AO20" s="102" t="s">
        <v>45</v>
      </c>
      <c r="AP20" s="102" t="s">
        <v>46</v>
      </c>
      <c r="AQ20" s="102" t="s">
        <v>47</v>
      </c>
      <c r="AR20" s="102" t="s">
        <v>48</v>
      </c>
      <c r="AS20" s="102" t="s">
        <v>49</v>
      </c>
      <c r="AT20" s="102" t="s">
        <v>50</v>
      </c>
      <c r="AU20" s="102" t="s">
        <v>51</v>
      </c>
      <c r="AV20" s="102" t="s">
        <v>52</v>
      </c>
      <c r="AW20" s="102" t="s">
        <v>53</v>
      </c>
      <c r="AX20" s="102" t="s">
        <v>54</v>
      </c>
      <c r="AY20" s="102" t="s">
        <v>55</v>
      </c>
      <c r="AZ20" s="102" t="s">
        <v>56</v>
      </c>
      <c r="BA20" s="102" t="s">
        <v>57</v>
      </c>
      <c r="BB20" s="102" t="s">
        <v>58</v>
      </c>
      <c r="BC20" s="102" t="s">
        <v>59</v>
      </c>
      <c r="BD20" s="102" t="s">
        <v>60</v>
      </c>
      <c r="BE20" s="102" t="s">
        <v>61</v>
      </c>
      <c r="BF20" s="102" t="s">
        <v>62</v>
      </c>
      <c r="BG20" s="102" t="s">
        <v>63</v>
      </c>
      <c r="BH20" s="102" t="s">
        <v>64</v>
      </c>
      <c r="BI20" s="102" t="s">
        <v>65</v>
      </c>
      <c r="BJ20" s="102" t="s">
        <v>66</v>
      </c>
      <c r="BK20" s="102" t="s">
        <v>29</v>
      </c>
      <c r="BL20" s="102" t="s">
        <v>30</v>
      </c>
      <c r="BM20" s="102" t="s">
        <v>31</v>
      </c>
      <c r="BN20" s="102" t="s">
        <v>32</v>
      </c>
      <c r="BO20" s="102" t="s">
        <v>33</v>
      </c>
      <c r="BP20" s="102" t="s">
        <v>34</v>
      </c>
      <c r="BQ20" s="102" t="s">
        <v>35</v>
      </c>
      <c r="BR20" s="102" t="s">
        <v>21</v>
      </c>
      <c r="BS20" s="102" t="s">
        <v>22</v>
      </c>
      <c r="BT20" s="102" t="s">
        <v>23</v>
      </c>
    </row>
    <row r="21" spans="1:72" ht="14.6" x14ac:dyDescent="0.35">
      <c r="A21" s="92">
        <v>45107</v>
      </c>
      <c r="B21" s="1" t="str">
        <f>VLOOKUP(A21,周期整合计算!A:G,7,0)</f>
        <v>周期2（景气值&lt;0，方向下降）</v>
      </c>
      <c r="C21" s="1" t="str">
        <f>IF(ISNUMBER(D21),COUNTIF(D$2:D21,"&gt;0"),"")</f>
        <v/>
      </c>
      <c r="D21" s="90" t="str">
        <f t="shared" si="7"/>
        <v/>
      </c>
      <c r="E21" s="1">
        <f>IF(ISNUMBER(F21),COUNTIF(F$2:F21,"&gt;0"),"")</f>
        <v>2</v>
      </c>
      <c r="F21" s="90">
        <f t="shared" ref="F21:F73" si="8">IF(B21=B22,"",A21)</f>
        <v>45107</v>
      </c>
      <c r="H21" s="1">
        <v>20</v>
      </c>
      <c r="I21" s="93"/>
      <c r="J21" s="93"/>
      <c r="Q21" s="102" t="s">
        <v>7</v>
      </c>
      <c r="R21" s="103">
        <f t="shared" ref="R21:R24" si="9">SUMIFS(R$3:R$19,$N$3:$N$19,$Q21)</f>
        <v>5</v>
      </c>
      <c r="S21" s="103">
        <f>SUMIFS(S$3:S$19,$N$3:$N$19,$Q21)</f>
        <v>37</v>
      </c>
      <c r="T21" s="103">
        <f t="shared" ref="T21:T24" si="10">S21/R21</f>
        <v>7.4</v>
      </c>
      <c r="U21" s="104">
        <f>S21/SUM($S$21:$S$24)</f>
        <v>0.2138728323699422</v>
      </c>
      <c r="V21" s="103">
        <f t="shared" ref="V21:W24" si="11">AVERAGEIFS(V$33:V$49,$N$3:$N$19,$Q21)</f>
        <v>5.5086635837644256</v>
      </c>
      <c r="W21" s="103">
        <f t="shared" si="11"/>
        <v>11.779828880310662</v>
      </c>
      <c r="X21" s="103">
        <f t="shared" ref="X21:BT24" si="12">AVERAGEIFS(X$33:X$49,$N$3:$N$19,$Q21)</f>
        <v>7.2086078148490689</v>
      </c>
      <c r="Y21" s="103">
        <f t="shared" si="12"/>
        <v>0.70113889187619771</v>
      </c>
      <c r="Z21" s="103">
        <f t="shared" si="12"/>
        <v>-3.471543080195886</v>
      </c>
      <c r="AA21" s="103">
        <f t="shared" si="12"/>
        <v>7.1411877570651141</v>
      </c>
      <c r="AB21" s="103">
        <f t="shared" si="12"/>
        <v>-2.6757576911643399</v>
      </c>
      <c r="AC21" s="103">
        <f t="shared" si="12"/>
        <v>18.482357457087204</v>
      </c>
      <c r="AD21" s="103">
        <f t="shared" si="12"/>
        <v>17.157971820507104</v>
      </c>
      <c r="AE21" s="103">
        <f t="shared" si="12"/>
        <v>-1.8829244551294484</v>
      </c>
      <c r="AF21" s="103">
        <f t="shared" si="12"/>
        <v>-1.6428208630722505</v>
      </c>
      <c r="AG21" s="103">
        <f t="shared" si="12"/>
        <v>3.3830788923735042</v>
      </c>
      <c r="AH21" s="103">
        <f t="shared" si="12"/>
        <v>14.837461182885772</v>
      </c>
      <c r="AI21" s="103">
        <f t="shared" si="12"/>
        <v>7.1970559596325288</v>
      </c>
      <c r="AJ21" s="103">
        <f t="shared" si="12"/>
        <v>-6.8955977398973527</v>
      </c>
      <c r="AK21" s="103">
        <f t="shared" si="12"/>
        <v>2.2197104742406482</v>
      </c>
      <c r="AL21" s="103">
        <f t="shared" si="12"/>
        <v>0.77750429009941779</v>
      </c>
      <c r="AM21" s="103">
        <f t="shared" si="12"/>
        <v>-2.7965087043964556</v>
      </c>
      <c r="AN21" s="103">
        <f t="shared" si="12"/>
        <v>-7.7033305339241354</v>
      </c>
      <c r="AO21" s="103">
        <f t="shared" si="12"/>
        <v>-8.6619050866860476</v>
      </c>
      <c r="AP21" s="103">
        <f t="shared" si="12"/>
        <v>11.356659518528771</v>
      </c>
      <c r="AQ21" s="103">
        <f t="shared" si="12"/>
        <v>7.8588329853026551</v>
      </c>
      <c r="AR21" s="103">
        <f t="shared" si="12"/>
        <v>2.7654868381260469</v>
      </c>
      <c r="AS21" s="103">
        <f t="shared" si="12"/>
        <v>-4.9001733604626931</v>
      </c>
      <c r="AT21" s="103">
        <f t="shared" si="12"/>
        <v>-4.7424645812007844</v>
      </c>
      <c r="AU21" s="103">
        <f t="shared" si="12"/>
        <v>-4.9895300297197265</v>
      </c>
      <c r="AV21" s="103">
        <f t="shared" si="12"/>
        <v>-3.0373909074681729</v>
      </c>
      <c r="AW21" s="103">
        <f t="shared" si="12"/>
        <v>12.779766074704208</v>
      </c>
      <c r="AX21" s="103">
        <f t="shared" si="12"/>
        <v>0.89386925435371434</v>
      </c>
      <c r="AY21" s="103">
        <f t="shared" si="12"/>
        <v>6.5652461797188311</v>
      </c>
      <c r="AZ21" s="103">
        <f t="shared" si="12"/>
        <v>-7.3244210968807977</v>
      </c>
      <c r="BA21" s="103">
        <f t="shared" si="12"/>
        <v>-14.181791517576045</v>
      </c>
      <c r="BB21" s="103">
        <f t="shared" si="12"/>
        <v>-3.4902792261599074</v>
      </c>
      <c r="BC21" s="103">
        <f t="shared" si="12"/>
        <v>12.010075254253621</v>
      </c>
      <c r="BD21" s="103">
        <f t="shared" si="12"/>
        <v>24.346686804340575</v>
      </c>
      <c r="BE21" s="103">
        <f t="shared" si="12"/>
        <v>6.7302235432009825</v>
      </c>
      <c r="BF21" s="103">
        <f t="shared" si="12"/>
        <v>2.9123848179851271</v>
      </c>
      <c r="BG21" s="103">
        <f t="shared" si="12"/>
        <v>16.55607215851083</v>
      </c>
      <c r="BH21" s="103">
        <f t="shared" si="12"/>
        <v>7.5330408479186151</v>
      </c>
      <c r="BI21" s="103">
        <f t="shared" si="12"/>
        <v>-1.1882704577619776</v>
      </c>
      <c r="BJ21" s="103">
        <f t="shared" si="12"/>
        <v>-12.696162619364632</v>
      </c>
      <c r="BK21" s="103">
        <f t="shared" si="12"/>
        <v>10.600610937764007</v>
      </c>
      <c r="BL21" s="103">
        <f t="shared" si="12"/>
        <v>12.427164449883513</v>
      </c>
      <c r="BM21" s="103">
        <f t="shared" si="12"/>
        <v>4.9678972389506022</v>
      </c>
      <c r="BN21" s="103">
        <f t="shared" si="12"/>
        <v>-1.06062243903841</v>
      </c>
      <c r="BO21" s="103">
        <f t="shared" si="12"/>
        <v>9.271639045799505</v>
      </c>
      <c r="BP21" s="103">
        <f t="shared" si="12"/>
        <v>12.993351270880046</v>
      </c>
      <c r="BQ21" s="103">
        <f t="shared" si="12"/>
        <v>-8.1313020508271663</v>
      </c>
      <c r="BR21" s="103">
        <f t="shared" si="12"/>
        <v>8.2196410620720641</v>
      </c>
      <c r="BS21" s="103">
        <f t="shared" si="12"/>
        <v>1.1905568092864536</v>
      </c>
      <c r="BT21" s="103">
        <f t="shared" si="12"/>
        <v>0.34958388279316316</v>
      </c>
    </row>
    <row r="22" spans="1:72" ht="14.6" x14ac:dyDescent="0.35">
      <c r="A22" s="92">
        <v>45077</v>
      </c>
      <c r="B22" s="1" t="str">
        <f>VLOOKUP(A22,周期整合计算!A:G,7,0)</f>
        <v>周期3（景气值&lt;0，方向上升）</v>
      </c>
      <c r="C22" s="1">
        <f>IF(ISNUMBER(D22),COUNTIF(D$2:D22,"&gt;0"),"")</f>
        <v>3</v>
      </c>
      <c r="D22" s="90">
        <f t="shared" si="7"/>
        <v>45077</v>
      </c>
      <c r="E22" s="1" t="str">
        <f>IF(ISNUMBER(F22),COUNTIF(F$2:F22,"&gt;0"),"")</f>
        <v/>
      </c>
      <c r="F22" s="90" t="str">
        <f t="shared" si="8"/>
        <v/>
      </c>
      <c r="H22" s="1">
        <v>21</v>
      </c>
      <c r="I22" s="93"/>
      <c r="J22" s="93"/>
      <c r="O22" s="1" t="s">
        <v>188</v>
      </c>
      <c r="Q22" s="102" t="s">
        <v>8</v>
      </c>
      <c r="R22" s="103">
        <f>SUMIFS(R$3:R$19,$N$3:$N$19,$Q22)</f>
        <v>5</v>
      </c>
      <c r="S22" s="103">
        <f>SUMIFS(S$3:S$19,$N$3:$N$19,$Q22)</f>
        <v>61</v>
      </c>
      <c r="T22" s="103">
        <f>S22/R22</f>
        <v>12.2</v>
      </c>
      <c r="U22" s="104">
        <f>S22/SUM($S$21:$S$24)</f>
        <v>0.35260115606936415</v>
      </c>
      <c r="V22" s="103">
        <f t="shared" si="11"/>
        <v>1.3728098142745448</v>
      </c>
      <c r="W22" s="103">
        <f t="shared" si="11"/>
        <v>-8.3960638659745452</v>
      </c>
      <c r="X22" s="103">
        <f t="shared" si="12"/>
        <v>-5.7193585609439017</v>
      </c>
      <c r="Y22" s="103">
        <f t="shared" si="12"/>
        <v>-3.5424350170814023E-2</v>
      </c>
      <c r="Z22" s="103">
        <f t="shared" si="12"/>
        <v>6.2972983986122699</v>
      </c>
      <c r="AA22" s="103">
        <f t="shared" si="12"/>
        <v>-2.9714902173958868</v>
      </c>
      <c r="AB22" s="103">
        <f t="shared" si="12"/>
        <v>4.4909618673554634</v>
      </c>
      <c r="AC22" s="103">
        <f t="shared" si="12"/>
        <v>-1.515862679232556</v>
      </c>
      <c r="AD22" s="103">
        <f t="shared" si="12"/>
        <v>-4.3714400710444439</v>
      </c>
      <c r="AE22" s="103">
        <f t="shared" si="12"/>
        <v>7.8020987288917834</v>
      </c>
      <c r="AF22" s="103">
        <f t="shared" si="12"/>
        <v>10.409180193949922</v>
      </c>
      <c r="AG22" s="103">
        <f t="shared" si="12"/>
        <v>-2.9666000247950479</v>
      </c>
      <c r="AH22" s="103">
        <f t="shared" si="12"/>
        <v>-17.058276111247672</v>
      </c>
      <c r="AI22" s="103">
        <f t="shared" si="12"/>
        <v>-6.4303433954914739</v>
      </c>
      <c r="AJ22" s="103">
        <f t="shared" si="12"/>
        <v>18.335149510967234</v>
      </c>
      <c r="AK22" s="103">
        <f t="shared" si="12"/>
        <v>5.6999538139152151</v>
      </c>
      <c r="AL22" s="103">
        <f t="shared" si="12"/>
        <v>2.0091063200292458</v>
      </c>
      <c r="AM22" s="103">
        <f t="shared" si="12"/>
        <v>5.0812330487572419</v>
      </c>
      <c r="AN22" s="103">
        <f t="shared" si="12"/>
        <v>4.5994142629489776</v>
      </c>
      <c r="AO22" s="103">
        <f t="shared" si="12"/>
        <v>4.4493807744198106</v>
      </c>
      <c r="AP22" s="103">
        <f t="shared" si="12"/>
        <v>-7.3240271675999882</v>
      </c>
      <c r="AQ22" s="103">
        <f t="shared" si="12"/>
        <v>-6.5333920927950278</v>
      </c>
      <c r="AR22" s="103">
        <f t="shared" si="12"/>
        <v>-1.3332178272500907</v>
      </c>
      <c r="AS22" s="103">
        <f t="shared" si="12"/>
        <v>-3.8032665584713676</v>
      </c>
      <c r="AT22" s="103">
        <f t="shared" si="12"/>
        <v>6.1576386614099548</v>
      </c>
      <c r="AU22" s="103">
        <f t="shared" si="12"/>
        <v>14.256180128045903</v>
      </c>
      <c r="AV22" s="103">
        <f t="shared" si="12"/>
        <v>-2.1291784821615556</v>
      </c>
      <c r="AW22" s="103">
        <f t="shared" si="12"/>
        <v>-4.7042129665178916</v>
      </c>
      <c r="AX22" s="103">
        <f t="shared" si="12"/>
        <v>-0.53920938373140359</v>
      </c>
      <c r="AY22" s="103">
        <f t="shared" si="12"/>
        <v>-4.5514760287898159</v>
      </c>
      <c r="AZ22" s="103">
        <f t="shared" si="12"/>
        <v>23.24807726575014</v>
      </c>
      <c r="BA22" s="103">
        <f t="shared" si="12"/>
        <v>17.189387580169903</v>
      </c>
      <c r="BB22" s="103">
        <f t="shared" si="12"/>
        <v>17.893129320174744</v>
      </c>
      <c r="BC22" s="103">
        <f t="shared" si="12"/>
        <v>-5.1772033341268324</v>
      </c>
      <c r="BD22" s="103">
        <f t="shared" si="12"/>
        <v>-3.7459907163070083</v>
      </c>
      <c r="BE22" s="103">
        <f t="shared" si="12"/>
        <v>-1.9413209323954206</v>
      </c>
      <c r="BF22" s="103">
        <f t="shared" si="12"/>
        <v>0.95925973748499016</v>
      </c>
      <c r="BG22" s="103">
        <f t="shared" si="12"/>
        <v>-10.124908897820404</v>
      </c>
      <c r="BH22" s="103">
        <f t="shared" si="12"/>
        <v>-11.950692118032276</v>
      </c>
      <c r="BI22" s="103">
        <f t="shared" si="12"/>
        <v>-3.8342482021242952</v>
      </c>
      <c r="BJ22" s="103">
        <f t="shared" si="12"/>
        <v>3.4035943476810808</v>
      </c>
      <c r="BK22" s="103">
        <f t="shared" si="12"/>
        <v>-3.8265742710334765</v>
      </c>
      <c r="BL22" s="103">
        <f t="shared" si="12"/>
        <v>-4.452619731503388</v>
      </c>
      <c r="BM22" s="103">
        <f t="shared" si="12"/>
        <v>-1.4857898911798546</v>
      </c>
      <c r="BN22" s="103">
        <f t="shared" si="12"/>
        <v>2.9152257879467314</v>
      </c>
      <c r="BO22" s="103">
        <f t="shared" si="12"/>
        <v>-0.42700872861922257</v>
      </c>
      <c r="BP22" s="103">
        <f t="shared" si="12"/>
        <v>-2.8103820295812949</v>
      </c>
      <c r="BQ22" s="103">
        <f t="shared" si="12"/>
        <v>8.5377309796913075</v>
      </c>
      <c r="BR22" s="103">
        <f t="shared" si="12"/>
        <v>-5.3729454238704122</v>
      </c>
      <c r="BS22" s="103">
        <f t="shared" si="12"/>
        <v>-1.9304125218402901</v>
      </c>
      <c r="BT22" s="103">
        <f t="shared" si="12"/>
        <v>2.2651919358207477</v>
      </c>
    </row>
    <row r="23" spans="1:72" ht="14.6" x14ac:dyDescent="0.35">
      <c r="A23" s="92">
        <v>45046</v>
      </c>
      <c r="B23" s="1" t="str">
        <f>VLOOKUP(A23,周期整合计算!A:G,7,0)</f>
        <v>周期3（景气值&lt;0，方向上升）</v>
      </c>
      <c r="C23" s="1" t="str">
        <f>IF(ISNUMBER(D23),COUNTIF(D$2:D23,"&gt;0"),"")</f>
        <v/>
      </c>
      <c r="D23" s="90" t="str">
        <f t="shared" si="7"/>
        <v/>
      </c>
      <c r="E23" s="1" t="str">
        <f>IF(ISNUMBER(F23),COUNTIF(F$2:F23,"&gt;0"),"")</f>
        <v/>
      </c>
      <c r="F23" s="90" t="str">
        <f t="shared" si="8"/>
        <v/>
      </c>
      <c r="H23" s="1">
        <v>22</v>
      </c>
      <c r="I23" s="93"/>
      <c r="J23" s="93"/>
      <c r="Q23" s="102" t="s">
        <v>9</v>
      </c>
      <c r="R23" s="103">
        <f>SUMIFS(R$3:R$19,$N$3:$N$19,$Q23)</f>
        <v>3</v>
      </c>
      <c r="S23" s="103">
        <f>SUMIFS(S$3:S$19,$N$3:$N$19,$Q23)</f>
        <v>16</v>
      </c>
      <c r="T23" s="103">
        <f>S23/R23</f>
        <v>5.333333333333333</v>
      </c>
      <c r="U23" s="104">
        <f>S23/SUM($S$21:$S$24)</f>
        <v>9.2485549132947972E-2</v>
      </c>
      <c r="V23" s="103">
        <f t="shared" si="11"/>
        <v>14.586233200010128</v>
      </c>
      <c r="W23" s="103">
        <f t="shared" si="11"/>
        <v>8.115155362888915</v>
      </c>
      <c r="X23" s="103">
        <f t="shared" si="12"/>
        <v>10.15165208201531</v>
      </c>
      <c r="Y23" s="103">
        <f t="shared" si="12"/>
        <v>13.195205266406406</v>
      </c>
      <c r="Z23" s="103">
        <f t="shared" si="12"/>
        <v>16.683846891637288</v>
      </c>
      <c r="AA23" s="103">
        <f t="shared" si="12"/>
        <v>10.974265988996152</v>
      </c>
      <c r="AB23" s="103">
        <f t="shared" si="12"/>
        <v>23.037542857522329</v>
      </c>
      <c r="AC23" s="103">
        <f t="shared" si="12"/>
        <v>10.762092617319839</v>
      </c>
      <c r="AD23" s="103">
        <f t="shared" si="12"/>
        <v>6.7619477769834164</v>
      </c>
      <c r="AE23" s="103">
        <f t="shared" si="12"/>
        <v>23.496893544989458</v>
      </c>
      <c r="AF23" s="103">
        <f t="shared" si="12"/>
        <v>6.4996872551548037</v>
      </c>
      <c r="AG23" s="103">
        <f t="shared" si="12"/>
        <v>16.317807204416834</v>
      </c>
      <c r="AH23" s="103">
        <f t="shared" si="12"/>
        <v>-0.31779925680929938</v>
      </c>
      <c r="AI23" s="103">
        <f t="shared" si="12"/>
        <v>2.0695254160679042</v>
      </c>
      <c r="AJ23" s="103">
        <f t="shared" si="12"/>
        <v>22.021109903091325</v>
      </c>
      <c r="AK23" s="103">
        <f t="shared" si="12"/>
        <v>22.399776095859636</v>
      </c>
      <c r="AL23" s="103">
        <f t="shared" si="12"/>
        <v>27.612780694749279</v>
      </c>
      <c r="AM23" s="103">
        <f t="shared" si="12"/>
        <v>0.93877176343272595</v>
      </c>
      <c r="AN23" s="103">
        <f t="shared" si="12"/>
        <v>18.345211284327704</v>
      </c>
      <c r="AO23" s="103">
        <f t="shared" si="12"/>
        <v>30.767779404690341</v>
      </c>
      <c r="AP23" s="103">
        <f t="shared" si="12"/>
        <v>11.637218267487768</v>
      </c>
      <c r="AQ23" s="103">
        <f t="shared" si="12"/>
        <v>3.4933972086562197</v>
      </c>
      <c r="AR23" s="103">
        <f t="shared" si="12"/>
        <v>7.3004533024938363</v>
      </c>
      <c r="AS23" s="103">
        <f t="shared" si="12"/>
        <v>7.9841595229523881</v>
      </c>
      <c r="AT23" s="103">
        <f t="shared" si="12"/>
        <v>28.866831753600778</v>
      </c>
      <c r="AU23" s="103">
        <f t="shared" si="12"/>
        <v>14.248417237761579</v>
      </c>
      <c r="AV23" s="103">
        <f t="shared" si="12"/>
        <v>11.7128018974337</v>
      </c>
      <c r="AW23" s="103">
        <f t="shared" si="12"/>
        <v>7.6285037990439255</v>
      </c>
      <c r="AX23" s="103">
        <f t="shared" si="12"/>
        <v>28.411008402307541</v>
      </c>
      <c r="AY23" s="103">
        <f t="shared" si="12"/>
        <v>20.519326759531022</v>
      </c>
      <c r="AZ23" s="103">
        <f t="shared" si="12"/>
        <v>17.021725864456339</v>
      </c>
      <c r="BA23" s="103">
        <f t="shared" si="12"/>
        <v>34.28590655829472</v>
      </c>
      <c r="BB23" s="103">
        <f t="shared" si="12"/>
        <v>8.5664627308742141</v>
      </c>
      <c r="BC23" s="103">
        <f t="shared" si="12"/>
        <v>8.5245208297022383</v>
      </c>
      <c r="BD23" s="103">
        <f t="shared" si="12"/>
        <v>5.9190389502726513</v>
      </c>
      <c r="BE23" s="103">
        <f t="shared" si="12"/>
        <v>22.5782501446254</v>
      </c>
      <c r="BF23" s="103">
        <f t="shared" si="12"/>
        <v>13.60934728391868</v>
      </c>
      <c r="BG23" s="103">
        <f t="shared" si="12"/>
        <v>-6.7665195429980924</v>
      </c>
      <c r="BH23" s="103">
        <f t="shared" si="12"/>
        <v>3.750277866999578</v>
      </c>
      <c r="BI23" s="103">
        <f t="shared" si="12"/>
        <v>27.905520088967496</v>
      </c>
      <c r="BJ23" s="103">
        <f t="shared" si="12"/>
        <v>33.029657594924892</v>
      </c>
      <c r="BK23" s="103">
        <f t="shared" si="12"/>
        <v>3.7028648827933517</v>
      </c>
      <c r="BL23" s="103">
        <f t="shared" si="12"/>
        <v>10.264086108107222</v>
      </c>
      <c r="BM23" s="103">
        <f t="shared" si="12"/>
        <v>12.926288246830742</v>
      </c>
      <c r="BN23" s="103">
        <f t="shared" si="12"/>
        <v>3.1054352716457658</v>
      </c>
      <c r="BO23" s="103">
        <f t="shared" si="12"/>
        <v>6.4282856515194675</v>
      </c>
      <c r="BP23" s="103">
        <f t="shared" si="12"/>
        <v>5.2396997752529151</v>
      </c>
      <c r="BQ23" s="103">
        <f t="shared" si="12"/>
        <v>14.81907520212736</v>
      </c>
      <c r="BR23" s="103">
        <f t="shared" si="12"/>
        <v>11.027670126828609</v>
      </c>
      <c r="BS23" s="103">
        <f t="shared" si="12"/>
        <v>11.2955795704813</v>
      </c>
      <c r="BT23" s="103">
        <f t="shared" si="12"/>
        <v>15.009740816870595</v>
      </c>
    </row>
    <row r="24" spans="1:72" ht="14.6" x14ac:dyDescent="0.35">
      <c r="A24" s="92">
        <v>45016</v>
      </c>
      <c r="B24" s="1" t="str">
        <f>VLOOKUP(A24,周期整合计算!A:G,7,0)</f>
        <v>周期3（景气值&lt;0，方向上升）</v>
      </c>
      <c r="C24" s="1" t="str">
        <f>IF(ISNUMBER(D24),COUNTIF(D$2:D24,"&gt;0"),"")</f>
        <v/>
      </c>
      <c r="D24" s="90" t="str">
        <f t="shared" si="7"/>
        <v/>
      </c>
      <c r="E24" s="1" t="str">
        <f>IF(ISNUMBER(F24),COUNTIF(F$2:F24,"&gt;0"),"")</f>
        <v/>
      </c>
      <c r="F24" s="90" t="str">
        <f t="shared" si="8"/>
        <v/>
      </c>
      <c r="H24" s="1">
        <v>23</v>
      </c>
      <c r="I24" s="93"/>
      <c r="J24" s="93"/>
      <c r="Q24" s="102" t="s">
        <v>10</v>
      </c>
      <c r="R24" s="103">
        <f t="shared" si="9"/>
        <v>4</v>
      </c>
      <c r="S24" s="103">
        <f>SUMIFS(S$3:S$19,$N$3:$N$19,$Q24)</f>
        <v>59</v>
      </c>
      <c r="T24" s="103">
        <f t="shared" si="10"/>
        <v>14.75</v>
      </c>
      <c r="U24" s="104">
        <f>S24/SUM($S$21:$S$24)</f>
        <v>0.34104046242774566</v>
      </c>
      <c r="V24" s="103">
        <f t="shared" si="11"/>
        <v>0.62170339464879287</v>
      </c>
      <c r="W24" s="103">
        <f t="shared" si="11"/>
        <v>0.47508047029718004</v>
      </c>
      <c r="X24" s="103">
        <f t="shared" si="12"/>
        <v>1.1029532222886917</v>
      </c>
      <c r="Y24" s="103">
        <f t="shared" si="12"/>
        <v>1.4802970089991816</v>
      </c>
      <c r="Z24" s="103">
        <f t="shared" si="12"/>
        <v>-4.6891040757928937E-2</v>
      </c>
      <c r="AA24" s="103">
        <f t="shared" si="12"/>
        <v>1.1332987982548257</v>
      </c>
      <c r="AB24" s="103">
        <f t="shared" si="12"/>
        <v>9.0728142969704368</v>
      </c>
      <c r="AC24" s="103">
        <f t="shared" si="12"/>
        <v>-4.4088879527193097</v>
      </c>
      <c r="AD24" s="103">
        <f t="shared" si="12"/>
        <v>-3.8548728890883899</v>
      </c>
      <c r="AE24" s="103">
        <f t="shared" si="12"/>
        <v>2.434979580906671</v>
      </c>
      <c r="AF24" s="103">
        <f t="shared" si="12"/>
        <v>-1.5347251876472314</v>
      </c>
      <c r="AG24" s="103">
        <f t="shared" si="12"/>
        <v>-1.2997074154882746</v>
      </c>
      <c r="AH24" s="103">
        <f t="shared" si="12"/>
        <v>5.6200217213891257</v>
      </c>
      <c r="AI24" s="103">
        <f t="shared" si="12"/>
        <v>10.881497306272784</v>
      </c>
      <c r="AJ24" s="103">
        <f t="shared" si="12"/>
        <v>6.7901276001666231</v>
      </c>
      <c r="AK24" s="103">
        <f t="shared" si="12"/>
        <v>14.897376478810418</v>
      </c>
      <c r="AL24" s="103">
        <f t="shared" si="12"/>
        <v>22.731272773580919</v>
      </c>
      <c r="AM24" s="103">
        <f t="shared" si="12"/>
        <v>-1.7193451889610469</v>
      </c>
      <c r="AN24" s="103">
        <f t="shared" si="12"/>
        <v>1.1195779136474711</v>
      </c>
      <c r="AO24" s="103">
        <f t="shared" si="12"/>
        <v>6.1163250087900689</v>
      </c>
      <c r="AP24" s="103">
        <f t="shared" si="12"/>
        <v>-7.4634762533849459</v>
      </c>
      <c r="AQ24" s="103">
        <f t="shared" si="12"/>
        <v>-0.99840929094452946</v>
      </c>
      <c r="AR24" s="103">
        <f t="shared" si="12"/>
        <v>-9.7068214035005287</v>
      </c>
      <c r="AS24" s="103">
        <f t="shared" si="12"/>
        <v>-4.0018428821009175</v>
      </c>
      <c r="AT24" s="103">
        <f t="shared" si="12"/>
        <v>16.944832318750557</v>
      </c>
      <c r="AU24" s="103">
        <f t="shared" si="12"/>
        <v>7.646454128984681E-3</v>
      </c>
      <c r="AV24" s="103">
        <f t="shared" si="12"/>
        <v>9.1127209753743124</v>
      </c>
      <c r="AW24" s="103">
        <f t="shared" si="12"/>
        <v>-6.2365080630139067</v>
      </c>
      <c r="AX24" s="103">
        <f t="shared" si="12"/>
        <v>5.4200584515355876</v>
      </c>
      <c r="AY24" s="103">
        <f t="shared" si="12"/>
        <v>-0.40683415640201426</v>
      </c>
      <c r="AZ24" s="103">
        <f t="shared" si="12"/>
        <v>1.7237425480665762</v>
      </c>
      <c r="BA24" s="103">
        <f t="shared" si="12"/>
        <v>-10.309225051141299</v>
      </c>
      <c r="BB24" s="103">
        <f t="shared" si="12"/>
        <v>-8.0883051995903337</v>
      </c>
      <c r="BC24" s="103">
        <f t="shared" si="12"/>
        <v>2.0466603343184255</v>
      </c>
      <c r="BD24" s="103">
        <f t="shared" si="12"/>
        <v>-7.6585770876640407</v>
      </c>
      <c r="BE24" s="103">
        <f t="shared" si="12"/>
        <v>-2.7955715214550612</v>
      </c>
      <c r="BF24" s="103">
        <f t="shared" si="12"/>
        <v>1.8949776313885835</v>
      </c>
      <c r="BG24" s="103">
        <f t="shared" si="12"/>
        <v>-1.7114852353971335</v>
      </c>
      <c r="BH24" s="103">
        <f t="shared" si="12"/>
        <v>-1.0366165260877533</v>
      </c>
      <c r="BI24" s="103">
        <f t="shared" si="12"/>
        <v>-7.1246475461373242</v>
      </c>
      <c r="BJ24" s="103">
        <f t="shared" si="12"/>
        <v>9.881212860765654</v>
      </c>
      <c r="BK24" s="103">
        <f t="shared" si="12"/>
        <v>-0.45066182246177267</v>
      </c>
      <c r="BL24" s="103">
        <f t="shared" si="12"/>
        <v>5.29472181254026</v>
      </c>
      <c r="BM24" s="103">
        <f t="shared" si="12"/>
        <v>7.8922799143104401</v>
      </c>
      <c r="BN24" s="103">
        <f t="shared" si="12"/>
        <v>8.3240194160972933</v>
      </c>
      <c r="BO24" s="103">
        <f t="shared" si="12"/>
        <v>2.5406341177453609</v>
      </c>
      <c r="BP24" s="103">
        <f t="shared" si="12"/>
        <v>0.39019440661400484</v>
      </c>
      <c r="BQ24" s="103">
        <f t="shared" si="12"/>
        <v>-1.8055989418974907</v>
      </c>
      <c r="BR24" s="103">
        <f t="shared" si="12"/>
        <v>2.4257713465369344</v>
      </c>
      <c r="BS24" s="103">
        <f t="shared" si="12"/>
        <v>-0.28582032338438346</v>
      </c>
      <c r="BT24" s="103">
        <f t="shared" si="12"/>
        <v>-5.9756088826523612E-3</v>
      </c>
    </row>
    <row r="25" spans="1:72" x14ac:dyDescent="0.35">
      <c r="A25" s="92">
        <v>44985</v>
      </c>
      <c r="B25" s="1" t="str">
        <f>VLOOKUP(A25,周期整合计算!A:G,7,0)</f>
        <v>周期3（景气值&lt;0，方向上升）</v>
      </c>
      <c r="C25" s="1" t="str">
        <f>IF(ISNUMBER(D25),COUNTIF(D$2:D25,"&gt;0"),"")</f>
        <v/>
      </c>
      <c r="D25" s="90" t="str">
        <f t="shared" si="7"/>
        <v/>
      </c>
      <c r="E25" s="1" t="str">
        <f>IF(ISNUMBER(F25),COUNTIF(F$2:F25,"&gt;0"),"")</f>
        <v/>
      </c>
      <c r="F25" s="90" t="str">
        <f t="shared" si="8"/>
        <v/>
      </c>
      <c r="H25" s="1">
        <v>24</v>
      </c>
      <c r="I25" s="93"/>
      <c r="J25" s="93"/>
      <c r="AC25" s="105"/>
      <c r="AD25" s="105"/>
    </row>
    <row r="26" spans="1:72" ht="14.6" x14ac:dyDescent="0.35">
      <c r="A26" s="92">
        <v>44957</v>
      </c>
      <c r="B26" s="1" t="str">
        <f>VLOOKUP(A26,周期整合计算!A:G,7,0)</f>
        <v>周期3（景气值&lt;0，方向上升）</v>
      </c>
      <c r="C26" s="1" t="str">
        <f>IF(ISNUMBER(D26),COUNTIF(D$2:D26,"&gt;0"),"")</f>
        <v/>
      </c>
      <c r="D26" s="90" t="str">
        <f t="shared" si="7"/>
        <v/>
      </c>
      <c r="E26" s="1" t="str">
        <f>IF(ISNUMBER(F26),COUNTIF(F$2:F26,"&gt;0"),"")</f>
        <v/>
      </c>
      <c r="F26" s="90" t="str">
        <f t="shared" si="8"/>
        <v/>
      </c>
      <c r="H26" s="1">
        <v>25</v>
      </c>
      <c r="I26" s="93"/>
      <c r="J26" s="93"/>
      <c r="Q26" s="102"/>
      <c r="R26" s="102" t="s">
        <v>12</v>
      </c>
      <c r="S26" s="102" t="s">
        <v>13</v>
      </c>
      <c r="T26" s="102" t="s">
        <v>14</v>
      </c>
      <c r="U26" s="102" t="s">
        <v>15</v>
      </c>
      <c r="V26" s="102" t="s">
        <v>16</v>
      </c>
      <c r="W26" s="102" t="s">
        <v>17</v>
      </c>
      <c r="X26" s="102" t="s">
        <v>18</v>
      </c>
      <c r="Y26" s="102" t="s">
        <v>19</v>
      </c>
      <c r="Z26" s="102" t="s">
        <v>20</v>
      </c>
      <c r="AA26" s="102" t="s">
        <v>24</v>
      </c>
      <c r="AB26" s="102" t="s">
        <v>25</v>
      </c>
      <c r="AC26" s="102" t="s">
        <v>26</v>
      </c>
      <c r="AD26" s="102" t="s">
        <v>27</v>
      </c>
      <c r="AE26" s="102" t="s">
        <v>28</v>
      </c>
      <c r="AF26" s="102" t="s">
        <v>36</v>
      </c>
      <c r="AG26" s="102" t="s">
        <v>37</v>
      </c>
      <c r="AH26" s="102" t="s">
        <v>38</v>
      </c>
      <c r="AI26" s="102" t="s">
        <v>39</v>
      </c>
      <c r="AJ26" s="102" t="s">
        <v>40</v>
      </c>
      <c r="AK26" s="102" t="s">
        <v>41</v>
      </c>
      <c r="AL26" s="102" t="s">
        <v>42</v>
      </c>
      <c r="AM26" s="102" t="s">
        <v>43</v>
      </c>
      <c r="AN26" s="102" t="s">
        <v>44</v>
      </c>
      <c r="AO26" s="102" t="s">
        <v>45</v>
      </c>
      <c r="AP26" s="102" t="s">
        <v>46</v>
      </c>
      <c r="AQ26" s="102" t="s">
        <v>47</v>
      </c>
      <c r="AR26" s="102" t="s">
        <v>48</v>
      </c>
      <c r="AS26" s="102" t="s">
        <v>49</v>
      </c>
      <c r="AT26" s="102" t="s">
        <v>50</v>
      </c>
      <c r="AU26" s="102" t="s">
        <v>51</v>
      </c>
      <c r="AV26" s="102" t="s">
        <v>52</v>
      </c>
      <c r="AW26" s="102" t="s">
        <v>53</v>
      </c>
      <c r="AX26" s="102" t="s">
        <v>54</v>
      </c>
      <c r="AY26" s="102" t="s">
        <v>55</v>
      </c>
      <c r="AZ26" s="102" t="s">
        <v>56</v>
      </c>
      <c r="BA26" s="102" t="s">
        <v>57</v>
      </c>
      <c r="BB26" s="102" t="s">
        <v>58</v>
      </c>
      <c r="BC26" s="102" t="s">
        <v>59</v>
      </c>
      <c r="BD26" s="102" t="s">
        <v>60</v>
      </c>
      <c r="BE26" s="102" t="s">
        <v>61</v>
      </c>
      <c r="BF26" s="102" t="s">
        <v>62</v>
      </c>
      <c r="BG26" s="102" t="s">
        <v>63</v>
      </c>
      <c r="BH26" s="102" t="s">
        <v>64</v>
      </c>
      <c r="BI26" s="102" t="s">
        <v>65</v>
      </c>
      <c r="BJ26" s="102" t="s">
        <v>66</v>
      </c>
      <c r="BK26" s="102" t="s">
        <v>29</v>
      </c>
      <c r="BL26" s="102" t="s">
        <v>30</v>
      </c>
      <c r="BM26" s="102" t="s">
        <v>31</v>
      </c>
      <c r="BN26" s="102" t="s">
        <v>32</v>
      </c>
      <c r="BO26" s="102" t="s">
        <v>33</v>
      </c>
      <c r="BP26" s="102" t="s">
        <v>34</v>
      </c>
      <c r="BQ26" s="102" t="s">
        <v>35</v>
      </c>
      <c r="BR26" s="102" t="s">
        <v>21</v>
      </c>
      <c r="BS26" s="102" t="s">
        <v>22</v>
      </c>
      <c r="BT26" s="102" t="s">
        <v>23</v>
      </c>
    </row>
    <row r="27" spans="1:72" ht="14.6" x14ac:dyDescent="0.35">
      <c r="A27" s="92">
        <v>44926</v>
      </c>
      <c r="B27" s="1" t="str">
        <f>VLOOKUP(A27,周期整合计算!A:G,7,0)</f>
        <v>周期3（景气值&lt;0，方向上升）</v>
      </c>
      <c r="C27" s="1" t="str">
        <f>IF(ISNUMBER(D27),COUNTIF(D$2:D27,"&gt;0"),"")</f>
        <v/>
      </c>
      <c r="D27" s="90" t="str">
        <f t="shared" si="7"/>
        <v/>
      </c>
      <c r="E27" s="1" t="str">
        <f>IF(ISNUMBER(F27),COUNTIF(F$2:F27,"&gt;0"),"")</f>
        <v/>
      </c>
      <c r="F27" s="90" t="str">
        <f t="shared" si="8"/>
        <v/>
      </c>
      <c r="H27" s="1">
        <v>26</v>
      </c>
      <c r="I27" s="93"/>
      <c r="J27" s="93"/>
      <c r="Q27" s="102" t="s">
        <v>7</v>
      </c>
      <c r="R27" s="103">
        <f>SUMIFS(R$3:R$19,$N$3:$N$19,$Q27)</f>
        <v>5</v>
      </c>
      <c r="S27" s="103">
        <f>SUMIFS(S$3:S$19,$N$3:$N$19,$Q27)</f>
        <v>37</v>
      </c>
      <c r="T27" s="103">
        <f t="shared" ref="T27:T30" si="13">S27/R27</f>
        <v>7.4</v>
      </c>
      <c r="U27" s="104">
        <f>S27/SUM($S$21:$S$24)</f>
        <v>0.2138728323699422</v>
      </c>
      <c r="V27" s="103"/>
      <c r="W27" s="103">
        <f t="shared" ref="W27:BB27" si="14">W21-$V21</f>
        <v>6.2711652965462363</v>
      </c>
      <c r="X27" s="103">
        <f t="shared" si="14"/>
        <v>1.6999442310846433</v>
      </c>
      <c r="Y27" s="103">
        <f t="shared" si="14"/>
        <v>-4.8075246918882275</v>
      </c>
      <c r="Z27" s="103">
        <f t="shared" si="14"/>
        <v>-8.9802066639603115</v>
      </c>
      <c r="AA27" s="103">
        <f t="shared" si="14"/>
        <v>1.6325241733006886</v>
      </c>
      <c r="AB27" s="103">
        <f t="shared" si="14"/>
        <v>-8.1844212749287664</v>
      </c>
      <c r="AC27" s="103">
        <f t="shared" si="14"/>
        <v>12.973693873322778</v>
      </c>
      <c r="AD27" s="103">
        <f t="shared" si="14"/>
        <v>11.649308236742678</v>
      </c>
      <c r="AE27" s="103">
        <f t="shared" si="14"/>
        <v>-7.3915880388938735</v>
      </c>
      <c r="AF27" s="103">
        <f t="shared" si="14"/>
        <v>-7.1514844468366761</v>
      </c>
      <c r="AG27" s="103">
        <f t="shared" si="14"/>
        <v>-2.1255846913909213</v>
      </c>
      <c r="AH27" s="103">
        <f t="shared" si="14"/>
        <v>9.3287975991213461</v>
      </c>
      <c r="AI27" s="103">
        <f t="shared" si="14"/>
        <v>1.6883923758681032</v>
      </c>
      <c r="AJ27" s="103">
        <f t="shared" si="14"/>
        <v>-12.404261323661778</v>
      </c>
      <c r="AK27" s="103">
        <f t="shared" si="14"/>
        <v>-3.2889531095237774</v>
      </c>
      <c r="AL27" s="103">
        <f t="shared" si="14"/>
        <v>-4.7311592936650078</v>
      </c>
      <c r="AM27" s="103">
        <f t="shared" si="14"/>
        <v>-8.3051722881608807</v>
      </c>
      <c r="AN27" s="103">
        <f t="shared" si="14"/>
        <v>-13.211994117688562</v>
      </c>
      <c r="AO27" s="103">
        <f t="shared" si="14"/>
        <v>-14.170568670450473</v>
      </c>
      <c r="AP27" s="103">
        <f t="shared" si="14"/>
        <v>5.8479959347643451</v>
      </c>
      <c r="AQ27" s="103">
        <f t="shared" si="14"/>
        <v>2.3501694015382295</v>
      </c>
      <c r="AR27" s="103">
        <f t="shared" si="14"/>
        <v>-2.7431767456383787</v>
      </c>
      <c r="AS27" s="103">
        <f t="shared" si="14"/>
        <v>-10.408836944227119</v>
      </c>
      <c r="AT27" s="103">
        <f t="shared" si="14"/>
        <v>-10.251128164965209</v>
      </c>
      <c r="AU27" s="103">
        <f t="shared" si="14"/>
        <v>-10.498193613484151</v>
      </c>
      <c r="AV27" s="103">
        <f t="shared" si="14"/>
        <v>-8.5460544912325993</v>
      </c>
      <c r="AW27" s="103">
        <f t="shared" si="14"/>
        <v>7.2711024909397821</v>
      </c>
      <c r="AX27" s="103">
        <f t="shared" si="14"/>
        <v>-4.614794329410711</v>
      </c>
      <c r="AY27" s="103">
        <f t="shared" si="14"/>
        <v>1.0565825959544055</v>
      </c>
      <c r="AZ27" s="103">
        <f t="shared" si="14"/>
        <v>-12.833084680645223</v>
      </c>
      <c r="BA27" s="103">
        <f t="shared" si="14"/>
        <v>-19.690455101340469</v>
      </c>
      <c r="BB27" s="103">
        <f t="shared" si="14"/>
        <v>-8.9989428099243334</v>
      </c>
      <c r="BC27" s="103">
        <f t="shared" ref="BC27:BT27" si="15">BC21-$V21</f>
        <v>6.5014116704891958</v>
      </c>
      <c r="BD27" s="103">
        <f t="shared" si="15"/>
        <v>18.838023220576147</v>
      </c>
      <c r="BE27" s="103">
        <f t="shared" si="15"/>
        <v>1.2215599594365569</v>
      </c>
      <c r="BF27" s="103">
        <f t="shared" si="15"/>
        <v>-2.5962787657792985</v>
      </c>
      <c r="BG27" s="103">
        <f t="shared" si="15"/>
        <v>11.047408574746404</v>
      </c>
      <c r="BH27" s="103">
        <f t="shared" si="15"/>
        <v>2.0243772641541895</v>
      </c>
      <c r="BI27" s="103">
        <f t="shared" si="15"/>
        <v>-6.6969340415264034</v>
      </c>
      <c r="BJ27" s="103">
        <f t="shared" si="15"/>
        <v>-18.204826203129059</v>
      </c>
      <c r="BK27" s="103">
        <f t="shared" si="15"/>
        <v>5.091947353999581</v>
      </c>
      <c r="BL27" s="103">
        <f t="shared" si="15"/>
        <v>6.9185008661190874</v>
      </c>
      <c r="BM27" s="103">
        <f t="shared" si="15"/>
        <v>-0.54076634481382335</v>
      </c>
      <c r="BN27" s="103">
        <f t="shared" si="15"/>
        <v>-6.5692860228028351</v>
      </c>
      <c r="BO27" s="103">
        <f t="shared" si="15"/>
        <v>3.7629754620350795</v>
      </c>
      <c r="BP27" s="103">
        <f t="shared" si="15"/>
        <v>7.4846876871156205</v>
      </c>
      <c r="BQ27" s="103">
        <f t="shared" si="15"/>
        <v>-13.639965634591592</v>
      </c>
      <c r="BR27" s="103">
        <f t="shared" si="15"/>
        <v>2.7109774783076386</v>
      </c>
      <c r="BS27" s="103">
        <f t="shared" si="15"/>
        <v>-4.3181067744779718</v>
      </c>
      <c r="BT27" s="103">
        <f t="shared" si="15"/>
        <v>-5.1590797009712626</v>
      </c>
    </row>
    <row r="28" spans="1:72" ht="14.6" x14ac:dyDescent="0.35">
      <c r="A28" s="92">
        <v>44895</v>
      </c>
      <c r="B28" s="1" t="str">
        <f>VLOOKUP(A28,周期整合计算!A:G,7,0)</f>
        <v>周期3（景气值&lt;0，方向上升）</v>
      </c>
      <c r="C28" s="1" t="str">
        <f>IF(ISNUMBER(D28),COUNTIF(D$2:D28,"&gt;0"),"")</f>
        <v/>
      </c>
      <c r="D28" s="90" t="str">
        <f t="shared" si="7"/>
        <v/>
      </c>
      <c r="E28" s="1" t="str">
        <f>IF(ISNUMBER(F28),COUNTIF(F$2:F28,"&gt;0"),"")</f>
        <v/>
      </c>
      <c r="F28" s="90" t="str">
        <f t="shared" si="8"/>
        <v/>
      </c>
      <c r="H28" s="1">
        <v>27</v>
      </c>
      <c r="I28" s="93"/>
      <c r="J28" s="93"/>
      <c r="O28" s="1" t="s">
        <v>189</v>
      </c>
      <c r="Q28" s="102" t="s">
        <v>8</v>
      </c>
      <c r="R28" s="103">
        <f>SUMIFS(R$3:R$19,$N$3:$N$19,$Q28)</f>
        <v>5</v>
      </c>
      <c r="S28" s="103">
        <f t="shared" ref="S28:S30" si="16">SUMIFS(S$3:S$19,$N$3:$N$19,$Q28)</f>
        <v>61</v>
      </c>
      <c r="T28" s="103">
        <f t="shared" si="13"/>
        <v>12.2</v>
      </c>
      <c r="U28" s="104">
        <f>S28/SUM($S$21:$S$24)</f>
        <v>0.35260115606936415</v>
      </c>
      <c r="V28" s="103"/>
      <c r="W28" s="103">
        <f t="shared" ref="W28:BB28" si="17">W22-$V22</f>
        <v>-9.7688736802490901</v>
      </c>
      <c r="X28" s="103">
        <f t="shared" si="17"/>
        <v>-7.0921683752184466</v>
      </c>
      <c r="Y28" s="103">
        <f t="shared" si="17"/>
        <v>-1.4082341644453589</v>
      </c>
      <c r="Z28" s="103">
        <f t="shared" si="17"/>
        <v>4.9244885843377251</v>
      </c>
      <c r="AA28" s="103">
        <f t="shared" si="17"/>
        <v>-4.3443000316704321</v>
      </c>
      <c r="AB28" s="103">
        <f t="shared" si="17"/>
        <v>3.1181520530809186</v>
      </c>
      <c r="AC28" s="103">
        <f t="shared" si="17"/>
        <v>-2.8886724935071006</v>
      </c>
      <c r="AD28" s="103">
        <f t="shared" si="17"/>
        <v>-5.7442498853189887</v>
      </c>
      <c r="AE28" s="103">
        <f t="shared" si="17"/>
        <v>6.4292889146172385</v>
      </c>
      <c r="AF28" s="103">
        <f t="shared" si="17"/>
        <v>9.0363703796753772</v>
      </c>
      <c r="AG28" s="103">
        <f t="shared" si="17"/>
        <v>-4.3394098390695923</v>
      </c>
      <c r="AH28" s="103">
        <f t="shared" si="17"/>
        <v>-18.431085925522218</v>
      </c>
      <c r="AI28" s="103">
        <f t="shared" si="17"/>
        <v>-7.8031532097660188</v>
      </c>
      <c r="AJ28" s="103">
        <f t="shared" si="17"/>
        <v>16.962339696692688</v>
      </c>
      <c r="AK28" s="103">
        <f t="shared" si="17"/>
        <v>4.3271439996406702</v>
      </c>
      <c r="AL28" s="103">
        <f t="shared" si="17"/>
        <v>0.63629650575470098</v>
      </c>
      <c r="AM28" s="103">
        <f t="shared" si="17"/>
        <v>3.7084232344826971</v>
      </c>
      <c r="AN28" s="103">
        <f t="shared" si="17"/>
        <v>3.2266044486744327</v>
      </c>
      <c r="AO28" s="103">
        <f t="shared" si="17"/>
        <v>3.0765709601452658</v>
      </c>
      <c r="AP28" s="103">
        <f t="shared" si="17"/>
        <v>-8.696836981874533</v>
      </c>
      <c r="AQ28" s="103">
        <f t="shared" si="17"/>
        <v>-7.9062019070695726</v>
      </c>
      <c r="AR28" s="103">
        <f t="shared" si="17"/>
        <v>-2.7060276415246358</v>
      </c>
      <c r="AS28" s="103">
        <f t="shared" si="17"/>
        <v>-5.1760763727459125</v>
      </c>
      <c r="AT28" s="103">
        <f t="shared" si="17"/>
        <v>4.7848288471354099</v>
      </c>
      <c r="AU28" s="103">
        <f t="shared" si="17"/>
        <v>12.883370313771358</v>
      </c>
      <c r="AV28" s="103">
        <f t="shared" si="17"/>
        <v>-3.5019882964361004</v>
      </c>
      <c r="AW28" s="103">
        <f t="shared" si="17"/>
        <v>-6.0770227807924364</v>
      </c>
      <c r="AX28" s="103">
        <f t="shared" si="17"/>
        <v>-1.9120191980059484</v>
      </c>
      <c r="AY28" s="103">
        <f t="shared" si="17"/>
        <v>-5.9242858430643608</v>
      </c>
      <c r="AZ28" s="103">
        <f t="shared" si="17"/>
        <v>21.875267451475594</v>
      </c>
      <c r="BA28" s="103">
        <f t="shared" si="17"/>
        <v>15.816577765895358</v>
      </c>
      <c r="BB28" s="103">
        <f t="shared" si="17"/>
        <v>16.520319505900197</v>
      </c>
      <c r="BC28" s="103">
        <f t="shared" ref="BC28:BT28" si="18">BC22-$V22</f>
        <v>-6.5500131484013773</v>
      </c>
      <c r="BD28" s="103">
        <f t="shared" si="18"/>
        <v>-5.1188005305815532</v>
      </c>
      <c r="BE28" s="103">
        <f t="shared" si="18"/>
        <v>-3.3141307466699654</v>
      </c>
      <c r="BF28" s="103">
        <f t="shared" si="18"/>
        <v>-0.41355007678955469</v>
      </c>
      <c r="BG28" s="103">
        <f t="shared" si="18"/>
        <v>-11.497718712094949</v>
      </c>
      <c r="BH28" s="103">
        <f t="shared" si="18"/>
        <v>-13.32350193230682</v>
      </c>
      <c r="BI28" s="103">
        <f t="shared" si="18"/>
        <v>-5.2070580163988396</v>
      </c>
      <c r="BJ28" s="103">
        <f t="shared" si="18"/>
        <v>2.030784533406536</v>
      </c>
      <c r="BK28" s="103">
        <f t="shared" si="18"/>
        <v>-5.1993840853080213</v>
      </c>
      <c r="BL28" s="103">
        <f t="shared" si="18"/>
        <v>-5.8254295457779328</v>
      </c>
      <c r="BM28" s="103">
        <f t="shared" si="18"/>
        <v>-2.8585997054543997</v>
      </c>
      <c r="BN28" s="103">
        <f t="shared" si="18"/>
        <v>1.5424159736721865</v>
      </c>
      <c r="BO28" s="103">
        <f t="shared" si="18"/>
        <v>-1.7998185428937674</v>
      </c>
      <c r="BP28" s="103">
        <f t="shared" si="18"/>
        <v>-4.1831918438558393</v>
      </c>
      <c r="BQ28" s="103">
        <f t="shared" si="18"/>
        <v>7.1649211654167626</v>
      </c>
      <c r="BR28" s="103">
        <f t="shared" si="18"/>
        <v>-6.745755238144957</v>
      </c>
      <c r="BS28" s="103">
        <f t="shared" si="18"/>
        <v>-3.303222336114835</v>
      </c>
      <c r="BT28" s="103">
        <f t="shared" si="18"/>
        <v>0.89238212154620289</v>
      </c>
    </row>
    <row r="29" spans="1:72" ht="14.6" x14ac:dyDescent="0.35">
      <c r="A29" s="92">
        <v>44865</v>
      </c>
      <c r="B29" s="1" t="str">
        <f>VLOOKUP(A29,周期整合计算!A:G,7,0)</f>
        <v>周期3（景气值&lt;0，方向上升）</v>
      </c>
      <c r="C29" s="1" t="str">
        <f>IF(ISNUMBER(D29),COUNTIF(D$2:D29,"&gt;0"),"")</f>
        <v/>
      </c>
      <c r="D29" s="90" t="str">
        <f t="shared" si="7"/>
        <v/>
      </c>
      <c r="E29" s="1" t="str">
        <f>IF(ISNUMBER(F29),COUNTIF(F$2:F29,"&gt;0"),"")</f>
        <v/>
      </c>
      <c r="F29" s="90" t="str">
        <f t="shared" si="8"/>
        <v/>
      </c>
      <c r="H29" s="1">
        <v>28</v>
      </c>
      <c r="I29" s="93"/>
      <c r="J29" s="93"/>
      <c r="Q29" s="102" t="s">
        <v>9</v>
      </c>
      <c r="R29" s="103">
        <f t="shared" ref="R29:R30" si="19">SUMIFS(R$3:R$19,$N$3:$N$19,$Q29)</f>
        <v>3</v>
      </c>
      <c r="S29" s="103">
        <f t="shared" si="16"/>
        <v>16</v>
      </c>
      <c r="T29" s="103">
        <f t="shared" si="13"/>
        <v>5.333333333333333</v>
      </c>
      <c r="U29" s="104">
        <f>S29/SUM($S$21:$S$24)</f>
        <v>9.2485549132947972E-2</v>
      </c>
      <c r="V29" s="103"/>
      <c r="W29" s="103">
        <f t="shared" ref="W29:BB29" si="20">W23-$V23</f>
        <v>-6.4710778371212125</v>
      </c>
      <c r="X29" s="103">
        <f t="shared" si="20"/>
        <v>-4.4345811179948171</v>
      </c>
      <c r="Y29" s="103">
        <f t="shared" si="20"/>
        <v>-1.3910279336037217</v>
      </c>
      <c r="Z29" s="103">
        <f t="shared" si="20"/>
        <v>2.0976136916271599</v>
      </c>
      <c r="AA29" s="103">
        <f t="shared" si="20"/>
        <v>-3.611967211013976</v>
      </c>
      <c r="AB29" s="103">
        <f t="shared" si="20"/>
        <v>8.4513096575122013</v>
      </c>
      <c r="AC29" s="103">
        <f t="shared" si="20"/>
        <v>-3.8241405826902888</v>
      </c>
      <c r="AD29" s="103">
        <f t="shared" si="20"/>
        <v>-7.8242854230267112</v>
      </c>
      <c r="AE29" s="103">
        <f t="shared" si="20"/>
        <v>8.9106603449793305</v>
      </c>
      <c r="AF29" s="103">
        <f t="shared" si="20"/>
        <v>-8.0865459448553239</v>
      </c>
      <c r="AG29" s="103">
        <f t="shared" si="20"/>
        <v>1.7315740044067063</v>
      </c>
      <c r="AH29" s="103">
        <f t="shared" si="20"/>
        <v>-14.904032456819428</v>
      </c>
      <c r="AI29" s="103">
        <f t="shared" si="20"/>
        <v>-12.516707783942223</v>
      </c>
      <c r="AJ29" s="103">
        <f t="shared" si="20"/>
        <v>7.4348767030811977</v>
      </c>
      <c r="AK29" s="103">
        <f t="shared" si="20"/>
        <v>7.8135428958495083</v>
      </c>
      <c r="AL29" s="103">
        <f t="shared" si="20"/>
        <v>13.026547494739152</v>
      </c>
      <c r="AM29" s="103">
        <f t="shared" si="20"/>
        <v>-13.647461436577402</v>
      </c>
      <c r="AN29" s="103">
        <f t="shared" si="20"/>
        <v>3.758978084317576</v>
      </c>
      <c r="AO29" s="103">
        <f t="shared" si="20"/>
        <v>16.181546204680213</v>
      </c>
      <c r="AP29" s="103">
        <f t="shared" si="20"/>
        <v>-2.9490149325223598</v>
      </c>
      <c r="AQ29" s="103">
        <f t="shared" si="20"/>
        <v>-11.092835991353908</v>
      </c>
      <c r="AR29" s="103">
        <f t="shared" si="20"/>
        <v>-7.2857798975162913</v>
      </c>
      <c r="AS29" s="103">
        <f t="shared" si="20"/>
        <v>-6.6020736770577395</v>
      </c>
      <c r="AT29" s="103">
        <f t="shared" si="20"/>
        <v>14.28059855359065</v>
      </c>
      <c r="AU29" s="103">
        <f t="shared" si="20"/>
        <v>-0.33781596224854837</v>
      </c>
      <c r="AV29" s="103">
        <f t="shared" si="20"/>
        <v>-2.873431302576428</v>
      </c>
      <c r="AW29" s="103">
        <f t="shared" si="20"/>
        <v>-6.9577294009662021</v>
      </c>
      <c r="AX29" s="103">
        <f t="shared" si="20"/>
        <v>13.824775202297413</v>
      </c>
      <c r="AY29" s="103">
        <f t="shared" si="20"/>
        <v>5.9330935595208949</v>
      </c>
      <c r="AZ29" s="103">
        <f t="shared" si="20"/>
        <v>2.4354926644462118</v>
      </c>
      <c r="BA29" s="103">
        <f t="shared" si="20"/>
        <v>19.699673358284592</v>
      </c>
      <c r="BB29" s="103">
        <f t="shared" si="20"/>
        <v>-6.0197704691359135</v>
      </c>
      <c r="BC29" s="103">
        <f t="shared" ref="BC29:BT29" si="21">BC23-$V23</f>
        <v>-6.0617123703078892</v>
      </c>
      <c r="BD29" s="103">
        <f t="shared" si="21"/>
        <v>-8.6671942497374772</v>
      </c>
      <c r="BE29" s="103">
        <f t="shared" si="21"/>
        <v>7.9920169446152727</v>
      </c>
      <c r="BF29" s="103">
        <f t="shared" si="21"/>
        <v>-0.97688591609144737</v>
      </c>
      <c r="BG29" s="103">
        <f t="shared" si="21"/>
        <v>-21.352752743008221</v>
      </c>
      <c r="BH29" s="103">
        <f t="shared" si="21"/>
        <v>-10.835955333010549</v>
      </c>
      <c r="BI29" s="103">
        <f t="shared" si="21"/>
        <v>13.319286888957368</v>
      </c>
      <c r="BJ29" s="103">
        <f t="shared" si="21"/>
        <v>18.443424394914764</v>
      </c>
      <c r="BK29" s="103">
        <f t="shared" si="21"/>
        <v>-10.883368317216776</v>
      </c>
      <c r="BL29" s="103">
        <f t="shared" si="21"/>
        <v>-4.3221470919029059</v>
      </c>
      <c r="BM29" s="103">
        <f t="shared" si="21"/>
        <v>-1.6599449531793855</v>
      </c>
      <c r="BN29" s="103">
        <f t="shared" si="21"/>
        <v>-11.480797928364362</v>
      </c>
      <c r="BO29" s="103">
        <f t="shared" si="21"/>
        <v>-8.1579475484906609</v>
      </c>
      <c r="BP29" s="103">
        <f t="shared" si="21"/>
        <v>-9.3465334247572116</v>
      </c>
      <c r="BQ29" s="103">
        <f t="shared" si="21"/>
        <v>0.23284200211723238</v>
      </c>
      <c r="BR29" s="103">
        <f t="shared" si="21"/>
        <v>-3.558563073181519</v>
      </c>
      <c r="BS29" s="103">
        <f t="shared" si="21"/>
        <v>-3.290653629528828</v>
      </c>
      <c r="BT29" s="103">
        <f t="shared" si="21"/>
        <v>0.42350761686046745</v>
      </c>
    </row>
    <row r="30" spans="1:72" ht="14.6" x14ac:dyDescent="0.35">
      <c r="A30" s="92">
        <v>44834</v>
      </c>
      <c r="B30" s="1" t="str">
        <f>VLOOKUP(A30,周期整合计算!A:G,7,0)</f>
        <v>周期3（景气值&lt;0，方向上升）</v>
      </c>
      <c r="C30" s="1" t="str">
        <f>IF(ISNUMBER(D30),COUNTIF(D$2:D30,"&gt;0"),"")</f>
        <v/>
      </c>
      <c r="D30" s="90" t="str">
        <f t="shared" si="7"/>
        <v/>
      </c>
      <c r="E30" s="1" t="str">
        <f>IF(ISNUMBER(F30),COUNTIF(F$2:F30,"&gt;0"),"")</f>
        <v/>
      </c>
      <c r="F30" s="90" t="str">
        <f t="shared" si="8"/>
        <v/>
      </c>
      <c r="H30" s="1">
        <v>29</v>
      </c>
      <c r="I30" s="93"/>
      <c r="J30" s="93"/>
      <c r="Q30" s="102" t="s">
        <v>10</v>
      </c>
      <c r="R30" s="103">
        <f t="shared" si="19"/>
        <v>4</v>
      </c>
      <c r="S30" s="103">
        <f t="shared" si="16"/>
        <v>59</v>
      </c>
      <c r="T30" s="103">
        <f t="shared" si="13"/>
        <v>14.75</v>
      </c>
      <c r="U30" s="104">
        <f>S30/SUM($S$21:$S$24)</f>
        <v>0.34104046242774566</v>
      </c>
      <c r="V30" s="103"/>
      <c r="W30" s="103">
        <f t="shared" ref="W30:BB30" si="22">W24-$V24</f>
        <v>-0.14662292435161284</v>
      </c>
      <c r="X30" s="103">
        <f t="shared" si="22"/>
        <v>0.48124982763989888</v>
      </c>
      <c r="Y30" s="103">
        <f t="shared" si="22"/>
        <v>0.85859361435038872</v>
      </c>
      <c r="Z30" s="103">
        <f t="shared" si="22"/>
        <v>-0.66859443540672181</v>
      </c>
      <c r="AA30" s="103">
        <f t="shared" si="22"/>
        <v>0.51159540360603284</v>
      </c>
      <c r="AB30" s="103">
        <f t="shared" si="22"/>
        <v>8.4511109023216449</v>
      </c>
      <c r="AC30" s="103">
        <f t="shared" si="22"/>
        <v>-5.0305913473681025</v>
      </c>
      <c r="AD30" s="103">
        <f t="shared" si="22"/>
        <v>-4.4765762837371827</v>
      </c>
      <c r="AE30" s="103">
        <f t="shared" si="22"/>
        <v>1.8132761862578781</v>
      </c>
      <c r="AF30" s="103">
        <f t="shared" si="22"/>
        <v>-2.1564285822960243</v>
      </c>
      <c r="AG30" s="103">
        <f t="shared" si="22"/>
        <v>-1.9214108101370675</v>
      </c>
      <c r="AH30" s="103">
        <f t="shared" si="22"/>
        <v>4.9983183267403328</v>
      </c>
      <c r="AI30" s="103">
        <f t="shared" si="22"/>
        <v>10.259793911623991</v>
      </c>
      <c r="AJ30" s="103">
        <f t="shared" si="22"/>
        <v>6.1684242055178302</v>
      </c>
      <c r="AK30" s="103">
        <f t="shared" si="22"/>
        <v>14.275673084161625</v>
      </c>
      <c r="AL30" s="103">
        <f t="shared" si="22"/>
        <v>22.109569378932125</v>
      </c>
      <c r="AM30" s="103">
        <f t="shared" si="22"/>
        <v>-2.3410485836098398</v>
      </c>
      <c r="AN30" s="103">
        <f t="shared" si="22"/>
        <v>0.49787451899867818</v>
      </c>
      <c r="AO30" s="103">
        <f t="shared" si="22"/>
        <v>5.494621614141276</v>
      </c>
      <c r="AP30" s="103">
        <f t="shared" si="22"/>
        <v>-8.0851796480337388</v>
      </c>
      <c r="AQ30" s="103">
        <f t="shared" si="22"/>
        <v>-1.6201126855933223</v>
      </c>
      <c r="AR30" s="103">
        <f t="shared" si="22"/>
        <v>-10.328524798149321</v>
      </c>
      <c r="AS30" s="103">
        <f t="shared" si="22"/>
        <v>-4.6235462767497104</v>
      </c>
      <c r="AT30" s="103">
        <f t="shared" si="22"/>
        <v>16.323128924101763</v>
      </c>
      <c r="AU30" s="103">
        <f t="shared" si="22"/>
        <v>-0.61405694051980819</v>
      </c>
      <c r="AV30" s="103">
        <f t="shared" si="22"/>
        <v>8.4910175807255186</v>
      </c>
      <c r="AW30" s="103">
        <f t="shared" si="22"/>
        <v>-6.8582114576626996</v>
      </c>
      <c r="AX30" s="103">
        <f t="shared" si="22"/>
        <v>4.7983550568867948</v>
      </c>
      <c r="AY30" s="103">
        <f t="shared" si="22"/>
        <v>-1.0285375510508072</v>
      </c>
      <c r="AZ30" s="103">
        <f t="shared" si="22"/>
        <v>1.1020391534177834</v>
      </c>
      <c r="BA30" s="103">
        <f t="shared" si="22"/>
        <v>-10.930928445790091</v>
      </c>
      <c r="BB30" s="103">
        <f t="shared" si="22"/>
        <v>-8.7100085942391274</v>
      </c>
      <c r="BC30" s="103">
        <f t="shared" ref="BC30:BT30" si="23">BC24-$V24</f>
        <v>1.4249569396696327</v>
      </c>
      <c r="BD30" s="103">
        <f t="shared" si="23"/>
        <v>-8.2802804823128326</v>
      </c>
      <c r="BE30" s="103">
        <f t="shared" si="23"/>
        <v>-3.417274916103854</v>
      </c>
      <c r="BF30" s="103">
        <f t="shared" si="23"/>
        <v>1.2732742367397907</v>
      </c>
      <c r="BG30" s="103">
        <f t="shared" si="23"/>
        <v>-2.3331886300459264</v>
      </c>
      <c r="BH30" s="103">
        <f t="shared" si="23"/>
        <v>-1.6583199207365462</v>
      </c>
      <c r="BI30" s="103">
        <f t="shared" si="23"/>
        <v>-7.7463509407861171</v>
      </c>
      <c r="BJ30" s="103">
        <f t="shared" si="23"/>
        <v>9.2595094661168602</v>
      </c>
      <c r="BK30" s="103">
        <f t="shared" si="23"/>
        <v>-1.0723652171105655</v>
      </c>
      <c r="BL30" s="103">
        <f t="shared" si="23"/>
        <v>4.6730184178914671</v>
      </c>
      <c r="BM30" s="103">
        <f t="shared" si="23"/>
        <v>7.2705765196616472</v>
      </c>
      <c r="BN30" s="103">
        <f t="shared" si="23"/>
        <v>7.7023160214485005</v>
      </c>
      <c r="BO30" s="103">
        <f t="shared" si="23"/>
        <v>1.918930723096568</v>
      </c>
      <c r="BP30" s="103">
        <f t="shared" si="23"/>
        <v>-0.23150898803478803</v>
      </c>
      <c r="BQ30" s="103">
        <f t="shared" si="23"/>
        <v>-2.4273023365462834</v>
      </c>
      <c r="BR30" s="103">
        <f t="shared" si="23"/>
        <v>1.8040679518881415</v>
      </c>
      <c r="BS30" s="103">
        <f t="shared" si="23"/>
        <v>-0.90752371803317633</v>
      </c>
      <c r="BT30" s="103">
        <f t="shared" si="23"/>
        <v>-0.62767900353144523</v>
      </c>
    </row>
    <row r="31" spans="1:72" x14ac:dyDescent="0.35">
      <c r="A31" s="92">
        <v>44804</v>
      </c>
      <c r="B31" s="1" t="str">
        <f>VLOOKUP(A31,周期整合计算!A:G,7,0)</f>
        <v>周期3（景气值&lt;0，方向上升）</v>
      </c>
      <c r="C31" s="1" t="str">
        <f>IF(ISNUMBER(D31),COUNTIF(D$2:D31,"&gt;0"),"")</f>
        <v/>
      </c>
      <c r="D31" s="90" t="str">
        <f t="shared" si="7"/>
        <v/>
      </c>
      <c r="E31" s="1" t="str">
        <f>IF(ISNUMBER(F31),COUNTIF(F$2:F31,"&gt;0"),"")</f>
        <v/>
      </c>
      <c r="F31" s="90" t="str">
        <f t="shared" si="8"/>
        <v/>
      </c>
      <c r="H31" s="1">
        <v>30</v>
      </c>
      <c r="I31" s="93"/>
      <c r="J31" s="93"/>
      <c r="AC31" s="105"/>
      <c r="AD31" s="105"/>
    </row>
    <row r="32" spans="1:72" x14ac:dyDescent="0.35">
      <c r="A32" s="92">
        <v>44773</v>
      </c>
      <c r="B32" s="1" t="str">
        <f>VLOOKUP(A32,周期整合计算!A:G,7,0)</f>
        <v>周期3（景气值&lt;0，方向上升）</v>
      </c>
      <c r="C32" s="1" t="str">
        <f>IF(ISNUMBER(D32),COUNTIF(D$2:D32,"&gt;0"),"")</f>
        <v/>
      </c>
      <c r="D32" s="90" t="str">
        <f t="shared" si="7"/>
        <v/>
      </c>
      <c r="E32" s="1" t="str">
        <f>IF(ISNUMBER(F32),COUNTIF(F$2:F32,"&gt;0"),"")</f>
        <v/>
      </c>
      <c r="F32" s="90" t="str">
        <f t="shared" si="8"/>
        <v/>
      </c>
      <c r="H32" s="1">
        <v>31</v>
      </c>
      <c r="I32" s="93"/>
      <c r="J32" s="93"/>
      <c r="AC32" s="105"/>
      <c r="AD32" s="105"/>
    </row>
    <row r="33" spans="1:72" x14ac:dyDescent="0.35">
      <c r="A33" s="92">
        <v>44742</v>
      </c>
      <c r="B33" s="1" t="str">
        <f>VLOOKUP(A33,周期整合计算!A:G,7,0)</f>
        <v>周期3（景气值&lt;0，方向上升）</v>
      </c>
      <c r="C33" s="1" t="str">
        <f>IF(ISNUMBER(D33),COUNTIF(D$2:D33,"&gt;0"),"")</f>
        <v/>
      </c>
      <c r="D33" s="90" t="str">
        <f t="shared" si="7"/>
        <v/>
      </c>
      <c r="E33" s="1" t="str">
        <f>IF(ISNUMBER(F33),COUNTIF(F$2:F33,"&gt;0"),"")</f>
        <v/>
      </c>
      <c r="F33" s="90" t="str">
        <f t="shared" si="8"/>
        <v/>
      </c>
      <c r="H33" s="1">
        <v>32</v>
      </c>
      <c r="I33" s="93"/>
      <c r="J33" s="93"/>
      <c r="S33" s="7" t="s">
        <v>190</v>
      </c>
      <c r="T33" s="7"/>
      <c r="V33" s="1">
        <v>-9.3936892957549585</v>
      </c>
      <c r="W33" s="1">
        <v>-1.2499851605246137</v>
      </c>
      <c r="X33" s="1">
        <v>-5.7553297929938125</v>
      </c>
      <c r="Y33" s="1">
        <v>-12.22364402433076</v>
      </c>
      <c r="Z33" s="1">
        <v>-18.386214428090309</v>
      </c>
      <c r="AA33" s="1">
        <v>4.606016270189417</v>
      </c>
      <c r="AB33" s="1">
        <v>-8.9396061794474022</v>
      </c>
      <c r="AC33" s="105">
        <v>2.8145632933018083</v>
      </c>
      <c r="AD33" s="105">
        <v>-2.0729171212930719</v>
      </c>
      <c r="AE33" s="1">
        <v>-21.265329712777405</v>
      </c>
      <c r="AF33" s="1">
        <v>-3.6209955489768131</v>
      </c>
      <c r="AG33" s="1">
        <v>-8.1374386582006011</v>
      </c>
      <c r="AH33" s="1">
        <v>-5.4312256844707862</v>
      </c>
      <c r="AI33" s="1">
        <v>5.3467847068602747</v>
      </c>
      <c r="AJ33" s="1">
        <v>-13.495797083948069</v>
      </c>
      <c r="AK33" s="1">
        <v>17.03489375618885</v>
      </c>
      <c r="AL33" s="1">
        <v>-9.4879572481224592</v>
      </c>
      <c r="AM33" s="1">
        <v>-5.8048045004181041</v>
      </c>
      <c r="AN33" s="1">
        <v>-11.325938142466619</v>
      </c>
      <c r="AO33" s="1">
        <v>-18.779457365637608</v>
      </c>
      <c r="AP33" s="1">
        <v>1.3233817046366614</v>
      </c>
      <c r="AQ33" s="1">
        <v>-3.9361659471524812</v>
      </c>
      <c r="AR33" s="1">
        <v>-20.576929858588709</v>
      </c>
      <c r="AS33" s="1">
        <v>-24.941850934593933</v>
      </c>
      <c r="AT33" s="1">
        <v>-26.809836265652397</v>
      </c>
      <c r="AU33" s="1">
        <v>-24.994383528883148</v>
      </c>
      <c r="AV33" s="1">
        <v>-17.0553717647411</v>
      </c>
      <c r="AW33" s="1">
        <v>-18.217346435141557</v>
      </c>
      <c r="AX33" s="1">
        <v>-24.868016041127305</v>
      </c>
      <c r="AY33" s="1">
        <v>-15.049068749010718</v>
      </c>
      <c r="AZ33" s="1">
        <v>-31.122760534692308</v>
      </c>
      <c r="BA33" s="1">
        <v>-30.589754407496905</v>
      </c>
      <c r="BB33" s="1">
        <v>-6.7868899728476322</v>
      </c>
      <c r="BC33" s="1">
        <v>10.861162622203647</v>
      </c>
      <c r="BD33" s="1">
        <v>-7.7114362053913865</v>
      </c>
      <c r="BE33" s="1">
        <v>5.6860790095701441</v>
      </c>
      <c r="BF33" s="1">
        <v>-8.6832383864900322</v>
      </c>
      <c r="BG33" s="1">
        <v>32.135158309759838</v>
      </c>
      <c r="BH33" s="1">
        <v>6.8277451093773589</v>
      </c>
      <c r="BI33" s="1">
        <v>-14.578155839101548</v>
      </c>
      <c r="BJ33" s="1">
        <v>-26.863829848451182</v>
      </c>
      <c r="BK33" s="1">
        <v>9.6940398545076967</v>
      </c>
      <c r="BL33" s="1">
        <v>7.4233277601557734</v>
      </c>
      <c r="BM33" s="1">
        <v>-0.23097720863806126</v>
      </c>
      <c r="BN33" s="1">
        <v>7.8990283077401635</v>
      </c>
      <c r="BO33" s="1">
        <v>8.731461838757749</v>
      </c>
      <c r="BP33" s="1">
        <v>5.2096278013131547</v>
      </c>
      <c r="BQ33" s="1">
        <v>-24.983744081471926</v>
      </c>
      <c r="BR33" s="1">
        <v>-4.556417077638752</v>
      </c>
      <c r="BS33" s="1">
        <v>-12.011956154220005</v>
      </c>
      <c r="BT33" s="1">
        <v>-13.22890577979935</v>
      </c>
    </row>
    <row r="34" spans="1:72" x14ac:dyDescent="0.35">
      <c r="A34" s="92">
        <v>44712</v>
      </c>
      <c r="B34" s="1" t="str">
        <f>VLOOKUP(A34,周期整合计算!A:G,7,0)</f>
        <v>周期3（景气值&lt;0，方向上升）</v>
      </c>
      <c r="C34" s="1" t="str">
        <f>IF(ISNUMBER(D34),COUNTIF(D$2:D34,"&gt;0"),"")</f>
        <v/>
      </c>
      <c r="D34" s="90" t="str">
        <f t="shared" si="7"/>
        <v/>
      </c>
      <c r="E34" s="1" t="str">
        <f>IF(ISNUMBER(F34),COUNTIF(F$2:F34,"&gt;0"),"")</f>
        <v/>
      </c>
      <c r="F34" s="90" t="str">
        <f t="shared" si="8"/>
        <v/>
      </c>
      <c r="H34" s="1">
        <v>33</v>
      </c>
      <c r="I34" s="93"/>
      <c r="J34" s="93"/>
      <c r="V34" s="1">
        <v>0.74693526769133989</v>
      </c>
      <c r="W34" s="1">
        <v>-10.491831392836248</v>
      </c>
      <c r="X34" s="1">
        <v>-7.9301131134066001</v>
      </c>
      <c r="Y34" s="1">
        <v>4.3618518355487135</v>
      </c>
      <c r="Z34" s="1">
        <v>8.3785056889616136</v>
      </c>
      <c r="AA34" s="1">
        <v>10.97297326551654</v>
      </c>
      <c r="AB34" s="1">
        <v>-14.638137456406197</v>
      </c>
      <c r="AC34" s="105">
        <v>-9.9648409691447615</v>
      </c>
      <c r="AD34" s="105">
        <v>7.7795394969018661</v>
      </c>
      <c r="AE34" s="1">
        <v>10.927325727301508</v>
      </c>
      <c r="AF34" s="1">
        <v>-7.6501187078187094</v>
      </c>
      <c r="AG34" s="1">
        <v>19.369440046405263</v>
      </c>
      <c r="AH34" s="1">
        <v>4.743585610562473</v>
      </c>
      <c r="AI34" s="1">
        <v>16.973681752030888</v>
      </c>
      <c r="AJ34" s="1">
        <v>5.7096513256131853</v>
      </c>
      <c r="AK34" s="1">
        <v>-16.578508142763614</v>
      </c>
      <c r="AL34" s="1">
        <v>-16.471966690839167</v>
      </c>
      <c r="AM34" s="1">
        <v>-9.4090690712886662</v>
      </c>
      <c r="AN34" s="1">
        <v>-11.156302840048237</v>
      </c>
      <c r="AO34" s="1">
        <v>-17.429131693285704</v>
      </c>
      <c r="AP34" s="1">
        <v>14.417947691800649</v>
      </c>
      <c r="AQ34" s="1">
        <v>-3.8294125465178075</v>
      </c>
      <c r="AR34" s="1">
        <v>-18.335859479385064</v>
      </c>
      <c r="AS34" s="1">
        <v>-7.058891992551219</v>
      </c>
      <c r="AT34" s="1">
        <v>-18.006169351738411</v>
      </c>
      <c r="AU34" s="1">
        <v>3.9887303773922689</v>
      </c>
      <c r="AV34" s="1">
        <v>-15.237435235125218</v>
      </c>
      <c r="AW34" s="1">
        <v>4.4597453317603009</v>
      </c>
      <c r="AX34" s="1">
        <v>43.509780212887009</v>
      </c>
      <c r="AY34" s="1">
        <v>13.516115368323756</v>
      </c>
      <c r="AZ34" s="1">
        <v>-3.9697630387297456</v>
      </c>
      <c r="BA34" s="1">
        <v>-13.365148351726397</v>
      </c>
      <c r="BB34" s="1">
        <v>-0.34207348360379974</v>
      </c>
      <c r="BC34" s="1">
        <v>-12.158884897420318</v>
      </c>
      <c r="BD34" s="1">
        <v>-12.982356872137323</v>
      </c>
      <c r="BE34" s="1">
        <v>17.19183226521972</v>
      </c>
      <c r="BF34" s="1">
        <v>5.0263496143958974</v>
      </c>
      <c r="BG34" s="1">
        <v>18.133700365851823</v>
      </c>
      <c r="BH34" s="1">
        <v>9.5853013627426709</v>
      </c>
      <c r="BI34" s="1">
        <v>1.860106377650661</v>
      </c>
      <c r="BJ34" s="1">
        <v>-22.107892690879183</v>
      </c>
      <c r="BK34" s="1">
        <v>-4.5358014259768158</v>
      </c>
      <c r="BL34" s="1">
        <v>-12.081150783077522</v>
      </c>
      <c r="BM34" s="1">
        <v>-19.286731732315431</v>
      </c>
      <c r="BN34" s="1">
        <v>-5.2819579416785611</v>
      </c>
      <c r="BO34" s="1">
        <v>-4.6122850976543344</v>
      </c>
      <c r="BP34" s="1">
        <v>-8.3492490781970403</v>
      </c>
      <c r="BQ34" s="1">
        <v>-12.338758798720928</v>
      </c>
      <c r="BR34" s="1">
        <v>-7.3247282005259766</v>
      </c>
      <c r="BS34" s="1">
        <v>1.2300282178577149</v>
      </c>
      <c r="BT34" s="1">
        <v>6.3736596179692739</v>
      </c>
    </row>
    <row r="35" spans="1:72" x14ac:dyDescent="0.35">
      <c r="A35" s="92">
        <v>44681</v>
      </c>
      <c r="B35" s="1" t="str">
        <f>VLOOKUP(A35,周期整合计算!A:G,7,0)</f>
        <v>周期3（景气值&lt;0，方向上升）</v>
      </c>
      <c r="C35" s="1" t="str">
        <f>IF(ISNUMBER(D35),COUNTIF(D$2:D35,"&gt;0"),"")</f>
        <v/>
      </c>
      <c r="D35" s="90" t="str">
        <f t="shared" si="7"/>
        <v/>
      </c>
      <c r="E35" s="1" t="str">
        <f>IF(ISNUMBER(F35),COUNTIF(F$2:F35,"&gt;0"),"")</f>
        <v/>
      </c>
      <c r="F35" s="90" t="str">
        <f t="shared" si="8"/>
        <v/>
      </c>
      <c r="H35" s="1">
        <v>34</v>
      </c>
      <c r="I35" s="93"/>
      <c r="J35" s="93"/>
      <c r="V35" s="1">
        <v>-16.029505079223195</v>
      </c>
      <c r="W35" s="1">
        <v>-4.242428695227618</v>
      </c>
      <c r="X35" s="1">
        <v>-11.789997977939038</v>
      </c>
      <c r="Y35" s="1">
        <v>-21.489219276795858</v>
      </c>
      <c r="Z35" s="1">
        <v>-26.643389461383336</v>
      </c>
      <c r="AA35" s="1">
        <v>-17.762533542164473</v>
      </c>
      <c r="AB35" s="1">
        <v>-13.711583773651592</v>
      </c>
      <c r="AC35" s="105">
        <v>-7.2954123815853311</v>
      </c>
      <c r="AD35" s="105">
        <v>-10.528593053737511</v>
      </c>
      <c r="AE35" s="1">
        <v>-25.185689129838341</v>
      </c>
      <c r="AF35" s="1">
        <v>-16.175414430772296</v>
      </c>
      <c r="AG35" s="1">
        <v>-14.950685590570123</v>
      </c>
      <c r="AH35" s="1">
        <v>-7.8900842869868981</v>
      </c>
      <c r="AI35" s="1">
        <v>-27.129763405162254</v>
      </c>
      <c r="AJ35" s="1">
        <v>-29.726834814349413</v>
      </c>
      <c r="AK35" s="1">
        <v>-21.576794410094237</v>
      </c>
      <c r="AL35" s="1">
        <v>2.0791404514310274</v>
      </c>
      <c r="AM35" s="1">
        <v>-24.886482110191611</v>
      </c>
      <c r="AN35" s="1">
        <v>-26.693476441745791</v>
      </c>
      <c r="AO35" s="1">
        <v>-16.768690310909161</v>
      </c>
      <c r="AP35" s="1">
        <v>-18.072400332192593</v>
      </c>
      <c r="AQ35" s="1">
        <v>-17.453684053964835</v>
      </c>
      <c r="AR35" s="1">
        <v>-23.831948082459707</v>
      </c>
      <c r="AS35" s="1">
        <v>-21.295689344769329</v>
      </c>
      <c r="AT35" s="1">
        <v>-4.7612826582637879</v>
      </c>
      <c r="AU35" s="1">
        <v>-29.112037777678523</v>
      </c>
      <c r="AV35" s="1">
        <v>-18.978896956171631</v>
      </c>
      <c r="AW35" s="1">
        <v>-17.81547985851628</v>
      </c>
      <c r="AX35" s="1">
        <v>-27.139375752408192</v>
      </c>
      <c r="AY35" s="1">
        <v>-18.62448440063066</v>
      </c>
      <c r="AZ35" s="1">
        <v>-21.172446686460965</v>
      </c>
      <c r="BA35" s="1">
        <v>-31.231290502977071</v>
      </c>
      <c r="BB35" s="1">
        <v>-25.050438506196738</v>
      </c>
      <c r="BC35" s="1">
        <v>-3.6277682131461098</v>
      </c>
      <c r="BD35" s="1">
        <v>-9.2560429227280352</v>
      </c>
      <c r="BE35" s="1">
        <v>-19.423512464820401</v>
      </c>
      <c r="BF35" s="1">
        <v>-23.557060846209477</v>
      </c>
      <c r="BG35" s="1">
        <v>-13.415884696049174</v>
      </c>
      <c r="BH35" s="1">
        <v>1.6074821639837866</v>
      </c>
      <c r="BI35" s="1">
        <v>-30.91780410267766</v>
      </c>
      <c r="BJ35" s="1">
        <v>-20.220295616994687</v>
      </c>
      <c r="BK35" s="1">
        <v>-7.4837820909666286</v>
      </c>
      <c r="BL35" s="1">
        <v>-4.7513844285168467</v>
      </c>
      <c r="BM35" s="1">
        <v>-16.627121583339633</v>
      </c>
      <c r="BN35" s="1">
        <v>-7.9201825612536521</v>
      </c>
      <c r="BO35" s="1">
        <v>-10.71604478233037</v>
      </c>
      <c r="BP35" s="1">
        <v>-6.6215222862098022</v>
      </c>
      <c r="BQ35" s="1">
        <v>-19.602146333994519</v>
      </c>
      <c r="BR35" s="1">
        <v>-10.669583705850084</v>
      </c>
      <c r="BS35" s="1">
        <v>-21.224828981574529</v>
      </c>
      <c r="BT35" s="1">
        <v>-23.702298243534948</v>
      </c>
    </row>
    <row r="36" spans="1:72" x14ac:dyDescent="0.35">
      <c r="A36" s="92">
        <v>44651</v>
      </c>
      <c r="B36" s="1" t="str">
        <f>VLOOKUP(A36,周期整合计算!A:G,7,0)</f>
        <v>周期3（景气值&lt;0，方向上升）</v>
      </c>
      <c r="C36" s="1" t="str">
        <f>IF(ISNUMBER(D36),COUNTIF(D$2:D36,"&gt;0"),"")</f>
        <v/>
      </c>
      <c r="D36" s="90" t="str">
        <f t="shared" si="7"/>
        <v/>
      </c>
      <c r="E36" s="1" t="str">
        <f>IF(ISNUMBER(F36),COUNTIF(F$2:F36,"&gt;0"),"")</f>
        <v/>
      </c>
      <c r="F36" s="90" t="str">
        <f t="shared" si="8"/>
        <v/>
      </c>
      <c r="H36" s="1">
        <v>35</v>
      </c>
      <c r="I36" s="93"/>
      <c r="J36" s="93"/>
      <c r="V36" s="1">
        <v>56.238469511942398</v>
      </c>
      <c r="W36" s="1">
        <v>74.183521175416445</v>
      </c>
      <c r="X36" s="1">
        <v>63.865707936696367</v>
      </c>
      <c r="Y36" s="1">
        <v>39.001911085181959</v>
      </c>
      <c r="Z36" s="1">
        <v>29.673361899027007</v>
      </c>
      <c r="AA36" s="1">
        <v>47.923117566120979</v>
      </c>
      <c r="AB36" s="1">
        <v>28.821733742276411</v>
      </c>
      <c r="AC36" s="105">
        <v>101.89344123180479</v>
      </c>
      <c r="AD36" s="105">
        <v>95.209249830876018</v>
      </c>
      <c r="AE36" s="1">
        <v>32.836098535631834</v>
      </c>
      <c r="AF36" s="1">
        <v>31.228948701898716</v>
      </c>
      <c r="AG36" s="1">
        <v>33.003801841986657</v>
      </c>
      <c r="AH36" s="1">
        <v>92.593650705167519</v>
      </c>
      <c r="AI36" s="1">
        <v>40.647116158833761</v>
      </c>
      <c r="AJ36" s="1">
        <v>11.563052050688839</v>
      </c>
      <c r="AK36" s="1">
        <v>30.284878154524275</v>
      </c>
      <c r="AL36" s="1">
        <v>25.769252712895231</v>
      </c>
      <c r="AM36" s="1">
        <v>37.83722597441799</v>
      </c>
      <c r="AN36" s="1">
        <v>23.888360216801541</v>
      </c>
      <c r="AO36" s="1">
        <v>18.00475634504226</v>
      </c>
      <c r="AP36" s="1">
        <v>64.977872906603395</v>
      </c>
      <c r="AQ36" s="1">
        <v>73.129481890235184</v>
      </c>
      <c r="AR36" s="1">
        <v>64.533874585704325</v>
      </c>
      <c r="AS36" s="1">
        <v>40.987083560043949</v>
      </c>
      <c r="AT36" s="1">
        <v>26.922942833870533</v>
      </c>
      <c r="AU36" s="1">
        <v>37.038066934311217</v>
      </c>
      <c r="AV36" s="1">
        <v>47.177150624550478</v>
      </c>
      <c r="AW36" s="1">
        <v>99.580278734357279</v>
      </c>
      <c r="AX36" s="1">
        <v>30.668533385317897</v>
      </c>
      <c r="AY36" s="1">
        <v>64.84317281214318</v>
      </c>
      <c r="AZ36" s="1">
        <v>28.267881362049387</v>
      </c>
      <c r="BA36" s="1">
        <v>16.257375861236035</v>
      </c>
      <c r="BB36" s="1">
        <v>29.433127237227463</v>
      </c>
      <c r="BC36" s="1">
        <v>67.1780845960335</v>
      </c>
      <c r="BD36" s="1">
        <v>143.55741865220025</v>
      </c>
      <c r="BE36" s="1">
        <v>35.440584669299028</v>
      </c>
      <c r="BF36" s="1">
        <v>49.563790079597055</v>
      </c>
      <c r="BG36" s="1">
        <v>50.174805298163847</v>
      </c>
      <c r="BH36" s="1">
        <v>25.767685980829857</v>
      </c>
      <c r="BI36" s="1">
        <v>46.588705528513195</v>
      </c>
      <c r="BJ36" s="1">
        <v>12.826450213575914</v>
      </c>
      <c r="BK36" s="1">
        <v>57.348124715512739</v>
      </c>
      <c r="BL36" s="1">
        <v>72.479276844877432</v>
      </c>
      <c r="BM36" s="1">
        <v>63.855431020013519</v>
      </c>
      <c r="BN36" s="1">
        <v>0</v>
      </c>
      <c r="BO36" s="1">
        <v>56.416476860935205</v>
      </c>
      <c r="BP36" s="1">
        <v>73.949163065555567</v>
      </c>
      <c r="BQ36" s="1">
        <v>22.191705695306108</v>
      </c>
      <c r="BR36" s="1">
        <v>64.859418590400793</v>
      </c>
      <c r="BS36" s="1">
        <v>43.046297861964966</v>
      </c>
      <c r="BT36" s="1">
        <v>39.956560290583276</v>
      </c>
    </row>
    <row r="37" spans="1:72" x14ac:dyDescent="0.35">
      <c r="A37" s="92">
        <v>44620</v>
      </c>
      <c r="B37" s="1" t="str">
        <f>VLOOKUP(A37,周期整合计算!A:G,7,0)</f>
        <v>周期3（景气值&lt;0，方向上升）</v>
      </c>
      <c r="C37" s="1" t="str">
        <f>IF(ISNUMBER(D37),COUNTIF(D$2:D37,"&gt;0"),"")</f>
        <v/>
      </c>
      <c r="D37" s="90" t="str">
        <f t="shared" si="7"/>
        <v/>
      </c>
      <c r="E37" s="1" t="str">
        <f>IF(ISNUMBER(F37),COUNTIF(F$2:F37,"&gt;0"),"")</f>
        <v/>
      </c>
      <c r="F37" s="90" t="str">
        <f t="shared" si="8"/>
        <v/>
      </c>
      <c r="H37" s="1">
        <v>36</v>
      </c>
      <c r="I37" s="93"/>
      <c r="J37" s="93"/>
      <c r="V37" s="1">
        <v>-4.018892485833458</v>
      </c>
      <c r="W37" s="1">
        <v>0.69986847472534031</v>
      </c>
      <c r="X37" s="1">
        <v>-2.3472279781115768</v>
      </c>
      <c r="Y37" s="1">
        <v>-6.1452051602230657</v>
      </c>
      <c r="Z37" s="1">
        <v>-10.379979099494408</v>
      </c>
      <c r="AA37" s="1">
        <v>-10.033634774336885</v>
      </c>
      <c r="AB37" s="1">
        <v>-4.9111947885929208</v>
      </c>
      <c r="AC37" s="105">
        <v>4.964036111059511</v>
      </c>
      <c r="AD37" s="105">
        <v>-4.5974200502117757</v>
      </c>
      <c r="AE37" s="1">
        <v>-6.7270276959648374</v>
      </c>
      <c r="AF37" s="1">
        <v>-11.996524329692148</v>
      </c>
      <c r="AG37" s="1">
        <v>-12.369723177753677</v>
      </c>
      <c r="AH37" s="1">
        <v>-9.8286204298434487</v>
      </c>
      <c r="AI37" s="1">
        <v>0.14746058559997888</v>
      </c>
      <c r="AJ37" s="1">
        <v>-8.5280601774913034</v>
      </c>
      <c r="AK37" s="1">
        <v>1.9340830133479647</v>
      </c>
      <c r="AL37" s="1">
        <v>1.9990522251324583</v>
      </c>
      <c r="AM37" s="1">
        <v>-11.719413814501889</v>
      </c>
      <c r="AN37" s="1">
        <v>-13.229295462161572</v>
      </c>
      <c r="AO37" s="1">
        <v>-8.3370024086400267</v>
      </c>
      <c r="AP37" s="1">
        <v>-5.8635043782042544</v>
      </c>
      <c r="AQ37" s="1">
        <v>-8.6160544160867829</v>
      </c>
      <c r="AR37" s="1">
        <v>12.038297025359391</v>
      </c>
      <c r="AS37" s="1">
        <v>-12.191518090442932</v>
      </c>
      <c r="AT37" s="1">
        <v>-1.0579774642198614</v>
      </c>
      <c r="AU37" s="1">
        <v>-11.868026153740452</v>
      </c>
      <c r="AV37" s="1">
        <v>-11.092401205853397</v>
      </c>
      <c r="AW37" s="1">
        <v>-4.1083673989386948</v>
      </c>
      <c r="AX37" s="1">
        <v>-17.701575532900836</v>
      </c>
      <c r="AY37" s="1">
        <v>-11.859504132231402</v>
      </c>
      <c r="AZ37" s="1">
        <v>-8.6250165865703554</v>
      </c>
      <c r="BA37" s="1">
        <v>-11.980140186915889</v>
      </c>
      <c r="BB37" s="1">
        <v>-14.705121405378829</v>
      </c>
      <c r="BC37" s="1">
        <v>-2.202217836402609</v>
      </c>
      <c r="BD37" s="1">
        <v>8.1258513697593635</v>
      </c>
      <c r="BE37" s="1">
        <v>-5.2438657632635781</v>
      </c>
      <c r="BF37" s="1">
        <v>-7.7879163713678086</v>
      </c>
      <c r="BG37" s="1">
        <v>-4.247418485172183</v>
      </c>
      <c r="BH37" s="1">
        <v>-6.1230103773405986</v>
      </c>
      <c r="BI37" s="1">
        <v>-8.8942042531945376</v>
      </c>
      <c r="BJ37" s="1">
        <v>-7.1152451540740236</v>
      </c>
      <c r="BK37" s="1">
        <v>-2.0195263642569516</v>
      </c>
      <c r="BL37" s="1">
        <v>-0.93424714402127185</v>
      </c>
      <c r="BM37" s="1">
        <v>-2.8711143009673812</v>
      </c>
      <c r="BN37" s="1">
        <v>0</v>
      </c>
      <c r="BO37" s="1">
        <v>-3.4614135907107269</v>
      </c>
      <c r="BP37" s="1">
        <v>0.77873685193834419</v>
      </c>
      <c r="BQ37" s="1">
        <v>-5.9235667352545596</v>
      </c>
      <c r="BR37" s="1">
        <v>-1.2104842960256601</v>
      </c>
      <c r="BS37" s="1">
        <v>-5.0867568975958788</v>
      </c>
      <c r="BT37" s="1">
        <v>-7.6510964712524387</v>
      </c>
    </row>
    <row r="38" spans="1:72" x14ac:dyDescent="0.35">
      <c r="A38" s="92">
        <v>44592</v>
      </c>
      <c r="B38" s="1" t="str">
        <f>VLOOKUP(A38,周期整合计算!A:G,7,0)</f>
        <v>周期3（景气值&lt;0，方向上升）</v>
      </c>
      <c r="C38" s="1" t="str">
        <f>IF(ISNUMBER(D38),COUNTIF(D$2:D38,"&gt;0"),"")</f>
        <v/>
      </c>
      <c r="D38" s="90" t="str">
        <f t="shared" si="7"/>
        <v/>
      </c>
      <c r="E38" s="1" t="str">
        <f>IF(ISNUMBER(F38),COUNTIF(F$2:F38,"&gt;0"),"")</f>
        <v/>
      </c>
      <c r="F38" s="90" t="str">
        <f t="shared" si="8"/>
        <v/>
      </c>
      <c r="H38" s="1">
        <v>37</v>
      </c>
      <c r="I38" s="93"/>
      <c r="J38" s="93"/>
      <c r="V38" s="1">
        <v>16.497201525103144</v>
      </c>
      <c r="W38" s="1">
        <v>8.7672774480968219</v>
      </c>
      <c r="X38" s="1">
        <v>10.894439427458536</v>
      </c>
      <c r="Y38" s="1">
        <v>14.385388907725716</v>
      </c>
      <c r="Z38" s="1">
        <v>19.573984532511378</v>
      </c>
      <c r="AA38" s="1">
        <v>10.762716556560846</v>
      </c>
      <c r="AB38" s="1">
        <v>8.8874291552822235</v>
      </c>
      <c r="AC38" s="105">
        <v>21.096473109629876</v>
      </c>
      <c r="AD38" s="105">
        <v>0.43097714860860226</v>
      </c>
      <c r="AE38" s="1">
        <v>23.154207782406043</v>
      </c>
      <c r="AF38" s="1">
        <v>-0.71933719082450942</v>
      </c>
      <c r="AG38" s="1">
        <v>11.073503272336005</v>
      </c>
      <c r="AH38" s="1">
        <v>9.7625413465501474</v>
      </c>
      <c r="AI38" s="1">
        <v>8.8338046111234192</v>
      </c>
      <c r="AJ38" s="1">
        <v>28.548828931527261</v>
      </c>
      <c r="AK38" s="1">
        <v>17.512461655098367</v>
      </c>
      <c r="AL38" s="1">
        <v>3.7725046753899205</v>
      </c>
      <c r="AM38" s="1">
        <v>17.506556384910233</v>
      </c>
      <c r="AN38" s="1">
        <v>18.794033945622026</v>
      </c>
      <c r="AO38" s="1">
        <v>4.2348325324406577</v>
      </c>
      <c r="AP38" s="1">
        <v>-5.6812660656370806</v>
      </c>
      <c r="AQ38" s="1">
        <v>4.2418071353083509</v>
      </c>
      <c r="AR38" s="1">
        <v>12.904952250338674</v>
      </c>
      <c r="AS38" s="1">
        <v>32.650967113026532</v>
      </c>
      <c r="AT38" s="1">
        <v>19.753957446284076</v>
      </c>
      <c r="AU38" s="1">
        <v>40.09595107549557</v>
      </c>
      <c r="AV38" s="1">
        <v>9.5169765561843089</v>
      </c>
      <c r="AW38" s="1">
        <v>9.648327080980156</v>
      </c>
      <c r="AX38" s="1">
        <v>17.003553577740725</v>
      </c>
      <c r="AY38" s="1">
        <v>5.6394172087202321</v>
      </c>
      <c r="AZ38" s="1">
        <v>36.403926394341333</v>
      </c>
      <c r="BA38" s="1">
        <v>30.965763924374045</v>
      </c>
      <c r="BB38" s="1">
        <v>26.11236166223161</v>
      </c>
      <c r="BC38" s="1">
        <v>16.9443376288122</v>
      </c>
      <c r="BD38" s="1">
        <v>26.334221490515475</v>
      </c>
      <c r="BE38" s="1">
        <v>20.997043222775048</v>
      </c>
      <c r="BF38" s="1">
        <v>24.848272547310458</v>
      </c>
      <c r="BG38" s="1">
        <v>-2.3246852401394347</v>
      </c>
      <c r="BH38" s="1">
        <v>-0.18721872187218436</v>
      </c>
      <c r="BI38" s="1">
        <v>13.096278545249508</v>
      </c>
      <c r="BJ38" s="1">
        <v>3.3473606969523173</v>
      </c>
      <c r="BK38" s="1">
        <v>4.5849255058541427</v>
      </c>
      <c r="BL38" s="1">
        <v>9.0740140125715953</v>
      </c>
      <c r="BM38" s="1">
        <v>8.0815294534677165</v>
      </c>
      <c r="BN38" s="1">
        <v>8.2886795888108988</v>
      </c>
      <c r="BO38" s="1">
        <v>5.5324531663897947</v>
      </c>
      <c r="BP38" s="1">
        <v>16.860794074887188</v>
      </c>
      <c r="BQ38" s="1">
        <v>25.563469854998711</v>
      </c>
      <c r="BR38" s="1">
        <v>11.371995806100465</v>
      </c>
      <c r="BS38" s="1">
        <v>12.963912728643567</v>
      </c>
      <c r="BT38" s="1">
        <v>14.62899222449947</v>
      </c>
    </row>
    <row r="39" spans="1:72" x14ac:dyDescent="0.35">
      <c r="A39" s="92">
        <v>44561</v>
      </c>
      <c r="B39" s="1" t="str">
        <f>VLOOKUP(A39,周期整合计算!A:G,7,0)</f>
        <v>周期3（景气值&lt;0，方向上升）</v>
      </c>
      <c r="C39" s="1" t="str">
        <f>IF(ISNUMBER(D39),COUNTIF(D$2:D39,"&gt;0"),"")</f>
        <v/>
      </c>
      <c r="D39" s="90" t="str">
        <f t="shared" si="7"/>
        <v/>
      </c>
      <c r="E39" s="1" t="str">
        <f>IF(ISNUMBER(F39),COUNTIF(F$2:F39,"&gt;0"),"")</f>
        <v/>
      </c>
      <c r="F39" s="90" t="str">
        <f t="shared" si="8"/>
        <v/>
      </c>
      <c r="H39" s="1">
        <v>38</v>
      </c>
      <c r="I39" s="93"/>
      <c r="J39" s="93"/>
      <c r="V39" s="1">
        <v>-13.99078856211251</v>
      </c>
      <c r="W39" s="1">
        <v>-23.686577800266285</v>
      </c>
      <c r="X39" s="1">
        <v>-22.617207108558613</v>
      </c>
      <c r="Y39" s="1">
        <v>-13.879632766636707</v>
      </c>
      <c r="Z39" s="1">
        <v>-11.152636365764678</v>
      </c>
      <c r="AA39" s="1">
        <v>-14.639101500486396</v>
      </c>
      <c r="AB39" s="1">
        <v>-13.755274101796067</v>
      </c>
      <c r="AC39" s="105">
        <v>-9.6665436052858276</v>
      </c>
      <c r="AD39" s="105">
        <v>15.312088379607403</v>
      </c>
      <c r="AE39" s="1">
        <v>-21.172691519308138</v>
      </c>
      <c r="AF39" s="1">
        <v>-16.477850441373576</v>
      </c>
      <c r="AG39" s="1">
        <v>-27.639917310273688</v>
      </c>
      <c r="AH39" s="1">
        <v>-24.757540523903977</v>
      </c>
      <c r="AI39" s="1">
        <v>-21.854678404089157</v>
      </c>
      <c r="AJ39" s="1">
        <v>-23.892885899067551</v>
      </c>
      <c r="AK39" s="1">
        <v>-14.025964220767474</v>
      </c>
      <c r="AL39" s="1">
        <v>-18.996553806966354</v>
      </c>
      <c r="AM39" s="1">
        <v>-8.0068301950568568</v>
      </c>
      <c r="AN39" s="1">
        <v>-12.430608037795121</v>
      </c>
      <c r="AO39" s="1">
        <v>-17.955752584788954</v>
      </c>
      <c r="AP39" s="1">
        <v>-2.0850307384638</v>
      </c>
      <c r="AQ39" s="1">
        <v>-3.0624319795463539</v>
      </c>
      <c r="AR39" s="1">
        <v>-17.47810144632308</v>
      </c>
      <c r="AS39" s="1">
        <v>-25.617484321912411</v>
      </c>
      <c r="AT39" s="1">
        <v>-14.004015870776366</v>
      </c>
      <c r="AU39" s="1">
        <v>3.2744064904350001</v>
      </c>
      <c r="AV39" s="1">
        <v>-26.441882199432097</v>
      </c>
      <c r="AW39" s="1">
        <v>8.495847491456443</v>
      </c>
      <c r="AX39" s="1">
        <v>-34.678048387133245</v>
      </c>
      <c r="AY39" s="1">
        <v>-14.275699085224513</v>
      </c>
      <c r="AZ39" s="1">
        <v>3.7189239234500127</v>
      </c>
      <c r="BA39" s="1">
        <v>28.234175451251708</v>
      </c>
      <c r="BB39" s="1">
        <v>29.863064993421084</v>
      </c>
      <c r="BC39" s="1">
        <v>-14.693854213180281</v>
      </c>
      <c r="BD39" s="1">
        <v>-15.241543998116535</v>
      </c>
      <c r="BE39" s="1">
        <v>-22.204785720703192</v>
      </c>
      <c r="BF39" s="1">
        <v>-9.5575232069317941</v>
      </c>
      <c r="BG39" s="1">
        <v>6.9036267920858929</v>
      </c>
      <c r="BH39" s="1">
        <v>-7.273192219490876</v>
      </c>
      <c r="BI39" s="1">
        <v>-11.562100501524231</v>
      </c>
      <c r="BJ39" s="1">
        <v>-24.402148037692161</v>
      </c>
      <c r="BK39" s="1">
        <v>8.2992154097251358</v>
      </c>
      <c r="BL39" s="1">
        <v>-11.610260658246718</v>
      </c>
      <c r="BM39" s="1">
        <v>-23.038535610200618</v>
      </c>
      <c r="BN39" s="1">
        <v>1.6817569289411471</v>
      </c>
      <c r="BO39" s="1">
        <v>5.0262562090439999</v>
      </c>
      <c r="BP39" s="1">
        <v>1.8749083865879923</v>
      </c>
      <c r="BQ39" s="1">
        <v>-35.936737829294408</v>
      </c>
      <c r="BR39" s="1">
        <v>-22.76175911441214</v>
      </c>
      <c r="BS39" s="1">
        <v>-21.703222961072822</v>
      </c>
      <c r="BT39" s="1">
        <v>-10.725584968316825</v>
      </c>
    </row>
    <row r="40" spans="1:72" x14ac:dyDescent="0.35">
      <c r="A40" s="92">
        <v>44530</v>
      </c>
      <c r="B40" s="1" t="str">
        <f>VLOOKUP(A40,周期整合计算!A:G,7,0)</f>
        <v>周期3（景气值&lt;0，方向上升）</v>
      </c>
      <c r="C40" s="1" t="str">
        <f>IF(ISNUMBER(D40),COUNTIF(D$2:D40,"&gt;0"),"")</f>
        <v/>
      </c>
      <c r="D40" s="90" t="str">
        <f t="shared" si="7"/>
        <v/>
      </c>
      <c r="E40" s="1">
        <f>IF(ISNUMBER(F40),COUNTIF(F$2:F40,"&gt;0"),"")</f>
        <v>3</v>
      </c>
      <c r="F40" s="90">
        <f t="shared" si="8"/>
        <v>44530</v>
      </c>
      <c r="H40" s="1">
        <v>39</v>
      </c>
      <c r="I40" s="93"/>
      <c r="J40" s="93"/>
      <c r="V40" s="1">
        <v>17.134175367759518</v>
      </c>
      <c r="W40" s="1">
        <v>8.2240750604334778</v>
      </c>
      <c r="X40" s="1">
        <v>14.57410845072744</v>
      </c>
      <c r="Y40" s="1">
        <v>13.551296910404464</v>
      </c>
      <c r="Z40" s="1">
        <v>17.718976947059662</v>
      </c>
      <c r="AA40" s="1">
        <v>2.6299961211092571</v>
      </c>
      <c r="AB40" s="1">
        <v>24.939353250640185</v>
      </c>
      <c r="AC40" s="105">
        <v>11.587446377759814</v>
      </c>
      <c r="AD40" s="105">
        <v>-8.2593771990117091</v>
      </c>
      <c r="AE40" s="1">
        <v>34.883975738733938</v>
      </c>
      <c r="AF40" s="1">
        <v>51.03471911000976</v>
      </c>
      <c r="AG40" s="1">
        <v>3.017654905648115</v>
      </c>
      <c r="AH40" s="1">
        <v>-28.877142602071181</v>
      </c>
      <c r="AI40" s="1">
        <v>3.3086671471006968</v>
      </c>
      <c r="AJ40" s="1">
        <v>77.329972666195516</v>
      </c>
      <c r="AK40" s="1">
        <v>31.54216081104828</v>
      </c>
      <c r="AL40" s="1">
        <v>30.687139757099224</v>
      </c>
      <c r="AM40" s="1">
        <v>-2.0001321897227586</v>
      </c>
      <c r="AN40" s="1">
        <v>3.5617756520016197</v>
      </c>
      <c r="AO40" s="1">
        <v>20.226566525834833</v>
      </c>
      <c r="AP40" s="1">
        <v>-9.031521936074661</v>
      </c>
      <c r="AQ40" s="1">
        <v>-8.1406999841791681</v>
      </c>
      <c r="AR40" s="1">
        <v>6.3865191522520792</v>
      </c>
      <c r="AS40" s="1">
        <v>-11.416237521555017</v>
      </c>
      <c r="AT40" s="1">
        <v>-0.14485464239010204</v>
      </c>
      <c r="AU40" s="1">
        <v>27.810522095254477</v>
      </c>
      <c r="AV40" s="1">
        <v>32.762234556788997</v>
      </c>
      <c r="AW40" s="1">
        <v>-13.393058372774391</v>
      </c>
      <c r="AX40" s="1">
        <v>24.911495182445798</v>
      </c>
      <c r="AY40" s="1">
        <v>14.681044689949418</v>
      </c>
      <c r="AZ40" s="1">
        <v>51.726327724267264</v>
      </c>
      <c r="BA40" s="1">
        <v>13.237662441202257</v>
      </c>
      <c r="BB40" s="1">
        <v>29.779307107220099</v>
      </c>
      <c r="BC40" s="1">
        <v>-9.9796334012214327E-2</v>
      </c>
      <c r="BD40" s="1">
        <v>19.557346272004693</v>
      </c>
      <c r="BE40" s="1">
        <v>4.911866447247748</v>
      </c>
      <c r="BF40" s="1">
        <v>13.125862718032376</v>
      </c>
      <c r="BG40" s="1">
        <v>-14.440027138657108</v>
      </c>
      <c r="BH40" s="1">
        <v>-24.145352863084447</v>
      </c>
      <c r="BI40" s="1">
        <v>-9.7695438956376783</v>
      </c>
      <c r="BJ40" s="1">
        <v>21.552877853642393</v>
      </c>
      <c r="BK40" s="1">
        <v>-5.5924324981245661</v>
      </c>
      <c r="BL40" s="1">
        <v>10.32869797991216</v>
      </c>
      <c r="BM40" s="1">
        <v>33.262710388538984</v>
      </c>
      <c r="BN40" s="1">
        <v>4.6056924219816109</v>
      </c>
      <c r="BO40" s="1">
        <v>1.9637283079884771</v>
      </c>
      <c r="BP40" s="1">
        <v>-5.4111941536630681</v>
      </c>
      <c r="BQ40" s="1">
        <v>60.405269660737694</v>
      </c>
      <c r="BR40" s="1">
        <v>14.655926244652573</v>
      </c>
      <c r="BS40" s="1">
        <v>22.1273426956752</v>
      </c>
      <c r="BT40" s="1">
        <v>16.099745760083906</v>
      </c>
    </row>
    <row r="41" spans="1:72" x14ac:dyDescent="0.35">
      <c r="A41" s="92">
        <v>44500</v>
      </c>
      <c r="B41" s="1" t="str">
        <f>VLOOKUP(A41,周期整合计算!A:G,7,0)</f>
        <v>周期2（景气值&lt;0，方向下降）</v>
      </c>
      <c r="C41" s="1">
        <f>IF(ISNUMBER(D41),COUNTIF(D$2:D41,"&gt;0"),"")</f>
        <v>4</v>
      </c>
      <c r="D41" s="90">
        <f t="shared" si="7"/>
        <v>44500</v>
      </c>
      <c r="E41" s="1" t="str">
        <f>IF(ISNUMBER(F41),COUNTIF(F$2:F41,"&gt;0"),"")</f>
        <v/>
      </c>
      <c r="F41" s="90" t="str">
        <f t="shared" si="8"/>
        <v/>
      </c>
      <c r="H41" s="1">
        <v>40</v>
      </c>
      <c r="I41" s="93"/>
      <c r="J41" s="93"/>
      <c r="V41" s="1">
        <v>-2.363361627772631</v>
      </c>
      <c r="W41" s="1">
        <v>-24.673227539707465</v>
      </c>
      <c r="X41" s="1">
        <v>-18.570831464426142</v>
      </c>
      <c r="Y41" s="1">
        <v>0.52078131569721631</v>
      </c>
      <c r="Z41" s="1">
        <v>19.181293467296669</v>
      </c>
      <c r="AA41" s="1">
        <v>2.3119291382539542</v>
      </c>
      <c r="AB41" s="1">
        <v>9.6335161590935812</v>
      </c>
      <c r="AC41" s="105">
        <v>-20.399219611297937</v>
      </c>
      <c r="AD41" s="105">
        <v>-19.39644464944913</v>
      </c>
      <c r="AE41" s="1">
        <v>14.122842087940723</v>
      </c>
      <c r="AF41" s="1">
        <v>28.681233816381212</v>
      </c>
      <c r="AG41" s="1">
        <v>10.819956992984213</v>
      </c>
      <c r="AH41" s="1">
        <v>-21.593371804844519</v>
      </c>
      <c r="AI41" s="1">
        <v>-11.02189011253898</v>
      </c>
      <c r="AJ41" s="1">
        <v>19.490349686003249</v>
      </c>
      <c r="AK41" s="1">
        <v>7.6878280908130314</v>
      </c>
      <c r="AL41" s="1">
        <v>8.8368396412996653E-2</v>
      </c>
      <c r="AM41" s="1">
        <v>36.466745138831833</v>
      </c>
      <c r="AN41" s="1">
        <v>29.681827073085778</v>
      </c>
      <c r="AO41" s="1">
        <v>12.978203601144166</v>
      </c>
      <c r="AP41" s="1">
        <v>-11.641052074238479</v>
      </c>
      <c r="AQ41" s="1">
        <v>-5.549228542970452</v>
      </c>
      <c r="AR41" s="1">
        <v>8.2805665766755752</v>
      </c>
      <c r="AS41" s="1">
        <v>2.230011749841454</v>
      </c>
      <c r="AT41" s="1">
        <v>29.519609654752223</v>
      </c>
      <c r="AU41" s="1">
        <v>16.558374304061264</v>
      </c>
      <c r="AV41" s="1">
        <v>-7.1149160148938133</v>
      </c>
      <c r="AW41" s="1">
        <v>-16.631498719133951</v>
      </c>
      <c r="AX41" s="1">
        <v>9.0378712188682755</v>
      </c>
      <c r="AY41" s="1">
        <v>-11.292195489640843</v>
      </c>
      <c r="AZ41" s="1">
        <v>31.305460447593191</v>
      </c>
      <c r="BA41" s="1">
        <v>19.388956496789444</v>
      </c>
      <c r="BB41" s="1">
        <v>18.929573498798224</v>
      </c>
      <c r="BC41" s="1">
        <v>-16.22354618863897</v>
      </c>
      <c r="BD41" s="1">
        <v>-40.333766430994046</v>
      </c>
      <c r="BE41" s="1">
        <v>7.1583977226514772</v>
      </c>
      <c r="BF41" s="1">
        <v>-1.8754604086173354</v>
      </c>
      <c r="BG41" s="1">
        <v>-20.038516499635652</v>
      </c>
      <c r="BH41" s="1">
        <v>-16.899502943321963</v>
      </c>
      <c r="BI41" s="1">
        <v>0.67525613163612608</v>
      </c>
      <c r="BJ41" s="1">
        <v>6.6817547636620622</v>
      </c>
      <c r="BK41" s="1">
        <v>-13.930379230109802</v>
      </c>
      <c r="BL41" s="1">
        <v>-20.137277773185524</v>
      </c>
      <c r="BM41" s="1">
        <v>-9.2095284738651362</v>
      </c>
      <c r="BN41" s="1">
        <v>0</v>
      </c>
      <c r="BO41" s="1">
        <v>-1.5595227912276743</v>
      </c>
      <c r="BP41" s="1">
        <v>-13.785062972800377</v>
      </c>
      <c r="BQ41" s="1">
        <v>3.8172076230857499</v>
      </c>
      <c r="BR41" s="1">
        <v>-19.494692779189727</v>
      </c>
      <c r="BS41" s="1">
        <v>-8.5124469929657938</v>
      </c>
      <c r="BT41" s="1">
        <v>5.8088796821546218</v>
      </c>
    </row>
    <row r="42" spans="1:72" x14ac:dyDescent="0.35">
      <c r="A42" s="92">
        <v>44469</v>
      </c>
      <c r="B42" s="1" t="str">
        <f>VLOOKUP(A42,周期整合计算!A:G,7,0)</f>
        <v>周期2（景气值&lt;0，方向下降）</v>
      </c>
      <c r="C42" s="1" t="str">
        <f>IF(ISNUMBER(D42),COUNTIF(D$2:D42,"&gt;0"),"")</f>
        <v/>
      </c>
      <c r="D42" s="90" t="str">
        <f t="shared" si="7"/>
        <v/>
      </c>
      <c r="E42" s="1" t="str">
        <f>IF(ISNUMBER(F42),COUNTIF(F$2:F42,"&gt;0"),"")</f>
        <v/>
      </c>
      <c r="F42" s="90" t="str">
        <f t="shared" si="8"/>
        <v/>
      </c>
      <c r="H42" s="1">
        <v>41</v>
      </c>
      <c r="I42" s="93"/>
      <c r="J42" s="93"/>
      <c r="V42" s="1">
        <v>-10.413177631604798</v>
      </c>
      <c r="W42" s="1">
        <v>-10.611866498429279</v>
      </c>
      <c r="X42" s="1">
        <v>-12.877302109920731</v>
      </c>
      <c r="Y42" s="1">
        <v>-14.75495611804476</v>
      </c>
      <c r="Z42" s="1">
        <v>-13.83512658804168</v>
      </c>
      <c r="AA42" s="1">
        <v>-15.922991402417097</v>
      </c>
      <c r="AB42" s="1">
        <v>-7.2502151264426047</v>
      </c>
      <c r="AC42" s="105">
        <v>-10.197469666968706</v>
      </c>
      <c r="AD42" s="105">
        <v>-9.9444440349773835</v>
      </c>
      <c r="AE42" s="1">
        <v>-11.977840445313648</v>
      </c>
      <c r="AF42" s="1">
        <v>-10.472864324443275</v>
      </c>
      <c r="AG42" s="1">
        <v>-12.104197984669884</v>
      </c>
      <c r="AH42" s="1">
        <v>-19.825866971968821</v>
      </c>
      <c r="AI42" s="1">
        <v>-11.417620219053347</v>
      </c>
      <c r="AJ42" s="1">
        <v>-9.8005178298222866</v>
      </c>
      <c r="AK42" s="1">
        <v>-14.216717266616129</v>
      </c>
      <c r="AL42" s="1">
        <v>-5.5059274217895577</v>
      </c>
      <c r="AM42" s="1">
        <v>-18.560173895176245</v>
      </c>
      <c r="AN42" s="1">
        <v>-16.60995731816941</v>
      </c>
      <c r="AO42" s="1">
        <v>2.7630537974683511</v>
      </c>
      <c r="AP42" s="1">
        <v>-8.1812650235859152</v>
      </c>
      <c r="AQ42" s="1">
        <v>-20.156407092587514</v>
      </c>
      <c r="AR42" s="1">
        <v>-16.760025669193702</v>
      </c>
      <c r="AS42" s="1">
        <v>-16.863589811757397</v>
      </c>
      <c r="AT42" s="1">
        <v>-4.3365032808200592</v>
      </c>
      <c r="AU42" s="1">
        <v>-16.458353325016784</v>
      </c>
      <c r="AV42" s="1">
        <v>-19.36830530945517</v>
      </c>
      <c r="AW42" s="1">
        <v>-11.640682313117711</v>
      </c>
      <c r="AX42" s="1">
        <v>-18.970918510578571</v>
      </c>
      <c r="AY42" s="1">
        <v>-17.509947467753374</v>
      </c>
      <c r="AZ42" s="1">
        <v>-6.9142521609011016</v>
      </c>
      <c r="BA42" s="1">
        <v>-5.8796204127679275</v>
      </c>
      <c r="BB42" s="1">
        <v>-15.218660660797301</v>
      </c>
      <c r="BC42" s="1">
        <v>-11.813157563614896</v>
      </c>
      <c r="BD42" s="1">
        <v>-9.0462109149446306</v>
      </c>
      <c r="BE42" s="1">
        <v>-20.569126333948184</v>
      </c>
      <c r="BF42" s="1">
        <v>-21.744852962368753</v>
      </c>
      <c r="BG42" s="1">
        <v>-20.724942402755719</v>
      </c>
      <c r="BH42" s="1">
        <v>-11.248193842391906</v>
      </c>
      <c r="BI42" s="1">
        <v>-11.611131290345201</v>
      </c>
      <c r="BJ42" s="1">
        <v>9.8381264618407904</v>
      </c>
      <c r="BK42" s="1">
        <v>-12.49420054251229</v>
      </c>
      <c r="BL42" s="1">
        <v>-9.9182722185684575</v>
      </c>
      <c r="BM42" s="1">
        <v>-16.525125213840219</v>
      </c>
      <c r="BN42" s="1">
        <v>0</v>
      </c>
      <c r="BO42" s="1">
        <v>-13.09795853529071</v>
      </c>
      <c r="BP42" s="1">
        <v>-13.59135548291821</v>
      </c>
      <c r="BQ42" s="1">
        <v>-11.16055441107121</v>
      </c>
      <c r="BR42" s="1">
        <v>-10.636197276503234</v>
      </c>
      <c r="BS42" s="1">
        <v>-14.527648079481603</v>
      </c>
      <c r="BT42" s="1">
        <v>-14.486073019317436</v>
      </c>
    </row>
    <row r="43" spans="1:72" x14ac:dyDescent="0.35">
      <c r="A43" s="92">
        <v>44439</v>
      </c>
      <c r="B43" s="1" t="str">
        <f>VLOOKUP(A43,周期整合计算!A:G,7,0)</f>
        <v>周期2（景气值&lt;0，方向下降）</v>
      </c>
      <c r="C43" s="1" t="str">
        <f>IF(ISNUMBER(D43),COUNTIF(D$2:D43,"&gt;0"),"")</f>
        <v/>
      </c>
      <c r="D43" s="90" t="str">
        <f t="shared" si="7"/>
        <v/>
      </c>
      <c r="E43" s="1" t="str">
        <f>IF(ISNUMBER(F43),COUNTIF(F$2:F43,"&gt;0"),"")</f>
        <v/>
      </c>
      <c r="F43" s="90" t="str">
        <f t="shared" si="8"/>
        <v/>
      </c>
      <c r="H43" s="1">
        <v>42</v>
      </c>
      <c r="I43" s="93"/>
      <c r="J43" s="93"/>
      <c r="V43" s="1">
        <v>11.47932993733507</v>
      </c>
      <c r="W43" s="1">
        <v>11.274322041919781</v>
      </c>
      <c r="X43" s="1">
        <v>13.55038485229738</v>
      </c>
      <c r="Y43" s="1">
        <v>10.104103583545875</v>
      </c>
      <c r="Z43" s="1">
        <v>4.656701690493481</v>
      </c>
      <c r="AA43" s="1">
        <v>18.394609649527418</v>
      </c>
      <c r="AB43" s="1">
        <v>15.746945991070538</v>
      </c>
      <c r="AC43" s="105">
        <v>3.9947466017656197</v>
      </c>
      <c r="AD43" s="105">
        <v>1.8849592383746172</v>
      </c>
      <c r="AE43" s="1">
        <v>10.098154034844686</v>
      </c>
      <c r="AF43" s="1">
        <v>0.58115823817290746</v>
      </c>
      <c r="AG43" s="1">
        <v>27.301009893139572</v>
      </c>
      <c r="AH43" s="1">
        <v>37.552719747733555</v>
      </c>
      <c r="AI43" s="1">
        <v>50.441159476417894</v>
      </c>
      <c r="AJ43" s="1">
        <v>4.9977602441112046</v>
      </c>
      <c r="AK43" s="1">
        <v>2.4406550388847537</v>
      </c>
      <c r="AL43" s="1">
        <v>28.706705723295013</v>
      </c>
      <c r="AM43" s="1">
        <v>0.59321493818242921</v>
      </c>
      <c r="AN43" s="1">
        <v>9.4242730808141051</v>
      </c>
      <c r="AO43" s="1">
        <v>12.08813538657445</v>
      </c>
      <c r="AP43" s="1">
        <v>8.7593259220949413</v>
      </c>
      <c r="AQ43" s="1">
        <v>6.9457338171997618</v>
      </c>
      <c r="AR43" s="1">
        <v>-2.4644903740905333</v>
      </c>
      <c r="AS43" s="1">
        <v>-7.9720051074048897</v>
      </c>
      <c r="AT43" s="1">
        <v>46.269674630238214</v>
      </c>
      <c r="AU43" s="1">
        <v>8.1622345127155818</v>
      </c>
      <c r="AV43" s="1">
        <v>12.753259053657629</v>
      </c>
      <c r="AW43" s="1">
        <v>-3.4562664467224447</v>
      </c>
      <c r="AX43" s="1">
        <v>32.845316329843932</v>
      </c>
      <c r="AY43" s="1">
        <v>4.9224263319506578</v>
      </c>
      <c r="AZ43" s="1">
        <v>-7.2756842032290159</v>
      </c>
      <c r="BA43" s="1">
        <v>-10.700877682512299</v>
      </c>
      <c r="BB43" s="1">
        <v>-12.834425118590465</v>
      </c>
      <c r="BC43" s="1">
        <v>19.847737415835653</v>
      </c>
      <c r="BD43" s="1">
        <v>-3.112549918476315</v>
      </c>
      <c r="BE43" s="1">
        <v>7.3644783745694831</v>
      </c>
      <c r="BF43" s="1">
        <v>9.8412384670229169</v>
      </c>
      <c r="BG43" s="1">
        <v>32.207415138013616</v>
      </c>
      <c r="BH43" s="1">
        <v>26.091391966443233</v>
      </c>
      <c r="BI43" s="1">
        <v>-2.0909135487667263</v>
      </c>
      <c r="BJ43" s="1">
        <v>42.962332015969842</v>
      </c>
      <c r="BK43" s="1">
        <v>12.821138067241723</v>
      </c>
      <c r="BL43" s="1">
        <v>12.947731119955952</v>
      </c>
      <c r="BM43" s="1">
        <v>15.073188302248575</v>
      </c>
      <c r="BN43" s="1">
        <v>15.803457664389175</v>
      </c>
      <c r="BO43" s="1">
        <v>17.38836132309336</v>
      </c>
      <c r="BP43" s="1">
        <v>9.7677949561638222</v>
      </c>
      <c r="BQ43" s="1">
        <v>24.885414330949995</v>
      </c>
      <c r="BR43" s="1">
        <v>15.668044544728055</v>
      </c>
      <c r="BS43" s="1">
        <v>10.211626942919484</v>
      </c>
      <c r="BT43" s="1">
        <v>9.2231497693803011</v>
      </c>
    </row>
    <row r="44" spans="1:72" x14ac:dyDescent="0.35">
      <c r="A44" s="92">
        <v>44408</v>
      </c>
      <c r="B44" s="1" t="str">
        <f>VLOOKUP(A44,周期整合计算!A:G,7,0)</f>
        <v>周期2（景气值&lt;0，方向下降）</v>
      </c>
      <c r="C44" s="1" t="str">
        <f>IF(ISNUMBER(D44),COUNTIF(D$2:D44,"&gt;0"),"")</f>
        <v/>
      </c>
      <c r="D44" s="90" t="str">
        <f t="shared" si="7"/>
        <v/>
      </c>
      <c r="E44" s="1" t="str">
        <f>IF(ISNUMBER(F44),COUNTIF(F$2:F44,"&gt;0"),"")</f>
        <v/>
      </c>
      <c r="F44" s="90" t="str">
        <f t="shared" si="8"/>
        <v/>
      </c>
      <c r="H44" s="1">
        <v>43</v>
      </c>
      <c r="I44" s="93"/>
      <c r="J44" s="93"/>
      <c r="V44" s="1">
        <v>1.2402892891739015</v>
      </c>
      <c r="W44" s="1">
        <v>21.92138375948851</v>
      </c>
      <c r="X44" s="1">
        <v>17.149617262944595</v>
      </c>
      <c r="Y44" s="1">
        <v>-4.9652107267926908</v>
      </c>
      <c r="Z44" s="1">
        <v>-23.07789158017891</v>
      </c>
      <c r="AA44" s="1">
        <v>-4.9481872861171228</v>
      </c>
      <c r="AB44" s="1">
        <v>11.500173939276447</v>
      </c>
      <c r="AC44" s="105">
        <v>6.9461307428815733</v>
      </c>
      <c r="AD44" s="105">
        <v>0.35656223077067395</v>
      </c>
      <c r="AE44" s="1">
        <v>-11.618682423301941</v>
      </c>
      <c r="AF44" s="1">
        <v>-18.460180127152103</v>
      </c>
      <c r="AG44" s="1">
        <v>-3.1828811164160919</v>
      </c>
      <c r="AH44" s="1">
        <v>22.372652525565904</v>
      </c>
      <c r="AI44" s="1">
        <v>4.7908194080934052</v>
      </c>
      <c r="AJ44" s="1">
        <v>5.6643261579511384</v>
      </c>
      <c r="AK44" s="1">
        <v>48.921836553060061</v>
      </c>
      <c r="AL44" s="1">
        <v>46.273857606715787</v>
      </c>
      <c r="AM44" s="1">
        <v>-24.032098500387299</v>
      </c>
      <c r="AN44" s="1">
        <v>-15.356022290905679</v>
      </c>
      <c r="AO44" s="1">
        <v>5.7530643873573428</v>
      </c>
      <c r="AP44" s="1">
        <v>-14.277705937379615</v>
      </c>
      <c r="AQ44" s="1">
        <v>0.73856161379914909</v>
      </c>
      <c r="AR44" s="1">
        <v>-3.7644879534798781</v>
      </c>
      <c r="AS44" s="1">
        <v>-11.191918860638062</v>
      </c>
      <c r="AT44" s="1">
        <v>-0.23564371920860028</v>
      </c>
      <c r="AU44" s="1">
        <v>-30.627047460233857</v>
      </c>
      <c r="AV44" s="1">
        <v>15.830237378280088</v>
      </c>
      <c r="AW44" s="1">
        <v>-2.3906958955548285</v>
      </c>
      <c r="AX44" s="1">
        <v>-14.352725309946878</v>
      </c>
      <c r="AY44" s="1">
        <v>-22.753945895407636</v>
      </c>
      <c r="AZ44" s="1">
        <v>-10.649415468489053</v>
      </c>
      <c r="BA44" s="1">
        <v>-32.824343137471544</v>
      </c>
      <c r="BB44" s="1">
        <v>-8.4257107404589036</v>
      </c>
      <c r="BC44" s="1">
        <v>9.1868193772177253</v>
      </c>
      <c r="BD44" s="1">
        <v>5.6368066470729117</v>
      </c>
      <c r="BE44" s="1">
        <v>-7.2444739646889804</v>
      </c>
      <c r="BF44" s="1">
        <v>-13.992511264834672</v>
      </c>
      <c r="BG44" s="1">
        <v>1.2532675220052303</v>
      </c>
      <c r="BH44" s="1">
        <v>3.3815932729505116</v>
      </c>
      <c r="BI44" s="1">
        <v>-14.52553540673609</v>
      </c>
      <c r="BJ44" s="1">
        <v>4.5128357034022404</v>
      </c>
      <c r="BK44" s="1">
        <v>15.161975178049648</v>
      </c>
      <c r="BL44" s="1">
        <v>34.482320222487076</v>
      </c>
      <c r="BM44" s="1">
        <v>38.969146967719183</v>
      </c>
      <c r="BN44" s="1">
        <v>17.492620000000002</v>
      </c>
      <c r="BO44" s="1">
        <v>15.436463130467404</v>
      </c>
      <c r="BP44" s="1">
        <v>15.003451242645793</v>
      </c>
      <c r="BQ44" s="1">
        <v>-26.872267921927374</v>
      </c>
      <c r="BR44" s="1">
        <v>18.933150215564542</v>
      </c>
      <c r="BS44" s="1">
        <v>-2.9935019993404532</v>
      </c>
      <c r="BT44" s="1">
        <v>-14.973774282472775</v>
      </c>
    </row>
    <row r="45" spans="1:72" x14ac:dyDescent="0.35">
      <c r="A45" s="92">
        <v>44377</v>
      </c>
      <c r="B45" s="1" t="str">
        <f>VLOOKUP(A45,周期整合计算!A:G,7,0)</f>
        <v>周期2（景气值&lt;0，方向下降）</v>
      </c>
      <c r="C45" s="1" t="str">
        <f>IF(ISNUMBER(D45),COUNTIF(D$2:D45,"&gt;0"),"")</f>
        <v/>
      </c>
      <c r="D45" s="90" t="str">
        <f t="shared" si="7"/>
        <v/>
      </c>
      <c r="E45" s="1">
        <f>IF(ISNUMBER(F45),COUNTIF(F$2:F45,"&gt;0"),"")</f>
        <v>4</v>
      </c>
      <c r="F45" s="90">
        <f t="shared" si="8"/>
        <v>44377</v>
      </c>
      <c r="H45" s="1">
        <v>44</v>
      </c>
      <c r="I45" s="93"/>
      <c r="J45" s="93"/>
      <c r="V45" s="1">
        <v>7.720927665204913</v>
      </c>
      <c r="W45" s="1">
        <v>-1.4673237745542855</v>
      </c>
      <c r="X45" s="1">
        <v>-1.6669699013370232</v>
      </c>
      <c r="Y45" s="1">
        <v>11.615413920541418</v>
      </c>
      <c r="Z45" s="1">
        <v>19.170641599698502</v>
      </c>
      <c r="AA45" s="1">
        <v>6.4368458708514265</v>
      </c>
      <c r="AB45" s="1">
        <v>8.684133478017376</v>
      </c>
      <c r="AC45" s="105">
        <v>2.2719183578629565</v>
      </c>
      <c r="AD45" s="105">
        <v>5.5711766456224332</v>
      </c>
      <c r="AE45" s="1">
        <v>13.405072561525945</v>
      </c>
      <c r="AF45" s="1">
        <v>13.034952594659078</v>
      </c>
      <c r="AG45" s="1">
        <v>2.7419785699444921</v>
      </c>
      <c r="AH45" s="1">
        <v>-0.25022241992883609</v>
      </c>
      <c r="AI45" s="1">
        <v>-4.403275009216534</v>
      </c>
      <c r="AJ45" s="1">
        <v>16.468137692052885</v>
      </c>
      <c r="AK45" s="1">
        <v>18.900029211127723</v>
      </c>
      <c r="AL45" s="1">
        <v>-6.5793260774552387</v>
      </c>
      <c r="AM45" s="1">
        <v>17.450938393246229</v>
      </c>
      <c r="AN45" s="1">
        <v>21.782099822927314</v>
      </c>
      <c r="AO45" s="1">
        <v>3.2086116417265664</v>
      </c>
      <c r="AP45" s="1">
        <v>-0.8511663387802626</v>
      </c>
      <c r="AQ45" s="1">
        <v>17.113505769025593</v>
      </c>
      <c r="AR45" s="1">
        <v>-0.9371185101850199</v>
      </c>
      <c r="AS45" s="1">
        <v>17.555967488949076</v>
      </c>
      <c r="AT45" s="1">
        <v>27.033828017425353</v>
      </c>
      <c r="AU45" s="1">
        <v>15.262419871794886</v>
      </c>
      <c r="AV45" s="1">
        <v>7.0049707684921136</v>
      </c>
      <c r="AW45" s="1">
        <v>-6.4380312314686776</v>
      </c>
      <c r="AX45" s="1">
        <v>19.050164213428221</v>
      </c>
      <c r="AY45" s="1">
        <v>17.92955961558771</v>
      </c>
      <c r="AZ45" s="1">
        <v>29.669988620297239</v>
      </c>
      <c r="BA45" s="1">
        <v>13.937670371146993</v>
      </c>
      <c r="BB45" s="1">
        <v>17.288285675027872</v>
      </c>
      <c r="BC45" s="1">
        <v>2.0802643627821693</v>
      </c>
      <c r="BD45" s="1">
        <v>5.3355555796058329</v>
      </c>
      <c r="BE45" s="1">
        <v>19.583151516149488</v>
      </c>
      <c r="BF45" s="1">
        <v>10.028327210202747</v>
      </c>
      <c r="BG45" s="1">
        <v>-20.343693573858467</v>
      </c>
      <c r="BH45" s="1">
        <v>7.7236449720461842</v>
      </c>
      <c r="BI45" s="1">
        <v>-6.7276326170910732</v>
      </c>
      <c r="BJ45" s="1">
        <v>-20.552822798665417</v>
      </c>
      <c r="BK45" s="1">
        <v>0.41072409734341786</v>
      </c>
      <c r="BL45" s="1">
        <v>-0.20656635083328156</v>
      </c>
      <c r="BM45" s="1">
        <v>0.96308153648105854</v>
      </c>
      <c r="BN45" s="1">
        <v>0</v>
      </c>
      <c r="BO45" s="1">
        <v>2.3673380701760838</v>
      </c>
      <c r="BP45" s="1">
        <v>4.7128636978867045</v>
      </c>
      <c r="BQ45" s="1">
        <v>1.6565162139314582</v>
      </c>
      <c r="BR45" s="1">
        <v>-1.8126605165658338</v>
      </c>
      <c r="BS45" s="1">
        <v>6.0540960656775722</v>
      </c>
      <c r="BT45" s="1">
        <v>11.644729010639999</v>
      </c>
    </row>
    <row r="46" spans="1:72" x14ac:dyDescent="0.35">
      <c r="A46" s="92">
        <v>44347</v>
      </c>
      <c r="B46" s="1" t="str">
        <f>VLOOKUP(A46,周期整合计算!A:G,7,0)</f>
        <v>周期1（景气值&gt;0，方向下降）</v>
      </c>
      <c r="C46" s="1">
        <f>IF(ISNUMBER(D46),COUNTIF(D$2:D46,"&gt;0"),"")</f>
        <v>5</v>
      </c>
      <c r="D46" s="90">
        <f t="shared" si="7"/>
        <v>44347</v>
      </c>
      <c r="E46" s="1" t="str">
        <f>IF(ISNUMBER(F46),COUNTIF(F$2:F46,"&gt;0"),"")</f>
        <v/>
      </c>
      <c r="F46" s="90" t="str">
        <f t="shared" si="8"/>
        <v/>
      </c>
      <c r="H46" s="1">
        <v>45</v>
      </c>
      <c r="I46" s="93"/>
      <c r="J46" s="93"/>
      <c r="V46" s="1">
        <v>-17.953733313118715</v>
      </c>
      <c r="W46" s="1">
        <v>-29.82806014566529</v>
      </c>
      <c r="X46" s="1">
        <v>-24.621219324750186</v>
      </c>
      <c r="Y46" s="1">
        <v>-10.833118741297875</v>
      </c>
      <c r="Z46" s="1">
        <v>-0.93701587304478862</v>
      </c>
      <c r="AA46" s="1">
        <v>-15.350073041242418</v>
      </c>
      <c r="AB46" s="1">
        <v>0.36000377951739271</v>
      </c>
      <c r="AC46" s="105">
        <v>-30.848347513387388</v>
      </c>
      <c r="AD46" s="105">
        <v>-23.232189671121283</v>
      </c>
      <c r="AE46" s="1">
        <v>-2.1446258494420056</v>
      </c>
      <c r="AF46" s="1">
        <v>-1.2948314562688079</v>
      </c>
      <c r="AG46" s="1">
        <v>-32.058937008621072</v>
      </c>
      <c r="AH46" s="1">
        <v>-37.195062967814117</v>
      </c>
      <c r="AI46" s="1">
        <v>-7.3027146502036233</v>
      </c>
      <c r="AJ46" s="1">
        <v>3.0286306551263742E-2</v>
      </c>
      <c r="AK46" s="1">
        <v>-10.673014887830856</v>
      </c>
      <c r="AL46" s="1">
        <v>22.523853841768116</v>
      </c>
      <c r="AM46" s="1">
        <v>-0.88943558688554525</v>
      </c>
      <c r="AN46" s="1">
        <v>-11.372038958245856</v>
      </c>
      <c r="AO46" s="1">
        <v>3.4154886195019163</v>
      </c>
      <c r="AP46" s="1">
        <v>-23.484358659474847</v>
      </c>
      <c r="AQ46" s="1">
        <v>-28.791438363802623</v>
      </c>
      <c r="AR46" s="1">
        <v>-31.661188776246686</v>
      </c>
      <c r="AS46" s="1">
        <v>-14.399415049309795</v>
      </c>
      <c r="AT46" s="1">
        <v>-5.2885296534527342</v>
      </c>
      <c r="AU46" s="1">
        <v>7.2329788922393279</v>
      </c>
      <c r="AV46" s="1">
        <v>0.86241670106741442</v>
      </c>
      <c r="AW46" s="1">
        <v>-12.661038678309676</v>
      </c>
      <c r="AX46" s="1">
        <v>-15.86252142718293</v>
      </c>
      <c r="AY46" s="1">
        <v>-1.725376677738788</v>
      </c>
      <c r="AZ46" s="1">
        <v>-4.8499187563128654</v>
      </c>
      <c r="BA46" s="1">
        <v>-11.649349755728345</v>
      </c>
      <c r="BB46" s="1">
        <v>-28.38137061433984</v>
      </c>
      <c r="BC46" s="1">
        <v>-22.928179818561844</v>
      </c>
      <c r="BD46" s="1">
        <v>-38.494120658858591</v>
      </c>
      <c r="BE46" s="1">
        <v>-30.885442011850238</v>
      </c>
      <c r="BF46" s="1">
        <v>1.7028561131633424</v>
      </c>
      <c r="BG46" s="1">
        <v>-19.962930027748914</v>
      </c>
      <c r="BH46" s="1">
        <v>-41.343096315790937</v>
      </c>
      <c r="BI46" s="1">
        <v>-5.1545086119554107</v>
      </c>
      <c r="BJ46" s="1">
        <v>12.602506522355949</v>
      </c>
      <c r="BK46" s="1">
        <v>-30.19648463248188</v>
      </c>
      <c r="BL46" s="1">
        <v>-26.044597741448705</v>
      </c>
      <c r="BM46" s="1">
        <v>-23.436297149207054</v>
      </c>
      <c r="BN46" s="1">
        <v>0</v>
      </c>
      <c r="BO46" s="1">
        <v>-25.029626052755404</v>
      </c>
      <c r="BP46" s="1">
        <v>-27.923332270240298</v>
      </c>
      <c r="BQ46" s="1">
        <v>-6.892058390544042</v>
      </c>
      <c r="BR46" s="1">
        <v>-23.085448857579028</v>
      </c>
      <c r="BS46" s="1">
        <v>-14.415502302794136</v>
      </c>
      <c r="BT46" s="1">
        <v>-5.9180069330781349</v>
      </c>
    </row>
    <row r="47" spans="1:72" x14ac:dyDescent="0.35">
      <c r="A47" s="92">
        <v>44316</v>
      </c>
      <c r="B47" s="1" t="str">
        <f>VLOOKUP(A47,周期整合计算!A:G,7,0)</f>
        <v>周期1（景气值&gt;0，方向下降）</v>
      </c>
      <c r="C47" s="1" t="str">
        <f>IF(ISNUMBER(D47),COUNTIF(D$2:D47,"&gt;0"),"")</f>
        <v/>
      </c>
      <c r="D47" s="90" t="str">
        <f t="shared" si="7"/>
        <v/>
      </c>
      <c r="E47" s="1" t="str">
        <f>IF(ISNUMBER(F47),COUNTIF(F$2:F47,"&gt;0"),"")</f>
        <v/>
      </c>
      <c r="F47" s="90" t="str">
        <f t="shared" si="8"/>
        <v/>
      </c>
      <c r="H47" s="1">
        <v>46</v>
      </c>
      <c r="I47" s="93"/>
      <c r="J47" s="93"/>
      <c r="V47" s="1">
        <v>17.490205309299569</v>
      </c>
      <c r="W47" s="1">
        <v>16.282693284349993</v>
      </c>
      <c r="X47" s="1">
        <v>19.169432622255854</v>
      </c>
      <c r="Y47" s="1">
        <v>12.110723082649599</v>
      </c>
      <c r="Z47" s="1">
        <v>10.904363206711597</v>
      </c>
      <c r="AA47" s="1">
        <v>18.168744624889111</v>
      </c>
      <c r="AB47" s="1">
        <v>37.525306182221073</v>
      </c>
      <c r="AC47" s="105">
        <v>6.0432257116558086</v>
      </c>
      <c r="AD47" s="105">
        <v>3.8113980130883185</v>
      </c>
      <c r="AE47" s="1">
        <v>18.143015562999043</v>
      </c>
      <c r="AF47" s="1">
        <v>8.4223509972305663</v>
      </c>
      <c r="AG47" s="1">
        <v>22.5988973070844</v>
      </c>
      <c r="AH47" s="1">
        <v>6.1500724368596327</v>
      </c>
      <c r="AI47" s="1">
        <v>8.9500028923665376</v>
      </c>
      <c r="AJ47" s="1">
        <v>8.2688678565769003</v>
      </c>
      <c r="AK47" s="1">
        <v>22.536695346833735</v>
      </c>
      <c r="AL47" s="1">
        <v>66.80969304607703</v>
      </c>
      <c r="AM47" s="1">
        <v>-2.312285671299541</v>
      </c>
      <c r="AN47" s="1">
        <v>18.407939804693196</v>
      </c>
      <c r="AO47" s="1">
        <v>37.937751824817511</v>
      </c>
      <c r="AP47" s="1">
        <v>5.1274735686139383</v>
      </c>
      <c r="AQ47" s="1">
        <v>7.7058136864666338</v>
      </c>
      <c r="AR47" s="1">
        <v>-1.2512875290886183</v>
      </c>
      <c r="AS47" s="1">
        <v>17.453155002317434</v>
      </c>
      <c r="AT47" s="1">
        <v>77.522103146183881</v>
      </c>
      <c r="AU47" s="1">
        <v>6.4731242549453727</v>
      </c>
      <c r="AV47" s="1">
        <v>19.302568287572885</v>
      </c>
      <c r="AW47" s="1">
        <v>1.9342117774230339</v>
      </c>
      <c r="AX47" s="1">
        <v>49.21449581093016</v>
      </c>
      <c r="AY47" s="1">
        <v>26.7142223284071</v>
      </c>
      <c r="AZ47" s="1">
        <v>-4.1261521161573889</v>
      </c>
      <c r="BA47" s="1">
        <v>11.021304758015704</v>
      </c>
      <c r="BB47" s="1">
        <v>-14.81984599458942</v>
      </c>
      <c r="BC47" s="1">
        <v>1.6059087189135512</v>
      </c>
      <c r="BD47" s="1">
        <v>7.8790258028663018</v>
      </c>
      <c r="BE47" s="1">
        <v>30.699145029746667</v>
      </c>
      <c r="BF47" s="1">
        <v>20.874610691582383</v>
      </c>
      <c r="BG47" s="1">
        <v>3.9752926691846824</v>
      </c>
      <c r="BH47" s="1">
        <v>2.0222576256206937</v>
      </c>
      <c r="BI47" s="1">
        <v>3.4878233201560915</v>
      </c>
      <c r="BJ47" s="1">
        <v>48.766767892925714</v>
      </c>
      <c r="BK47" s="1">
        <v>-0.2241627618314479</v>
      </c>
      <c r="BL47" s="1">
        <v>14.118580857850738</v>
      </c>
      <c r="BM47" s="1">
        <v>25.700904623402</v>
      </c>
      <c r="BN47" s="1">
        <v>9.3163058149372979</v>
      </c>
      <c r="BO47" s="1">
        <v>5.8326931882082045</v>
      </c>
      <c r="BP47" s="1">
        <v>-3.3542289688712534</v>
      </c>
      <c r="BQ47" s="1">
        <v>26.259634757498173</v>
      </c>
      <c r="BR47" s="1">
        <v>20.905211287860759</v>
      </c>
      <c r="BS47" s="1">
        <v>11.828055715415697</v>
      </c>
      <c r="BT47" s="1">
        <v>12.75471029250177</v>
      </c>
    </row>
    <row r="48" spans="1:72" x14ac:dyDescent="0.35">
      <c r="A48" s="92">
        <v>44286</v>
      </c>
      <c r="B48" s="1" t="str">
        <f>VLOOKUP(A48,周期整合计算!A:G,7,0)</f>
        <v>周期1（景气值&gt;0，方向下降）</v>
      </c>
      <c r="C48" s="1" t="str">
        <f>IF(ISNUMBER(D48),COUNTIF(D$2:D48,"&gt;0"),"")</f>
        <v/>
      </c>
      <c r="D48" s="90" t="str">
        <f t="shared" si="7"/>
        <v/>
      </c>
      <c r="E48" s="1" t="str">
        <f>IF(ISNUMBER(F48),COUNTIF(F$2:F48,"&gt;0"),"")</f>
        <v/>
      </c>
      <c r="F48" s="90" t="str">
        <f t="shared" si="8"/>
        <v/>
      </c>
      <c r="H48" s="1">
        <v>47</v>
      </c>
      <c r="I48" s="93"/>
      <c r="J48" s="93"/>
      <c r="V48" s="1">
        <v>23.892304549267539</v>
      </c>
      <c r="W48" s="1">
        <v>14.815332484731769</v>
      </c>
      <c r="X48" s="1">
        <v>15.650127789493705</v>
      </c>
      <c r="Y48" s="1">
        <v>20.255864491882214</v>
      </c>
      <c r="Z48" s="1">
        <v>23.034221349867877</v>
      </c>
      <c r="AA48" s="1">
        <v>22.702164943891901</v>
      </c>
      <c r="AB48" s="1">
        <v>27.298310537727154</v>
      </c>
      <c r="AC48" s="105">
        <v>20.902518451653449</v>
      </c>
      <c r="AD48" s="105">
        <v>16.901875451063098</v>
      </c>
      <c r="AE48" s="1">
        <v>25.821315368635943</v>
      </c>
      <c r="AF48" s="1">
        <v>17.55275959698659</v>
      </c>
      <c r="AG48" s="1">
        <v>24.550571928091514</v>
      </c>
      <c r="AH48" s="1">
        <v>10.054357857432915</v>
      </c>
      <c r="AI48" s="1">
        <v>26.149235536140591</v>
      </c>
      <c r="AJ48" s="1">
        <v>29.774759990153441</v>
      </c>
      <c r="AK48" s="1">
        <v>22.968233367324853</v>
      </c>
      <c r="AL48" s="1">
        <v>32.77385879703909</v>
      </c>
      <c r="AM48" s="1">
        <v>15.235895104240505</v>
      </c>
      <c r="AN48" s="1">
        <v>25.696332458970538</v>
      </c>
      <c r="AO48" s="1">
        <v>24.533499966139892</v>
      </c>
      <c r="AP48" s="1">
        <v>15.38870590102781</v>
      </c>
      <c r="AQ48" s="1">
        <v>8.8936730722548809</v>
      </c>
      <c r="AR48" s="1">
        <v>13.974547345102749</v>
      </c>
      <c r="AS48" s="1">
        <v>17.304261263904074</v>
      </c>
      <c r="AT48" s="1">
        <v>10.943699607852221</v>
      </c>
      <c r="AU48" s="1">
        <v>28.758523139416802</v>
      </c>
      <c r="AV48" s="1">
        <v>23.426458663165594</v>
      </c>
      <c r="AW48" s="1">
        <v>21.732524082821225</v>
      </c>
      <c r="AX48" s="1">
        <v>24.054214856844336</v>
      </c>
      <c r="AY48" s="1">
        <v>24.451895400820622</v>
      </c>
      <c r="AZ48" s="1">
        <v>17.505481318403703</v>
      </c>
      <c r="BA48" s="1">
        <v>12.504350708543942</v>
      </c>
      <c r="BB48" s="1">
        <v>23.346017250126859</v>
      </c>
      <c r="BC48" s="1">
        <v>13.698973464635177</v>
      </c>
      <c r="BD48" s="1">
        <v>21.000424208144786</v>
      </c>
      <c r="BE48" s="1">
        <v>22.843236781434719</v>
      </c>
      <c r="BF48" s="1">
        <v>20.707221596610957</v>
      </c>
      <c r="BG48" s="1">
        <v>13.415074353952017</v>
      </c>
      <c r="BH48" s="1">
        <v>10.158159854241822</v>
      </c>
      <c r="BI48" s="1">
        <v>23.975222318684164</v>
      </c>
      <c r="BJ48" s="1">
        <v>13.286383789536082</v>
      </c>
      <c r="BK48" s="1">
        <v>15.592711443627817</v>
      </c>
      <c r="BL48" s="1">
        <v>14.499204941171783</v>
      </c>
      <c r="BM48" s="1">
        <v>18.760120438522133</v>
      </c>
      <c r="BN48" s="1">
        <v>0</v>
      </c>
      <c r="BO48" s="1">
        <v>17.421832053365449</v>
      </c>
      <c r="BP48" s="1">
        <v>14.304696758613833</v>
      </c>
      <c r="BQ48" s="1">
        <v>9.760759003279329</v>
      </c>
      <c r="BR48" s="1">
        <v>15.515167003143304</v>
      </c>
      <c r="BS48" s="1">
        <v>14.02763549399717</v>
      </c>
      <c r="BT48" s="1">
        <v>23.472071735720725</v>
      </c>
    </row>
    <row r="49" spans="1:72" x14ac:dyDescent="0.35">
      <c r="A49" s="92">
        <v>44255</v>
      </c>
      <c r="B49" s="1" t="str">
        <f>VLOOKUP(A49,周期整合计算!A:G,7,0)</f>
        <v>周期1（景气值&gt;0，方向下降）</v>
      </c>
      <c r="C49" s="1" t="str">
        <f>IF(ISNUMBER(D49),COUNTIF(D$2:D49,"&gt;0"),"")</f>
        <v/>
      </c>
      <c r="D49" s="90" t="str">
        <f t="shared" ref="D49:D73" si="24">IF(B48=B49,"",A49)</f>
        <v/>
      </c>
      <c r="E49" s="1" t="str">
        <f>IF(ISNUMBER(F49),COUNTIF(F$2:F49,"&gt;0"),"")</f>
        <v/>
      </c>
      <c r="F49" s="90" t="str">
        <f t="shared" si="8"/>
        <v/>
      </c>
      <c r="H49" s="1">
        <v>48</v>
      </c>
      <c r="I49" s="93"/>
      <c r="J49" s="93"/>
      <c r="V49" s="1">
        <v>2.3761897414632749</v>
      </c>
      <c r="W49" s="1">
        <v>-6.7525596804150156</v>
      </c>
      <c r="X49" s="1">
        <v>-4.3646041657036339</v>
      </c>
      <c r="Y49" s="1">
        <v>7.2190282246874071</v>
      </c>
      <c r="Z49" s="1">
        <v>16.112956118332388</v>
      </c>
      <c r="AA49" s="1">
        <v>-7.9481116017925624</v>
      </c>
      <c r="AB49" s="1">
        <v>4.2890118526187626</v>
      </c>
      <c r="AC49" s="105">
        <v>5.3405336886502619</v>
      </c>
      <c r="AD49" s="105">
        <v>-0.42743013320116763</v>
      </c>
      <c r="AE49" s="1">
        <v>26.526349703333384</v>
      </c>
      <c r="AF49" s="1">
        <v>-6.4760488287527451</v>
      </c>
      <c r="AG49" s="1">
        <v>1.8039523780745803</v>
      </c>
      <c r="AH49" s="1">
        <v>-17.157828064720448</v>
      </c>
      <c r="AI49" s="1">
        <v>-28.890662180303416</v>
      </c>
      <c r="AJ49" s="1">
        <v>28.019701862543634</v>
      </c>
      <c r="AK49" s="1">
        <v>21.69439957342032</v>
      </c>
      <c r="AL49" s="1">
        <v>-16.745209758868274</v>
      </c>
      <c r="AM49" s="1">
        <v>-10.107294142642786</v>
      </c>
      <c r="AN49" s="1">
        <v>10.931361589319376</v>
      </c>
      <c r="AO49" s="1">
        <v>29.832086423113612</v>
      </c>
      <c r="AP49" s="1">
        <v>14.395475332821551</v>
      </c>
      <c r="AQ49" s="1">
        <v>-6.1192951327528551</v>
      </c>
      <c r="AR49" s="1">
        <v>9.1781000914673783</v>
      </c>
      <c r="AS49" s="1">
        <v>-10.804937697364348</v>
      </c>
      <c r="AT49" s="1">
        <v>-1.8653074932337699</v>
      </c>
      <c r="AU49" s="1">
        <v>7.5136043189225621</v>
      </c>
      <c r="AV49" s="1">
        <v>-7.5906212584373804</v>
      </c>
      <c r="AW49" s="1">
        <v>-0.78122446311248428</v>
      </c>
      <c r="AX49" s="1">
        <v>11.964314539148123</v>
      </c>
      <c r="AY49" s="1">
        <v>10.391862549365349</v>
      </c>
      <c r="AZ49" s="1">
        <v>37.685848391122704</v>
      </c>
      <c r="BA49" s="1">
        <v>79.33206420832451</v>
      </c>
      <c r="BB49" s="1">
        <v>17.173216937085201</v>
      </c>
      <c r="BC49" s="1">
        <v>10.268680305557986</v>
      </c>
      <c r="BD49" s="1">
        <v>-11.122333160193133</v>
      </c>
      <c r="BE49" s="1">
        <v>14.192368622694818</v>
      </c>
      <c r="BF49" s="1">
        <v>-0.75379043643729604</v>
      </c>
      <c r="BG49" s="1">
        <v>-37.689925652130974</v>
      </c>
      <c r="BH49" s="1">
        <v>-0.92958387886378224</v>
      </c>
      <c r="BI49" s="1">
        <v>56.253514628062227</v>
      </c>
      <c r="BJ49" s="1">
        <v>37.035821102312873</v>
      </c>
      <c r="BK49" s="1">
        <v>-4.2599540334163137</v>
      </c>
      <c r="BL49" s="1">
        <v>2.1744725252991426</v>
      </c>
      <c r="BM49" s="1">
        <v>-5.6821603214319065</v>
      </c>
      <c r="BN49" s="1">
        <v>0</v>
      </c>
      <c r="BO49" s="1">
        <v>-3.9696682870152489</v>
      </c>
      <c r="BP49" s="1">
        <v>4.7686315360161657</v>
      </c>
      <c r="BQ49" s="1">
        <v>8.4368318456045763</v>
      </c>
      <c r="BR49" s="1">
        <v>-3.3373679105182408</v>
      </c>
      <c r="BS49" s="1">
        <v>8.0310475020310292</v>
      </c>
      <c r="BT49" s="1">
        <v>8.8024404223892905</v>
      </c>
    </row>
    <row r="50" spans="1:72" x14ac:dyDescent="0.35">
      <c r="A50" s="92">
        <v>44227</v>
      </c>
      <c r="B50" s="1" t="str">
        <f>VLOOKUP(A50,周期整合计算!A:G,7,0)</f>
        <v>周期1（景气值&gt;0，方向下降）</v>
      </c>
      <c r="C50" s="1" t="str">
        <f>IF(ISNUMBER(D50),COUNTIF(D$2:D50,"&gt;0"),"")</f>
        <v/>
      </c>
      <c r="D50" s="90" t="str">
        <f t="shared" si="24"/>
        <v/>
      </c>
      <c r="E50" s="1" t="str">
        <f>IF(ISNUMBER(F50),COUNTIF(F$2:F50,"&gt;0"),"")</f>
        <v/>
      </c>
      <c r="F50" s="90" t="str">
        <f t="shared" si="8"/>
        <v/>
      </c>
      <c r="H50" s="1">
        <v>49</v>
      </c>
      <c r="I50" s="93"/>
      <c r="J50" s="93"/>
    </row>
    <row r="51" spans="1:72" x14ac:dyDescent="0.35">
      <c r="A51" s="92">
        <v>44196</v>
      </c>
      <c r="B51" s="1" t="str">
        <f>VLOOKUP(A51,周期整合计算!A:G,7,0)</f>
        <v>周期1（景气值&gt;0，方向下降）</v>
      </c>
      <c r="C51" s="1" t="str">
        <f>IF(ISNUMBER(D51),COUNTIF(D$2:D51,"&gt;0"),"")</f>
        <v/>
      </c>
      <c r="D51" s="90" t="str">
        <f t="shared" si="24"/>
        <v/>
      </c>
      <c r="E51" s="1" t="str">
        <f>IF(ISNUMBER(F51),COUNTIF(F$2:F51,"&gt;0"),"")</f>
        <v/>
      </c>
      <c r="F51" s="90" t="str">
        <f t="shared" si="8"/>
        <v/>
      </c>
      <c r="H51" s="1">
        <v>50</v>
      </c>
      <c r="I51" s="93"/>
      <c r="J51" s="93"/>
    </row>
    <row r="52" spans="1:72" x14ac:dyDescent="0.35">
      <c r="A52" s="92">
        <v>44165</v>
      </c>
      <c r="B52" s="1" t="str">
        <f>VLOOKUP(A52,周期整合计算!A:G,7,0)</f>
        <v>周期1（景气值&gt;0，方向下降）</v>
      </c>
      <c r="C52" s="1" t="str">
        <f>IF(ISNUMBER(D52),COUNTIF(D$2:D52,"&gt;0"),"")</f>
        <v/>
      </c>
      <c r="D52" s="90" t="str">
        <f t="shared" si="24"/>
        <v/>
      </c>
      <c r="E52" s="1">
        <f>IF(ISNUMBER(F52),COUNTIF(F$2:F52,"&gt;0"),"")</f>
        <v>5</v>
      </c>
      <c r="F52" s="90">
        <f t="shared" si="8"/>
        <v>44165</v>
      </c>
      <c r="H52" s="1">
        <v>51</v>
      </c>
      <c r="I52" s="93"/>
      <c r="J52" s="93"/>
    </row>
    <row r="53" spans="1:72" x14ac:dyDescent="0.35">
      <c r="A53" s="92">
        <v>44135</v>
      </c>
      <c r="B53" s="1" t="str">
        <f>VLOOKUP(A53,周期整合计算!A:G,7,0)</f>
        <v>周期4（景气值&gt;0，方向上升）</v>
      </c>
      <c r="C53" s="1">
        <f>IF(ISNUMBER(D53),COUNTIF(D$2:D53,"&gt;0"),"")</f>
        <v>6</v>
      </c>
      <c r="D53" s="90">
        <f t="shared" si="24"/>
        <v>44135</v>
      </c>
      <c r="E53" s="1" t="str">
        <f>IF(ISNUMBER(F53),COUNTIF(F$2:F53,"&gt;0"),"")</f>
        <v/>
      </c>
      <c r="F53" s="90" t="str">
        <f t="shared" si="8"/>
        <v/>
      </c>
      <c r="H53" s="1">
        <v>52</v>
      </c>
      <c r="I53" s="93"/>
      <c r="J53" s="93"/>
    </row>
    <row r="54" spans="1:72" x14ac:dyDescent="0.35">
      <c r="A54" s="92">
        <v>44104</v>
      </c>
      <c r="B54" s="1" t="str">
        <f>VLOOKUP(A54,周期整合计算!A:G,7,0)</f>
        <v>周期4（景气值&gt;0，方向上升）</v>
      </c>
      <c r="C54" s="1" t="str">
        <f>IF(ISNUMBER(D54),COUNTIF(D$2:D54,"&gt;0"),"")</f>
        <v/>
      </c>
      <c r="D54" s="90" t="str">
        <f t="shared" si="24"/>
        <v/>
      </c>
      <c r="E54" s="1" t="str">
        <f>IF(ISNUMBER(F54),COUNTIF(F$2:F54,"&gt;0"),"")</f>
        <v/>
      </c>
      <c r="F54" s="90" t="str">
        <f t="shared" si="8"/>
        <v/>
      </c>
      <c r="H54" s="1">
        <v>53</v>
      </c>
      <c r="I54" s="93"/>
      <c r="J54" s="93"/>
    </row>
    <row r="55" spans="1:72" x14ac:dyDescent="0.35">
      <c r="A55" s="92">
        <v>44074</v>
      </c>
      <c r="B55" s="1" t="str">
        <f>VLOOKUP(A55,周期整合计算!A:G,7,0)</f>
        <v>周期4（景气值&gt;0，方向上升）</v>
      </c>
      <c r="C55" s="1" t="str">
        <f>IF(ISNUMBER(D55),COUNTIF(D$2:D55,"&gt;0"),"")</f>
        <v/>
      </c>
      <c r="D55" s="90" t="str">
        <f t="shared" si="24"/>
        <v/>
      </c>
      <c r="E55" s="1" t="str">
        <f>IF(ISNUMBER(F55),COUNTIF(F$2:F55,"&gt;0"),"")</f>
        <v/>
      </c>
      <c r="F55" s="90" t="str">
        <f t="shared" si="8"/>
        <v/>
      </c>
      <c r="H55" s="1">
        <v>54</v>
      </c>
      <c r="I55" s="93"/>
      <c r="J55" s="93"/>
    </row>
    <row r="56" spans="1:72" x14ac:dyDescent="0.35">
      <c r="A56" s="92">
        <v>44043</v>
      </c>
      <c r="B56" s="1" t="str">
        <f>VLOOKUP(A56,周期整合计算!A:G,7,0)</f>
        <v>周期4（景气值&gt;0，方向上升）</v>
      </c>
      <c r="C56" s="1" t="str">
        <f>IF(ISNUMBER(D56),COUNTIF(D$2:D56,"&gt;0"),"")</f>
        <v/>
      </c>
      <c r="D56" s="90" t="str">
        <f t="shared" si="24"/>
        <v/>
      </c>
      <c r="E56" s="1" t="str">
        <f>IF(ISNUMBER(F56),COUNTIF(F$2:F56,"&gt;0"),"")</f>
        <v/>
      </c>
      <c r="F56" s="90" t="str">
        <f t="shared" si="8"/>
        <v/>
      </c>
      <c r="H56" s="1">
        <v>55</v>
      </c>
      <c r="I56" s="93"/>
      <c r="J56" s="93"/>
    </row>
    <row r="57" spans="1:72" x14ac:dyDescent="0.35">
      <c r="A57" s="92">
        <v>44012</v>
      </c>
      <c r="B57" s="1" t="str">
        <f>VLOOKUP(A57,周期整合计算!A:G,7,0)</f>
        <v>周期4（景气值&gt;0，方向上升）</v>
      </c>
      <c r="C57" s="1" t="str">
        <f>IF(ISNUMBER(D57),COUNTIF(D$2:D57,"&gt;0"),"")</f>
        <v/>
      </c>
      <c r="D57" s="90" t="str">
        <f t="shared" si="24"/>
        <v/>
      </c>
      <c r="E57" s="1" t="str">
        <f>IF(ISNUMBER(F57),COUNTIF(F$2:F57,"&gt;0"),"")</f>
        <v/>
      </c>
      <c r="F57" s="90" t="str">
        <f t="shared" si="8"/>
        <v/>
      </c>
      <c r="H57" s="1">
        <v>56</v>
      </c>
      <c r="I57" s="93"/>
      <c r="J57" s="93"/>
    </row>
    <row r="58" spans="1:72" x14ac:dyDescent="0.35">
      <c r="A58" s="92">
        <v>43982</v>
      </c>
      <c r="B58" s="1" t="str">
        <f>VLOOKUP(A58,周期整合计算!A:G,7,0)</f>
        <v>周期4（景气值&gt;0，方向上升）</v>
      </c>
      <c r="C58" s="1" t="str">
        <f>IF(ISNUMBER(D58),COUNTIF(D$2:D58,"&gt;0"),"")</f>
        <v/>
      </c>
      <c r="D58" s="90" t="str">
        <f t="shared" si="24"/>
        <v/>
      </c>
      <c r="E58" s="1" t="str">
        <f>IF(ISNUMBER(F58),COUNTIF(F$2:F58,"&gt;0"),"")</f>
        <v/>
      </c>
      <c r="F58" s="90" t="str">
        <f t="shared" si="8"/>
        <v/>
      </c>
      <c r="H58" s="1">
        <v>57</v>
      </c>
      <c r="I58" s="93"/>
      <c r="J58" s="93"/>
    </row>
    <row r="59" spans="1:72" x14ac:dyDescent="0.35">
      <c r="A59" s="92">
        <v>43951</v>
      </c>
      <c r="B59" s="1" t="str">
        <f>VLOOKUP(A59,周期整合计算!A:G,7,0)</f>
        <v>周期4（景气值&gt;0，方向上升）</v>
      </c>
      <c r="C59" s="1" t="str">
        <f>IF(ISNUMBER(D59),COUNTIF(D$2:D59,"&gt;0"),"")</f>
        <v/>
      </c>
      <c r="D59" s="90" t="str">
        <f t="shared" si="24"/>
        <v/>
      </c>
      <c r="E59" s="1" t="str">
        <f>IF(ISNUMBER(F59),COUNTIF(F$2:F59,"&gt;0"),"")</f>
        <v/>
      </c>
      <c r="F59" s="90" t="str">
        <f t="shared" si="8"/>
        <v/>
      </c>
      <c r="H59" s="1">
        <v>58</v>
      </c>
      <c r="I59" s="93"/>
      <c r="J59" s="93"/>
    </row>
    <row r="60" spans="1:72" x14ac:dyDescent="0.35">
      <c r="A60" s="92">
        <v>43921</v>
      </c>
      <c r="B60" s="1" t="str">
        <f>VLOOKUP(A60,周期整合计算!A:G,7,0)</f>
        <v>周期4（景气值&gt;0，方向上升）</v>
      </c>
      <c r="C60" s="1" t="str">
        <f>IF(ISNUMBER(D60),COUNTIF(D$2:D60,"&gt;0"),"")</f>
        <v/>
      </c>
      <c r="D60" s="90" t="str">
        <f t="shared" si="24"/>
        <v/>
      </c>
      <c r="E60" s="1">
        <f>IF(ISNUMBER(F60),COUNTIF(F$2:F60,"&gt;0"),"")</f>
        <v>6</v>
      </c>
      <c r="F60" s="90">
        <f t="shared" si="8"/>
        <v>43921</v>
      </c>
      <c r="H60" s="1">
        <v>59</v>
      </c>
      <c r="I60" s="93"/>
      <c r="J60" s="93"/>
    </row>
    <row r="61" spans="1:72" x14ac:dyDescent="0.35">
      <c r="A61" s="92">
        <v>43890</v>
      </c>
      <c r="B61" s="1" t="str">
        <f>VLOOKUP(A61,周期整合计算!A:G,7,0)</f>
        <v>周期3（景气值&lt;0，方向上升）</v>
      </c>
      <c r="C61" s="1">
        <f>IF(ISNUMBER(D61),COUNTIF(D$2:D61,"&gt;0"),"")</f>
        <v>7</v>
      </c>
      <c r="D61" s="90">
        <f t="shared" si="24"/>
        <v>43890</v>
      </c>
      <c r="E61" s="1" t="str">
        <f>IF(ISNUMBER(F61),COUNTIF(F$2:F61,"&gt;0"),"")</f>
        <v/>
      </c>
      <c r="F61" s="90" t="str">
        <f t="shared" si="8"/>
        <v/>
      </c>
      <c r="H61" s="1">
        <v>60</v>
      </c>
      <c r="I61" s="93"/>
      <c r="J61" s="93"/>
    </row>
    <row r="62" spans="1:72" x14ac:dyDescent="0.35">
      <c r="A62" s="92">
        <v>43861</v>
      </c>
      <c r="B62" s="1" t="str">
        <f>VLOOKUP(A62,周期整合计算!A:G,7,0)</f>
        <v>周期3（景气值&lt;0，方向上升）</v>
      </c>
      <c r="C62" s="1" t="str">
        <f>IF(ISNUMBER(D62),COUNTIF(D$2:D62,"&gt;0"),"")</f>
        <v/>
      </c>
      <c r="D62" s="90" t="str">
        <f t="shared" si="24"/>
        <v/>
      </c>
      <c r="E62" s="1" t="str">
        <f>IF(ISNUMBER(F62),COUNTIF(F$2:F62,"&gt;0"),"")</f>
        <v/>
      </c>
      <c r="F62" s="90" t="str">
        <f t="shared" si="8"/>
        <v/>
      </c>
      <c r="H62" s="1">
        <v>61</v>
      </c>
      <c r="I62" s="93"/>
      <c r="J62" s="93"/>
    </row>
    <row r="63" spans="1:72" x14ac:dyDescent="0.35">
      <c r="A63" s="92">
        <v>43830</v>
      </c>
      <c r="B63" s="1" t="str">
        <f>VLOOKUP(A63,周期整合计算!A:G,7,0)</f>
        <v>周期3（景气值&lt;0，方向上升）</v>
      </c>
      <c r="C63" s="1" t="str">
        <f>IF(ISNUMBER(D63),COUNTIF(D$2:D63,"&gt;0"),"")</f>
        <v/>
      </c>
      <c r="D63" s="90" t="str">
        <f t="shared" si="24"/>
        <v/>
      </c>
      <c r="E63" s="1" t="str">
        <f>IF(ISNUMBER(F63),COUNTIF(F$2:F63,"&gt;0"),"")</f>
        <v/>
      </c>
      <c r="F63" s="90" t="str">
        <f t="shared" si="8"/>
        <v/>
      </c>
      <c r="H63" s="1">
        <v>62</v>
      </c>
      <c r="I63" s="93"/>
      <c r="J63" s="93"/>
    </row>
    <row r="64" spans="1:72" x14ac:dyDescent="0.35">
      <c r="A64" s="92">
        <v>43799</v>
      </c>
      <c r="B64" s="1" t="str">
        <f>VLOOKUP(A64,周期整合计算!A:G,7,0)</f>
        <v>周期3（景气值&lt;0，方向上升）</v>
      </c>
      <c r="C64" s="1" t="str">
        <f>IF(ISNUMBER(D64),COUNTIF(D$2:D64,"&gt;0"),"")</f>
        <v/>
      </c>
      <c r="D64" s="90" t="str">
        <f t="shared" si="24"/>
        <v/>
      </c>
      <c r="E64" s="1" t="str">
        <f>IF(ISNUMBER(F64),COUNTIF(F$2:F64,"&gt;0"),"")</f>
        <v/>
      </c>
      <c r="F64" s="90" t="str">
        <f t="shared" si="8"/>
        <v/>
      </c>
      <c r="H64" s="1">
        <v>63</v>
      </c>
      <c r="I64" s="93"/>
      <c r="J64" s="93"/>
    </row>
    <row r="65" spans="1:10" x14ac:dyDescent="0.35">
      <c r="A65" s="92">
        <v>43769</v>
      </c>
      <c r="B65" s="1" t="str">
        <f>VLOOKUP(A65,周期整合计算!A:G,7,0)</f>
        <v>周期3（景气值&lt;0，方向上升）</v>
      </c>
      <c r="C65" s="1" t="str">
        <f>IF(ISNUMBER(D65),COUNTIF(D$2:D65,"&gt;0"),"")</f>
        <v/>
      </c>
      <c r="D65" s="90" t="str">
        <f t="shared" si="24"/>
        <v/>
      </c>
      <c r="E65" s="1" t="str">
        <f>IF(ISNUMBER(F65),COUNTIF(F$2:F65,"&gt;0"),"")</f>
        <v/>
      </c>
      <c r="F65" s="90" t="str">
        <f t="shared" si="8"/>
        <v/>
      </c>
      <c r="H65" s="1">
        <v>64</v>
      </c>
      <c r="I65" s="93"/>
      <c r="J65" s="93"/>
    </row>
    <row r="66" spans="1:10" x14ac:dyDescent="0.35">
      <c r="A66" s="92">
        <v>43738</v>
      </c>
      <c r="B66" s="1" t="str">
        <f>VLOOKUP(A66,周期整合计算!A:G,7,0)</f>
        <v>周期3（景气值&lt;0，方向上升）</v>
      </c>
      <c r="C66" s="1" t="str">
        <f>IF(ISNUMBER(D66),COUNTIF(D$2:D66,"&gt;0"),"")</f>
        <v/>
      </c>
      <c r="D66" s="90" t="str">
        <f t="shared" si="24"/>
        <v/>
      </c>
      <c r="E66" s="1" t="str">
        <f>IF(ISNUMBER(F66),COUNTIF(F$2:F66,"&gt;0"),"")</f>
        <v/>
      </c>
      <c r="F66" s="90" t="str">
        <f t="shared" si="8"/>
        <v/>
      </c>
      <c r="H66" s="1">
        <v>65</v>
      </c>
      <c r="I66" s="93"/>
      <c r="J66" s="93"/>
    </row>
    <row r="67" spans="1:10" x14ac:dyDescent="0.35">
      <c r="A67" s="92">
        <v>43708</v>
      </c>
      <c r="B67" s="1" t="str">
        <f>VLOOKUP(A67,周期整合计算!A:G,7,0)</f>
        <v>周期3（景气值&lt;0，方向上升）</v>
      </c>
      <c r="C67" s="1" t="str">
        <f>IF(ISNUMBER(D67),COUNTIF(D$2:D67,"&gt;0"),"")</f>
        <v/>
      </c>
      <c r="D67" s="90" t="str">
        <f t="shared" si="24"/>
        <v/>
      </c>
      <c r="E67" s="1" t="str">
        <f>IF(ISNUMBER(F67),COUNTIF(F$2:F67,"&gt;0"),"")</f>
        <v/>
      </c>
      <c r="F67" s="90" t="str">
        <f t="shared" si="8"/>
        <v/>
      </c>
      <c r="H67" s="1">
        <v>66</v>
      </c>
      <c r="I67" s="93"/>
      <c r="J67" s="93"/>
    </row>
    <row r="68" spans="1:10" x14ac:dyDescent="0.35">
      <c r="A68" s="92">
        <v>43677</v>
      </c>
      <c r="B68" s="1" t="str">
        <f>VLOOKUP(A68,周期整合计算!A:G,7,0)</f>
        <v>周期3（景气值&lt;0，方向上升）</v>
      </c>
      <c r="C68" s="1" t="str">
        <f>IF(ISNUMBER(D68),COUNTIF(D$2:D68,"&gt;0"),"")</f>
        <v/>
      </c>
      <c r="D68" s="90" t="str">
        <f t="shared" si="24"/>
        <v/>
      </c>
      <c r="E68" s="1" t="str">
        <f>IF(ISNUMBER(F68),COUNTIF(F$2:F68,"&gt;0"),"")</f>
        <v/>
      </c>
      <c r="F68" s="90" t="str">
        <f t="shared" si="8"/>
        <v/>
      </c>
      <c r="H68" s="1">
        <v>67</v>
      </c>
      <c r="I68" s="93"/>
      <c r="J68" s="93"/>
    </row>
    <row r="69" spans="1:10" x14ac:dyDescent="0.35">
      <c r="A69" s="92">
        <v>43646</v>
      </c>
      <c r="B69" s="1" t="str">
        <f>VLOOKUP(A69,周期整合计算!A:G,7,0)</f>
        <v>周期3（景气值&lt;0，方向上升）</v>
      </c>
      <c r="C69" s="1" t="str">
        <f>IF(ISNUMBER(D69),COUNTIF(D$2:D69,"&gt;0"),"")</f>
        <v/>
      </c>
      <c r="D69" s="90" t="str">
        <f t="shared" si="24"/>
        <v/>
      </c>
      <c r="E69" s="1" t="str">
        <f>IF(ISNUMBER(F69),COUNTIF(F$2:F69,"&gt;0"),"")</f>
        <v/>
      </c>
      <c r="F69" s="90" t="str">
        <f t="shared" si="8"/>
        <v/>
      </c>
      <c r="H69" s="1">
        <v>68</v>
      </c>
      <c r="I69" s="93"/>
      <c r="J69" s="93"/>
    </row>
    <row r="70" spans="1:10" x14ac:dyDescent="0.35">
      <c r="A70" s="92">
        <v>43616</v>
      </c>
      <c r="B70" s="1" t="str">
        <f>VLOOKUP(A70,周期整合计算!A:G,7,0)</f>
        <v>周期3（景气值&lt;0，方向上升）</v>
      </c>
      <c r="C70" s="1" t="str">
        <f>IF(ISNUMBER(D70),COUNTIF(D$2:D70,"&gt;0"),"")</f>
        <v/>
      </c>
      <c r="D70" s="90" t="str">
        <f t="shared" si="24"/>
        <v/>
      </c>
      <c r="E70" s="1" t="str">
        <f>IF(ISNUMBER(F70),COUNTIF(F$2:F70,"&gt;0"),"")</f>
        <v/>
      </c>
      <c r="F70" s="90" t="str">
        <f t="shared" si="8"/>
        <v/>
      </c>
      <c r="H70" s="1">
        <v>69</v>
      </c>
      <c r="I70" s="93"/>
      <c r="J70" s="93"/>
    </row>
    <row r="71" spans="1:10" x14ac:dyDescent="0.35">
      <c r="A71" s="92">
        <v>43585</v>
      </c>
      <c r="B71" s="1" t="str">
        <f>VLOOKUP(A71,周期整合计算!A:G,7,0)</f>
        <v>周期3（景气值&lt;0，方向上升）</v>
      </c>
      <c r="C71" s="1" t="str">
        <f>IF(ISNUMBER(D71),COUNTIF(D$2:D71,"&gt;0"),"")</f>
        <v/>
      </c>
      <c r="D71" s="90" t="str">
        <f t="shared" si="24"/>
        <v/>
      </c>
      <c r="E71" s="1" t="str">
        <f>IF(ISNUMBER(F71),COUNTIF(F$2:F71,"&gt;0"),"")</f>
        <v/>
      </c>
      <c r="F71" s="90" t="str">
        <f t="shared" si="8"/>
        <v/>
      </c>
      <c r="H71" s="1">
        <v>70</v>
      </c>
      <c r="I71" s="93"/>
      <c r="J71" s="93"/>
    </row>
    <row r="72" spans="1:10" x14ac:dyDescent="0.35">
      <c r="A72" s="92">
        <v>43555</v>
      </c>
      <c r="B72" s="1" t="str">
        <f>VLOOKUP(A72,周期整合计算!A:G,7,0)</f>
        <v>周期3（景气值&lt;0，方向上升）</v>
      </c>
      <c r="C72" s="1" t="str">
        <f>IF(ISNUMBER(D72),COUNTIF(D$2:D72,"&gt;0"),"")</f>
        <v/>
      </c>
      <c r="D72" s="90" t="str">
        <f t="shared" si="24"/>
        <v/>
      </c>
      <c r="E72" s="1" t="str">
        <f>IF(ISNUMBER(F72),COUNTIF(F$2:F72,"&gt;0"),"")</f>
        <v/>
      </c>
      <c r="F72" s="90" t="str">
        <f t="shared" si="8"/>
        <v/>
      </c>
      <c r="H72" s="1">
        <v>71</v>
      </c>
      <c r="I72" s="93"/>
      <c r="J72" s="93"/>
    </row>
    <row r="73" spans="1:10" x14ac:dyDescent="0.35">
      <c r="A73" s="92">
        <v>43524</v>
      </c>
      <c r="B73" s="1" t="str">
        <f>VLOOKUP(A73,周期整合计算!A:G,7,0)</f>
        <v>周期3（景气值&lt;0，方向上升）</v>
      </c>
      <c r="C73" s="1" t="str">
        <f>IF(ISNUMBER(D73),COUNTIF(D$2:D73,"&gt;0"),"")</f>
        <v/>
      </c>
      <c r="D73" s="90" t="str">
        <f t="shared" si="24"/>
        <v/>
      </c>
      <c r="E73" s="1" t="str">
        <f>IF(ISNUMBER(F73),COUNTIF(F$2:F73,"&gt;0"),"")</f>
        <v/>
      </c>
      <c r="F73" s="90" t="str">
        <f t="shared" si="8"/>
        <v/>
      </c>
      <c r="H73" s="1">
        <v>72</v>
      </c>
      <c r="I73" s="93"/>
      <c r="J73" s="93"/>
    </row>
    <row r="74" spans="1:10" x14ac:dyDescent="0.35">
      <c r="A74" s="92">
        <v>43496</v>
      </c>
      <c r="B74" s="1" t="str">
        <f>VLOOKUP(A74,周期整合计算!A:G,7,0)</f>
        <v>周期3（景气值&lt;0，方向上升）</v>
      </c>
      <c r="C74" s="1" t="str">
        <f>IF(ISNUMBER(D74),COUNTIF(D$2:D74,"&gt;0"),"")</f>
        <v/>
      </c>
      <c r="D74" s="90" t="str">
        <f t="shared" ref="D74:D137" si="25">IF(B73=B74,"",A74)</f>
        <v/>
      </c>
      <c r="E74" s="1" t="str">
        <f>IF(ISNUMBER(F74),COUNTIF(F$2:F74,"&gt;0"),"")</f>
        <v/>
      </c>
      <c r="F74" s="90" t="str">
        <f t="shared" ref="F74:F137" si="26">IF(B74=B75,"",A74)</f>
        <v/>
      </c>
      <c r="H74" s="1">
        <v>73</v>
      </c>
      <c r="I74" s="93"/>
      <c r="J74" s="93"/>
    </row>
    <row r="75" spans="1:10" x14ac:dyDescent="0.35">
      <c r="A75" s="92">
        <v>43465</v>
      </c>
      <c r="B75" s="1" t="str">
        <f>VLOOKUP(A75,周期整合计算!A:G,7,0)</f>
        <v>周期3（景气值&lt;0，方向上升）</v>
      </c>
      <c r="C75" s="1" t="str">
        <f>IF(ISNUMBER(D75),COUNTIF(D$2:D75,"&gt;0"),"")</f>
        <v/>
      </c>
      <c r="D75" s="90" t="str">
        <f t="shared" si="25"/>
        <v/>
      </c>
      <c r="E75" s="1" t="str">
        <f>IF(ISNUMBER(F75),COUNTIF(F$2:F75,"&gt;0"),"")</f>
        <v/>
      </c>
      <c r="F75" s="90" t="str">
        <f t="shared" si="26"/>
        <v/>
      </c>
      <c r="H75" s="1">
        <v>74</v>
      </c>
      <c r="I75" s="93"/>
      <c r="J75" s="93"/>
    </row>
    <row r="76" spans="1:10" x14ac:dyDescent="0.35">
      <c r="A76" s="92">
        <v>43434</v>
      </c>
      <c r="B76" s="1" t="str">
        <f>VLOOKUP(A76,周期整合计算!A:G,7,0)</f>
        <v>周期3（景气值&lt;0，方向上升）</v>
      </c>
      <c r="C76" s="1" t="str">
        <f>IF(ISNUMBER(D76),COUNTIF(D$2:D76,"&gt;0"),"")</f>
        <v/>
      </c>
      <c r="D76" s="90" t="str">
        <f t="shared" si="25"/>
        <v/>
      </c>
      <c r="E76" s="1" t="str">
        <f>IF(ISNUMBER(F76),COUNTIF(F$2:F76,"&gt;0"),"")</f>
        <v/>
      </c>
      <c r="F76" s="90" t="str">
        <f t="shared" si="26"/>
        <v/>
      </c>
      <c r="H76" s="1">
        <v>75</v>
      </c>
      <c r="I76" s="93"/>
      <c r="J76" s="93"/>
    </row>
    <row r="77" spans="1:10" x14ac:dyDescent="0.35">
      <c r="A77" s="92">
        <v>43404</v>
      </c>
      <c r="B77" s="1" t="str">
        <f>VLOOKUP(A77,周期整合计算!A:G,7,0)</f>
        <v>周期3（景气值&lt;0，方向上升）</v>
      </c>
      <c r="C77" s="1" t="str">
        <f>IF(ISNUMBER(D77),COUNTIF(D$2:D77,"&gt;0"),"")</f>
        <v/>
      </c>
      <c r="D77" s="90" t="str">
        <f t="shared" si="25"/>
        <v/>
      </c>
      <c r="E77" s="1">
        <f>IF(ISNUMBER(F77),COUNTIF(F$2:F77,"&gt;0"),"")</f>
        <v>7</v>
      </c>
      <c r="F77" s="90">
        <f t="shared" si="26"/>
        <v>43404</v>
      </c>
      <c r="H77" s="1">
        <v>76</v>
      </c>
      <c r="I77" s="93"/>
      <c r="J77" s="93"/>
    </row>
    <row r="78" spans="1:10" x14ac:dyDescent="0.35">
      <c r="A78" s="92">
        <v>43373</v>
      </c>
      <c r="B78" s="1" t="str">
        <f>VLOOKUP(A78,周期整合计算!A:G,7,0)</f>
        <v>周期2（景气值&lt;0，方向下降）</v>
      </c>
      <c r="C78" s="1">
        <f>IF(ISNUMBER(D78),COUNTIF(D$2:D78,"&gt;0"),"")</f>
        <v>8</v>
      </c>
      <c r="D78" s="90">
        <f t="shared" si="25"/>
        <v>43373</v>
      </c>
      <c r="E78" s="1" t="str">
        <f>IF(ISNUMBER(F78),COUNTIF(F$2:F78,"&gt;0"),"")</f>
        <v/>
      </c>
      <c r="F78" s="90" t="str">
        <f t="shared" si="26"/>
        <v/>
      </c>
      <c r="H78" s="1">
        <v>77</v>
      </c>
      <c r="I78" s="93"/>
      <c r="J78" s="93"/>
    </row>
    <row r="79" spans="1:10" x14ac:dyDescent="0.35">
      <c r="A79" s="92">
        <v>43343</v>
      </c>
      <c r="B79" s="1" t="str">
        <f>VLOOKUP(A79,周期整合计算!A:G,7,0)</f>
        <v>周期2（景气值&lt;0，方向下降）</v>
      </c>
      <c r="C79" s="1" t="str">
        <f>IF(ISNUMBER(D79),COUNTIF(D$2:D79,"&gt;0"),"")</f>
        <v/>
      </c>
      <c r="D79" s="90" t="str">
        <f t="shared" si="25"/>
        <v/>
      </c>
      <c r="E79" s="1" t="str">
        <f>IF(ISNUMBER(F79),COUNTIF(F$2:F79,"&gt;0"),"")</f>
        <v/>
      </c>
      <c r="F79" s="90" t="str">
        <f t="shared" si="26"/>
        <v/>
      </c>
      <c r="H79" s="1">
        <v>78</v>
      </c>
      <c r="I79" s="93"/>
      <c r="J79" s="93"/>
    </row>
    <row r="80" spans="1:10" x14ac:dyDescent="0.35">
      <c r="A80" s="92">
        <v>43312</v>
      </c>
      <c r="B80" s="1" t="str">
        <f>VLOOKUP(A80,周期整合计算!A:G,7,0)</f>
        <v>周期2（景气值&lt;0，方向下降）</v>
      </c>
      <c r="C80" s="1" t="str">
        <f>IF(ISNUMBER(D80),COUNTIF(D$2:D80,"&gt;0"),"")</f>
        <v/>
      </c>
      <c r="D80" s="90" t="str">
        <f t="shared" si="25"/>
        <v/>
      </c>
      <c r="E80" s="1" t="str">
        <f>IF(ISNUMBER(F80),COUNTIF(F$2:F80,"&gt;0"),"")</f>
        <v/>
      </c>
      <c r="F80" s="90" t="str">
        <f t="shared" si="26"/>
        <v/>
      </c>
      <c r="H80" s="1">
        <v>79</v>
      </c>
      <c r="I80" s="93"/>
      <c r="J80" s="93"/>
    </row>
    <row r="81" spans="1:10" x14ac:dyDescent="0.35">
      <c r="A81" s="92">
        <v>43281</v>
      </c>
      <c r="B81" s="1" t="str">
        <f>VLOOKUP(A81,周期整合计算!A:G,7,0)</f>
        <v>周期2（景气值&lt;0，方向下降）</v>
      </c>
      <c r="C81" s="1" t="str">
        <f>IF(ISNUMBER(D81),COUNTIF(D$2:D81,"&gt;0"),"")</f>
        <v/>
      </c>
      <c r="D81" s="90" t="str">
        <f t="shared" si="25"/>
        <v/>
      </c>
      <c r="E81" s="1" t="str">
        <f>IF(ISNUMBER(F81),COUNTIF(F$2:F81,"&gt;0"),"")</f>
        <v/>
      </c>
      <c r="F81" s="90" t="str">
        <f t="shared" si="26"/>
        <v/>
      </c>
      <c r="H81" s="1">
        <v>80</v>
      </c>
      <c r="I81" s="93"/>
      <c r="J81" s="93"/>
    </row>
    <row r="82" spans="1:10" x14ac:dyDescent="0.35">
      <c r="A82" s="92">
        <v>43251</v>
      </c>
      <c r="B82" s="1" t="str">
        <f>VLOOKUP(A82,周期整合计算!A:G,7,0)</f>
        <v>周期2（景气值&lt;0，方向下降）</v>
      </c>
      <c r="C82" s="1" t="str">
        <f>IF(ISNUMBER(D82),COUNTIF(D$2:D82,"&gt;0"),"")</f>
        <v/>
      </c>
      <c r="D82" s="90" t="str">
        <f t="shared" si="25"/>
        <v/>
      </c>
      <c r="E82" s="1" t="str">
        <f>IF(ISNUMBER(F82),COUNTIF(F$2:F82,"&gt;0"),"")</f>
        <v/>
      </c>
      <c r="F82" s="90" t="str">
        <f t="shared" si="26"/>
        <v/>
      </c>
      <c r="H82" s="1">
        <v>81</v>
      </c>
      <c r="I82" s="93"/>
      <c r="J82" s="93"/>
    </row>
    <row r="83" spans="1:10" x14ac:dyDescent="0.35">
      <c r="A83" s="92">
        <v>43220</v>
      </c>
      <c r="B83" s="1" t="str">
        <f>VLOOKUP(A83,周期整合计算!A:G,7,0)</f>
        <v>周期2（景气值&lt;0，方向下降）</v>
      </c>
      <c r="C83" s="1" t="str">
        <f>IF(ISNUMBER(D83),COUNTIF(D$2:D83,"&gt;0"),"")</f>
        <v/>
      </c>
      <c r="D83" s="90" t="str">
        <f t="shared" si="25"/>
        <v/>
      </c>
      <c r="E83" s="1">
        <f>IF(ISNUMBER(F83),COUNTIF(F$2:F83,"&gt;0"),"")</f>
        <v>8</v>
      </c>
      <c r="F83" s="90">
        <f t="shared" si="26"/>
        <v>43220</v>
      </c>
      <c r="H83" s="1">
        <v>82</v>
      </c>
      <c r="I83" s="93"/>
      <c r="J83" s="93"/>
    </row>
    <row r="84" spans="1:10" x14ac:dyDescent="0.35">
      <c r="A84" s="92">
        <v>43190</v>
      </c>
      <c r="B84" s="1" t="str">
        <f>VLOOKUP(A84,周期整合计算!A:G,7,0)</f>
        <v>周期1（景气值&gt;0，方向下降）</v>
      </c>
      <c r="C84" s="1">
        <f>IF(ISNUMBER(D84),COUNTIF(D$2:D84,"&gt;0"),"")</f>
        <v>9</v>
      </c>
      <c r="D84" s="90">
        <f t="shared" si="25"/>
        <v>43190</v>
      </c>
      <c r="E84" s="1" t="str">
        <f>IF(ISNUMBER(F84),COUNTIF(F$2:F84,"&gt;0"),"")</f>
        <v/>
      </c>
      <c r="F84" s="90" t="str">
        <f t="shared" si="26"/>
        <v/>
      </c>
      <c r="H84" s="1">
        <v>83</v>
      </c>
      <c r="I84" s="93"/>
      <c r="J84" s="93"/>
    </row>
    <row r="85" spans="1:10" x14ac:dyDescent="0.35">
      <c r="A85" s="92">
        <v>43159</v>
      </c>
      <c r="B85" s="1" t="str">
        <f>VLOOKUP(A85,周期整合计算!A:G,7,0)</f>
        <v>周期1（景气值&gt;0，方向下降）</v>
      </c>
      <c r="C85" s="1" t="str">
        <f>IF(ISNUMBER(D85),COUNTIF(D$2:D85,"&gt;0"),"")</f>
        <v/>
      </c>
      <c r="D85" s="90" t="str">
        <f t="shared" si="25"/>
        <v/>
      </c>
      <c r="E85" s="1" t="str">
        <f>IF(ISNUMBER(F85),COUNTIF(F$2:F85,"&gt;0"),"")</f>
        <v/>
      </c>
      <c r="F85" s="90" t="str">
        <f t="shared" si="26"/>
        <v/>
      </c>
      <c r="H85" s="1">
        <v>84</v>
      </c>
      <c r="I85" s="93"/>
      <c r="J85" s="93"/>
    </row>
    <row r="86" spans="1:10" x14ac:dyDescent="0.35">
      <c r="A86" s="92">
        <v>43131</v>
      </c>
      <c r="B86" s="1" t="str">
        <f>VLOOKUP(A86,周期整合计算!A:G,7,0)</f>
        <v>周期1（景气值&gt;0，方向下降）</v>
      </c>
      <c r="C86" s="1" t="str">
        <f>IF(ISNUMBER(D86),COUNTIF(D$2:D86,"&gt;0"),"")</f>
        <v/>
      </c>
      <c r="D86" s="90" t="str">
        <f t="shared" si="25"/>
        <v/>
      </c>
      <c r="E86" s="1" t="str">
        <f>IF(ISNUMBER(F86),COUNTIF(F$2:F86,"&gt;0"),"")</f>
        <v/>
      </c>
      <c r="F86" s="90" t="str">
        <f t="shared" si="26"/>
        <v/>
      </c>
      <c r="H86" s="1">
        <v>85</v>
      </c>
      <c r="I86" s="93"/>
      <c r="J86" s="93"/>
    </row>
    <row r="87" spans="1:10" x14ac:dyDescent="0.35">
      <c r="A87" s="92">
        <v>43100</v>
      </c>
      <c r="B87" s="1" t="str">
        <f>VLOOKUP(A87,周期整合计算!A:G,7,0)</f>
        <v>周期1（景气值&gt;0，方向下降）</v>
      </c>
      <c r="C87" s="1" t="str">
        <f>IF(ISNUMBER(D87),COUNTIF(D$2:D87,"&gt;0"),"")</f>
        <v/>
      </c>
      <c r="D87" s="90" t="str">
        <f t="shared" si="25"/>
        <v/>
      </c>
      <c r="E87" s="1" t="str">
        <f>IF(ISNUMBER(F87),COUNTIF(F$2:F87,"&gt;0"),"")</f>
        <v/>
      </c>
      <c r="F87" s="90" t="str">
        <f t="shared" si="26"/>
        <v/>
      </c>
      <c r="H87" s="1">
        <v>86</v>
      </c>
      <c r="I87" s="93"/>
      <c r="J87" s="93"/>
    </row>
    <row r="88" spans="1:10" x14ac:dyDescent="0.35">
      <c r="A88" s="92">
        <v>43069</v>
      </c>
      <c r="B88" s="1" t="str">
        <f>VLOOKUP(A88,周期整合计算!A:G,7,0)</f>
        <v>周期1（景气值&gt;0，方向下降）</v>
      </c>
      <c r="C88" s="1" t="str">
        <f>IF(ISNUMBER(D88),COUNTIF(D$2:D88,"&gt;0"),"")</f>
        <v/>
      </c>
      <c r="D88" s="90" t="str">
        <f t="shared" si="25"/>
        <v/>
      </c>
      <c r="E88" s="1" t="str">
        <f>IF(ISNUMBER(F88),COUNTIF(F$2:F88,"&gt;0"),"")</f>
        <v/>
      </c>
      <c r="F88" s="90" t="str">
        <f t="shared" si="26"/>
        <v/>
      </c>
      <c r="H88" s="1">
        <v>87</v>
      </c>
      <c r="I88" s="93"/>
      <c r="J88" s="93"/>
    </row>
    <row r="89" spans="1:10" x14ac:dyDescent="0.35">
      <c r="A89" s="92">
        <v>43039</v>
      </c>
      <c r="B89" s="1" t="str">
        <f>VLOOKUP(A89,周期整合计算!A:G,7,0)</f>
        <v>周期1（景气值&gt;0，方向下降）</v>
      </c>
      <c r="C89" s="1" t="str">
        <f>IF(ISNUMBER(D89),COUNTIF(D$2:D89,"&gt;0"),"")</f>
        <v/>
      </c>
      <c r="D89" s="90" t="str">
        <f t="shared" si="25"/>
        <v/>
      </c>
      <c r="E89" s="1" t="str">
        <f>IF(ISNUMBER(F89),COUNTIF(F$2:F89,"&gt;0"),"")</f>
        <v/>
      </c>
      <c r="F89" s="90" t="str">
        <f t="shared" si="26"/>
        <v/>
      </c>
      <c r="H89" s="1">
        <v>88</v>
      </c>
      <c r="I89" s="93"/>
      <c r="J89" s="93"/>
    </row>
    <row r="90" spans="1:10" x14ac:dyDescent="0.35">
      <c r="A90" s="92">
        <v>43008</v>
      </c>
      <c r="B90" s="1" t="str">
        <f>VLOOKUP(A90,周期整合计算!A:G,7,0)</f>
        <v>周期1（景气值&gt;0，方向下降）</v>
      </c>
      <c r="C90" s="1" t="str">
        <f>IF(ISNUMBER(D90),COUNTIF(D$2:D90,"&gt;0"),"")</f>
        <v/>
      </c>
      <c r="D90" s="90" t="str">
        <f t="shared" si="25"/>
        <v/>
      </c>
      <c r="E90" s="1" t="str">
        <f>IF(ISNUMBER(F90),COUNTIF(F$2:F90,"&gt;0"),"")</f>
        <v/>
      </c>
      <c r="F90" s="90" t="str">
        <f t="shared" si="26"/>
        <v/>
      </c>
      <c r="H90" s="1">
        <v>89</v>
      </c>
      <c r="I90" s="93"/>
      <c r="J90" s="93"/>
    </row>
    <row r="91" spans="1:10" x14ac:dyDescent="0.35">
      <c r="A91" s="92">
        <v>42978</v>
      </c>
      <c r="B91" s="1" t="str">
        <f>VLOOKUP(A91,周期整合计算!A:G,7,0)</f>
        <v>周期1（景气值&gt;0，方向下降）</v>
      </c>
      <c r="C91" s="1" t="str">
        <f>IF(ISNUMBER(D91),COUNTIF(D$2:D91,"&gt;0"),"")</f>
        <v/>
      </c>
      <c r="D91" s="90" t="str">
        <f t="shared" si="25"/>
        <v/>
      </c>
      <c r="E91" s="1" t="str">
        <f>IF(ISNUMBER(F91),COUNTIF(F$2:F91,"&gt;0"),"")</f>
        <v/>
      </c>
      <c r="F91" s="90" t="str">
        <f t="shared" si="26"/>
        <v/>
      </c>
      <c r="H91" s="1">
        <v>90</v>
      </c>
      <c r="I91" s="93"/>
      <c r="J91" s="93"/>
    </row>
    <row r="92" spans="1:10" x14ac:dyDescent="0.35">
      <c r="A92" s="92">
        <v>42947</v>
      </c>
      <c r="B92" s="1" t="str">
        <f>VLOOKUP(A92,周期整合计算!A:G,7,0)</f>
        <v>周期1（景气值&gt;0，方向下降）</v>
      </c>
      <c r="C92" s="1" t="str">
        <f>IF(ISNUMBER(D92),COUNTIF(D$2:D92,"&gt;0"),"")</f>
        <v/>
      </c>
      <c r="D92" s="90" t="str">
        <f t="shared" si="25"/>
        <v/>
      </c>
      <c r="E92" s="1" t="str">
        <f>IF(ISNUMBER(F92),COUNTIF(F$2:F92,"&gt;0"),"")</f>
        <v/>
      </c>
      <c r="F92" s="90" t="str">
        <f t="shared" si="26"/>
        <v/>
      </c>
      <c r="H92" s="1">
        <v>91</v>
      </c>
      <c r="I92" s="93"/>
      <c r="J92" s="93"/>
    </row>
    <row r="93" spans="1:10" x14ac:dyDescent="0.35">
      <c r="A93" s="92">
        <v>42916</v>
      </c>
      <c r="B93" s="1" t="str">
        <f>VLOOKUP(A93,周期整合计算!A:G,7,0)</f>
        <v>周期1（景气值&gt;0，方向下降）</v>
      </c>
      <c r="C93" s="1" t="str">
        <f>IF(ISNUMBER(D93),COUNTIF(D$2:D93,"&gt;0"),"")</f>
        <v/>
      </c>
      <c r="D93" s="90" t="str">
        <f t="shared" si="25"/>
        <v/>
      </c>
      <c r="E93" s="1" t="str">
        <f>IF(ISNUMBER(F93),COUNTIF(F$2:F93,"&gt;0"),"")</f>
        <v/>
      </c>
      <c r="F93" s="90" t="str">
        <f t="shared" si="26"/>
        <v/>
      </c>
      <c r="H93" s="1">
        <v>92</v>
      </c>
      <c r="I93" s="93"/>
      <c r="J93" s="93"/>
    </row>
    <row r="94" spans="1:10" x14ac:dyDescent="0.35">
      <c r="A94" s="92">
        <v>42886</v>
      </c>
      <c r="B94" s="1" t="str">
        <f>VLOOKUP(A94,周期整合计算!A:G,7,0)</f>
        <v>周期1（景气值&gt;0，方向下降）</v>
      </c>
      <c r="C94" s="1" t="str">
        <f>IF(ISNUMBER(D94),COUNTIF(D$2:D94,"&gt;0"),"")</f>
        <v/>
      </c>
      <c r="D94" s="90" t="str">
        <f t="shared" si="25"/>
        <v/>
      </c>
      <c r="E94" s="1" t="str">
        <f>IF(ISNUMBER(F94),COUNTIF(F$2:F94,"&gt;0"),"")</f>
        <v/>
      </c>
      <c r="F94" s="90" t="str">
        <f t="shared" si="26"/>
        <v/>
      </c>
      <c r="H94" s="1">
        <v>93</v>
      </c>
      <c r="I94" s="93"/>
      <c r="J94" s="93"/>
    </row>
    <row r="95" spans="1:10" x14ac:dyDescent="0.35">
      <c r="A95" s="92">
        <v>42855</v>
      </c>
      <c r="B95" s="1" t="str">
        <f>VLOOKUP(A95,周期整合计算!A:G,7,0)</f>
        <v>周期1（景气值&gt;0，方向下降）</v>
      </c>
      <c r="C95" s="1" t="str">
        <f>IF(ISNUMBER(D95),COUNTIF(D$2:D95,"&gt;0"),"")</f>
        <v/>
      </c>
      <c r="D95" s="90" t="str">
        <f t="shared" si="25"/>
        <v/>
      </c>
      <c r="E95" s="1" t="str">
        <f>IF(ISNUMBER(F95),COUNTIF(F$2:F95,"&gt;0"),"")</f>
        <v/>
      </c>
      <c r="F95" s="90" t="str">
        <f t="shared" si="26"/>
        <v/>
      </c>
      <c r="H95" s="1">
        <v>94</v>
      </c>
      <c r="I95" s="93"/>
      <c r="J95" s="93"/>
    </row>
    <row r="96" spans="1:10" x14ac:dyDescent="0.35">
      <c r="A96" s="92">
        <v>42825</v>
      </c>
      <c r="B96" s="1" t="str">
        <f>VLOOKUP(A96,周期整合计算!A:G,7,0)</f>
        <v>周期1（景气值&gt;0，方向下降）</v>
      </c>
      <c r="C96" s="1" t="str">
        <f>IF(ISNUMBER(D96),COUNTIF(D$2:D96,"&gt;0"),"")</f>
        <v/>
      </c>
      <c r="D96" s="90" t="str">
        <f t="shared" si="25"/>
        <v/>
      </c>
      <c r="E96" s="1" t="str">
        <f>IF(ISNUMBER(F96),COUNTIF(F$2:F96,"&gt;0"),"")</f>
        <v/>
      </c>
      <c r="F96" s="90" t="str">
        <f t="shared" si="26"/>
        <v/>
      </c>
      <c r="H96" s="1">
        <v>95</v>
      </c>
      <c r="I96" s="93"/>
      <c r="J96" s="93"/>
    </row>
    <row r="97" spans="1:10" x14ac:dyDescent="0.35">
      <c r="A97" s="92">
        <v>42794</v>
      </c>
      <c r="B97" s="1" t="str">
        <f>VLOOKUP(A97,周期整合计算!A:G,7,0)</f>
        <v>周期1（景气值&gt;0，方向下降）</v>
      </c>
      <c r="C97" s="1" t="str">
        <f>IF(ISNUMBER(D97),COUNTIF(D$2:D97,"&gt;0"),"")</f>
        <v/>
      </c>
      <c r="D97" s="90" t="str">
        <f t="shared" si="25"/>
        <v/>
      </c>
      <c r="E97" s="1" t="str">
        <f>IF(ISNUMBER(F97),COUNTIF(F$2:F97,"&gt;0"),"")</f>
        <v/>
      </c>
      <c r="F97" s="90" t="str">
        <f t="shared" si="26"/>
        <v/>
      </c>
      <c r="H97" s="1">
        <v>96</v>
      </c>
      <c r="I97" s="93"/>
      <c r="J97" s="93"/>
    </row>
    <row r="98" spans="1:10" x14ac:dyDescent="0.35">
      <c r="A98" s="92">
        <v>42766</v>
      </c>
      <c r="B98" s="1" t="str">
        <f>VLOOKUP(A98,周期整合计算!A:G,7,0)</f>
        <v>周期1（景气值&gt;0，方向下降）</v>
      </c>
      <c r="C98" s="1" t="str">
        <f>IF(ISNUMBER(D98),COUNTIF(D$2:D98,"&gt;0"),"")</f>
        <v/>
      </c>
      <c r="D98" s="90" t="str">
        <f t="shared" si="25"/>
        <v/>
      </c>
      <c r="E98" s="1" t="str">
        <f>IF(ISNUMBER(F98),COUNTIF(F$2:F98,"&gt;0"),"")</f>
        <v/>
      </c>
      <c r="F98" s="90" t="str">
        <f t="shared" si="26"/>
        <v/>
      </c>
      <c r="H98" s="1">
        <v>97</v>
      </c>
      <c r="I98" s="93"/>
      <c r="J98" s="93"/>
    </row>
    <row r="99" spans="1:10" x14ac:dyDescent="0.35">
      <c r="A99" s="92">
        <v>42735</v>
      </c>
      <c r="B99" s="1" t="str">
        <f>VLOOKUP(A99,周期整合计算!A:G,7,0)</f>
        <v>周期1（景气值&gt;0，方向下降）</v>
      </c>
      <c r="C99" s="1" t="str">
        <f>IF(ISNUMBER(D99),COUNTIF(D$2:D99,"&gt;0"),"")</f>
        <v/>
      </c>
      <c r="D99" s="90" t="str">
        <f t="shared" si="25"/>
        <v/>
      </c>
      <c r="E99" s="1" t="str">
        <f>IF(ISNUMBER(F99),COUNTIF(F$2:F99,"&gt;0"),"")</f>
        <v/>
      </c>
      <c r="F99" s="90" t="str">
        <f t="shared" si="26"/>
        <v/>
      </c>
      <c r="H99" s="1">
        <v>98</v>
      </c>
      <c r="I99" s="93"/>
      <c r="J99" s="93"/>
    </row>
    <row r="100" spans="1:10" x14ac:dyDescent="0.35">
      <c r="A100" s="92">
        <v>42704</v>
      </c>
      <c r="B100" s="1" t="str">
        <f>VLOOKUP(A100,周期整合计算!A:G,7,0)</f>
        <v>周期1（景气值&gt;0，方向下降）</v>
      </c>
      <c r="C100" s="1" t="str">
        <f>IF(ISNUMBER(D100),COUNTIF(D$2:D100,"&gt;0"),"")</f>
        <v/>
      </c>
      <c r="D100" s="90" t="str">
        <f t="shared" si="25"/>
        <v/>
      </c>
      <c r="E100" s="1" t="str">
        <f>IF(ISNUMBER(F100),COUNTIF(F$2:F100,"&gt;0"),"")</f>
        <v/>
      </c>
      <c r="F100" s="90" t="str">
        <f t="shared" si="26"/>
        <v/>
      </c>
      <c r="H100" s="1">
        <v>99</v>
      </c>
      <c r="I100" s="93"/>
      <c r="J100" s="93"/>
    </row>
    <row r="101" spans="1:10" x14ac:dyDescent="0.35">
      <c r="A101" s="92">
        <v>42674</v>
      </c>
      <c r="B101" s="1" t="str">
        <f>VLOOKUP(A101,周期整合计算!A:G,7,0)</f>
        <v>周期1（景气值&gt;0，方向下降）</v>
      </c>
      <c r="C101" s="1" t="str">
        <f>IF(ISNUMBER(D101),COUNTIF(D$2:D101,"&gt;0"),"")</f>
        <v/>
      </c>
      <c r="D101" s="90" t="str">
        <f t="shared" si="25"/>
        <v/>
      </c>
      <c r="E101" s="1" t="str">
        <f>IF(ISNUMBER(F101),COUNTIF(F$2:F101,"&gt;0"),"")</f>
        <v/>
      </c>
      <c r="F101" s="90" t="str">
        <f t="shared" si="26"/>
        <v/>
      </c>
      <c r="H101" s="1">
        <v>100</v>
      </c>
      <c r="I101" s="93"/>
      <c r="J101" s="93"/>
    </row>
    <row r="102" spans="1:10" x14ac:dyDescent="0.35">
      <c r="A102" s="92">
        <v>42643</v>
      </c>
      <c r="B102" s="1" t="str">
        <f>VLOOKUP(A102,周期整合计算!A:G,7,0)</f>
        <v>周期1（景气值&gt;0，方向下降）</v>
      </c>
      <c r="C102" s="1" t="str">
        <f>IF(ISNUMBER(D102),COUNTIF(D$2:D102,"&gt;0"),"")</f>
        <v/>
      </c>
      <c r="D102" s="90" t="str">
        <f t="shared" si="25"/>
        <v/>
      </c>
      <c r="E102" s="1">
        <f>IF(ISNUMBER(F102),COUNTIF(F$2:F102,"&gt;0"),"")</f>
        <v>9</v>
      </c>
      <c r="F102" s="90">
        <f t="shared" si="26"/>
        <v>42643</v>
      </c>
      <c r="H102" s="1">
        <v>101</v>
      </c>
      <c r="I102" s="93"/>
      <c r="J102" s="93"/>
    </row>
    <row r="103" spans="1:10" x14ac:dyDescent="0.35">
      <c r="A103" s="92">
        <v>42613</v>
      </c>
      <c r="B103" s="1" t="str">
        <f>VLOOKUP(A103,周期整合计算!A:G,7,0)</f>
        <v>周期4（景气值&gt;0，方向上升）</v>
      </c>
      <c r="C103" s="1">
        <f>IF(ISNUMBER(D103),COUNTIF(D$2:D103,"&gt;0"),"")</f>
        <v>10</v>
      </c>
      <c r="D103" s="90">
        <f t="shared" si="25"/>
        <v>42613</v>
      </c>
      <c r="E103" s="1" t="str">
        <f>IF(ISNUMBER(F103),COUNTIF(F$2:F103,"&gt;0"),"")</f>
        <v/>
      </c>
      <c r="F103" s="90" t="str">
        <f t="shared" si="26"/>
        <v/>
      </c>
      <c r="H103" s="1">
        <v>102</v>
      </c>
      <c r="I103" s="93"/>
      <c r="J103" s="93"/>
    </row>
    <row r="104" spans="1:10" x14ac:dyDescent="0.35">
      <c r="A104" s="92">
        <v>42582</v>
      </c>
      <c r="B104" s="1" t="str">
        <f>VLOOKUP(A104,周期整合计算!A:G,7,0)</f>
        <v>周期4（景气值&gt;0，方向上升）</v>
      </c>
      <c r="C104" s="1" t="str">
        <f>IF(ISNUMBER(D104),COUNTIF(D$2:D104,"&gt;0"),"")</f>
        <v/>
      </c>
      <c r="D104" s="90" t="str">
        <f t="shared" si="25"/>
        <v/>
      </c>
      <c r="E104" s="1" t="str">
        <f>IF(ISNUMBER(F104),COUNTIF(F$2:F104,"&gt;0"),"")</f>
        <v/>
      </c>
      <c r="F104" s="90" t="str">
        <f t="shared" si="26"/>
        <v/>
      </c>
      <c r="H104" s="1">
        <v>103</v>
      </c>
      <c r="I104" s="93"/>
      <c r="J104" s="93"/>
    </row>
    <row r="105" spans="1:10" x14ac:dyDescent="0.35">
      <c r="A105" s="92">
        <v>42551</v>
      </c>
      <c r="B105" s="1" t="str">
        <f>VLOOKUP(A105,周期整合计算!A:G,7,0)</f>
        <v>周期4（景气值&gt;0，方向上升）</v>
      </c>
      <c r="C105" s="1" t="str">
        <f>IF(ISNUMBER(D105),COUNTIF(D$2:D105,"&gt;0"),"")</f>
        <v/>
      </c>
      <c r="D105" s="90" t="str">
        <f t="shared" si="25"/>
        <v/>
      </c>
      <c r="E105" s="1" t="str">
        <f>IF(ISNUMBER(F105),COUNTIF(F$2:F105,"&gt;0"),"")</f>
        <v/>
      </c>
      <c r="F105" s="90" t="str">
        <f t="shared" si="26"/>
        <v/>
      </c>
      <c r="H105" s="1">
        <v>104</v>
      </c>
      <c r="I105" s="93"/>
      <c r="J105" s="93"/>
    </row>
    <row r="106" spans="1:10" x14ac:dyDescent="0.35">
      <c r="A106" s="92">
        <v>42521</v>
      </c>
      <c r="B106" s="1" t="str">
        <f>VLOOKUP(A106,周期整合计算!A:G,7,0)</f>
        <v>周期4（景气值&gt;0，方向上升）</v>
      </c>
      <c r="C106" s="1" t="str">
        <f>IF(ISNUMBER(D106),COUNTIF(D$2:D106,"&gt;0"),"")</f>
        <v/>
      </c>
      <c r="D106" s="90" t="str">
        <f t="shared" si="25"/>
        <v/>
      </c>
      <c r="E106" s="1" t="str">
        <f>IF(ISNUMBER(F106),COUNTIF(F$2:F106,"&gt;0"),"")</f>
        <v/>
      </c>
      <c r="F106" s="90" t="str">
        <f t="shared" si="26"/>
        <v/>
      </c>
      <c r="H106" s="1">
        <v>105</v>
      </c>
      <c r="I106" s="93"/>
      <c r="J106" s="93"/>
    </row>
    <row r="107" spans="1:10" x14ac:dyDescent="0.35">
      <c r="A107" s="92">
        <v>42490</v>
      </c>
      <c r="B107" s="1" t="str">
        <f>VLOOKUP(A107,周期整合计算!A:G,7,0)</f>
        <v>周期4（景气值&gt;0，方向上升）</v>
      </c>
      <c r="C107" s="1" t="str">
        <f>IF(ISNUMBER(D107),COUNTIF(D$2:D107,"&gt;0"),"")</f>
        <v/>
      </c>
      <c r="D107" s="90" t="str">
        <f t="shared" si="25"/>
        <v/>
      </c>
      <c r="E107" s="1" t="str">
        <f>IF(ISNUMBER(F107),COUNTIF(F$2:F107,"&gt;0"),"")</f>
        <v/>
      </c>
      <c r="F107" s="90" t="str">
        <f t="shared" si="26"/>
        <v/>
      </c>
      <c r="H107" s="1">
        <v>106</v>
      </c>
      <c r="I107" s="93"/>
      <c r="J107" s="93"/>
    </row>
    <row r="108" spans="1:10" x14ac:dyDescent="0.35">
      <c r="A108" s="92">
        <v>42460</v>
      </c>
      <c r="B108" s="1" t="str">
        <f>VLOOKUP(A108,周期整合计算!A:G,7,0)</f>
        <v>周期4（景气值&gt;0，方向上升）</v>
      </c>
      <c r="C108" s="1" t="str">
        <f>IF(ISNUMBER(D108),COUNTIF(D$2:D108,"&gt;0"),"")</f>
        <v/>
      </c>
      <c r="D108" s="90" t="str">
        <f t="shared" si="25"/>
        <v/>
      </c>
      <c r="E108" s="1">
        <f>IF(ISNUMBER(F108),COUNTIF(F$2:F108,"&gt;0"),"")</f>
        <v>10</v>
      </c>
      <c r="F108" s="90">
        <f t="shared" si="26"/>
        <v>42460</v>
      </c>
      <c r="H108" s="1">
        <v>107</v>
      </c>
      <c r="I108" s="93"/>
      <c r="J108" s="93"/>
    </row>
    <row r="109" spans="1:10" x14ac:dyDescent="0.35">
      <c r="A109" s="92">
        <v>42429</v>
      </c>
      <c r="B109" s="1" t="str">
        <f>VLOOKUP(A109,周期整合计算!A:G,7,0)</f>
        <v>周期3（景气值&lt;0，方向上升）</v>
      </c>
      <c r="C109" s="1">
        <f>IF(ISNUMBER(D109),COUNTIF(D$2:D109,"&gt;0"),"")</f>
        <v>11</v>
      </c>
      <c r="D109" s="90">
        <f t="shared" si="25"/>
        <v>42429</v>
      </c>
      <c r="E109" s="1" t="str">
        <f>IF(ISNUMBER(F109),COUNTIF(F$2:F109,"&gt;0"),"")</f>
        <v/>
      </c>
      <c r="F109" s="90" t="str">
        <f t="shared" si="26"/>
        <v/>
      </c>
      <c r="H109" s="1">
        <v>108</v>
      </c>
      <c r="I109" s="93"/>
      <c r="J109" s="93"/>
    </row>
    <row r="110" spans="1:10" x14ac:dyDescent="0.35">
      <c r="A110" s="92">
        <v>42400</v>
      </c>
      <c r="B110" s="1" t="str">
        <f>VLOOKUP(A110,周期整合计算!A:G,7,0)</f>
        <v>周期3（景气值&lt;0，方向上升）</v>
      </c>
      <c r="C110" s="1" t="str">
        <f>IF(ISNUMBER(D110),COUNTIF(D$2:D110,"&gt;0"),"")</f>
        <v/>
      </c>
      <c r="D110" s="90" t="str">
        <f t="shared" si="25"/>
        <v/>
      </c>
      <c r="E110" s="1" t="str">
        <f>IF(ISNUMBER(F110),COUNTIF(F$2:F110,"&gt;0"),"")</f>
        <v/>
      </c>
      <c r="F110" s="90" t="str">
        <f t="shared" si="26"/>
        <v/>
      </c>
      <c r="H110" s="1">
        <v>109</v>
      </c>
      <c r="I110" s="93"/>
      <c r="J110" s="93"/>
    </row>
    <row r="111" spans="1:10" x14ac:dyDescent="0.35">
      <c r="A111" s="92">
        <v>42369</v>
      </c>
      <c r="B111" s="1" t="str">
        <f>VLOOKUP(A111,周期整合计算!A:G,7,0)</f>
        <v>周期3（景气值&lt;0，方向上升）</v>
      </c>
      <c r="C111" s="1" t="str">
        <f>IF(ISNUMBER(D111),COUNTIF(D$2:D111,"&gt;0"),"")</f>
        <v/>
      </c>
      <c r="D111" s="90" t="str">
        <f t="shared" si="25"/>
        <v/>
      </c>
      <c r="E111" s="1" t="str">
        <f>IF(ISNUMBER(F111),COUNTIF(F$2:F111,"&gt;0"),"")</f>
        <v/>
      </c>
      <c r="F111" s="90" t="str">
        <f t="shared" si="26"/>
        <v/>
      </c>
      <c r="H111" s="1">
        <v>110</v>
      </c>
      <c r="I111" s="93"/>
      <c r="J111" s="93"/>
    </row>
    <row r="112" spans="1:10" x14ac:dyDescent="0.35">
      <c r="A112" s="92">
        <v>42338</v>
      </c>
      <c r="B112" s="1" t="str">
        <f>VLOOKUP(A112,周期整合计算!A:G,7,0)</f>
        <v>周期3（景气值&lt;0，方向上升）</v>
      </c>
      <c r="C112" s="1" t="str">
        <f>IF(ISNUMBER(D112),COUNTIF(D$2:D112,"&gt;0"),"")</f>
        <v/>
      </c>
      <c r="D112" s="90" t="str">
        <f t="shared" si="25"/>
        <v/>
      </c>
      <c r="E112" s="1" t="str">
        <f>IF(ISNUMBER(F112),COUNTIF(F$2:F112,"&gt;0"),"")</f>
        <v/>
      </c>
      <c r="F112" s="90" t="str">
        <f t="shared" si="26"/>
        <v/>
      </c>
      <c r="H112" s="1">
        <v>111</v>
      </c>
      <c r="I112" s="93"/>
      <c r="J112" s="93"/>
    </row>
    <row r="113" spans="1:10" x14ac:dyDescent="0.35">
      <c r="A113" s="92">
        <v>42308</v>
      </c>
      <c r="B113" s="1" t="str">
        <f>VLOOKUP(A113,周期整合计算!A:G,7,0)</f>
        <v>周期3（景气值&lt;0，方向上升）</v>
      </c>
      <c r="C113" s="1" t="str">
        <f>IF(ISNUMBER(D113),COUNTIF(D$2:D113,"&gt;0"),"")</f>
        <v/>
      </c>
      <c r="D113" s="90" t="str">
        <f t="shared" si="25"/>
        <v/>
      </c>
      <c r="E113" s="1" t="str">
        <f>IF(ISNUMBER(F113),COUNTIF(F$2:F113,"&gt;0"),"")</f>
        <v/>
      </c>
      <c r="F113" s="90" t="str">
        <f t="shared" si="26"/>
        <v/>
      </c>
      <c r="H113" s="1">
        <v>112</v>
      </c>
      <c r="I113" s="93"/>
      <c r="J113" s="93"/>
    </row>
    <row r="114" spans="1:10" x14ac:dyDescent="0.35">
      <c r="A114" s="92">
        <v>42277</v>
      </c>
      <c r="B114" s="1" t="str">
        <f>VLOOKUP(A114,周期整合计算!A:G,7,0)</f>
        <v>周期3（景气值&lt;0，方向上升）</v>
      </c>
      <c r="C114" s="1" t="str">
        <f>IF(ISNUMBER(D114),COUNTIF(D$2:D114,"&gt;0"),"")</f>
        <v/>
      </c>
      <c r="D114" s="90" t="str">
        <f t="shared" si="25"/>
        <v/>
      </c>
      <c r="E114" s="1" t="str">
        <f>IF(ISNUMBER(F114),COUNTIF(F$2:F114,"&gt;0"),"")</f>
        <v/>
      </c>
      <c r="F114" s="90" t="str">
        <f t="shared" si="26"/>
        <v/>
      </c>
      <c r="H114" s="1">
        <v>113</v>
      </c>
      <c r="I114" s="93"/>
      <c r="J114" s="93"/>
    </row>
    <row r="115" spans="1:10" x14ac:dyDescent="0.35">
      <c r="A115" s="92">
        <v>42247</v>
      </c>
      <c r="B115" s="1" t="str">
        <f>VLOOKUP(A115,周期整合计算!A:G,7,0)</f>
        <v>周期3（景气值&lt;0，方向上升）</v>
      </c>
      <c r="C115" s="1" t="str">
        <f>IF(ISNUMBER(D115),COUNTIF(D$2:D115,"&gt;0"),"")</f>
        <v/>
      </c>
      <c r="D115" s="90" t="str">
        <f t="shared" si="25"/>
        <v/>
      </c>
      <c r="E115" s="1" t="str">
        <f>IF(ISNUMBER(F115),COUNTIF(F$2:F115,"&gt;0"),"")</f>
        <v/>
      </c>
      <c r="F115" s="90" t="str">
        <f t="shared" si="26"/>
        <v/>
      </c>
      <c r="H115" s="1">
        <v>114</v>
      </c>
      <c r="I115" s="93"/>
      <c r="J115" s="93"/>
    </row>
    <row r="116" spans="1:10" x14ac:dyDescent="0.35">
      <c r="A116" s="92">
        <v>42216</v>
      </c>
      <c r="B116" s="1" t="str">
        <f>VLOOKUP(A116,周期整合计算!A:G,7,0)</f>
        <v>周期3（景气值&lt;0，方向上升）</v>
      </c>
      <c r="C116" s="1" t="str">
        <f>IF(ISNUMBER(D116),COUNTIF(D$2:D116,"&gt;0"),"")</f>
        <v/>
      </c>
      <c r="D116" s="90" t="str">
        <f t="shared" si="25"/>
        <v/>
      </c>
      <c r="E116" s="1" t="str">
        <f>IF(ISNUMBER(F116),COUNTIF(F$2:F116,"&gt;0"),"")</f>
        <v/>
      </c>
      <c r="F116" s="90" t="str">
        <f t="shared" si="26"/>
        <v/>
      </c>
      <c r="H116" s="1">
        <v>115</v>
      </c>
      <c r="I116" s="93"/>
      <c r="J116" s="93"/>
    </row>
    <row r="117" spans="1:10" x14ac:dyDescent="0.35">
      <c r="A117" s="92">
        <v>42185</v>
      </c>
      <c r="B117" s="1" t="str">
        <f>VLOOKUP(A117,周期整合计算!A:G,7,0)</f>
        <v>周期3（景气值&lt;0，方向上升）</v>
      </c>
      <c r="C117" s="1" t="str">
        <f>IF(ISNUMBER(D117),COUNTIF(D$2:D117,"&gt;0"),"")</f>
        <v/>
      </c>
      <c r="D117" s="90" t="str">
        <f t="shared" si="25"/>
        <v/>
      </c>
      <c r="E117" s="1" t="str">
        <f>IF(ISNUMBER(F117),COUNTIF(F$2:F117,"&gt;0"),"")</f>
        <v/>
      </c>
      <c r="F117" s="90" t="str">
        <f t="shared" si="26"/>
        <v/>
      </c>
      <c r="H117" s="1">
        <v>116</v>
      </c>
      <c r="I117" s="93"/>
      <c r="J117" s="93"/>
    </row>
    <row r="118" spans="1:10" x14ac:dyDescent="0.35">
      <c r="A118" s="92">
        <v>42155</v>
      </c>
      <c r="B118" s="1" t="str">
        <f>VLOOKUP(A118,周期整合计算!A:G,7,0)</f>
        <v>周期3（景气值&lt;0，方向上升）</v>
      </c>
      <c r="C118" s="1" t="str">
        <f>IF(ISNUMBER(D118),COUNTIF(D$2:D118,"&gt;0"),"")</f>
        <v/>
      </c>
      <c r="D118" s="90" t="str">
        <f t="shared" si="25"/>
        <v/>
      </c>
      <c r="E118" s="1" t="str">
        <f>IF(ISNUMBER(F118),COUNTIF(F$2:F118,"&gt;0"),"")</f>
        <v/>
      </c>
      <c r="F118" s="90" t="str">
        <f t="shared" si="26"/>
        <v/>
      </c>
      <c r="H118" s="1">
        <v>117</v>
      </c>
      <c r="I118" s="93"/>
      <c r="J118" s="93"/>
    </row>
    <row r="119" spans="1:10" x14ac:dyDescent="0.35">
      <c r="A119" s="92">
        <v>42124</v>
      </c>
      <c r="B119" s="1" t="str">
        <f>VLOOKUP(A119,周期整合计算!A:G,7,0)</f>
        <v>周期3（景气值&lt;0，方向上升）</v>
      </c>
      <c r="C119" s="1" t="str">
        <f>IF(ISNUMBER(D119),COUNTIF(D$2:D119,"&gt;0"),"")</f>
        <v/>
      </c>
      <c r="D119" s="90" t="str">
        <f t="shared" si="25"/>
        <v/>
      </c>
      <c r="E119" s="1" t="str">
        <f>IF(ISNUMBER(F119),COUNTIF(F$2:F119,"&gt;0"),"")</f>
        <v/>
      </c>
      <c r="F119" s="90" t="str">
        <f t="shared" si="26"/>
        <v/>
      </c>
      <c r="H119" s="1">
        <v>118</v>
      </c>
      <c r="I119" s="93"/>
      <c r="J119" s="93"/>
    </row>
    <row r="120" spans="1:10" x14ac:dyDescent="0.35">
      <c r="A120" s="92">
        <v>42094</v>
      </c>
      <c r="B120" s="1" t="str">
        <f>VLOOKUP(A120,周期整合计算!A:G,7,0)</f>
        <v>周期3（景气值&lt;0，方向上升）</v>
      </c>
      <c r="C120" s="1" t="str">
        <f>IF(ISNUMBER(D120),COUNTIF(D$2:D120,"&gt;0"),"")</f>
        <v/>
      </c>
      <c r="D120" s="90" t="str">
        <f t="shared" si="25"/>
        <v/>
      </c>
      <c r="E120" s="1" t="str">
        <f>IF(ISNUMBER(F120),COUNTIF(F$2:F120,"&gt;0"),"")</f>
        <v/>
      </c>
      <c r="F120" s="90" t="str">
        <f t="shared" si="26"/>
        <v/>
      </c>
      <c r="H120" s="1">
        <v>119</v>
      </c>
      <c r="I120" s="93"/>
      <c r="J120" s="93"/>
    </row>
    <row r="121" spans="1:10" x14ac:dyDescent="0.35">
      <c r="A121" s="92">
        <v>42063</v>
      </c>
      <c r="B121" s="1" t="str">
        <f>VLOOKUP(A121,周期整合计算!A:G,7,0)</f>
        <v>周期3（景气值&lt;0，方向上升）</v>
      </c>
      <c r="C121" s="1" t="str">
        <f>IF(ISNUMBER(D121),COUNTIF(D$2:D121,"&gt;0"),"")</f>
        <v/>
      </c>
      <c r="D121" s="90" t="str">
        <f t="shared" si="25"/>
        <v/>
      </c>
      <c r="E121" s="1" t="str">
        <f>IF(ISNUMBER(F121),COUNTIF(F$2:F121,"&gt;0"),"")</f>
        <v/>
      </c>
      <c r="F121" s="90" t="str">
        <f t="shared" si="26"/>
        <v/>
      </c>
      <c r="H121" s="1">
        <v>120</v>
      </c>
      <c r="I121" s="93"/>
      <c r="J121" s="93"/>
    </row>
    <row r="122" spans="1:10" x14ac:dyDescent="0.35">
      <c r="A122" s="92">
        <v>42035</v>
      </c>
      <c r="B122" s="1" t="str">
        <f>VLOOKUP(A122,周期整合计算!A:G,7,0)</f>
        <v>周期3（景气值&lt;0，方向上升）</v>
      </c>
      <c r="C122" s="1" t="str">
        <f>IF(ISNUMBER(D122),COUNTIF(D$2:D122,"&gt;0"),"")</f>
        <v/>
      </c>
      <c r="D122" s="90" t="str">
        <f t="shared" si="25"/>
        <v/>
      </c>
      <c r="E122" s="1">
        <f>IF(ISNUMBER(F122),COUNTIF(F$2:F122,"&gt;0"),"")</f>
        <v>11</v>
      </c>
      <c r="F122" s="90">
        <f t="shared" si="26"/>
        <v>42035</v>
      </c>
      <c r="H122" s="1">
        <v>121</v>
      </c>
      <c r="I122" s="93"/>
      <c r="J122" s="93"/>
    </row>
    <row r="123" spans="1:10" x14ac:dyDescent="0.35">
      <c r="A123" s="92">
        <v>42004</v>
      </c>
      <c r="B123" s="1" t="str">
        <f>VLOOKUP(A123,周期整合计算!A:G,7,0)</f>
        <v>周期2（景气值&lt;0，方向下降）</v>
      </c>
      <c r="C123" s="1">
        <f>IF(ISNUMBER(D123),COUNTIF(D$2:D123,"&gt;0"),"")</f>
        <v>12</v>
      </c>
      <c r="D123" s="90">
        <f t="shared" si="25"/>
        <v>42004</v>
      </c>
      <c r="E123" s="1" t="str">
        <f>IF(ISNUMBER(F123),COUNTIF(F$2:F123,"&gt;0"),"")</f>
        <v/>
      </c>
      <c r="F123" s="90" t="str">
        <f t="shared" si="26"/>
        <v/>
      </c>
      <c r="H123" s="1">
        <v>122</v>
      </c>
      <c r="I123" s="93"/>
      <c r="J123" s="93"/>
    </row>
    <row r="124" spans="1:10" x14ac:dyDescent="0.35">
      <c r="A124" s="92">
        <v>41973</v>
      </c>
      <c r="B124" s="1" t="str">
        <f>VLOOKUP(A124,周期整合计算!A:G,7,0)</f>
        <v>周期2（景气值&lt;0，方向下降）</v>
      </c>
      <c r="C124" s="1" t="str">
        <f>IF(ISNUMBER(D124),COUNTIF(D$2:D124,"&gt;0"),"")</f>
        <v/>
      </c>
      <c r="D124" s="90" t="str">
        <f t="shared" si="25"/>
        <v/>
      </c>
      <c r="E124" s="1" t="str">
        <f>IF(ISNUMBER(F124),COUNTIF(F$2:F124,"&gt;0"),"")</f>
        <v/>
      </c>
      <c r="F124" s="90" t="str">
        <f t="shared" si="26"/>
        <v/>
      </c>
      <c r="H124" s="1">
        <v>123</v>
      </c>
      <c r="I124" s="93"/>
      <c r="J124" s="93"/>
    </row>
    <row r="125" spans="1:10" x14ac:dyDescent="0.35">
      <c r="A125" s="92">
        <v>41943</v>
      </c>
      <c r="B125" s="1" t="str">
        <f>VLOOKUP(A125,周期整合计算!A:G,7,0)</f>
        <v>周期2（景气值&lt;0，方向下降）</v>
      </c>
      <c r="C125" s="1" t="str">
        <f>IF(ISNUMBER(D125),COUNTIF(D$2:D125,"&gt;0"),"")</f>
        <v/>
      </c>
      <c r="D125" s="90" t="str">
        <f t="shared" si="25"/>
        <v/>
      </c>
      <c r="E125" s="1" t="str">
        <f>IF(ISNUMBER(F125),COUNTIF(F$2:F125,"&gt;0"),"")</f>
        <v/>
      </c>
      <c r="F125" s="90" t="str">
        <f t="shared" si="26"/>
        <v/>
      </c>
      <c r="H125" s="1">
        <v>124</v>
      </c>
      <c r="I125" s="93"/>
      <c r="J125" s="93"/>
    </row>
    <row r="126" spans="1:10" x14ac:dyDescent="0.35">
      <c r="A126" s="92">
        <v>41912</v>
      </c>
      <c r="B126" s="1" t="str">
        <f>VLOOKUP(A126,周期整合计算!A:G,7,0)</f>
        <v>周期2（景气值&lt;0，方向下降）</v>
      </c>
      <c r="C126" s="1" t="str">
        <f>IF(ISNUMBER(D126),COUNTIF(D$2:D126,"&gt;0"),"")</f>
        <v/>
      </c>
      <c r="D126" s="90" t="str">
        <f t="shared" si="25"/>
        <v/>
      </c>
      <c r="E126" s="1" t="str">
        <f>IF(ISNUMBER(F126),COUNTIF(F$2:F126,"&gt;0"),"")</f>
        <v/>
      </c>
      <c r="F126" s="90" t="str">
        <f t="shared" si="26"/>
        <v/>
      </c>
      <c r="H126" s="1">
        <v>125</v>
      </c>
      <c r="I126" s="93"/>
      <c r="J126" s="93"/>
    </row>
    <row r="127" spans="1:10" x14ac:dyDescent="0.35">
      <c r="A127" s="92">
        <v>41882</v>
      </c>
      <c r="B127" s="1" t="str">
        <f>VLOOKUP(A127,周期整合计算!A:G,7,0)</f>
        <v>周期2（景气值&lt;0，方向下降）</v>
      </c>
      <c r="C127" s="1" t="str">
        <f>IF(ISNUMBER(D127),COUNTIF(D$2:D127,"&gt;0"),"")</f>
        <v/>
      </c>
      <c r="D127" s="90" t="str">
        <f t="shared" si="25"/>
        <v/>
      </c>
      <c r="E127" s="1" t="str">
        <f>IF(ISNUMBER(F127),COUNTIF(F$2:F127,"&gt;0"),"")</f>
        <v/>
      </c>
      <c r="F127" s="90" t="str">
        <f t="shared" si="26"/>
        <v/>
      </c>
      <c r="H127" s="1">
        <v>126</v>
      </c>
      <c r="I127" s="93"/>
      <c r="J127" s="93"/>
    </row>
    <row r="128" spans="1:10" x14ac:dyDescent="0.35">
      <c r="A128" s="92">
        <v>41851</v>
      </c>
      <c r="B128" s="1" t="str">
        <f>VLOOKUP(A128,周期整合计算!A:G,7,0)</f>
        <v>周期2（景气值&lt;0，方向下降）</v>
      </c>
      <c r="C128" s="1" t="str">
        <f>IF(ISNUMBER(D128),COUNTIF(D$2:D128,"&gt;0"),"")</f>
        <v/>
      </c>
      <c r="D128" s="90" t="str">
        <f t="shared" si="25"/>
        <v/>
      </c>
      <c r="E128" s="1" t="str">
        <f>IF(ISNUMBER(F128),COUNTIF(F$2:F128,"&gt;0"),"")</f>
        <v/>
      </c>
      <c r="F128" s="90" t="str">
        <f t="shared" si="26"/>
        <v/>
      </c>
      <c r="H128" s="1">
        <v>127</v>
      </c>
      <c r="I128" s="93"/>
      <c r="J128" s="93"/>
    </row>
    <row r="129" spans="1:10" x14ac:dyDescent="0.35">
      <c r="A129" s="92">
        <v>41820</v>
      </c>
      <c r="B129" s="1" t="str">
        <f>VLOOKUP(A129,周期整合计算!A:G,7,0)</f>
        <v>周期2（景气值&lt;0，方向下降）</v>
      </c>
      <c r="C129" s="1" t="str">
        <f>IF(ISNUMBER(D129),COUNTIF(D$2:D129,"&gt;0"),"")</f>
        <v/>
      </c>
      <c r="D129" s="90" t="str">
        <f t="shared" si="25"/>
        <v/>
      </c>
      <c r="E129" s="1">
        <f>IF(ISNUMBER(F129),COUNTIF(F$2:F129,"&gt;0"),"")</f>
        <v>12</v>
      </c>
      <c r="F129" s="90">
        <f t="shared" si="26"/>
        <v>41820</v>
      </c>
      <c r="H129" s="1">
        <v>128</v>
      </c>
      <c r="I129" s="93"/>
      <c r="J129" s="93"/>
    </row>
    <row r="130" spans="1:10" x14ac:dyDescent="0.35">
      <c r="A130" s="92">
        <v>41790</v>
      </c>
      <c r="B130" s="1" t="str">
        <f>VLOOKUP(A130,周期整合计算!A:G,7,0)</f>
        <v>周期1（景气值&gt;0，方向下降）</v>
      </c>
      <c r="C130" s="1">
        <f>IF(ISNUMBER(D130),COUNTIF(D$2:D130,"&gt;0"),"")</f>
        <v>13</v>
      </c>
      <c r="D130" s="90">
        <f t="shared" si="25"/>
        <v>41790</v>
      </c>
      <c r="E130" s="1" t="str">
        <f>IF(ISNUMBER(F130),COUNTIF(F$2:F130,"&gt;0"),"")</f>
        <v/>
      </c>
      <c r="F130" s="90" t="str">
        <f t="shared" si="26"/>
        <v/>
      </c>
      <c r="H130" s="1">
        <v>129</v>
      </c>
      <c r="I130" s="93"/>
      <c r="J130" s="93"/>
    </row>
    <row r="131" spans="1:10" x14ac:dyDescent="0.35">
      <c r="A131" s="92">
        <v>41759</v>
      </c>
      <c r="B131" s="1" t="str">
        <f>VLOOKUP(A131,周期整合计算!A:G,7,0)</f>
        <v>周期1（景气值&gt;0，方向下降）</v>
      </c>
      <c r="C131" s="1" t="str">
        <f>IF(ISNUMBER(D131),COUNTIF(D$2:D131,"&gt;0"),"")</f>
        <v/>
      </c>
      <c r="D131" s="90" t="str">
        <f t="shared" si="25"/>
        <v/>
      </c>
      <c r="E131" s="1" t="str">
        <f>IF(ISNUMBER(F131),COUNTIF(F$2:F131,"&gt;0"),"")</f>
        <v/>
      </c>
      <c r="F131" s="90" t="str">
        <f t="shared" si="26"/>
        <v/>
      </c>
      <c r="H131" s="1">
        <v>130</v>
      </c>
      <c r="I131" s="93"/>
      <c r="J131" s="93"/>
    </row>
    <row r="132" spans="1:10" x14ac:dyDescent="0.35">
      <c r="A132" s="92">
        <v>41729</v>
      </c>
      <c r="B132" s="1" t="str">
        <f>VLOOKUP(A132,周期整合计算!A:G,7,0)</f>
        <v>周期1（景气值&gt;0，方向下降）</v>
      </c>
      <c r="C132" s="1" t="str">
        <f>IF(ISNUMBER(D132),COUNTIF(D$2:D132,"&gt;0"),"")</f>
        <v/>
      </c>
      <c r="D132" s="90" t="str">
        <f t="shared" si="25"/>
        <v/>
      </c>
      <c r="E132" s="1" t="str">
        <f>IF(ISNUMBER(F132),COUNTIF(F$2:F132,"&gt;0"),"")</f>
        <v/>
      </c>
      <c r="F132" s="90" t="str">
        <f t="shared" si="26"/>
        <v/>
      </c>
      <c r="H132" s="1">
        <v>131</v>
      </c>
      <c r="I132" s="93"/>
      <c r="J132" s="93"/>
    </row>
    <row r="133" spans="1:10" x14ac:dyDescent="0.35">
      <c r="A133" s="92">
        <v>41698</v>
      </c>
      <c r="B133" s="1" t="str">
        <f>VLOOKUP(A133,周期整合计算!A:G,7,0)</f>
        <v>周期1（景气值&gt;0，方向下降）</v>
      </c>
      <c r="C133" s="1" t="str">
        <f>IF(ISNUMBER(D133),COUNTIF(D$2:D133,"&gt;0"),"")</f>
        <v/>
      </c>
      <c r="D133" s="90" t="str">
        <f t="shared" si="25"/>
        <v/>
      </c>
      <c r="E133" s="1" t="str">
        <f>IF(ISNUMBER(F133),COUNTIF(F$2:F133,"&gt;0"),"")</f>
        <v/>
      </c>
      <c r="F133" s="90" t="str">
        <f t="shared" si="26"/>
        <v/>
      </c>
      <c r="H133" s="1">
        <v>132</v>
      </c>
      <c r="I133" s="93"/>
      <c r="J133" s="93"/>
    </row>
    <row r="134" spans="1:10" x14ac:dyDescent="0.35">
      <c r="A134" s="92">
        <v>41670</v>
      </c>
      <c r="B134" s="1" t="str">
        <f>VLOOKUP(A134,周期整合计算!A:G,7,0)</f>
        <v>周期1（景气值&gt;0，方向下降）</v>
      </c>
      <c r="C134" s="1" t="str">
        <f>IF(ISNUMBER(D134),COUNTIF(D$2:D134,"&gt;0"),"")</f>
        <v/>
      </c>
      <c r="D134" s="90" t="str">
        <f t="shared" si="25"/>
        <v/>
      </c>
      <c r="E134" s="1" t="str">
        <f>IF(ISNUMBER(F134),COUNTIF(F$2:F134,"&gt;0"),"")</f>
        <v/>
      </c>
      <c r="F134" s="90" t="str">
        <f t="shared" si="26"/>
        <v/>
      </c>
      <c r="H134" s="1">
        <v>133</v>
      </c>
      <c r="I134" s="93"/>
      <c r="J134" s="93"/>
    </row>
    <row r="135" spans="1:10" x14ac:dyDescent="0.35">
      <c r="A135" s="92">
        <v>41639</v>
      </c>
      <c r="B135" s="1" t="str">
        <f>VLOOKUP(A135,周期整合计算!A:G,7,0)</f>
        <v>周期1（景气值&gt;0，方向下降）</v>
      </c>
      <c r="C135" s="1" t="str">
        <f>IF(ISNUMBER(D135),COUNTIF(D$2:D135,"&gt;0"),"")</f>
        <v/>
      </c>
      <c r="D135" s="90" t="str">
        <f t="shared" si="25"/>
        <v/>
      </c>
      <c r="E135" s="1" t="str">
        <f>IF(ISNUMBER(F135),COUNTIF(F$2:F135,"&gt;0"),"")</f>
        <v/>
      </c>
      <c r="F135" s="90" t="str">
        <f t="shared" si="26"/>
        <v/>
      </c>
      <c r="H135" s="1">
        <v>134</v>
      </c>
      <c r="I135" s="93"/>
      <c r="J135" s="93"/>
    </row>
    <row r="136" spans="1:10" x14ac:dyDescent="0.35">
      <c r="A136" s="92">
        <v>41608</v>
      </c>
      <c r="B136" s="1" t="str">
        <f>VLOOKUP(A136,周期整合计算!A:G,7,0)</f>
        <v>周期1（景气值&gt;0，方向下降）</v>
      </c>
      <c r="C136" s="1" t="str">
        <f>IF(ISNUMBER(D136),COUNTIF(D$2:D136,"&gt;0"),"")</f>
        <v/>
      </c>
      <c r="D136" s="90" t="str">
        <f t="shared" si="25"/>
        <v/>
      </c>
      <c r="E136" s="1" t="str">
        <f>IF(ISNUMBER(F136),COUNTIF(F$2:F136,"&gt;0"),"")</f>
        <v/>
      </c>
      <c r="F136" s="90" t="str">
        <f t="shared" si="26"/>
        <v/>
      </c>
      <c r="H136" s="1">
        <v>135</v>
      </c>
      <c r="I136" s="93"/>
      <c r="J136" s="93"/>
    </row>
    <row r="137" spans="1:10" x14ac:dyDescent="0.35">
      <c r="A137" s="92">
        <v>41578</v>
      </c>
      <c r="B137" s="1" t="str">
        <f>VLOOKUP(A137,周期整合计算!A:G,7,0)</f>
        <v>周期1（景气值&gt;0，方向下降）</v>
      </c>
      <c r="C137" s="1" t="str">
        <f>IF(ISNUMBER(D137),COUNTIF(D$2:D137,"&gt;0"),"")</f>
        <v/>
      </c>
      <c r="D137" s="90" t="str">
        <f t="shared" si="25"/>
        <v/>
      </c>
      <c r="E137" s="1" t="str">
        <f>IF(ISNUMBER(F137),COUNTIF(F$2:F137,"&gt;0"),"")</f>
        <v/>
      </c>
      <c r="F137" s="90" t="str">
        <f t="shared" si="26"/>
        <v/>
      </c>
      <c r="H137" s="1">
        <v>136</v>
      </c>
      <c r="I137" s="93"/>
      <c r="J137" s="93"/>
    </row>
    <row r="138" spans="1:10" x14ac:dyDescent="0.35">
      <c r="A138" s="92">
        <v>41547</v>
      </c>
      <c r="B138" s="1" t="str">
        <f>VLOOKUP(A138,周期整合计算!A:G,7,0)</f>
        <v>周期1（景气值&gt;0，方向下降）</v>
      </c>
      <c r="C138" s="1" t="str">
        <f>IF(ISNUMBER(D138),COUNTIF(D$2:D138,"&gt;0"),"")</f>
        <v/>
      </c>
      <c r="D138" s="90" t="str">
        <f t="shared" ref="D138:D201" si="27">IF(B137=B138,"",A138)</f>
        <v/>
      </c>
      <c r="E138" s="1" t="str">
        <f>IF(ISNUMBER(F138),COUNTIF(F$2:F138,"&gt;0"),"")</f>
        <v/>
      </c>
      <c r="F138" s="90" t="str">
        <f t="shared" ref="F138:F201" si="28">IF(B138=B139,"",A138)</f>
        <v/>
      </c>
      <c r="H138" s="1">
        <v>137</v>
      </c>
      <c r="I138" s="93"/>
      <c r="J138" s="93"/>
    </row>
    <row r="139" spans="1:10" x14ac:dyDescent="0.35">
      <c r="A139" s="92">
        <v>41517</v>
      </c>
      <c r="B139" s="1" t="str">
        <f>VLOOKUP(A139,周期整合计算!A:G,7,0)</f>
        <v>周期1（景气值&gt;0，方向下降）</v>
      </c>
      <c r="C139" s="1" t="str">
        <f>IF(ISNUMBER(D139),COUNTIF(D$2:D139,"&gt;0"),"")</f>
        <v/>
      </c>
      <c r="D139" s="90" t="str">
        <f t="shared" si="27"/>
        <v/>
      </c>
      <c r="E139" s="1">
        <f>IF(ISNUMBER(F139),COUNTIF(F$2:F139,"&gt;0"),"")</f>
        <v>13</v>
      </c>
      <c r="F139" s="90">
        <f t="shared" si="28"/>
        <v>41517</v>
      </c>
      <c r="H139" s="1">
        <v>138</v>
      </c>
      <c r="I139" s="93"/>
      <c r="J139" s="93"/>
    </row>
    <row r="140" spans="1:10" x14ac:dyDescent="0.35">
      <c r="A140" s="92">
        <v>41486</v>
      </c>
      <c r="B140" s="1" t="str">
        <f>VLOOKUP(A140,周期整合计算!A:G,7,0)</f>
        <v>周期4（景气值&gt;0，方向上升）</v>
      </c>
      <c r="C140" s="1">
        <f>IF(ISNUMBER(D140),COUNTIF(D$2:D140,"&gt;0"),"")</f>
        <v>14</v>
      </c>
      <c r="D140" s="90">
        <f t="shared" si="27"/>
        <v>41486</v>
      </c>
      <c r="E140" s="1" t="str">
        <f>IF(ISNUMBER(F140),COUNTIF(F$2:F140,"&gt;0"),"")</f>
        <v/>
      </c>
      <c r="F140" s="90" t="str">
        <f t="shared" si="28"/>
        <v/>
      </c>
      <c r="H140" s="1">
        <v>139</v>
      </c>
      <c r="I140" s="93"/>
      <c r="J140" s="93"/>
    </row>
    <row r="141" spans="1:10" x14ac:dyDescent="0.35">
      <c r="A141" s="92">
        <v>41455</v>
      </c>
      <c r="B141" s="1" t="str">
        <f>VLOOKUP(A141,周期整合计算!A:G,7,0)</f>
        <v>周期4（景气值&gt;0，方向上升）</v>
      </c>
      <c r="C141" s="1" t="str">
        <f>IF(ISNUMBER(D141),COUNTIF(D$2:D141,"&gt;0"),"")</f>
        <v/>
      </c>
      <c r="D141" s="90" t="str">
        <f t="shared" si="27"/>
        <v/>
      </c>
      <c r="E141" s="1" t="str">
        <f>IF(ISNUMBER(F141),COUNTIF(F$2:F141,"&gt;0"),"")</f>
        <v/>
      </c>
      <c r="F141" s="90" t="str">
        <f t="shared" si="28"/>
        <v/>
      </c>
      <c r="H141" s="1">
        <v>140</v>
      </c>
      <c r="I141" s="93"/>
      <c r="J141" s="93"/>
    </row>
    <row r="142" spans="1:10" x14ac:dyDescent="0.35">
      <c r="A142" s="92">
        <v>41425</v>
      </c>
      <c r="B142" s="1" t="str">
        <f>VLOOKUP(A142,周期整合计算!A:G,7,0)</f>
        <v>周期4（景气值&gt;0，方向上升）</v>
      </c>
      <c r="C142" s="1" t="str">
        <f>IF(ISNUMBER(D142),COUNTIF(D$2:D142,"&gt;0"),"")</f>
        <v/>
      </c>
      <c r="D142" s="90" t="str">
        <f t="shared" si="27"/>
        <v/>
      </c>
      <c r="E142" s="1" t="str">
        <f>IF(ISNUMBER(F142),COUNTIF(F$2:F142,"&gt;0"),"")</f>
        <v/>
      </c>
      <c r="F142" s="90" t="str">
        <f t="shared" si="28"/>
        <v/>
      </c>
      <c r="H142" s="1">
        <v>141</v>
      </c>
      <c r="I142" s="93"/>
      <c r="J142" s="93"/>
    </row>
    <row r="143" spans="1:10" x14ac:dyDescent="0.35">
      <c r="A143" s="92">
        <v>41394</v>
      </c>
      <c r="B143" s="1" t="str">
        <f>VLOOKUP(A143,周期整合计算!A:G,7,0)</f>
        <v>周期4（景气值&gt;0，方向上升）</v>
      </c>
      <c r="C143" s="1" t="str">
        <f>IF(ISNUMBER(D143),COUNTIF(D$2:D143,"&gt;0"),"")</f>
        <v/>
      </c>
      <c r="D143" s="90" t="str">
        <f t="shared" si="27"/>
        <v/>
      </c>
      <c r="E143" s="1" t="str">
        <f>IF(ISNUMBER(F143),COUNTIF(F$2:F143,"&gt;0"),"")</f>
        <v/>
      </c>
      <c r="F143" s="90" t="str">
        <f t="shared" si="28"/>
        <v/>
      </c>
      <c r="H143" s="1">
        <v>142</v>
      </c>
      <c r="I143" s="93"/>
      <c r="J143" s="93"/>
    </row>
    <row r="144" spans="1:10" x14ac:dyDescent="0.35">
      <c r="A144" s="92">
        <v>41364</v>
      </c>
      <c r="B144" s="1" t="str">
        <f>VLOOKUP(A144,周期整合计算!A:G,7,0)</f>
        <v>周期4（景气值&gt;0，方向上升）</v>
      </c>
      <c r="C144" s="1" t="str">
        <f>IF(ISNUMBER(D144),COUNTIF(D$2:D144,"&gt;0"),"")</f>
        <v/>
      </c>
      <c r="D144" s="90" t="str">
        <f t="shared" si="27"/>
        <v/>
      </c>
      <c r="E144" s="1" t="str">
        <f>IF(ISNUMBER(F144),COUNTIF(F$2:F144,"&gt;0"),"")</f>
        <v/>
      </c>
      <c r="F144" s="90" t="str">
        <f t="shared" si="28"/>
        <v/>
      </c>
      <c r="H144" s="1">
        <v>143</v>
      </c>
      <c r="I144" s="93"/>
      <c r="J144" s="93"/>
    </row>
    <row r="145" spans="1:10" x14ac:dyDescent="0.35">
      <c r="A145" s="92">
        <v>41333</v>
      </c>
      <c r="B145" s="1" t="str">
        <f>VLOOKUP(A145,周期整合计算!A:G,7,0)</f>
        <v>周期4（景气值&gt;0，方向上升）</v>
      </c>
      <c r="C145" s="1" t="str">
        <f>IF(ISNUMBER(D145),COUNTIF(D$2:D145,"&gt;0"),"")</f>
        <v/>
      </c>
      <c r="D145" s="90" t="str">
        <f t="shared" si="27"/>
        <v/>
      </c>
      <c r="E145" s="1" t="str">
        <f>IF(ISNUMBER(F145),COUNTIF(F$2:F145,"&gt;0"),"")</f>
        <v/>
      </c>
      <c r="F145" s="90" t="str">
        <f t="shared" si="28"/>
        <v/>
      </c>
      <c r="H145" s="1">
        <v>144</v>
      </c>
      <c r="I145" s="93"/>
      <c r="J145" s="93"/>
    </row>
    <row r="146" spans="1:10" x14ac:dyDescent="0.35">
      <c r="A146" s="92">
        <v>41305</v>
      </c>
      <c r="B146" s="1" t="str">
        <f>VLOOKUP(A146,周期整合计算!A:G,7,0)</f>
        <v>周期4（景气值&gt;0，方向上升）</v>
      </c>
      <c r="C146" s="1" t="str">
        <f>IF(ISNUMBER(D146),COUNTIF(D$2:D146,"&gt;0"),"")</f>
        <v/>
      </c>
      <c r="D146" s="90" t="str">
        <f t="shared" si="27"/>
        <v/>
      </c>
      <c r="E146" s="1" t="str">
        <f>IF(ISNUMBER(F146),COUNTIF(F$2:F146,"&gt;0"),"")</f>
        <v/>
      </c>
      <c r="F146" s="90" t="str">
        <f t="shared" si="28"/>
        <v/>
      </c>
      <c r="H146" s="1">
        <v>145</v>
      </c>
      <c r="I146" s="93"/>
      <c r="J146" s="93"/>
    </row>
    <row r="147" spans="1:10" x14ac:dyDescent="0.35">
      <c r="A147" s="92">
        <v>41274</v>
      </c>
      <c r="B147" s="1" t="str">
        <f>VLOOKUP(A147,周期整合计算!A:G,7,0)</f>
        <v>周期4（景气值&gt;0，方向上升）</v>
      </c>
      <c r="C147" s="1" t="str">
        <f>IF(ISNUMBER(D147),COUNTIF(D$2:D147,"&gt;0"),"")</f>
        <v/>
      </c>
      <c r="D147" s="90" t="str">
        <f t="shared" si="27"/>
        <v/>
      </c>
      <c r="E147" s="1" t="str">
        <f>IF(ISNUMBER(F147),COUNTIF(F$2:F147,"&gt;0"),"")</f>
        <v/>
      </c>
      <c r="F147" s="90" t="str">
        <f t="shared" si="28"/>
        <v/>
      </c>
      <c r="H147" s="1">
        <v>146</v>
      </c>
      <c r="I147" s="93"/>
      <c r="J147" s="93"/>
    </row>
    <row r="148" spans="1:10" x14ac:dyDescent="0.35">
      <c r="A148" s="92">
        <v>41243</v>
      </c>
      <c r="B148" s="1" t="str">
        <f>VLOOKUP(A148,周期整合计算!A:G,7,0)</f>
        <v>周期4（景气值&gt;0，方向上升）</v>
      </c>
      <c r="C148" s="1" t="str">
        <f>IF(ISNUMBER(D148),COUNTIF(D$2:D148,"&gt;0"),"")</f>
        <v/>
      </c>
      <c r="D148" s="90" t="str">
        <f t="shared" si="27"/>
        <v/>
      </c>
      <c r="E148" s="1" t="str">
        <f>IF(ISNUMBER(F148),COUNTIF(F$2:F148,"&gt;0"),"")</f>
        <v/>
      </c>
      <c r="F148" s="90" t="str">
        <f t="shared" si="28"/>
        <v/>
      </c>
      <c r="H148" s="1">
        <v>147</v>
      </c>
      <c r="I148" s="93"/>
      <c r="J148" s="93"/>
    </row>
    <row r="149" spans="1:10" x14ac:dyDescent="0.35">
      <c r="A149" s="92">
        <v>41213</v>
      </c>
      <c r="B149" s="1" t="str">
        <f>VLOOKUP(A149,周期整合计算!A:G,7,0)</f>
        <v>周期4（景气值&gt;0，方向上升）</v>
      </c>
      <c r="C149" s="1" t="str">
        <f>IF(ISNUMBER(D149),COUNTIF(D$2:D149,"&gt;0"),"")</f>
        <v/>
      </c>
      <c r="D149" s="90" t="str">
        <f t="shared" si="27"/>
        <v/>
      </c>
      <c r="E149" s="1">
        <f>IF(ISNUMBER(F149),COUNTIF(F$2:F149,"&gt;0"),"")</f>
        <v>14</v>
      </c>
      <c r="F149" s="90">
        <f t="shared" si="28"/>
        <v>41213</v>
      </c>
      <c r="H149" s="1">
        <v>148</v>
      </c>
      <c r="I149" s="93"/>
      <c r="J149" s="93"/>
    </row>
    <row r="150" spans="1:10" x14ac:dyDescent="0.35">
      <c r="A150" s="92">
        <v>41182</v>
      </c>
      <c r="B150" s="1" t="str">
        <f>VLOOKUP(A150,周期整合计算!A:G,7,0)</f>
        <v>周期3（景气值&lt;0，方向上升）</v>
      </c>
      <c r="C150" s="1">
        <f>IF(ISNUMBER(D150),COUNTIF(D$2:D150,"&gt;0"),"")</f>
        <v>15</v>
      </c>
      <c r="D150" s="90">
        <f t="shared" si="27"/>
        <v>41182</v>
      </c>
      <c r="E150" s="1" t="str">
        <f>IF(ISNUMBER(F150),COUNTIF(F$2:F150,"&gt;0"),"")</f>
        <v/>
      </c>
      <c r="F150" s="90" t="str">
        <f t="shared" si="28"/>
        <v/>
      </c>
      <c r="H150" s="1">
        <v>149</v>
      </c>
      <c r="I150" s="93"/>
      <c r="J150" s="93"/>
    </row>
    <row r="151" spans="1:10" x14ac:dyDescent="0.35">
      <c r="A151" s="92">
        <v>41152</v>
      </c>
      <c r="B151" s="1" t="str">
        <f>VLOOKUP(A151,周期整合计算!A:G,7,0)</f>
        <v>周期3（景气值&lt;0，方向上升）</v>
      </c>
      <c r="C151" s="1" t="str">
        <f>IF(ISNUMBER(D151),COUNTIF(D$2:D151,"&gt;0"),"")</f>
        <v/>
      </c>
      <c r="D151" s="90" t="str">
        <f t="shared" si="27"/>
        <v/>
      </c>
      <c r="E151" s="1" t="str">
        <f>IF(ISNUMBER(F151),COUNTIF(F$2:F151,"&gt;0"),"")</f>
        <v/>
      </c>
      <c r="F151" s="90" t="str">
        <f t="shared" si="28"/>
        <v/>
      </c>
      <c r="H151" s="1">
        <v>150</v>
      </c>
      <c r="I151" s="93"/>
      <c r="J151" s="93"/>
    </row>
    <row r="152" spans="1:10" x14ac:dyDescent="0.35">
      <c r="A152" s="92">
        <v>41121</v>
      </c>
      <c r="B152" s="1" t="str">
        <f>VLOOKUP(A152,周期整合计算!A:G,7,0)</f>
        <v>周期3（景气值&lt;0，方向上升）</v>
      </c>
      <c r="C152" s="1" t="str">
        <f>IF(ISNUMBER(D152),COUNTIF(D$2:D152,"&gt;0"),"")</f>
        <v/>
      </c>
      <c r="D152" s="90" t="str">
        <f t="shared" si="27"/>
        <v/>
      </c>
      <c r="E152" s="1" t="str">
        <f>IF(ISNUMBER(F152),COUNTIF(F$2:F152,"&gt;0"),"")</f>
        <v/>
      </c>
      <c r="F152" s="90" t="str">
        <f t="shared" si="28"/>
        <v/>
      </c>
      <c r="H152" s="1">
        <v>151</v>
      </c>
      <c r="I152" s="93"/>
      <c r="J152" s="93"/>
    </row>
    <row r="153" spans="1:10" x14ac:dyDescent="0.35">
      <c r="A153" s="92">
        <v>41090</v>
      </c>
      <c r="B153" s="1" t="str">
        <f>VLOOKUP(A153,周期整合计算!A:G,7,0)</f>
        <v>周期3（景气值&lt;0，方向上升）</v>
      </c>
      <c r="C153" s="1" t="str">
        <f>IF(ISNUMBER(D153),COUNTIF(D$2:D153,"&gt;0"),"")</f>
        <v/>
      </c>
      <c r="D153" s="90" t="str">
        <f t="shared" si="27"/>
        <v/>
      </c>
      <c r="E153" s="1">
        <f>IF(ISNUMBER(F153),COUNTIF(F$2:F153,"&gt;0"),"")</f>
        <v>15</v>
      </c>
      <c r="F153" s="90">
        <f t="shared" si="28"/>
        <v>41090</v>
      </c>
      <c r="H153" s="1">
        <v>152</v>
      </c>
      <c r="I153" s="93"/>
      <c r="J153" s="93"/>
    </row>
    <row r="154" spans="1:10" x14ac:dyDescent="0.35">
      <c r="A154" s="92">
        <v>41060</v>
      </c>
      <c r="B154" s="1" t="str">
        <f>VLOOKUP(A154,周期整合计算!A:G,7,0)</f>
        <v>周期2（景气值&lt;0，方向下降）</v>
      </c>
      <c r="C154" s="1">
        <f>IF(ISNUMBER(D154),COUNTIF(D$2:D154,"&gt;0"),"")</f>
        <v>16</v>
      </c>
      <c r="D154" s="90">
        <f t="shared" si="27"/>
        <v>41060</v>
      </c>
      <c r="E154" s="1" t="str">
        <f>IF(ISNUMBER(F154),COUNTIF(F$2:F154,"&gt;0"),"")</f>
        <v/>
      </c>
      <c r="F154" s="90" t="str">
        <f t="shared" si="28"/>
        <v/>
      </c>
      <c r="H154" s="1">
        <v>153</v>
      </c>
      <c r="I154" s="93"/>
      <c r="J154" s="93"/>
    </row>
    <row r="155" spans="1:10" x14ac:dyDescent="0.35">
      <c r="A155" s="92">
        <v>41029</v>
      </c>
      <c r="B155" s="1" t="str">
        <f>VLOOKUP(A155,周期整合计算!A:G,7,0)</f>
        <v>周期2（景气值&lt;0，方向下降）</v>
      </c>
      <c r="C155" s="1" t="str">
        <f>IF(ISNUMBER(D155),COUNTIF(D$2:D155,"&gt;0"),"")</f>
        <v/>
      </c>
      <c r="D155" s="90" t="str">
        <f t="shared" si="27"/>
        <v/>
      </c>
      <c r="E155" s="1" t="str">
        <f>IF(ISNUMBER(F155),COUNTIF(F$2:F155,"&gt;0"),"")</f>
        <v/>
      </c>
      <c r="F155" s="90" t="str">
        <f t="shared" si="28"/>
        <v/>
      </c>
      <c r="H155" s="1">
        <v>154</v>
      </c>
      <c r="I155" s="93"/>
      <c r="J155" s="93"/>
    </row>
    <row r="156" spans="1:10" x14ac:dyDescent="0.35">
      <c r="A156" s="92">
        <v>40999</v>
      </c>
      <c r="B156" s="1" t="str">
        <f>VLOOKUP(A156,周期整合计算!A:G,7,0)</f>
        <v>周期2（景气值&lt;0，方向下降）</v>
      </c>
      <c r="C156" s="1" t="str">
        <f>IF(ISNUMBER(D156),COUNTIF(D$2:D156,"&gt;0"),"")</f>
        <v/>
      </c>
      <c r="D156" s="90" t="str">
        <f t="shared" si="27"/>
        <v/>
      </c>
      <c r="E156" s="1" t="str">
        <f>IF(ISNUMBER(F156),COUNTIF(F$2:F156,"&gt;0"),"")</f>
        <v/>
      </c>
      <c r="F156" s="90" t="str">
        <f t="shared" si="28"/>
        <v/>
      </c>
      <c r="H156" s="1">
        <v>155</v>
      </c>
      <c r="I156" s="93"/>
      <c r="J156" s="93"/>
    </row>
    <row r="157" spans="1:10" x14ac:dyDescent="0.35">
      <c r="A157" s="92">
        <v>40968</v>
      </c>
      <c r="B157" s="1" t="str">
        <f>VLOOKUP(A157,周期整合计算!A:G,7,0)</f>
        <v>周期2（景气值&lt;0，方向下降）</v>
      </c>
      <c r="C157" s="1" t="str">
        <f>IF(ISNUMBER(D157),COUNTIF(D$2:D157,"&gt;0"),"")</f>
        <v/>
      </c>
      <c r="D157" s="90" t="str">
        <f t="shared" si="27"/>
        <v/>
      </c>
      <c r="E157" s="1" t="str">
        <f>IF(ISNUMBER(F157),COUNTIF(F$2:F157,"&gt;0"),"")</f>
        <v/>
      </c>
      <c r="F157" s="90" t="str">
        <f t="shared" si="28"/>
        <v/>
      </c>
      <c r="H157" s="1">
        <v>156</v>
      </c>
      <c r="I157" s="93"/>
      <c r="J157" s="93"/>
    </row>
    <row r="158" spans="1:10" x14ac:dyDescent="0.35">
      <c r="A158" s="92">
        <v>40939</v>
      </c>
      <c r="B158" s="1" t="str">
        <f>VLOOKUP(A158,周期整合计算!A:G,7,0)</f>
        <v>周期2（景气值&lt;0，方向下降）</v>
      </c>
      <c r="C158" s="1" t="str">
        <f>IF(ISNUMBER(D158),COUNTIF(D$2:D158,"&gt;0"),"")</f>
        <v/>
      </c>
      <c r="D158" s="90" t="str">
        <f t="shared" si="27"/>
        <v/>
      </c>
      <c r="E158" s="1" t="str">
        <f>IF(ISNUMBER(F158),COUNTIF(F$2:F158,"&gt;0"),"")</f>
        <v/>
      </c>
      <c r="F158" s="90" t="str">
        <f t="shared" si="28"/>
        <v/>
      </c>
      <c r="H158" s="1">
        <v>157</v>
      </c>
      <c r="I158" s="93"/>
      <c r="J158" s="93"/>
    </row>
    <row r="159" spans="1:10" x14ac:dyDescent="0.35">
      <c r="A159" s="92">
        <v>40908</v>
      </c>
      <c r="B159" s="1" t="str">
        <f>VLOOKUP(A159,周期整合计算!A:G,7,0)</f>
        <v>周期2（景气值&lt;0，方向下降）</v>
      </c>
      <c r="C159" s="1" t="str">
        <f>IF(ISNUMBER(D159),COUNTIF(D$2:D159,"&gt;0"),"")</f>
        <v/>
      </c>
      <c r="D159" s="90" t="str">
        <f t="shared" si="27"/>
        <v/>
      </c>
      <c r="E159" s="1" t="str">
        <f>IF(ISNUMBER(F159),COUNTIF(F$2:F159,"&gt;0"),"")</f>
        <v/>
      </c>
      <c r="F159" s="90" t="str">
        <f t="shared" si="28"/>
        <v/>
      </c>
      <c r="H159" s="1">
        <v>158</v>
      </c>
      <c r="I159" s="93"/>
      <c r="J159" s="93"/>
    </row>
    <row r="160" spans="1:10" x14ac:dyDescent="0.35">
      <c r="A160" s="92">
        <v>40877</v>
      </c>
      <c r="B160" s="1" t="str">
        <f>VLOOKUP(A160,周期整合计算!A:G,7,0)</f>
        <v>周期2（景气值&lt;0，方向下降）</v>
      </c>
      <c r="C160" s="1" t="str">
        <f>IF(ISNUMBER(D160),COUNTIF(D$2:D160,"&gt;0"),"")</f>
        <v/>
      </c>
      <c r="D160" s="90" t="str">
        <f t="shared" si="27"/>
        <v/>
      </c>
      <c r="E160" s="1">
        <f>IF(ISNUMBER(F160),COUNTIF(F$2:F160,"&gt;0"),"")</f>
        <v>16</v>
      </c>
      <c r="F160" s="90">
        <f t="shared" si="28"/>
        <v>40877</v>
      </c>
      <c r="H160" s="1">
        <v>159</v>
      </c>
      <c r="I160" s="93"/>
      <c r="J160" s="93"/>
    </row>
    <row r="161" spans="1:10" x14ac:dyDescent="0.35">
      <c r="A161" s="92">
        <v>40847</v>
      </c>
      <c r="B161" s="1" t="str">
        <f>VLOOKUP(A161,周期整合计算!A:G,7,0)</f>
        <v>周期1（景气值&gt;0，方向下降）</v>
      </c>
      <c r="C161" s="1">
        <f>IF(ISNUMBER(D161),COUNTIF(D$2:D161,"&gt;0"),"")</f>
        <v>17</v>
      </c>
      <c r="D161" s="90">
        <f t="shared" si="27"/>
        <v>40847</v>
      </c>
      <c r="E161" s="1" t="str">
        <f>IF(ISNUMBER(F161),COUNTIF(F$2:F161,"&gt;0"),"")</f>
        <v/>
      </c>
      <c r="F161" s="90" t="str">
        <f t="shared" si="28"/>
        <v/>
      </c>
      <c r="H161" s="1">
        <v>160</v>
      </c>
      <c r="I161" s="93"/>
      <c r="J161" s="93"/>
    </row>
    <row r="162" spans="1:10" x14ac:dyDescent="0.35">
      <c r="A162" s="92">
        <v>40816</v>
      </c>
      <c r="B162" s="1" t="str">
        <f>VLOOKUP(A162,周期整合计算!A:G,7,0)</f>
        <v>周期1（景气值&gt;0，方向下降）</v>
      </c>
      <c r="C162" s="1" t="str">
        <f>IF(ISNUMBER(D162),COUNTIF(D$2:D162,"&gt;0"),"")</f>
        <v/>
      </c>
      <c r="D162" s="90" t="str">
        <f t="shared" si="27"/>
        <v/>
      </c>
      <c r="E162" s="1" t="str">
        <f>IF(ISNUMBER(F162),COUNTIF(F$2:F162,"&gt;0"),"")</f>
        <v/>
      </c>
      <c r="F162" s="90" t="str">
        <f t="shared" si="28"/>
        <v/>
      </c>
      <c r="H162" s="1">
        <v>161</v>
      </c>
      <c r="I162" s="93"/>
      <c r="J162" s="93"/>
    </row>
    <row r="163" spans="1:10" x14ac:dyDescent="0.35">
      <c r="A163" s="92">
        <v>40786</v>
      </c>
      <c r="B163" s="1" t="str">
        <f>VLOOKUP(A163,周期整合计算!A:G,7,0)</f>
        <v>周期1（景气值&gt;0，方向下降）</v>
      </c>
      <c r="C163" s="1" t="str">
        <f>IF(ISNUMBER(D163),COUNTIF(D$2:D163,"&gt;0"),"")</f>
        <v/>
      </c>
      <c r="D163" s="90" t="str">
        <f t="shared" si="27"/>
        <v/>
      </c>
      <c r="E163" s="1" t="str">
        <f>IF(ISNUMBER(F163),COUNTIF(F$2:F163,"&gt;0"),"")</f>
        <v/>
      </c>
      <c r="F163" s="90" t="str">
        <f t="shared" si="28"/>
        <v/>
      </c>
      <c r="H163" s="1">
        <v>162</v>
      </c>
      <c r="I163" s="93"/>
      <c r="J163" s="93"/>
    </row>
    <row r="164" spans="1:10" x14ac:dyDescent="0.35">
      <c r="A164" s="92">
        <v>40755</v>
      </c>
      <c r="B164" s="1" t="str">
        <f>VLOOKUP(A164,周期整合计算!A:G,7,0)</f>
        <v>周期1（景气值&gt;0，方向下降）</v>
      </c>
      <c r="C164" s="1" t="str">
        <f>IF(ISNUMBER(D164),COUNTIF(D$2:D164,"&gt;0"),"")</f>
        <v/>
      </c>
      <c r="D164" s="90" t="str">
        <f t="shared" si="27"/>
        <v/>
      </c>
      <c r="E164" s="1" t="str">
        <f>IF(ISNUMBER(F164),COUNTIF(F$2:F164,"&gt;0"),"")</f>
        <v/>
      </c>
      <c r="F164" s="90" t="str">
        <f t="shared" si="28"/>
        <v/>
      </c>
      <c r="H164" s="1">
        <v>163</v>
      </c>
      <c r="I164" s="93"/>
      <c r="J164" s="93"/>
    </row>
    <row r="165" spans="1:10" x14ac:dyDescent="0.35">
      <c r="A165" s="92">
        <v>40724</v>
      </c>
      <c r="B165" s="1" t="str">
        <f>VLOOKUP(A165,周期整合计算!A:G,7,0)</f>
        <v>周期1（景气值&gt;0，方向下降）</v>
      </c>
      <c r="C165" s="1" t="str">
        <f>IF(ISNUMBER(D165),COUNTIF(D$2:D165,"&gt;0"),"")</f>
        <v/>
      </c>
      <c r="D165" s="90" t="str">
        <f t="shared" si="27"/>
        <v/>
      </c>
      <c r="E165" s="1" t="str">
        <f>IF(ISNUMBER(F165),COUNTIF(F$2:F165,"&gt;0"),"")</f>
        <v/>
      </c>
      <c r="F165" s="90" t="str">
        <f t="shared" si="28"/>
        <v/>
      </c>
      <c r="H165" s="1">
        <v>164</v>
      </c>
      <c r="I165" s="93"/>
      <c r="J165" s="93"/>
    </row>
    <row r="166" spans="1:10" x14ac:dyDescent="0.35">
      <c r="A166" s="92">
        <v>40694</v>
      </c>
      <c r="B166" s="1" t="str">
        <f>VLOOKUP(A166,周期整合计算!A:G,7,0)</f>
        <v>周期1（景气值&gt;0，方向下降）</v>
      </c>
      <c r="C166" s="1" t="str">
        <f>IF(ISNUMBER(D166),COUNTIF(D$2:D166,"&gt;0"),"")</f>
        <v/>
      </c>
      <c r="D166" s="90" t="str">
        <f t="shared" si="27"/>
        <v/>
      </c>
      <c r="E166" s="1" t="str">
        <f>IF(ISNUMBER(F166),COUNTIF(F$2:F166,"&gt;0"),"")</f>
        <v/>
      </c>
      <c r="F166" s="90" t="str">
        <f t="shared" si="28"/>
        <v/>
      </c>
      <c r="H166" s="1">
        <v>165</v>
      </c>
      <c r="I166" s="93"/>
      <c r="J166" s="93"/>
    </row>
    <row r="167" spans="1:10" x14ac:dyDescent="0.35">
      <c r="A167" s="92">
        <v>40663</v>
      </c>
      <c r="B167" s="1" t="str">
        <f>VLOOKUP(A167,周期整合计算!A:G,7,0)</f>
        <v>周期1（景气值&gt;0，方向下降）</v>
      </c>
      <c r="C167" s="1" t="str">
        <f>IF(ISNUMBER(D167),COUNTIF(D$2:D167,"&gt;0"),"")</f>
        <v/>
      </c>
      <c r="D167" s="90" t="str">
        <f t="shared" si="27"/>
        <v/>
      </c>
      <c r="E167" s="1" t="str">
        <f>IF(ISNUMBER(F167),COUNTIF(F$2:F167,"&gt;0"),"")</f>
        <v/>
      </c>
      <c r="F167" s="90" t="str">
        <f t="shared" si="28"/>
        <v/>
      </c>
      <c r="H167" s="1">
        <v>166</v>
      </c>
      <c r="I167" s="93"/>
      <c r="J167" s="93"/>
    </row>
    <row r="168" spans="1:10" x14ac:dyDescent="0.35">
      <c r="A168" s="92">
        <v>40633</v>
      </c>
      <c r="B168" s="1" t="str">
        <f>VLOOKUP(A168,周期整合计算!A:G,7,0)</f>
        <v>周期1（景气值&gt;0，方向下降）</v>
      </c>
      <c r="C168" s="1" t="str">
        <f>IF(ISNUMBER(D168),COUNTIF(D$2:D168,"&gt;0"),"")</f>
        <v/>
      </c>
      <c r="D168" s="90" t="str">
        <f t="shared" si="27"/>
        <v/>
      </c>
      <c r="E168" s="1" t="str">
        <f>IF(ISNUMBER(F168),COUNTIF(F$2:F168,"&gt;0"),"")</f>
        <v/>
      </c>
      <c r="F168" s="90" t="str">
        <f t="shared" si="28"/>
        <v/>
      </c>
      <c r="H168" s="1">
        <v>167</v>
      </c>
      <c r="I168" s="93"/>
      <c r="J168" s="93"/>
    </row>
    <row r="169" spans="1:10" x14ac:dyDescent="0.35">
      <c r="A169" s="92">
        <v>40602</v>
      </c>
      <c r="B169" s="1" t="str">
        <f>VLOOKUP(A169,周期整合计算!A:G,7,0)</f>
        <v>周期1（景气值&gt;0，方向下降）</v>
      </c>
      <c r="C169" s="1" t="str">
        <f>IF(ISNUMBER(D169),COUNTIF(D$2:D169,"&gt;0"),"")</f>
        <v/>
      </c>
      <c r="D169" s="90" t="str">
        <f t="shared" si="27"/>
        <v/>
      </c>
      <c r="E169" s="1" t="str">
        <f>IF(ISNUMBER(F169),COUNTIF(F$2:F169,"&gt;0"),"")</f>
        <v/>
      </c>
      <c r="F169" s="90" t="str">
        <f t="shared" si="28"/>
        <v/>
      </c>
      <c r="H169" s="1">
        <v>168</v>
      </c>
      <c r="I169" s="93"/>
      <c r="J169" s="93"/>
    </row>
    <row r="170" spans="1:10" x14ac:dyDescent="0.35">
      <c r="A170" s="92">
        <v>40574</v>
      </c>
      <c r="B170" s="1" t="str">
        <f>VLOOKUP(A170,周期整合计算!A:G,7,0)</f>
        <v>周期1（景气值&gt;0，方向下降）</v>
      </c>
      <c r="C170" s="1" t="str">
        <f>IF(ISNUMBER(D170),COUNTIF(D$2:D170,"&gt;0"),"")</f>
        <v/>
      </c>
      <c r="D170" s="90" t="str">
        <f t="shared" si="27"/>
        <v/>
      </c>
      <c r="E170" s="1" t="str">
        <f>IF(ISNUMBER(F170),COUNTIF(F$2:F170,"&gt;0"),"")</f>
        <v/>
      </c>
      <c r="F170" s="90" t="str">
        <f t="shared" si="28"/>
        <v/>
      </c>
      <c r="H170" s="1">
        <v>169</v>
      </c>
      <c r="I170" s="93"/>
      <c r="J170" s="93"/>
    </row>
    <row r="171" spans="1:10" x14ac:dyDescent="0.35">
      <c r="A171" s="92">
        <v>40543</v>
      </c>
      <c r="B171" s="1" t="str">
        <f>VLOOKUP(A171,周期整合计算!A:G,7,0)</f>
        <v>周期1（景气值&gt;0，方向下降）</v>
      </c>
      <c r="C171" s="1" t="str">
        <f>IF(ISNUMBER(D171),COUNTIF(D$2:D171,"&gt;0"),"")</f>
        <v/>
      </c>
      <c r="D171" s="90" t="str">
        <f t="shared" si="27"/>
        <v/>
      </c>
      <c r="E171" s="1" t="str">
        <f>IF(ISNUMBER(F171),COUNTIF(F$2:F171,"&gt;0"),"")</f>
        <v/>
      </c>
      <c r="F171" s="90" t="str">
        <f t="shared" si="28"/>
        <v/>
      </c>
      <c r="H171" s="1">
        <v>170</v>
      </c>
      <c r="I171" s="93"/>
      <c r="J171" s="93"/>
    </row>
    <row r="172" spans="1:10" x14ac:dyDescent="0.35">
      <c r="A172" s="92">
        <v>40512</v>
      </c>
      <c r="B172" s="1" t="str">
        <f>VLOOKUP(A172,周期整合计算!A:G,7,0)</f>
        <v>周期1（景气值&gt;0，方向下降）</v>
      </c>
      <c r="C172" s="1" t="str">
        <f>IF(ISNUMBER(D172),COUNTIF(D$2:D172,"&gt;0"),"")</f>
        <v/>
      </c>
      <c r="D172" s="90" t="str">
        <f t="shared" si="27"/>
        <v/>
      </c>
      <c r="E172" s="1" t="str">
        <f>IF(ISNUMBER(F172),COUNTIF(F$2:F172,"&gt;0"),"")</f>
        <v/>
      </c>
      <c r="F172" s="90" t="str">
        <f t="shared" si="28"/>
        <v/>
      </c>
      <c r="H172" s="1">
        <v>171</v>
      </c>
      <c r="I172" s="93"/>
      <c r="J172" s="93"/>
    </row>
    <row r="173" spans="1:10" x14ac:dyDescent="0.35">
      <c r="A173" s="92">
        <v>40482</v>
      </c>
      <c r="B173" s="1" t="str">
        <f>VLOOKUP(A173,周期整合计算!A:G,7,0)</f>
        <v>周期1（景气值&gt;0，方向下降）</v>
      </c>
      <c r="C173" s="1" t="str">
        <f>IF(ISNUMBER(D173),COUNTIF(D$2:D173,"&gt;0"),"")</f>
        <v/>
      </c>
      <c r="D173" s="90" t="str">
        <f t="shared" si="27"/>
        <v/>
      </c>
      <c r="E173" s="1" t="str">
        <f>IF(ISNUMBER(F173),COUNTIF(F$2:F173,"&gt;0"),"")</f>
        <v/>
      </c>
      <c r="F173" s="90" t="str">
        <f t="shared" si="28"/>
        <v/>
      </c>
      <c r="H173" s="1">
        <v>172</v>
      </c>
      <c r="I173" s="93"/>
      <c r="J173" s="93"/>
    </row>
    <row r="174" spans="1:10" x14ac:dyDescent="0.35">
      <c r="A174" s="92">
        <v>40451</v>
      </c>
      <c r="B174" s="1" t="str">
        <f>VLOOKUP(A174,周期整合计算!A:G,7,0)</f>
        <v>周期1（景气值&gt;0，方向下降）</v>
      </c>
      <c r="C174" s="1" t="str">
        <f>IF(ISNUMBER(D174),COUNTIF(D$2:D174,"&gt;0"),"")</f>
        <v/>
      </c>
      <c r="D174" s="90" t="str">
        <f t="shared" si="27"/>
        <v/>
      </c>
      <c r="E174" s="1" t="str">
        <f>IF(ISNUMBER(F174),COUNTIF(F$2:F174,"&gt;0"),"")</f>
        <v/>
      </c>
      <c r="F174" s="90" t="str">
        <f t="shared" si="28"/>
        <v/>
      </c>
      <c r="H174" s="1">
        <v>173</v>
      </c>
      <c r="I174" s="93"/>
      <c r="J174" s="93"/>
    </row>
    <row r="175" spans="1:10" x14ac:dyDescent="0.35">
      <c r="A175" s="92">
        <v>40421</v>
      </c>
      <c r="B175" s="1" t="str">
        <f>VLOOKUP(A175,周期整合计算!A:G,7,0)</f>
        <v>周期1（景气值&gt;0，方向下降）</v>
      </c>
      <c r="C175" s="1" t="str">
        <f>IF(ISNUMBER(D175),COUNTIF(D$2:D175,"&gt;0"),"")</f>
        <v/>
      </c>
      <c r="D175" s="90" t="str">
        <f t="shared" si="27"/>
        <v/>
      </c>
      <c r="E175" s="1" t="str">
        <f>IF(ISNUMBER(F175),COUNTIF(F$2:F175,"&gt;0"),"")</f>
        <v/>
      </c>
      <c r="F175" s="90" t="str">
        <f t="shared" si="28"/>
        <v/>
      </c>
      <c r="H175" s="1">
        <v>174</v>
      </c>
      <c r="I175" s="93"/>
      <c r="J175" s="93"/>
    </row>
    <row r="176" spans="1:10" x14ac:dyDescent="0.35">
      <c r="A176" s="92">
        <v>40390</v>
      </c>
      <c r="B176" s="1" t="str">
        <f>VLOOKUP(A176,周期整合计算!A:G,7,0)</f>
        <v>周期1（景气值&gt;0，方向下降）</v>
      </c>
      <c r="C176" s="1" t="str">
        <f>IF(ISNUMBER(D176),COUNTIF(D$2:D176,"&gt;0"),"")</f>
        <v/>
      </c>
      <c r="D176" s="90" t="str">
        <f t="shared" si="27"/>
        <v/>
      </c>
      <c r="E176" s="1" t="str">
        <f>IF(ISNUMBER(F176),COUNTIF(F$2:F176,"&gt;0"),"")</f>
        <v/>
      </c>
      <c r="F176" s="90" t="str">
        <f t="shared" si="28"/>
        <v/>
      </c>
      <c r="H176" s="1">
        <v>175</v>
      </c>
      <c r="I176" s="93"/>
      <c r="J176" s="93"/>
    </row>
    <row r="177" spans="1:10" x14ac:dyDescent="0.35">
      <c r="A177" s="92">
        <v>40359</v>
      </c>
      <c r="B177" s="1" t="str">
        <f>VLOOKUP(A177,周期整合计算!A:G,7,0)</f>
        <v>周期1（景气值&gt;0，方向下降）</v>
      </c>
      <c r="C177" s="1" t="str">
        <f>IF(ISNUMBER(D177),COUNTIF(D$2:D177,"&gt;0"),"")</f>
        <v/>
      </c>
      <c r="D177" s="90" t="str">
        <f t="shared" si="27"/>
        <v/>
      </c>
      <c r="E177" s="1" t="str">
        <f>IF(ISNUMBER(F177),COUNTIF(F$2:F177,"&gt;0"),"")</f>
        <v/>
      </c>
      <c r="F177" s="90" t="str">
        <f t="shared" si="28"/>
        <v/>
      </c>
      <c r="H177" s="1">
        <v>176</v>
      </c>
      <c r="I177" s="93"/>
      <c r="J177" s="93"/>
    </row>
    <row r="178" spans="1:10" x14ac:dyDescent="0.35">
      <c r="A178" s="92">
        <v>40329</v>
      </c>
      <c r="B178" s="1" t="str">
        <f>VLOOKUP(A178,周期整合计算!A:G,7,0)</f>
        <v>周期1（景气值&gt;0，方向下降）</v>
      </c>
      <c r="C178" s="1" t="str">
        <f>IF(ISNUMBER(D178),COUNTIF(D$2:D178,"&gt;0"),"")</f>
        <v/>
      </c>
      <c r="D178" s="90" t="str">
        <f t="shared" si="27"/>
        <v/>
      </c>
      <c r="E178" s="1" t="str">
        <f>IF(ISNUMBER(F178),COUNTIF(F$2:F178,"&gt;0"),"")</f>
        <v/>
      </c>
      <c r="F178" s="90" t="str">
        <f t="shared" si="28"/>
        <v/>
      </c>
      <c r="H178" s="1">
        <v>177</v>
      </c>
      <c r="I178" s="93"/>
      <c r="J178" s="93"/>
    </row>
    <row r="179" spans="1:10" x14ac:dyDescent="0.35">
      <c r="A179" s="92">
        <v>40298</v>
      </c>
      <c r="B179" s="1" t="str">
        <f>VLOOKUP(A179,周期整合计算!A:G,7,0)</f>
        <v>周期1（景气值&gt;0，方向下降）</v>
      </c>
      <c r="C179" s="1" t="str">
        <f>IF(ISNUMBER(D179),COUNTIF(D$2:D179,"&gt;0"),"")</f>
        <v/>
      </c>
      <c r="D179" s="90" t="str">
        <f t="shared" si="27"/>
        <v/>
      </c>
      <c r="E179" s="1" t="str">
        <f>IF(ISNUMBER(F179),COUNTIF(F$2:F179,"&gt;0"),"")</f>
        <v/>
      </c>
      <c r="F179" s="90" t="str">
        <f t="shared" si="28"/>
        <v/>
      </c>
      <c r="H179" s="1">
        <v>178</v>
      </c>
      <c r="I179" s="93"/>
      <c r="J179" s="93"/>
    </row>
    <row r="180" spans="1:10" x14ac:dyDescent="0.35">
      <c r="A180" s="92">
        <v>40268</v>
      </c>
      <c r="B180" s="1" t="str">
        <f>VLOOKUP(A180,周期整合计算!A:G,7,0)</f>
        <v>周期1（景气值&gt;0，方向下降）</v>
      </c>
      <c r="C180" s="1" t="str">
        <f>IF(ISNUMBER(D180),COUNTIF(D$2:D180,"&gt;0"),"")</f>
        <v/>
      </c>
      <c r="D180" s="90" t="str">
        <f t="shared" si="27"/>
        <v/>
      </c>
      <c r="E180" s="1" t="str">
        <f>IF(ISNUMBER(F180),COUNTIF(F$2:F180,"&gt;0"),"")</f>
        <v/>
      </c>
      <c r="F180" s="90" t="str">
        <f t="shared" si="28"/>
        <v/>
      </c>
      <c r="H180" s="1">
        <v>179</v>
      </c>
      <c r="I180" s="93"/>
      <c r="J180" s="93"/>
    </row>
    <row r="181" spans="1:10" x14ac:dyDescent="0.35">
      <c r="A181" s="92">
        <v>40237</v>
      </c>
      <c r="B181" s="1" t="str">
        <f>VLOOKUP(A181,周期整合计算!A:G,7,0)</f>
        <v>周期1（景气值&gt;0，方向下降）</v>
      </c>
      <c r="C181" s="1" t="str">
        <f>IF(ISNUMBER(D181),COUNTIF(D$2:D181,"&gt;0"),"")</f>
        <v/>
      </c>
      <c r="D181" s="90" t="str">
        <f t="shared" si="27"/>
        <v/>
      </c>
      <c r="E181" s="1" t="str">
        <f>IF(ISNUMBER(F181),COUNTIF(F$2:F181,"&gt;0"),"")</f>
        <v/>
      </c>
      <c r="F181" s="90" t="str">
        <f t="shared" si="28"/>
        <v/>
      </c>
      <c r="H181" s="1">
        <v>180</v>
      </c>
      <c r="I181" s="93"/>
      <c r="J181" s="93"/>
    </row>
    <row r="182" spans="1:10" x14ac:dyDescent="0.35">
      <c r="A182" s="92">
        <v>40209</v>
      </c>
      <c r="B182" s="1" t="str">
        <f>VLOOKUP(A182,周期整合计算!A:G,7,0)</f>
        <v>周期1（景气值&gt;0，方向下降）</v>
      </c>
      <c r="C182" s="1" t="str">
        <f>IF(ISNUMBER(D182),COUNTIF(D$2:D182,"&gt;0"),"")</f>
        <v/>
      </c>
      <c r="D182" s="90" t="str">
        <f t="shared" si="27"/>
        <v/>
      </c>
      <c r="E182" s="1" t="str">
        <f>IF(ISNUMBER(F182),COUNTIF(F$2:F182,"&gt;0"),"")</f>
        <v/>
      </c>
      <c r="F182" s="90" t="e">
        <f t="shared" si="28"/>
        <v>#N/A</v>
      </c>
      <c r="H182" s="1">
        <v>181</v>
      </c>
      <c r="I182" s="93"/>
      <c r="J182" s="93"/>
    </row>
    <row r="183" spans="1:10" x14ac:dyDescent="0.35">
      <c r="A183" s="92">
        <v>40178</v>
      </c>
      <c r="B183" s="1" t="e">
        <f>VLOOKUP(A183,周期整合计算!A:G,7,0)</f>
        <v>#N/A</v>
      </c>
      <c r="C183" s="1" t="str">
        <f>IF(ISNUMBER(D183),COUNTIF(D$2:D183,"&gt;0"),"")</f>
        <v/>
      </c>
      <c r="D183" s="90" t="e">
        <f t="shared" si="27"/>
        <v>#N/A</v>
      </c>
      <c r="E183" s="1" t="str">
        <f>IF(ISNUMBER(F183),COUNTIF(F$2:F183,"&gt;0"),"")</f>
        <v/>
      </c>
      <c r="F183" s="90" t="e">
        <f t="shared" si="28"/>
        <v>#N/A</v>
      </c>
      <c r="H183" s="1">
        <v>182</v>
      </c>
      <c r="I183" s="93"/>
      <c r="J183" s="93"/>
    </row>
    <row r="184" spans="1:10" x14ac:dyDescent="0.35">
      <c r="A184" s="92"/>
      <c r="B184" s="1" t="e">
        <f>VLOOKUP(A184,周期整合计算!A:G,7,0)</f>
        <v>#N/A</v>
      </c>
      <c r="C184" s="1" t="str">
        <f>IF(ISNUMBER(D184),COUNTIF(D$2:D184,"&gt;0"),"")</f>
        <v/>
      </c>
      <c r="D184" s="90" t="e">
        <f t="shared" si="27"/>
        <v>#N/A</v>
      </c>
      <c r="E184" s="1" t="str">
        <f>IF(ISNUMBER(F184),COUNTIF(F$2:F184,"&gt;0"),"")</f>
        <v/>
      </c>
      <c r="F184" s="90" t="e">
        <f t="shared" si="28"/>
        <v>#N/A</v>
      </c>
      <c r="H184" s="1">
        <v>183</v>
      </c>
      <c r="I184" s="93"/>
      <c r="J184" s="93"/>
    </row>
    <row r="185" spans="1:10" x14ac:dyDescent="0.35">
      <c r="A185" s="92"/>
      <c r="B185" s="1" t="e">
        <f>VLOOKUP(A185,周期整合计算!A:G,7,0)</f>
        <v>#N/A</v>
      </c>
      <c r="C185" s="1" t="str">
        <f>IF(ISNUMBER(D185),COUNTIF(D$2:D185,"&gt;0"),"")</f>
        <v/>
      </c>
      <c r="D185" s="90" t="e">
        <f t="shared" si="27"/>
        <v>#N/A</v>
      </c>
      <c r="E185" s="1" t="str">
        <f>IF(ISNUMBER(F185),COUNTIF(F$2:F185,"&gt;0"),"")</f>
        <v/>
      </c>
      <c r="F185" s="90" t="e">
        <f t="shared" si="28"/>
        <v>#N/A</v>
      </c>
      <c r="H185" s="1">
        <v>184</v>
      </c>
      <c r="I185" s="93"/>
      <c r="J185" s="93"/>
    </row>
    <row r="186" spans="1:10" x14ac:dyDescent="0.35">
      <c r="A186" s="92"/>
      <c r="B186" s="1" t="e">
        <f>VLOOKUP(A186,周期整合计算!A:G,7,0)</f>
        <v>#N/A</v>
      </c>
      <c r="C186" s="1" t="str">
        <f>IF(ISNUMBER(D186),COUNTIF(D$2:D186,"&gt;0"),"")</f>
        <v/>
      </c>
      <c r="D186" s="90" t="e">
        <f t="shared" si="27"/>
        <v>#N/A</v>
      </c>
      <c r="E186" s="1" t="str">
        <f>IF(ISNUMBER(F186),COUNTIF(F$2:F186,"&gt;0"),"")</f>
        <v/>
      </c>
      <c r="F186" s="90" t="e">
        <f t="shared" si="28"/>
        <v>#N/A</v>
      </c>
      <c r="H186" s="1">
        <v>185</v>
      </c>
      <c r="I186" s="93"/>
      <c r="J186" s="93"/>
    </row>
    <row r="187" spans="1:10" x14ac:dyDescent="0.35">
      <c r="A187" s="92"/>
      <c r="B187" s="1" t="e">
        <f>VLOOKUP(A187,周期整合计算!A:G,7,0)</f>
        <v>#N/A</v>
      </c>
      <c r="C187" s="1" t="str">
        <f>IF(ISNUMBER(D187),COUNTIF(D$2:D187,"&gt;0"),"")</f>
        <v/>
      </c>
      <c r="D187" s="90" t="e">
        <f t="shared" si="27"/>
        <v>#N/A</v>
      </c>
      <c r="E187" s="1" t="str">
        <f>IF(ISNUMBER(F187),COUNTIF(F$2:F187,"&gt;0"),"")</f>
        <v/>
      </c>
      <c r="F187" s="90" t="e">
        <f t="shared" si="28"/>
        <v>#N/A</v>
      </c>
      <c r="H187" s="1">
        <v>186</v>
      </c>
      <c r="I187" s="93"/>
      <c r="J187" s="93"/>
    </row>
    <row r="188" spans="1:10" x14ac:dyDescent="0.35">
      <c r="A188" s="92"/>
      <c r="B188" s="1" t="e">
        <f>VLOOKUP(A188,周期整合计算!A:G,7,0)</f>
        <v>#N/A</v>
      </c>
      <c r="C188" s="1" t="str">
        <f>IF(ISNUMBER(D188),COUNTIF(D$2:D188,"&gt;0"),"")</f>
        <v/>
      </c>
      <c r="D188" s="90" t="e">
        <f t="shared" si="27"/>
        <v>#N/A</v>
      </c>
      <c r="E188" s="1" t="str">
        <f>IF(ISNUMBER(F188),COUNTIF(F$2:F188,"&gt;0"),"")</f>
        <v/>
      </c>
      <c r="F188" s="90" t="e">
        <f t="shared" si="28"/>
        <v>#N/A</v>
      </c>
      <c r="H188" s="1">
        <v>187</v>
      </c>
      <c r="I188" s="93"/>
      <c r="J188" s="93"/>
    </row>
    <row r="189" spans="1:10" x14ac:dyDescent="0.35">
      <c r="A189" s="92"/>
      <c r="B189" s="1" t="e">
        <f>VLOOKUP(A189,周期整合计算!A:G,7,0)</f>
        <v>#N/A</v>
      </c>
      <c r="C189" s="1" t="str">
        <f>IF(ISNUMBER(D189),COUNTIF(D$2:D189,"&gt;0"),"")</f>
        <v/>
      </c>
      <c r="D189" s="90" t="e">
        <f t="shared" si="27"/>
        <v>#N/A</v>
      </c>
      <c r="E189" s="1" t="str">
        <f>IF(ISNUMBER(F189),COUNTIF(F$2:F189,"&gt;0"),"")</f>
        <v/>
      </c>
      <c r="F189" s="90" t="e">
        <f t="shared" si="28"/>
        <v>#N/A</v>
      </c>
      <c r="H189" s="1">
        <v>188</v>
      </c>
      <c r="I189" s="93"/>
      <c r="J189" s="93"/>
    </row>
    <row r="190" spans="1:10" x14ac:dyDescent="0.35">
      <c r="A190" s="92"/>
      <c r="B190" s="1" t="e">
        <f>VLOOKUP(A190,周期整合计算!A:G,7,0)</f>
        <v>#N/A</v>
      </c>
      <c r="C190" s="1" t="str">
        <f>IF(ISNUMBER(D190),COUNTIF(D$2:D190,"&gt;0"),"")</f>
        <v/>
      </c>
      <c r="D190" s="90" t="e">
        <f t="shared" si="27"/>
        <v>#N/A</v>
      </c>
      <c r="E190" s="1" t="str">
        <f>IF(ISNUMBER(F190),COUNTIF(F$2:F190,"&gt;0"),"")</f>
        <v/>
      </c>
      <c r="F190" s="90" t="e">
        <f t="shared" si="28"/>
        <v>#N/A</v>
      </c>
      <c r="H190" s="1">
        <v>189</v>
      </c>
      <c r="I190" s="93"/>
      <c r="J190" s="93"/>
    </row>
    <row r="191" spans="1:10" x14ac:dyDescent="0.35">
      <c r="A191" s="92"/>
      <c r="B191" s="1" t="e">
        <f>VLOOKUP(A191,周期整合计算!A:G,7,0)</f>
        <v>#N/A</v>
      </c>
      <c r="C191" s="1" t="str">
        <f>IF(ISNUMBER(D191),COUNTIF(D$2:D191,"&gt;0"),"")</f>
        <v/>
      </c>
      <c r="D191" s="90" t="e">
        <f t="shared" si="27"/>
        <v>#N/A</v>
      </c>
      <c r="E191" s="1" t="str">
        <f>IF(ISNUMBER(F191),COUNTIF(F$2:F191,"&gt;0"),"")</f>
        <v/>
      </c>
      <c r="F191" s="90" t="e">
        <f t="shared" si="28"/>
        <v>#N/A</v>
      </c>
      <c r="H191" s="1">
        <v>190</v>
      </c>
      <c r="I191" s="93"/>
      <c r="J191" s="93"/>
    </row>
    <row r="192" spans="1:10" x14ac:dyDescent="0.35">
      <c r="A192" s="92"/>
      <c r="B192" s="1" t="e">
        <f>VLOOKUP(A192,周期整合计算!A:G,7,0)</f>
        <v>#N/A</v>
      </c>
      <c r="C192" s="1" t="str">
        <f>IF(ISNUMBER(D192),COUNTIF(D$2:D192,"&gt;0"),"")</f>
        <v/>
      </c>
      <c r="D192" s="90" t="e">
        <f t="shared" si="27"/>
        <v>#N/A</v>
      </c>
      <c r="E192" s="1" t="str">
        <f>IF(ISNUMBER(F192),COUNTIF(F$2:F192,"&gt;0"),"")</f>
        <v/>
      </c>
      <c r="F192" s="90" t="e">
        <f t="shared" si="28"/>
        <v>#N/A</v>
      </c>
      <c r="H192" s="1">
        <v>191</v>
      </c>
      <c r="I192" s="93"/>
      <c r="J192" s="93"/>
    </row>
    <row r="193" spans="1:10" x14ac:dyDescent="0.35">
      <c r="A193" s="92"/>
      <c r="B193" s="1" t="e">
        <f>VLOOKUP(A193,周期整合计算!A:G,7,0)</f>
        <v>#N/A</v>
      </c>
      <c r="C193" s="1" t="str">
        <f>IF(ISNUMBER(D193),COUNTIF(D$2:D193,"&gt;0"),"")</f>
        <v/>
      </c>
      <c r="D193" s="90" t="e">
        <f t="shared" si="27"/>
        <v>#N/A</v>
      </c>
      <c r="E193" s="1" t="str">
        <f>IF(ISNUMBER(F193),COUNTIF(F$2:F193,"&gt;0"),"")</f>
        <v/>
      </c>
      <c r="F193" s="90" t="e">
        <f t="shared" si="28"/>
        <v>#N/A</v>
      </c>
      <c r="H193" s="1">
        <v>192</v>
      </c>
      <c r="I193" s="93"/>
      <c r="J193" s="93"/>
    </row>
    <row r="194" spans="1:10" x14ac:dyDescent="0.35">
      <c r="A194" s="92"/>
      <c r="B194" s="1" t="e">
        <f>VLOOKUP(A194,周期整合计算!A:G,7,0)</f>
        <v>#N/A</v>
      </c>
      <c r="C194" s="1" t="str">
        <f>IF(ISNUMBER(D194),COUNTIF(D$2:D194,"&gt;0"),"")</f>
        <v/>
      </c>
      <c r="D194" s="90" t="e">
        <f t="shared" si="27"/>
        <v>#N/A</v>
      </c>
      <c r="E194" s="1" t="str">
        <f>IF(ISNUMBER(F194),COUNTIF(F$2:F194,"&gt;0"),"")</f>
        <v/>
      </c>
      <c r="F194" s="90" t="e">
        <f t="shared" si="28"/>
        <v>#N/A</v>
      </c>
      <c r="H194" s="1">
        <v>193</v>
      </c>
      <c r="I194" s="93"/>
      <c r="J194" s="93"/>
    </row>
    <row r="195" spans="1:10" x14ac:dyDescent="0.35">
      <c r="A195" s="92"/>
      <c r="B195" s="1" t="e">
        <f>VLOOKUP(A195,周期整合计算!A:G,7,0)</f>
        <v>#N/A</v>
      </c>
      <c r="C195" s="1" t="str">
        <f>IF(ISNUMBER(D195),COUNTIF(D$2:D195,"&gt;0"),"")</f>
        <v/>
      </c>
      <c r="D195" s="90" t="e">
        <f t="shared" si="27"/>
        <v>#N/A</v>
      </c>
      <c r="E195" s="1" t="str">
        <f>IF(ISNUMBER(F195),COUNTIF(F$2:F195,"&gt;0"),"")</f>
        <v/>
      </c>
      <c r="F195" s="90" t="e">
        <f t="shared" si="28"/>
        <v>#N/A</v>
      </c>
      <c r="H195" s="1">
        <v>194</v>
      </c>
      <c r="I195" s="93"/>
      <c r="J195" s="93"/>
    </row>
    <row r="196" spans="1:10" x14ac:dyDescent="0.35">
      <c r="A196" s="92"/>
      <c r="B196" s="1" t="e">
        <f>VLOOKUP(A196,周期整合计算!A:G,7,0)</f>
        <v>#N/A</v>
      </c>
      <c r="C196" s="1" t="str">
        <f>IF(ISNUMBER(D196),COUNTIF(D$2:D196,"&gt;0"),"")</f>
        <v/>
      </c>
      <c r="D196" s="90" t="e">
        <f t="shared" si="27"/>
        <v>#N/A</v>
      </c>
      <c r="E196" s="1" t="str">
        <f>IF(ISNUMBER(F196),COUNTIF(F$2:F196,"&gt;0"),"")</f>
        <v/>
      </c>
      <c r="F196" s="90" t="e">
        <f t="shared" si="28"/>
        <v>#N/A</v>
      </c>
      <c r="H196" s="1">
        <v>195</v>
      </c>
      <c r="I196" s="93"/>
      <c r="J196" s="93"/>
    </row>
    <row r="197" spans="1:10" x14ac:dyDescent="0.35">
      <c r="A197" s="92"/>
      <c r="B197" s="1" t="e">
        <f>VLOOKUP(A197,周期整合计算!A:G,7,0)</f>
        <v>#N/A</v>
      </c>
      <c r="C197" s="1" t="str">
        <f>IF(ISNUMBER(D197),COUNTIF(D$2:D197,"&gt;0"),"")</f>
        <v/>
      </c>
      <c r="D197" s="90" t="e">
        <f t="shared" si="27"/>
        <v>#N/A</v>
      </c>
      <c r="E197" s="1" t="str">
        <f>IF(ISNUMBER(F197),COUNTIF(F$2:F197,"&gt;0"),"")</f>
        <v/>
      </c>
      <c r="F197" s="90" t="e">
        <f t="shared" si="28"/>
        <v>#N/A</v>
      </c>
      <c r="H197" s="1">
        <v>196</v>
      </c>
      <c r="I197" s="93"/>
      <c r="J197" s="93"/>
    </row>
    <row r="198" spans="1:10" x14ac:dyDescent="0.35">
      <c r="A198" s="92"/>
      <c r="B198" s="1" t="e">
        <f>VLOOKUP(A198,周期整合计算!A:G,7,0)</f>
        <v>#N/A</v>
      </c>
      <c r="C198" s="1" t="str">
        <f>IF(ISNUMBER(D198),COUNTIF(D$2:D198,"&gt;0"),"")</f>
        <v/>
      </c>
      <c r="D198" s="90" t="e">
        <f t="shared" si="27"/>
        <v>#N/A</v>
      </c>
      <c r="E198" s="1" t="str">
        <f>IF(ISNUMBER(F198),COUNTIF(F$2:F198,"&gt;0"),"")</f>
        <v/>
      </c>
      <c r="F198" s="90" t="e">
        <f t="shared" si="28"/>
        <v>#N/A</v>
      </c>
      <c r="H198" s="1">
        <v>197</v>
      </c>
      <c r="I198" s="93"/>
      <c r="J198" s="93"/>
    </row>
    <row r="199" spans="1:10" x14ac:dyDescent="0.35">
      <c r="A199" s="92"/>
      <c r="B199" s="1" t="e">
        <f>VLOOKUP(A199,周期整合计算!A:G,7,0)</f>
        <v>#N/A</v>
      </c>
      <c r="C199" s="1" t="str">
        <f>IF(ISNUMBER(D199),COUNTIF(D$2:D199,"&gt;0"),"")</f>
        <v/>
      </c>
      <c r="D199" s="90" t="e">
        <f t="shared" si="27"/>
        <v>#N/A</v>
      </c>
      <c r="E199" s="1" t="str">
        <f>IF(ISNUMBER(F199),COUNTIF(F$2:F199,"&gt;0"),"")</f>
        <v/>
      </c>
      <c r="F199" s="90" t="e">
        <f t="shared" si="28"/>
        <v>#N/A</v>
      </c>
      <c r="H199" s="1">
        <v>198</v>
      </c>
      <c r="I199" s="93"/>
      <c r="J199" s="93"/>
    </row>
    <row r="200" spans="1:10" x14ac:dyDescent="0.35">
      <c r="A200" s="92"/>
      <c r="B200" s="1" t="e">
        <f>VLOOKUP(A200,周期整合计算!A:G,7,0)</f>
        <v>#N/A</v>
      </c>
      <c r="C200" s="1" t="str">
        <f>IF(ISNUMBER(D200),COUNTIF(D$2:D200,"&gt;0"),"")</f>
        <v/>
      </c>
      <c r="D200" s="90" t="e">
        <f t="shared" si="27"/>
        <v>#N/A</v>
      </c>
      <c r="E200" s="1" t="str">
        <f>IF(ISNUMBER(F200),COUNTIF(F$2:F200,"&gt;0"),"")</f>
        <v/>
      </c>
      <c r="F200" s="90" t="e">
        <f t="shared" si="28"/>
        <v>#N/A</v>
      </c>
      <c r="H200" s="1">
        <v>199</v>
      </c>
      <c r="I200" s="93"/>
      <c r="J200" s="93"/>
    </row>
    <row r="201" spans="1:10" x14ac:dyDescent="0.35">
      <c r="A201" s="92"/>
      <c r="B201" s="1" t="e">
        <f>VLOOKUP(A201,周期整合计算!A:G,7,0)</f>
        <v>#N/A</v>
      </c>
      <c r="C201" s="1" t="str">
        <f>IF(ISNUMBER(D201),COUNTIF(D$2:D201,"&gt;0"),"")</f>
        <v/>
      </c>
      <c r="D201" s="90" t="e">
        <f t="shared" si="27"/>
        <v>#N/A</v>
      </c>
      <c r="E201" s="1" t="str">
        <f>IF(ISNUMBER(F201),COUNTIF(F$2:F201,"&gt;0"),"")</f>
        <v/>
      </c>
      <c r="F201" s="90" t="e">
        <f t="shared" si="28"/>
        <v>#N/A</v>
      </c>
      <c r="H201" s="1">
        <v>200</v>
      </c>
      <c r="I201" s="93"/>
      <c r="J201" s="93"/>
    </row>
    <row r="202" spans="1:10" x14ac:dyDescent="0.35">
      <c r="A202" s="92"/>
      <c r="B202" s="1" t="e">
        <f>VLOOKUP(A202,周期整合计算!A:G,7,0)</f>
        <v>#N/A</v>
      </c>
      <c r="C202" s="1" t="str">
        <f>IF(ISNUMBER(D202),COUNTIF(D$2:D202,"&gt;0"),"")</f>
        <v/>
      </c>
      <c r="D202" s="90" t="e">
        <f t="shared" ref="D202:D265" si="29">IF(B201=B202,"",A202)</f>
        <v>#N/A</v>
      </c>
      <c r="E202" s="1" t="str">
        <f>IF(ISNUMBER(F202),COUNTIF(F$2:F202,"&gt;0"),"")</f>
        <v/>
      </c>
      <c r="F202" s="90" t="e">
        <f t="shared" ref="F202:F265" si="30">IF(B202=B203,"",A202)</f>
        <v>#N/A</v>
      </c>
      <c r="H202" s="1">
        <v>201</v>
      </c>
      <c r="I202" s="93"/>
      <c r="J202" s="93"/>
    </row>
    <row r="203" spans="1:10" x14ac:dyDescent="0.35">
      <c r="A203" s="92"/>
      <c r="B203" s="1" t="e">
        <f>VLOOKUP(A203,周期整合计算!A:G,7,0)</f>
        <v>#N/A</v>
      </c>
      <c r="C203" s="1" t="str">
        <f>IF(ISNUMBER(D203),COUNTIF(D$2:D203,"&gt;0"),"")</f>
        <v/>
      </c>
      <c r="D203" s="90" t="e">
        <f t="shared" si="29"/>
        <v>#N/A</v>
      </c>
      <c r="E203" s="1" t="str">
        <f>IF(ISNUMBER(F203),COUNTIF(F$2:F203,"&gt;0"),"")</f>
        <v/>
      </c>
      <c r="F203" s="90" t="e">
        <f t="shared" si="30"/>
        <v>#N/A</v>
      </c>
      <c r="H203" s="1">
        <v>202</v>
      </c>
      <c r="I203" s="93"/>
      <c r="J203" s="93"/>
    </row>
    <row r="204" spans="1:10" x14ac:dyDescent="0.35">
      <c r="A204" s="92"/>
      <c r="B204" s="1" t="e">
        <f>VLOOKUP(A204,周期整合计算!A:G,7,0)</f>
        <v>#N/A</v>
      </c>
      <c r="C204" s="1" t="str">
        <f>IF(ISNUMBER(D204),COUNTIF(D$2:D204,"&gt;0"),"")</f>
        <v/>
      </c>
      <c r="D204" s="90" t="e">
        <f t="shared" si="29"/>
        <v>#N/A</v>
      </c>
      <c r="E204" s="1" t="str">
        <f>IF(ISNUMBER(F204),COUNTIF(F$2:F204,"&gt;0"),"")</f>
        <v/>
      </c>
      <c r="F204" s="90" t="e">
        <f t="shared" si="30"/>
        <v>#N/A</v>
      </c>
      <c r="H204" s="1">
        <v>203</v>
      </c>
      <c r="I204" s="93"/>
      <c r="J204" s="93"/>
    </row>
    <row r="205" spans="1:10" x14ac:dyDescent="0.35">
      <c r="B205" s="1" t="e">
        <f>VLOOKUP(A205,周期整合计算!A:G,7,0)</f>
        <v>#N/A</v>
      </c>
      <c r="C205" s="1" t="str">
        <f>IF(ISNUMBER(D205),COUNTIF(D$2:D205,"&gt;0"),"")</f>
        <v/>
      </c>
      <c r="D205" s="90" t="e">
        <f t="shared" si="29"/>
        <v>#N/A</v>
      </c>
      <c r="E205" s="1" t="str">
        <f>IF(ISNUMBER(F205),COUNTIF(F$2:F205,"&gt;0"),"")</f>
        <v/>
      </c>
      <c r="F205" s="90" t="e">
        <f t="shared" si="30"/>
        <v>#N/A</v>
      </c>
      <c r="H205" s="1">
        <v>204</v>
      </c>
      <c r="I205" s="93"/>
      <c r="J205" s="93"/>
    </row>
    <row r="206" spans="1:10" x14ac:dyDescent="0.35">
      <c r="B206" s="1" t="e">
        <f>VLOOKUP(A206,周期整合计算!A:G,7,0)</f>
        <v>#N/A</v>
      </c>
      <c r="C206" s="1" t="str">
        <f>IF(ISNUMBER(D206),COUNTIF(D$2:D206,"&gt;0"),"")</f>
        <v/>
      </c>
      <c r="D206" s="90" t="e">
        <f t="shared" si="29"/>
        <v>#N/A</v>
      </c>
      <c r="E206" s="1" t="str">
        <f>IF(ISNUMBER(F206),COUNTIF(F$2:F206,"&gt;0"),"")</f>
        <v/>
      </c>
      <c r="F206" s="90" t="e">
        <f t="shared" si="30"/>
        <v>#N/A</v>
      </c>
      <c r="H206" s="1">
        <v>205</v>
      </c>
      <c r="I206" s="93"/>
      <c r="J206" s="93"/>
    </row>
    <row r="207" spans="1:10" x14ac:dyDescent="0.35">
      <c r="B207" s="1" t="e">
        <f>VLOOKUP(A207,周期整合计算!A:G,7,0)</f>
        <v>#N/A</v>
      </c>
      <c r="C207" s="1" t="str">
        <f>IF(ISNUMBER(D207),COUNTIF(D$2:D207,"&gt;0"),"")</f>
        <v/>
      </c>
      <c r="D207" s="90" t="e">
        <f t="shared" si="29"/>
        <v>#N/A</v>
      </c>
      <c r="E207" s="1" t="str">
        <f>IF(ISNUMBER(F207),COUNTIF(F$2:F207,"&gt;0"),"")</f>
        <v/>
      </c>
      <c r="F207" s="90" t="e">
        <f t="shared" si="30"/>
        <v>#N/A</v>
      </c>
      <c r="H207" s="1">
        <v>206</v>
      </c>
      <c r="I207" s="93"/>
      <c r="J207" s="93"/>
    </row>
    <row r="208" spans="1:10" x14ac:dyDescent="0.35">
      <c r="B208" s="1" t="e">
        <f>VLOOKUP(A208,周期整合计算!A:G,7,0)</f>
        <v>#N/A</v>
      </c>
      <c r="C208" s="1" t="str">
        <f>IF(ISNUMBER(D208),COUNTIF(D$2:D208,"&gt;0"),"")</f>
        <v/>
      </c>
      <c r="D208" s="90" t="e">
        <f t="shared" si="29"/>
        <v>#N/A</v>
      </c>
      <c r="E208" s="1" t="str">
        <f>IF(ISNUMBER(F208),COUNTIF(F$2:F208,"&gt;0"),"")</f>
        <v/>
      </c>
      <c r="F208" s="90" t="e">
        <f t="shared" si="30"/>
        <v>#N/A</v>
      </c>
      <c r="H208" s="1">
        <v>207</v>
      </c>
      <c r="I208" s="93"/>
      <c r="J208" s="93"/>
    </row>
    <row r="209" spans="2:10" x14ac:dyDescent="0.35">
      <c r="B209" s="1" t="e">
        <f>VLOOKUP(A209,周期整合计算!A:G,7,0)</f>
        <v>#N/A</v>
      </c>
      <c r="C209" s="1" t="str">
        <f>IF(ISNUMBER(D209),COUNTIF(D$2:D209,"&gt;0"),"")</f>
        <v/>
      </c>
      <c r="D209" s="90" t="e">
        <f t="shared" si="29"/>
        <v>#N/A</v>
      </c>
      <c r="E209" s="1" t="str">
        <f>IF(ISNUMBER(F209),COUNTIF(F$2:F209,"&gt;0"),"")</f>
        <v/>
      </c>
      <c r="F209" s="90" t="e">
        <f t="shared" si="30"/>
        <v>#N/A</v>
      </c>
      <c r="H209" s="1">
        <v>208</v>
      </c>
      <c r="I209" s="93"/>
      <c r="J209" s="93"/>
    </row>
    <row r="210" spans="2:10" x14ac:dyDescent="0.35">
      <c r="B210" s="1" t="e">
        <f>VLOOKUP(A210,周期整合计算!A:G,7,0)</f>
        <v>#N/A</v>
      </c>
      <c r="C210" s="1" t="str">
        <f>IF(ISNUMBER(D210),COUNTIF(D$2:D210,"&gt;0"),"")</f>
        <v/>
      </c>
      <c r="D210" s="90" t="e">
        <f t="shared" si="29"/>
        <v>#N/A</v>
      </c>
      <c r="E210" s="1" t="str">
        <f>IF(ISNUMBER(F210),COUNTIF(F$2:F210,"&gt;0"),"")</f>
        <v/>
      </c>
      <c r="F210" s="90" t="e">
        <f t="shared" si="30"/>
        <v>#N/A</v>
      </c>
      <c r="H210" s="1">
        <v>209</v>
      </c>
      <c r="I210" s="93"/>
      <c r="J210" s="93"/>
    </row>
    <row r="211" spans="2:10" x14ac:dyDescent="0.35">
      <c r="B211" s="1" t="e">
        <f>VLOOKUP(A211,周期整合计算!A:G,7,0)</f>
        <v>#N/A</v>
      </c>
      <c r="C211" s="1" t="str">
        <f>IF(ISNUMBER(D211),COUNTIF(D$2:D211,"&gt;0"),"")</f>
        <v/>
      </c>
      <c r="D211" s="90" t="e">
        <f t="shared" si="29"/>
        <v>#N/A</v>
      </c>
      <c r="E211" s="1" t="str">
        <f>IF(ISNUMBER(F211),COUNTIF(F$2:F211,"&gt;0"),"")</f>
        <v/>
      </c>
      <c r="F211" s="90" t="e">
        <f t="shared" si="30"/>
        <v>#N/A</v>
      </c>
      <c r="H211" s="1">
        <v>210</v>
      </c>
      <c r="I211" s="93"/>
      <c r="J211" s="93"/>
    </row>
    <row r="212" spans="2:10" x14ac:dyDescent="0.35">
      <c r="B212" s="1" t="e">
        <f>VLOOKUP(A212,周期整合计算!A:G,7,0)</f>
        <v>#N/A</v>
      </c>
      <c r="C212" s="1" t="str">
        <f>IF(ISNUMBER(D212),COUNTIF(D$2:D212,"&gt;0"),"")</f>
        <v/>
      </c>
      <c r="D212" s="90" t="e">
        <f t="shared" si="29"/>
        <v>#N/A</v>
      </c>
      <c r="E212" s="1" t="str">
        <f>IF(ISNUMBER(F212),COUNTIF(F$2:F212,"&gt;0"),"")</f>
        <v/>
      </c>
      <c r="F212" s="90" t="e">
        <f t="shared" si="30"/>
        <v>#N/A</v>
      </c>
      <c r="H212" s="1">
        <v>211</v>
      </c>
      <c r="I212" s="93"/>
      <c r="J212" s="93"/>
    </row>
    <row r="213" spans="2:10" x14ac:dyDescent="0.35">
      <c r="B213" s="1" t="e">
        <f>VLOOKUP(A213,周期整合计算!A:G,7,0)</f>
        <v>#N/A</v>
      </c>
      <c r="C213" s="1" t="str">
        <f>IF(ISNUMBER(D213),COUNTIF(D$2:D213,"&gt;0"),"")</f>
        <v/>
      </c>
      <c r="D213" s="90" t="e">
        <f t="shared" si="29"/>
        <v>#N/A</v>
      </c>
      <c r="E213" s="1" t="str">
        <f>IF(ISNUMBER(F213),COUNTIF(F$2:F213,"&gt;0"),"")</f>
        <v/>
      </c>
      <c r="F213" s="90" t="e">
        <f t="shared" si="30"/>
        <v>#N/A</v>
      </c>
      <c r="H213" s="1">
        <v>212</v>
      </c>
      <c r="I213" s="93"/>
      <c r="J213" s="93"/>
    </row>
    <row r="214" spans="2:10" x14ac:dyDescent="0.35">
      <c r="B214" s="1" t="e">
        <f>VLOOKUP(A214,周期整合计算!A:G,7,0)</f>
        <v>#N/A</v>
      </c>
      <c r="C214" s="1" t="str">
        <f>IF(ISNUMBER(D214),COUNTIF(D$2:D214,"&gt;0"),"")</f>
        <v/>
      </c>
      <c r="D214" s="90" t="e">
        <f t="shared" si="29"/>
        <v>#N/A</v>
      </c>
      <c r="E214" s="1" t="str">
        <f>IF(ISNUMBER(F214),COUNTIF(F$2:F214,"&gt;0"),"")</f>
        <v/>
      </c>
      <c r="F214" s="90" t="e">
        <f t="shared" si="30"/>
        <v>#N/A</v>
      </c>
      <c r="H214" s="1">
        <v>213</v>
      </c>
      <c r="I214" s="93"/>
      <c r="J214" s="93"/>
    </row>
    <row r="215" spans="2:10" x14ac:dyDescent="0.35">
      <c r="B215" s="1" t="e">
        <f>VLOOKUP(A215,周期整合计算!A:G,7,0)</f>
        <v>#N/A</v>
      </c>
      <c r="C215" s="1" t="str">
        <f>IF(ISNUMBER(D215),COUNTIF(D$2:D215,"&gt;0"),"")</f>
        <v/>
      </c>
      <c r="D215" s="90" t="e">
        <f t="shared" si="29"/>
        <v>#N/A</v>
      </c>
      <c r="E215" s="1" t="str">
        <f>IF(ISNUMBER(F215),COUNTIF(F$2:F215,"&gt;0"),"")</f>
        <v/>
      </c>
      <c r="F215" s="90" t="e">
        <f t="shared" si="30"/>
        <v>#N/A</v>
      </c>
      <c r="H215" s="1">
        <v>214</v>
      </c>
      <c r="I215" s="93"/>
      <c r="J215" s="93"/>
    </row>
    <row r="216" spans="2:10" x14ac:dyDescent="0.35">
      <c r="B216" s="1" t="e">
        <f>VLOOKUP(A216,周期整合计算!A:G,7,0)</f>
        <v>#N/A</v>
      </c>
      <c r="C216" s="1" t="str">
        <f>IF(ISNUMBER(D216),COUNTIF(D$2:D216,"&gt;0"),"")</f>
        <v/>
      </c>
      <c r="D216" s="90" t="e">
        <f t="shared" si="29"/>
        <v>#N/A</v>
      </c>
      <c r="E216" s="1" t="str">
        <f>IF(ISNUMBER(F216),COUNTIF(F$2:F216,"&gt;0"),"")</f>
        <v/>
      </c>
      <c r="F216" s="90" t="e">
        <f t="shared" si="30"/>
        <v>#N/A</v>
      </c>
      <c r="H216" s="1">
        <v>215</v>
      </c>
      <c r="I216" s="93"/>
      <c r="J216" s="93"/>
    </row>
    <row r="217" spans="2:10" x14ac:dyDescent="0.35">
      <c r="B217" s="1" t="e">
        <f>VLOOKUP(A217,周期整合计算!A:G,7,0)</f>
        <v>#N/A</v>
      </c>
      <c r="C217" s="1" t="str">
        <f>IF(ISNUMBER(D217),COUNTIF(D$2:D217,"&gt;0"),"")</f>
        <v/>
      </c>
      <c r="D217" s="90" t="e">
        <f t="shared" si="29"/>
        <v>#N/A</v>
      </c>
      <c r="E217" s="1" t="str">
        <f>IF(ISNUMBER(F217),COUNTIF(F$2:F217,"&gt;0"),"")</f>
        <v/>
      </c>
      <c r="F217" s="90" t="e">
        <f t="shared" si="30"/>
        <v>#N/A</v>
      </c>
      <c r="H217" s="1">
        <v>216</v>
      </c>
      <c r="I217" s="93"/>
      <c r="J217" s="93"/>
    </row>
    <row r="218" spans="2:10" x14ac:dyDescent="0.35">
      <c r="B218" s="1" t="e">
        <f>VLOOKUP(A218,周期整合计算!A:G,7,0)</f>
        <v>#N/A</v>
      </c>
      <c r="C218" s="1" t="str">
        <f>IF(ISNUMBER(D218),COUNTIF(D$2:D218,"&gt;0"),"")</f>
        <v/>
      </c>
      <c r="D218" s="90" t="e">
        <f t="shared" si="29"/>
        <v>#N/A</v>
      </c>
      <c r="E218" s="1" t="str">
        <f>IF(ISNUMBER(F218),COUNTIF(F$2:F218,"&gt;0"),"")</f>
        <v/>
      </c>
      <c r="F218" s="90" t="e">
        <f t="shared" si="30"/>
        <v>#N/A</v>
      </c>
      <c r="H218" s="1">
        <v>217</v>
      </c>
      <c r="I218" s="93"/>
      <c r="J218" s="93"/>
    </row>
    <row r="219" spans="2:10" x14ac:dyDescent="0.35">
      <c r="B219" s="1" t="e">
        <f>VLOOKUP(A219,周期整合计算!A:G,7,0)</f>
        <v>#N/A</v>
      </c>
      <c r="C219" s="1" t="str">
        <f>IF(ISNUMBER(D219),COUNTIF(D$2:D219,"&gt;0"),"")</f>
        <v/>
      </c>
      <c r="D219" s="90" t="e">
        <f t="shared" si="29"/>
        <v>#N/A</v>
      </c>
      <c r="E219" s="1" t="str">
        <f>IF(ISNUMBER(F219),COUNTIF(F$2:F219,"&gt;0"),"")</f>
        <v/>
      </c>
      <c r="F219" s="90" t="e">
        <f t="shared" si="30"/>
        <v>#N/A</v>
      </c>
      <c r="H219" s="1">
        <v>218</v>
      </c>
      <c r="I219" s="93"/>
      <c r="J219" s="93"/>
    </row>
    <row r="220" spans="2:10" x14ac:dyDescent="0.35">
      <c r="B220" s="1" t="e">
        <f>VLOOKUP(A220,周期整合计算!A:G,7,0)</f>
        <v>#N/A</v>
      </c>
      <c r="C220" s="1" t="str">
        <f>IF(ISNUMBER(D220),COUNTIF(D$2:D220,"&gt;0"),"")</f>
        <v/>
      </c>
      <c r="D220" s="90" t="e">
        <f t="shared" si="29"/>
        <v>#N/A</v>
      </c>
      <c r="E220" s="1" t="str">
        <f>IF(ISNUMBER(F220),COUNTIF(F$2:F220,"&gt;0"),"")</f>
        <v/>
      </c>
      <c r="F220" s="90" t="e">
        <f t="shared" si="30"/>
        <v>#N/A</v>
      </c>
      <c r="H220" s="1">
        <v>219</v>
      </c>
      <c r="I220" s="93"/>
      <c r="J220" s="93"/>
    </row>
    <row r="221" spans="2:10" x14ac:dyDescent="0.35">
      <c r="B221" s="1" t="e">
        <f>VLOOKUP(A221,周期整合计算!A:G,7,0)</f>
        <v>#N/A</v>
      </c>
      <c r="C221" s="1" t="str">
        <f>IF(ISNUMBER(D221),COUNTIF(D$2:D221,"&gt;0"),"")</f>
        <v/>
      </c>
      <c r="D221" s="90" t="e">
        <f t="shared" si="29"/>
        <v>#N/A</v>
      </c>
      <c r="E221" s="1" t="str">
        <f>IF(ISNUMBER(F221),COUNTIF(F$2:F221,"&gt;0"),"")</f>
        <v/>
      </c>
      <c r="F221" s="90" t="e">
        <f t="shared" si="30"/>
        <v>#N/A</v>
      </c>
      <c r="H221" s="1">
        <v>220</v>
      </c>
      <c r="I221" s="93"/>
      <c r="J221" s="93"/>
    </row>
    <row r="222" spans="2:10" x14ac:dyDescent="0.35">
      <c r="B222" s="1" t="e">
        <f>VLOOKUP(A222,周期整合计算!A:G,7,0)</f>
        <v>#N/A</v>
      </c>
      <c r="C222" s="1" t="str">
        <f>IF(ISNUMBER(D222),COUNTIF(D$2:D222,"&gt;0"),"")</f>
        <v/>
      </c>
      <c r="D222" s="90" t="e">
        <f t="shared" si="29"/>
        <v>#N/A</v>
      </c>
      <c r="E222" s="1" t="str">
        <f>IF(ISNUMBER(F222),COUNTIF(F$2:F222,"&gt;0"),"")</f>
        <v/>
      </c>
      <c r="F222" s="90" t="e">
        <f t="shared" si="30"/>
        <v>#N/A</v>
      </c>
      <c r="H222" s="1">
        <v>221</v>
      </c>
      <c r="I222" s="93"/>
      <c r="J222" s="93"/>
    </row>
    <row r="223" spans="2:10" x14ac:dyDescent="0.35">
      <c r="B223" s="1" t="e">
        <f>VLOOKUP(A223,周期整合计算!A:G,7,0)</f>
        <v>#N/A</v>
      </c>
      <c r="C223" s="1" t="str">
        <f>IF(ISNUMBER(D223),COUNTIF(D$2:D223,"&gt;0"),"")</f>
        <v/>
      </c>
      <c r="D223" s="90" t="e">
        <f t="shared" si="29"/>
        <v>#N/A</v>
      </c>
      <c r="E223" s="1" t="str">
        <f>IF(ISNUMBER(F223),COUNTIF(F$2:F223,"&gt;0"),"")</f>
        <v/>
      </c>
      <c r="F223" s="90" t="e">
        <f t="shared" si="30"/>
        <v>#N/A</v>
      </c>
      <c r="H223" s="1">
        <v>222</v>
      </c>
      <c r="I223" s="93"/>
      <c r="J223" s="93"/>
    </row>
    <row r="224" spans="2:10" x14ac:dyDescent="0.35">
      <c r="B224" s="1" t="e">
        <f>VLOOKUP(A224,周期整合计算!A:G,7,0)</f>
        <v>#N/A</v>
      </c>
      <c r="C224" s="1" t="str">
        <f>IF(ISNUMBER(D224),COUNTIF(D$2:D224,"&gt;0"),"")</f>
        <v/>
      </c>
      <c r="D224" s="90" t="e">
        <f t="shared" si="29"/>
        <v>#N/A</v>
      </c>
      <c r="E224" s="1" t="str">
        <f>IF(ISNUMBER(F224),COUNTIF(F$2:F224,"&gt;0"),"")</f>
        <v/>
      </c>
      <c r="F224" s="90" t="e">
        <f t="shared" si="30"/>
        <v>#N/A</v>
      </c>
      <c r="H224" s="1">
        <v>223</v>
      </c>
      <c r="I224" s="93"/>
      <c r="J224" s="93"/>
    </row>
    <row r="225" spans="2:10" x14ac:dyDescent="0.35">
      <c r="B225" s="1" t="e">
        <f>VLOOKUP(A225,周期整合计算!A:G,7,0)</f>
        <v>#N/A</v>
      </c>
      <c r="C225" s="1" t="str">
        <f>IF(ISNUMBER(D225),COUNTIF(D$2:D225,"&gt;0"),"")</f>
        <v/>
      </c>
      <c r="D225" s="90" t="e">
        <f t="shared" si="29"/>
        <v>#N/A</v>
      </c>
      <c r="E225" s="1" t="str">
        <f>IF(ISNUMBER(F225),COUNTIF(F$2:F225,"&gt;0"),"")</f>
        <v/>
      </c>
      <c r="F225" s="90" t="e">
        <f t="shared" si="30"/>
        <v>#N/A</v>
      </c>
      <c r="H225" s="1">
        <v>224</v>
      </c>
      <c r="I225" s="93"/>
      <c r="J225" s="93"/>
    </row>
    <row r="226" spans="2:10" x14ac:dyDescent="0.35">
      <c r="B226" s="1" t="e">
        <f>VLOOKUP(A226,周期整合计算!A:G,7,0)</f>
        <v>#N/A</v>
      </c>
      <c r="C226" s="1" t="str">
        <f>IF(ISNUMBER(D226),COUNTIF(D$2:D226,"&gt;0"),"")</f>
        <v/>
      </c>
      <c r="D226" s="90" t="e">
        <f t="shared" si="29"/>
        <v>#N/A</v>
      </c>
      <c r="E226" s="1" t="str">
        <f>IF(ISNUMBER(F226),COUNTIF(F$2:F226,"&gt;0"),"")</f>
        <v/>
      </c>
      <c r="F226" s="90" t="e">
        <f t="shared" si="30"/>
        <v>#N/A</v>
      </c>
      <c r="H226" s="1">
        <v>225</v>
      </c>
      <c r="I226" s="93"/>
      <c r="J226" s="93"/>
    </row>
    <row r="227" spans="2:10" x14ac:dyDescent="0.35">
      <c r="B227" s="1" t="e">
        <f>VLOOKUP(A227,周期整合计算!A:G,7,0)</f>
        <v>#N/A</v>
      </c>
      <c r="C227" s="1" t="str">
        <f>IF(ISNUMBER(D227),COUNTIF(D$2:D227,"&gt;0"),"")</f>
        <v/>
      </c>
      <c r="D227" s="90" t="e">
        <f t="shared" si="29"/>
        <v>#N/A</v>
      </c>
      <c r="E227" s="1" t="str">
        <f>IF(ISNUMBER(F227),COUNTIF(F$2:F227,"&gt;0"),"")</f>
        <v/>
      </c>
      <c r="F227" s="90" t="e">
        <f t="shared" si="30"/>
        <v>#N/A</v>
      </c>
      <c r="H227" s="1">
        <v>226</v>
      </c>
      <c r="I227" s="93"/>
      <c r="J227" s="93"/>
    </row>
    <row r="228" spans="2:10" x14ac:dyDescent="0.35">
      <c r="B228" s="1" t="e">
        <f>VLOOKUP(A228,周期整合计算!A:G,7,0)</f>
        <v>#N/A</v>
      </c>
      <c r="C228" s="1" t="str">
        <f>IF(ISNUMBER(D228),COUNTIF(D$2:D228,"&gt;0"),"")</f>
        <v/>
      </c>
      <c r="D228" s="90" t="e">
        <f t="shared" si="29"/>
        <v>#N/A</v>
      </c>
      <c r="E228" s="1" t="str">
        <f>IF(ISNUMBER(F228),COUNTIF(F$2:F228,"&gt;0"),"")</f>
        <v/>
      </c>
      <c r="F228" s="90" t="e">
        <f t="shared" si="30"/>
        <v>#N/A</v>
      </c>
      <c r="H228" s="1">
        <v>227</v>
      </c>
      <c r="I228" s="93"/>
      <c r="J228" s="93"/>
    </row>
    <row r="229" spans="2:10" x14ac:dyDescent="0.35">
      <c r="B229" s="1" t="e">
        <f>VLOOKUP(A229,周期整合计算!A:G,7,0)</f>
        <v>#N/A</v>
      </c>
      <c r="C229" s="1" t="str">
        <f>IF(ISNUMBER(D229),COUNTIF(D$2:D229,"&gt;0"),"")</f>
        <v/>
      </c>
      <c r="D229" s="90" t="e">
        <f t="shared" si="29"/>
        <v>#N/A</v>
      </c>
      <c r="E229" s="1" t="str">
        <f>IF(ISNUMBER(F229),COUNTIF(F$2:F229,"&gt;0"),"")</f>
        <v/>
      </c>
      <c r="F229" s="90" t="e">
        <f t="shared" si="30"/>
        <v>#N/A</v>
      </c>
      <c r="H229" s="1">
        <v>228</v>
      </c>
      <c r="I229" s="93"/>
      <c r="J229" s="93"/>
    </row>
    <row r="230" spans="2:10" x14ac:dyDescent="0.35">
      <c r="B230" s="1" t="e">
        <f>VLOOKUP(A230,周期整合计算!A:G,7,0)</f>
        <v>#N/A</v>
      </c>
      <c r="C230" s="1" t="str">
        <f>IF(ISNUMBER(D230),COUNTIF(D$2:D230,"&gt;0"),"")</f>
        <v/>
      </c>
      <c r="D230" s="90" t="e">
        <f t="shared" si="29"/>
        <v>#N/A</v>
      </c>
      <c r="E230" s="1" t="str">
        <f>IF(ISNUMBER(F230),COUNTIF(F$2:F230,"&gt;0"),"")</f>
        <v/>
      </c>
      <c r="F230" s="90" t="e">
        <f t="shared" si="30"/>
        <v>#N/A</v>
      </c>
      <c r="H230" s="1">
        <v>229</v>
      </c>
      <c r="I230" s="93"/>
      <c r="J230" s="93"/>
    </row>
    <row r="231" spans="2:10" x14ac:dyDescent="0.35">
      <c r="B231" s="1" t="e">
        <f>VLOOKUP(A231,周期整合计算!A:G,7,0)</f>
        <v>#N/A</v>
      </c>
      <c r="C231" s="1" t="str">
        <f>IF(ISNUMBER(D231),COUNTIF(D$2:D231,"&gt;0"),"")</f>
        <v/>
      </c>
      <c r="D231" s="90" t="e">
        <f t="shared" si="29"/>
        <v>#N/A</v>
      </c>
      <c r="E231" s="1" t="str">
        <f>IF(ISNUMBER(F231),COUNTIF(F$2:F231,"&gt;0"),"")</f>
        <v/>
      </c>
      <c r="F231" s="90" t="e">
        <f t="shared" si="30"/>
        <v>#N/A</v>
      </c>
      <c r="H231" s="1">
        <v>230</v>
      </c>
      <c r="I231" s="93"/>
      <c r="J231" s="93"/>
    </row>
    <row r="232" spans="2:10" x14ac:dyDescent="0.35">
      <c r="B232" s="1" t="e">
        <f>VLOOKUP(A232,周期整合计算!A:G,7,0)</f>
        <v>#N/A</v>
      </c>
      <c r="C232" s="1" t="str">
        <f>IF(ISNUMBER(D232),COUNTIF(D$2:D232,"&gt;0"),"")</f>
        <v/>
      </c>
      <c r="D232" s="90" t="e">
        <f t="shared" si="29"/>
        <v>#N/A</v>
      </c>
      <c r="E232" s="1" t="str">
        <f>IF(ISNUMBER(F232),COUNTIF(F$2:F232,"&gt;0"),"")</f>
        <v/>
      </c>
      <c r="F232" s="90" t="e">
        <f t="shared" si="30"/>
        <v>#N/A</v>
      </c>
      <c r="H232" s="1">
        <v>231</v>
      </c>
      <c r="I232" s="93"/>
      <c r="J232" s="93"/>
    </row>
    <row r="233" spans="2:10" x14ac:dyDescent="0.35">
      <c r="B233" s="1" t="e">
        <f>VLOOKUP(A233,周期整合计算!A:G,7,0)</f>
        <v>#N/A</v>
      </c>
      <c r="C233" s="1" t="str">
        <f>IF(ISNUMBER(D233),COUNTIF(D$2:D233,"&gt;0"),"")</f>
        <v/>
      </c>
      <c r="D233" s="90" t="e">
        <f t="shared" si="29"/>
        <v>#N/A</v>
      </c>
      <c r="E233" s="1" t="str">
        <f>IF(ISNUMBER(F233),COUNTIF(F$2:F233,"&gt;0"),"")</f>
        <v/>
      </c>
      <c r="F233" s="90" t="e">
        <f t="shared" si="30"/>
        <v>#N/A</v>
      </c>
      <c r="H233" s="1">
        <v>232</v>
      </c>
      <c r="I233" s="93"/>
      <c r="J233" s="93"/>
    </row>
    <row r="234" spans="2:10" x14ac:dyDescent="0.35">
      <c r="B234" s="1" t="e">
        <f>VLOOKUP(A234,周期整合计算!A:G,7,0)</f>
        <v>#N/A</v>
      </c>
      <c r="C234" s="1" t="str">
        <f>IF(ISNUMBER(D234),COUNTIF(D$2:D234,"&gt;0"),"")</f>
        <v/>
      </c>
      <c r="D234" s="90" t="e">
        <f t="shared" si="29"/>
        <v>#N/A</v>
      </c>
      <c r="E234" s="1" t="str">
        <f>IF(ISNUMBER(F234),COUNTIF(F$2:F234,"&gt;0"),"")</f>
        <v/>
      </c>
      <c r="F234" s="90" t="e">
        <f t="shared" si="30"/>
        <v>#N/A</v>
      </c>
      <c r="H234" s="1">
        <v>233</v>
      </c>
      <c r="I234" s="93"/>
      <c r="J234" s="93"/>
    </row>
    <row r="235" spans="2:10" x14ac:dyDescent="0.35">
      <c r="B235" s="1" t="e">
        <f>VLOOKUP(A235,周期整合计算!A:G,7,0)</f>
        <v>#N/A</v>
      </c>
      <c r="C235" s="1" t="str">
        <f>IF(ISNUMBER(D235),COUNTIF(D$2:D235,"&gt;0"),"")</f>
        <v/>
      </c>
      <c r="D235" s="90" t="e">
        <f t="shared" si="29"/>
        <v>#N/A</v>
      </c>
      <c r="E235" s="1" t="str">
        <f>IF(ISNUMBER(F235),COUNTIF(F$2:F235,"&gt;0"),"")</f>
        <v/>
      </c>
      <c r="F235" s="90" t="e">
        <f t="shared" si="30"/>
        <v>#N/A</v>
      </c>
      <c r="H235" s="1">
        <v>234</v>
      </c>
      <c r="I235" s="93"/>
      <c r="J235" s="93"/>
    </row>
    <row r="236" spans="2:10" x14ac:dyDescent="0.35">
      <c r="B236" s="1" t="e">
        <f>VLOOKUP(A236,周期整合计算!A:G,7,0)</f>
        <v>#N/A</v>
      </c>
      <c r="C236" s="1" t="str">
        <f>IF(ISNUMBER(D236),COUNTIF(D$2:D236,"&gt;0"),"")</f>
        <v/>
      </c>
      <c r="D236" s="90" t="e">
        <f t="shared" si="29"/>
        <v>#N/A</v>
      </c>
      <c r="E236" s="1" t="str">
        <f>IF(ISNUMBER(F236),COUNTIF(F$2:F236,"&gt;0"),"")</f>
        <v/>
      </c>
      <c r="F236" s="90" t="e">
        <f t="shared" si="30"/>
        <v>#N/A</v>
      </c>
      <c r="H236" s="1">
        <v>235</v>
      </c>
      <c r="I236" s="93"/>
      <c r="J236" s="93"/>
    </row>
    <row r="237" spans="2:10" x14ac:dyDescent="0.35">
      <c r="B237" s="1" t="e">
        <f>VLOOKUP(A237,周期整合计算!A:G,7,0)</f>
        <v>#N/A</v>
      </c>
      <c r="C237" s="1" t="str">
        <f>IF(ISNUMBER(D237),COUNTIF(D$2:D237,"&gt;0"),"")</f>
        <v/>
      </c>
      <c r="D237" s="90" t="e">
        <f t="shared" si="29"/>
        <v>#N/A</v>
      </c>
      <c r="E237" s="1" t="str">
        <f>IF(ISNUMBER(F237),COUNTIF(F$2:F237,"&gt;0"),"")</f>
        <v/>
      </c>
      <c r="F237" s="90" t="e">
        <f t="shared" si="30"/>
        <v>#N/A</v>
      </c>
      <c r="H237" s="1">
        <v>236</v>
      </c>
      <c r="I237" s="93"/>
      <c r="J237" s="93"/>
    </row>
    <row r="238" spans="2:10" x14ac:dyDescent="0.35">
      <c r="B238" s="1" t="e">
        <f>VLOOKUP(A238,周期整合计算!A:G,7,0)</f>
        <v>#N/A</v>
      </c>
      <c r="C238" s="1" t="str">
        <f>IF(ISNUMBER(D238),COUNTIF(D$2:D238,"&gt;0"),"")</f>
        <v/>
      </c>
      <c r="D238" s="90" t="e">
        <f t="shared" si="29"/>
        <v>#N/A</v>
      </c>
      <c r="E238" s="1" t="str">
        <f>IF(ISNUMBER(F238),COUNTIF(F$2:F238,"&gt;0"),"")</f>
        <v/>
      </c>
      <c r="F238" s="90" t="e">
        <f t="shared" si="30"/>
        <v>#N/A</v>
      </c>
      <c r="H238" s="1">
        <v>237</v>
      </c>
      <c r="I238" s="93"/>
      <c r="J238" s="93"/>
    </row>
    <row r="239" spans="2:10" x14ac:dyDescent="0.35">
      <c r="B239" s="1" t="e">
        <f>VLOOKUP(A239,周期整合计算!A:G,7,0)</f>
        <v>#N/A</v>
      </c>
      <c r="C239" s="1" t="str">
        <f>IF(ISNUMBER(D239),COUNTIF(D$2:D239,"&gt;0"),"")</f>
        <v/>
      </c>
      <c r="D239" s="90" t="e">
        <f t="shared" si="29"/>
        <v>#N/A</v>
      </c>
      <c r="E239" s="1" t="str">
        <f>IF(ISNUMBER(F239),COUNTIF(F$2:F239,"&gt;0"),"")</f>
        <v/>
      </c>
      <c r="F239" s="90" t="e">
        <f t="shared" si="30"/>
        <v>#N/A</v>
      </c>
      <c r="H239" s="1">
        <v>238</v>
      </c>
      <c r="I239" s="93"/>
      <c r="J239" s="93"/>
    </row>
    <row r="240" spans="2:10" x14ac:dyDescent="0.35">
      <c r="B240" s="1" t="e">
        <f>VLOOKUP(A240,周期整合计算!A:G,7,0)</f>
        <v>#N/A</v>
      </c>
      <c r="C240" s="1" t="str">
        <f>IF(ISNUMBER(D240),COUNTIF(D$2:D240,"&gt;0"),"")</f>
        <v/>
      </c>
      <c r="D240" s="90" t="e">
        <f t="shared" si="29"/>
        <v>#N/A</v>
      </c>
      <c r="E240" s="1" t="str">
        <f>IF(ISNUMBER(F240),COUNTIF(F$2:F240,"&gt;0"),"")</f>
        <v/>
      </c>
      <c r="F240" s="90" t="e">
        <f t="shared" si="30"/>
        <v>#N/A</v>
      </c>
      <c r="H240" s="1">
        <v>239</v>
      </c>
      <c r="I240" s="93"/>
      <c r="J240" s="93"/>
    </row>
    <row r="241" spans="2:10" x14ac:dyDescent="0.35">
      <c r="B241" s="1" t="e">
        <f>VLOOKUP(A241,周期整合计算!A:G,7,0)</f>
        <v>#N/A</v>
      </c>
      <c r="C241" s="1" t="str">
        <f>IF(ISNUMBER(D241),COUNTIF(D$2:D241,"&gt;0"),"")</f>
        <v/>
      </c>
      <c r="D241" s="90" t="e">
        <f t="shared" si="29"/>
        <v>#N/A</v>
      </c>
      <c r="E241" s="1" t="str">
        <f>IF(ISNUMBER(F241),COUNTIF(F$2:F241,"&gt;0"),"")</f>
        <v/>
      </c>
      <c r="F241" s="90" t="e">
        <f t="shared" si="30"/>
        <v>#N/A</v>
      </c>
      <c r="H241" s="1">
        <v>240</v>
      </c>
      <c r="I241" s="93"/>
      <c r="J241" s="93"/>
    </row>
    <row r="242" spans="2:10" x14ac:dyDescent="0.35">
      <c r="B242" s="1" t="e">
        <f>VLOOKUP(A242,周期整合计算!A:G,7,0)</f>
        <v>#N/A</v>
      </c>
      <c r="C242" s="1" t="str">
        <f>IF(ISNUMBER(D242),COUNTIF(D$2:D242,"&gt;0"),"")</f>
        <v/>
      </c>
      <c r="D242" s="90" t="e">
        <f t="shared" si="29"/>
        <v>#N/A</v>
      </c>
      <c r="E242" s="1" t="str">
        <f>IF(ISNUMBER(F242),COUNTIF(F$2:F242,"&gt;0"),"")</f>
        <v/>
      </c>
      <c r="F242" s="90" t="e">
        <f t="shared" si="30"/>
        <v>#N/A</v>
      </c>
      <c r="H242" s="1">
        <v>241</v>
      </c>
      <c r="I242" s="93"/>
      <c r="J242" s="93"/>
    </row>
    <row r="243" spans="2:10" x14ac:dyDescent="0.35">
      <c r="B243" s="1" t="e">
        <f>VLOOKUP(A243,周期整合计算!A:G,7,0)</f>
        <v>#N/A</v>
      </c>
      <c r="C243" s="1" t="str">
        <f>IF(ISNUMBER(D243),COUNTIF(D$2:D243,"&gt;0"),"")</f>
        <v/>
      </c>
      <c r="D243" s="90" t="e">
        <f t="shared" si="29"/>
        <v>#N/A</v>
      </c>
      <c r="E243" s="1" t="str">
        <f>IF(ISNUMBER(F243),COUNTIF(F$2:F243,"&gt;0"),"")</f>
        <v/>
      </c>
      <c r="F243" s="90" t="e">
        <f t="shared" si="30"/>
        <v>#N/A</v>
      </c>
      <c r="H243" s="1">
        <v>242</v>
      </c>
      <c r="I243" s="93"/>
      <c r="J243" s="93"/>
    </row>
    <row r="244" spans="2:10" x14ac:dyDescent="0.35">
      <c r="B244" s="1" t="e">
        <f>VLOOKUP(A244,周期整合计算!A:G,7,0)</f>
        <v>#N/A</v>
      </c>
      <c r="C244" s="1" t="str">
        <f>IF(ISNUMBER(D244),COUNTIF(D$2:D244,"&gt;0"),"")</f>
        <v/>
      </c>
      <c r="D244" s="90" t="e">
        <f t="shared" si="29"/>
        <v>#N/A</v>
      </c>
      <c r="E244" s="1" t="str">
        <f>IF(ISNUMBER(F244),COUNTIF(F$2:F244,"&gt;0"),"")</f>
        <v/>
      </c>
      <c r="F244" s="90" t="e">
        <f t="shared" si="30"/>
        <v>#N/A</v>
      </c>
      <c r="H244" s="1">
        <v>243</v>
      </c>
      <c r="I244" s="93"/>
      <c r="J244" s="93"/>
    </row>
    <row r="245" spans="2:10" x14ac:dyDescent="0.35">
      <c r="B245" s="1" t="e">
        <f>VLOOKUP(A245,周期整合计算!A:G,7,0)</f>
        <v>#N/A</v>
      </c>
      <c r="C245" s="1" t="str">
        <f>IF(ISNUMBER(D245),COUNTIF(D$2:D245,"&gt;0"),"")</f>
        <v/>
      </c>
      <c r="D245" s="90" t="e">
        <f t="shared" si="29"/>
        <v>#N/A</v>
      </c>
      <c r="E245" s="1" t="str">
        <f>IF(ISNUMBER(F245),COUNTIF(F$2:F245,"&gt;0"),"")</f>
        <v/>
      </c>
      <c r="F245" s="90" t="e">
        <f t="shared" si="30"/>
        <v>#N/A</v>
      </c>
      <c r="H245" s="1">
        <v>244</v>
      </c>
      <c r="I245" s="93"/>
      <c r="J245" s="93"/>
    </row>
    <row r="246" spans="2:10" x14ac:dyDescent="0.35">
      <c r="B246" s="1" t="e">
        <f>VLOOKUP(A246,周期整合计算!A:G,7,0)</f>
        <v>#N/A</v>
      </c>
      <c r="C246" s="1" t="str">
        <f>IF(ISNUMBER(D246),COUNTIF(D$2:D246,"&gt;0"),"")</f>
        <v/>
      </c>
      <c r="D246" s="90" t="e">
        <f t="shared" si="29"/>
        <v>#N/A</v>
      </c>
      <c r="E246" s="1" t="str">
        <f>IF(ISNUMBER(F246),COUNTIF(F$2:F246,"&gt;0"),"")</f>
        <v/>
      </c>
      <c r="F246" s="90" t="e">
        <f t="shared" si="30"/>
        <v>#N/A</v>
      </c>
      <c r="H246" s="1">
        <v>245</v>
      </c>
      <c r="I246" s="93"/>
      <c r="J246" s="93"/>
    </row>
    <row r="247" spans="2:10" x14ac:dyDescent="0.35">
      <c r="B247" s="1" t="e">
        <f>VLOOKUP(A247,周期整合计算!A:G,7,0)</f>
        <v>#N/A</v>
      </c>
      <c r="C247" s="1" t="str">
        <f>IF(ISNUMBER(D247),COUNTIF(D$2:D247,"&gt;0"),"")</f>
        <v/>
      </c>
      <c r="D247" s="90" t="e">
        <f t="shared" si="29"/>
        <v>#N/A</v>
      </c>
      <c r="E247" s="1" t="str">
        <f>IF(ISNUMBER(F247),COUNTIF(F$2:F247,"&gt;0"),"")</f>
        <v/>
      </c>
      <c r="F247" s="90" t="e">
        <f t="shared" si="30"/>
        <v>#N/A</v>
      </c>
      <c r="H247" s="1">
        <v>246</v>
      </c>
      <c r="I247" s="93"/>
      <c r="J247" s="93"/>
    </row>
    <row r="248" spans="2:10" x14ac:dyDescent="0.35">
      <c r="B248" s="1" t="e">
        <f>VLOOKUP(A248,周期整合计算!A:G,7,0)</f>
        <v>#N/A</v>
      </c>
      <c r="C248" s="1" t="str">
        <f>IF(ISNUMBER(D248),COUNTIF(D$2:D248,"&gt;0"),"")</f>
        <v/>
      </c>
      <c r="D248" s="90" t="e">
        <f t="shared" si="29"/>
        <v>#N/A</v>
      </c>
      <c r="E248" s="1" t="str">
        <f>IF(ISNUMBER(F248),COUNTIF(F$2:F248,"&gt;0"),"")</f>
        <v/>
      </c>
      <c r="F248" s="90" t="e">
        <f t="shared" si="30"/>
        <v>#N/A</v>
      </c>
      <c r="H248" s="1">
        <v>247</v>
      </c>
      <c r="I248" s="93"/>
      <c r="J248" s="93"/>
    </row>
    <row r="249" spans="2:10" x14ac:dyDescent="0.35">
      <c r="B249" s="1" t="e">
        <f>VLOOKUP(A249,周期整合计算!A:G,7,0)</f>
        <v>#N/A</v>
      </c>
      <c r="C249" s="1" t="str">
        <f>IF(ISNUMBER(D249),COUNTIF(D$2:D249,"&gt;0"),"")</f>
        <v/>
      </c>
      <c r="D249" s="90" t="e">
        <f t="shared" si="29"/>
        <v>#N/A</v>
      </c>
      <c r="E249" s="1" t="str">
        <f>IF(ISNUMBER(F249),COUNTIF(F$2:F249,"&gt;0"),"")</f>
        <v/>
      </c>
      <c r="F249" s="90" t="e">
        <f t="shared" si="30"/>
        <v>#N/A</v>
      </c>
      <c r="H249" s="1">
        <v>248</v>
      </c>
      <c r="I249" s="93"/>
      <c r="J249" s="93"/>
    </row>
    <row r="250" spans="2:10" x14ac:dyDescent="0.35">
      <c r="B250" s="1" t="e">
        <f>VLOOKUP(A250,周期整合计算!A:G,7,0)</f>
        <v>#N/A</v>
      </c>
      <c r="C250" s="1" t="str">
        <f>IF(ISNUMBER(D250),COUNTIF(D$2:D250,"&gt;0"),"")</f>
        <v/>
      </c>
      <c r="D250" s="90" t="e">
        <f t="shared" si="29"/>
        <v>#N/A</v>
      </c>
      <c r="E250" s="1" t="str">
        <f>IF(ISNUMBER(F250),COUNTIF(F$2:F250,"&gt;0"),"")</f>
        <v/>
      </c>
      <c r="F250" s="90" t="e">
        <f t="shared" si="30"/>
        <v>#N/A</v>
      </c>
      <c r="H250" s="1">
        <v>249</v>
      </c>
      <c r="I250" s="93"/>
      <c r="J250" s="93"/>
    </row>
    <row r="251" spans="2:10" x14ac:dyDescent="0.35">
      <c r="B251" s="1" t="e">
        <f>VLOOKUP(A251,周期整合计算!A:G,7,0)</f>
        <v>#N/A</v>
      </c>
      <c r="C251" s="1" t="str">
        <f>IF(ISNUMBER(D251),COUNTIF(D$2:D251,"&gt;0"),"")</f>
        <v/>
      </c>
      <c r="D251" s="90" t="e">
        <f t="shared" si="29"/>
        <v>#N/A</v>
      </c>
      <c r="E251" s="1" t="str">
        <f>IF(ISNUMBER(F251),COUNTIF(F$2:F251,"&gt;0"),"")</f>
        <v/>
      </c>
      <c r="F251" s="90" t="e">
        <f t="shared" si="30"/>
        <v>#N/A</v>
      </c>
      <c r="H251" s="1">
        <v>250</v>
      </c>
      <c r="I251" s="93"/>
      <c r="J251" s="93"/>
    </row>
    <row r="252" spans="2:10" x14ac:dyDescent="0.35">
      <c r="B252" s="1" t="e">
        <f>VLOOKUP(A252,周期整合计算!A:G,7,0)</f>
        <v>#N/A</v>
      </c>
      <c r="C252" s="1" t="str">
        <f>IF(ISNUMBER(D252),COUNTIF(D$2:D252,"&gt;0"),"")</f>
        <v/>
      </c>
      <c r="D252" s="90" t="e">
        <f t="shared" si="29"/>
        <v>#N/A</v>
      </c>
      <c r="E252" s="1" t="str">
        <f>IF(ISNUMBER(F252),COUNTIF(F$2:F252,"&gt;0"),"")</f>
        <v/>
      </c>
      <c r="F252" s="90" t="e">
        <f t="shared" si="30"/>
        <v>#N/A</v>
      </c>
      <c r="H252" s="1">
        <v>251</v>
      </c>
      <c r="I252" s="93"/>
      <c r="J252" s="93"/>
    </row>
    <row r="253" spans="2:10" x14ac:dyDescent="0.35">
      <c r="B253" s="1" t="e">
        <f>VLOOKUP(A253,周期整合计算!A:G,7,0)</f>
        <v>#N/A</v>
      </c>
      <c r="C253" s="1" t="str">
        <f>IF(ISNUMBER(D253),COUNTIF(D$2:D253,"&gt;0"),"")</f>
        <v/>
      </c>
      <c r="D253" s="90" t="e">
        <f t="shared" si="29"/>
        <v>#N/A</v>
      </c>
      <c r="E253" s="1" t="str">
        <f>IF(ISNUMBER(F253),COUNTIF(F$2:F253,"&gt;0"),"")</f>
        <v/>
      </c>
      <c r="F253" s="90" t="e">
        <f t="shared" si="30"/>
        <v>#N/A</v>
      </c>
      <c r="H253" s="1">
        <v>252</v>
      </c>
      <c r="I253" s="93"/>
      <c r="J253" s="93"/>
    </row>
    <row r="254" spans="2:10" x14ac:dyDescent="0.35">
      <c r="B254" s="1" t="e">
        <f>VLOOKUP(A254,周期整合计算!A:G,7,0)</f>
        <v>#N/A</v>
      </c>
      <c r="C254" s="1" t="str">
        <f>IF(ISNUMBER(D254),COUNTIF(D$2:D254,"&gt;0"),"")</f>
        <v/>
      </c>
      <c r="D254" s="90" t="e">
        <f t="shared" si="29"/>
        <v>#N/A</v>
      </c>
      <c r="E254" s="1" t="str">
        <f>IF(ISNUMBER(F254),COUNTIF(F$2:F254,"&gt;0"),"")</f>
        <v/>
      </c>
      <c r="F254" s="90" t="e">
        <f t="shared" si="30"/>
        <v>#N/A</v>
      </c>
      <c r="H254" s="1">
        <v>253</v>
      </c>
      <c r="I254" s="93"/>
      <c r="J254" s="93"/>
    </row>
    <row r="255" spans="2:10" x14ac:dyDescent="0.35">
      <c r="B255" s="1" t="e">
        <f>VLOOKUP(A255,周期整合计算!A:G,7,0)</f>
        <v>#N/A</v>
      </c>
      <c r="C255" s="1" t="str">
        <f>IF(ISNUMBER(D255),COUNTIF(D$2:D255,"&gt;0"),"")</f>
        <v/>
      </c>
      <c r="D255" s="90" t="e">
        <f t="shared" si="29"/>
        <v>#N/A</v>
      </c>
      <c r="E255" s="1" t="str">
        <f>IF(ISNUMBER(F255),COUNTIF(F$2:F255,"&gt;0"),"")</f>
        <v/>
      </c>
      <c r="F255" s="90" t="e">
        <f t="shared" si="30"/>
        <v>#N/A</v>
      </c>
      <c r="H255" s="1">
        <v>254</v>
      </c>
      <c r="I255" s="93"/>
      <c r="J255" s="93"/>
    </row>
    <row r="256" spans="2:10" x14ac:dyDescent="0.35">
      <c r="B256" s="1" t="e">
        <f>VLOOKUP(A256,周期整合计算!A:G,7,0)</f>
        <v>#N/A</v>
      </c>
      <c r="C256" s="1" t="str">
        <f>IF(ISNUMBER(D256),COUNTIF(D$2:D256,"&gt;0"),"")</f>
        <v/>
      </c>
      <c r="D256" s="90" t="e">
        <f t="shared" si="29"/>
        <v>#N/A</v>
      </c>
      <c r="E256" s="1" t="str">
        <f>IF(ISNUMBER(F256),COUNTIF(F$2:F256,"&gt;0"),"")</f>
        <v/>
      </c>
      <c r="F256" s="90" t="e">
        <f t="shared" si="30"/>
        <v>#N/A</v>
      </c>
      <c r="H256" s="1">
        <v>255</v>
      </c>
      <c r="I256" s="93"/>
      <c r="J256" s="93"/>
    </row>
    <row r="257" spans="2:10" x14ac:dyDescent="0.35">
      <c r="B257" s="1" t="e">
        <f>VLOOKUP(A257,周期整合计算!A:G,7,0)</f>
        <v>#N/A</v>
      </c>
      <c r="C257" s="1" t="str">
        <f>IF(ISNUMBER(D257),COUNTIF(D$2:D257,"&gt;0"),"")</f>
        <v/>
      </c>
      <c r="D257" s="90" t="e">
        <f t="shared" si="29"/>
        <v>#N/A</v>
      </c>
      <c r="E257" s="1" t="str">
        <f>IF(ISNUMBER(F257),COUNTIF(F$2:F257,"&gt;0"),"")</f>
        <v/>
      </c>
      <c r="F257" s="90" t="e">
        <f t="shared" si="30"/>
        <v>#N/A</v>
      </c>
      <c r="H257" s="1">
        <v>256</v>
      </c>
      <c r="I257" s="93"/>
      <c r="J257" s="93"/>
    </row>
    <row r="258" spans="2:10" x14ac:dyDescent="0.35">
      <c r="B258" s="1" t="e">
        <f>VLOOKUP(A258,周期整合计算!A:G,7,0)</f>
        <v>#N/A</v>
      </c>
      <c r="C258" s="1" t="str">
        <f>IF(ISNUMBER(D258),COUNTIF(D$2:D258,"&gt;0"),"")</f>
        <v/>
      </c>
      <c r="D258" s="90" t="e">
        <f t="shared" si="29"/>
        <v>#N/A</v>
      </c>
      <c r="E258" s="1" t="str">
        <f>IF(ISNUMBER(F258),COUNTIF(F$2:F258,"&gt;0"),"")</f>
        <v/>
      </c>
      <c r="F258" s="90" t="e">
        <f t="shared" si="30"/>
        <v>#N/A</v>
      </c>
      <c r="H258" s="1">
        <v>257</v>
      </c>
      <c r="I258" s="93"/>
      <c r="J258" s="93"/>
    </row>
    <row r="259" spans="2:10" x14ac:dyDescent="0.35">
      <c r="B259" s="1" t="e">
        <f>VLOOKUP(A259,周期整合计算!A:G,7,0)</f>
        <v>#N/A</v>
      </c>
      <c r="C259" s="1" t="str">
        <f>IF(ISNUMBER(D259),COUNTIF(D$2:D259,"&gt;0"),"")</f>
        <v/>
      </c>
      <c r="D259" s="90" t="e">
        <f t="shared" si="29"/>
        <v>#N/A</v>
      </c>
      <c r="E259" s="1" t="str">
        <f>IF(ISNUMBER(F259),COUNTIF(F$2:F259,"&gt;0"),"")</f>
        <v/>
      </c>
      <c r="F259" s="90" t="e">
        <f t="shared" si="30"/>
        <v>#N/A</v>
      </c>
      <c r="H259" s="1">
        <v>258</v>
      </c>
      <c r="I259" s="93"/>
      <c r="J259" s="93"/>
    </row>
    <row r="260" spans="2:10" x14ac:dyDescent="0.35">
      <c r="B260" s="1" t="e">
        <f>VLOOKUP(A260,周期整合计算!A:G,7,0)</f>
        <v>#N/A</v>
      </c>
      <c r="C260" s="1" t="str">
        <f>IF(ISNUMBER(D260),COUNTIF(D$2:D260,"&gt;0"),"")</f>
        <v/>
      </c>
      <c r="D260" s="90" t="e">
        <f t="shared" si="29"/>
        <v>#N/A</v>
      </c>
      <c r="E260" s="1" t="str">
        <f>IF(ISNUMBER(F260),COUNTIF(F$2:F260,"&gt;0"),"")</f>
        <v/>
      </c>
      <c r="F260" s="90" t="e">
        <f t="shared" si="30"/>
        <v>#N/A</v>
      </c>
      <c r="H260" s="1">
        <v>259</v>
      </c>
      <c r="I260" s="93"/>
      <c r="J260" s="93"/>
    </row>
    <row r="261" spans="2:10" x14ac:dyDescent="0.35">
      <c r="B261" s="1" t="e">
        <f>VLOOKUP(A261,周期整合计算!A:G,7,0)</f>
        <v>#N/A</v>
      </c>
      <c r="C261" s="1" t="str">
        <f>IF(ISNUMBER(D261),COUNTIF(D$2:D261,"&gt;0"),"")</f>
        <v/>
      </c>
      <c r="D261" s="90" t="e">
        <f t="shared" si="29"/>
        <v>#N/A</v>
      </c>
      <c r="E261" s="1" t="str">
        <f>IF(ISNUMBER(F261),COUNTIF(F$2:F261,"&gt;0"),"")</f>
        <v/>
      </c>
      <c r="F261" s="90" t="e">
        <f t="shared" si="30"/>
        <v>#N/A</v>
      </c>
      <c r="H261" s="1">
        <v>260</v>
      </c>
      <c r="I261" s="93"/>
      <c r="J261" s="93"/>
    </row>
    <row r="262" spans="2:10" x14ac:dyDescent="0.35">
      <c r="B262" s="1" t="e">
        <f>VLOOKUP(A262,周期整合计算!A:G,7,0)</f>
        <v>#N/A</v>
      </c>
      <c r="C262" s="1" t="str">
        <f>IF(ISNUMBER(D262),COUNTIF(D$2:D262,"&gt;0"),"")</f>
        <v/>
      </c>
      <c r="D262" s="90" t="e">
        <f t="shared" si="29"/>
        <v>#N/A</v>
      </c>
      <c r="E262" s="1" t="str">
        <f>IF(ISNUMBER(F262),COUNTIF(F$2:F262,"&gt;0"),"")</f>
        <v/>
      </c>
      <c r="F262" s="90" t="e">
        <f t="shared" si="30"/>
        <v>#N/A</v>
      </c>
      <c r="H262" s="1">
        <v>261</v>
      </c>
      <c r="I262" s="93"/>
      <c r="J262" s="93"/>
    </row>
    <row r="263" spans="2:10" x14ac:dyDescent="0.35">
      <c r="B263" s="1" t="e">
        <f>VLOOKUP(A263,周期整合计算!A:G,7,0)</f>
        <v>#N/A</v>
      </c>
      <c r="C263" s="1" t="str">
        <f>IF(ISNUMBER(D263),COUNTIF(D$2:D263,"&gt;0"),"")</f>
        <v/>
      </c>
      <c r="D263" s="90" t="e">
        <f t="shared" si="29"/>
        <v>#N/A</v>
      </c>
      <c r="E263" s="1" t="str">
        <f>IF(ISNUMBER(F263),COUNTIF(F$2:F263,"&gt;0"),"")</f>
        <v/>
      </c>
      <c r="F263" s="90" t="e">
        <f t="shared" si="30"/>
        <v>#N/A</v>
      </c>
      <c r="H263" s="1">
        <v>262</v>
      </c>
      <c r="I263" s="93"/>
      <c r="J263" s="93"/>
    </row>
    <row r="264" spans="2:10" x14ac:dyDescent="0.35">
      <c r="B264" s="1" t="e">
        <f>VLOOKUP(A264,周期整合计算!A:G,7,0)</f>
        <v>#N/A</v>
      </c>
      <c r="C264" s="1" t="str">
        <f>IF(ISNUMBER(D264),COUNTIF(D$2:D264,"&gt;0"),"")</f>
        <v/>
      </c>
      <c r="D264" s="90" t="e">
        <f t="shared" si="29"/>
        <v>#N/A</v>
      </c>
      <c r="E264" s="1" t="str">
        <f>IF(ISNUMBER(F264),COUNTIF(F$2:F264,"&gt;0"),"")</f>
        <v/>
      </c>
      <c r="F264" s="90" t="e">
        <f t="shared" si="30"/>
        <v>#N/A</v>
      </c>
      <c r="H264" s="1">
        <v>263</v>
      </c>
      <c r="I264" s="93"/>
      <c r="J264" s="93"/>
    </row>
    <row r="265" spans="2:10" x14ac:dyDescent="0.35">
      <c r="B265" s="1" t="e">
        <f>VLOOKUP(A265,周期整合计算!A:G,7,0)</f>
        <v>#N/A</v>
      </c>
      <c r="C265" s="1" t="str">
        <f>IF(ISNUMBER(D265),COUNTIF(D$2:D265,"&gt;0"),"")</f>
        <v/>
      </c>
      <c r="D265" s="90" t="e">
        <f t="shared" si="29"/>
        <v>#N/A</v>
      </c>
      <c r="E265" s="1" t="str">
        <f>IF(ISNUMBER(F265),COUNTIF(F$2:F265,"&gt;0"),"")</f>
        <v/>
      </c>
      <c r="F265" s="90" t="e">
        <f t="shared" si="30"/>
        <v>#N/A</v>
      </c>
      <c r="H265" s="1">
        <v>264</v>
      </c>
      <c r="I265" s="93"/>
      <c r="J265" s="93"/>
    </row>
    <row r="266" spans="2:10" x14ac:dyDescent="0.35">
      <c r="B266" s="1" t="e">
        <f>VLOOKUP(A266,周期整合计算!A:G,7,0)</f>
        <v>#N/A</v>
      </c>
      <c r="C266" s="1" t="str">
        <f>IF(ISNUMBER(D266),COUNTIF(D$2:D266,"&gt;0"),"")</f>
        <v/>
      </c>
      <c r="D266" s="90" t="e">
        <f t="shared" ref="D266:D295" si="31">IF(B265=B266,"",A266)</f>
        <v>#N/A</v>
      </c>
      <c r="E266" s="1" t="str">
        <f>IF(ISNUMBER(F266),COUNTIF(F$2:F266,"&gt;0"),"")</f>
        <v/>
      </c>
      <c r="F266" s="90" t="e">
        <f t="shared" ref="F266:F294" si="32">IF(B266=B267,"",A266)</f>
        <v>#N/A</v>
      </c>
      <c r="H266" s="1">
        <v>265</v>
      </c>
      <c r="I266" s="93"/>
      <c r="J266" s="93"/>
    </row>
    <row r="267" spans="2:10" x14ac:dyDescent="0.35">
      <c r="B267" s="1" t="e">
        <f>VLOOKUP(A267,周期整合计算!A:G,7,0)</f>
        <v>#N/A</v>
      </c>
      <c r="C267" s="1" t="str">
        <f>IF(ISNUMBER(D267),COUNTIF(D$2:D267,"&gt;0"),"")</f>
        <v/>
      </c>
      <c r="D267" s="90" t="e">
        <f t="shared" si="31"/>
        <v>#N/A</v>
      </c>
      <c r="E267" s="1" t="str">
        <f>IF(ISNUMBER(F267),COUNTIF(F$2:F267,"&gt;0"),"")</f>
        <v/>
      </c>
      <c r="F267" s="90" t="e">
        <f t="shared" si="32"/>
        <v>#N/A</v>
      </c>
      <c r="H267" s="1">
        <v>266</v>
      </c>
      <c r="I267" s="93"/>
      <c r="J267" s="93"/>
    </row>
    <row r="268" spans="2:10" x14ac:dyDescent="0.35">
      <c r="B268" s="1" t="e">
        <f>VLOOKUP(A268,周期整合计算!A:G,7,0)</f>
        <v>#N/A</v>
      </c>
      <c r="C268" s="1" t="str">
        <f>IF(ISNUMBER(D268),COUNTIF(D$2:D268,"&gt;0"),"")</f>
        <v/>
      </c>
      <c r="D268" s="90" t="e">
        <f t="shared" si="31"/>
        <v>#N/A</v>
      </c>
      <c r="E268" s="1" t="str">
        <f>IF(ISNUMBER(F268),COUNTIF(F$2:F268,"&gt;0"),"")</f>
        <v/>
      </c>
      <c r="F268" s="90" t="e">
        <f t="shared" si="32"/>
        <v>#N/A</v>
      </c>
      <c r="H268" s="1">
        <v>267</v>
      </c>
      <c r="I268" s="93"/>
      <c r="J268" s="93"/>
    </row>
    <row r="269" spans="2:10" x14ac:dyDescent="0.35">
      <c r="B269" s="1" t="e">
        <f>VLOOKUP(A269,周期整合计算!A:G,7,0)</f>
        <v>#N/A</v>
      </c>
      <c r="C269" s="1" t="str">
        <f>IF(ISNUMBER(D269),COUNTIF(D$2:D269,"&gt;0"),"")</f>
        <v/>
      </c>
      <c r="D269" s="90" t="e">
        <f t="shared" si="31"/>
        <v>#N/A</v>
      </c>
      <c r="E269" s="1" t="str">
        <f>IF(ISNUMBER(F269),COUNTIF(F$2:F269,"&gt;0"),"")</f>
        <v/>
      </c>
      <c r="F269" s="90" t="e">
        <f t="shared" si="32"/>
        <v>#N/A</v>
      </c>
      <c r="H269" s="1">
        <v>268</v>
      </c>
      <c r="I269" s="93"/>
      <c r="J269" s="93"/>
    </row>
    <row r="270" spans="2:10" x14ac:dyDescent="0.35">
      <c r="B270" s="1" t="e">
        <f>VLOOKUP(A270,周期整合计算!A:G,7,0)</f>
        <v>#N/A</v>
      </c>
      <c r="C270" s="1" t="str">
        <f>IF(ISNUMBER(D270),COUNTIF(D$2:D270,"&gt;0"),"")</f>
        <v/>
      </c>
      <c r="D270" s="90" t="e">
        <f t="shared" si="31"/>
        <v>#N/A</v>
      </c>
      <c r="E270" s="1" t="str">
        <f>IF(ISNUMBER(F270),COUNTIF(F$2:F270,"&gt;0"),"")</f>
        <v/>
      </c>
      <c r="F270" s="90" t="e">
        <f t="shared" si="32"/>
        <v>#N/A</v>
      </c>
      <c r="H270" s="1">
        <v>269</v>
      </c>
      <c r="I270" s="93"/>
      <c r="J270" s="93"/>
    </row>
    <row r="271" spans="2:10" x14ac:dyDescent="0.35">
      <c r="B271" s="1" t="e">
        <f>VLOOKUP(A271,周期整合计算!A:G,7,0)</f>
        <v>#N/A</v>
      </c>
      <c r="C271" s="1" t="str">
        <f>IF(ISNUMBER(D271),COUNTIF(D$2:D271,"&gt;0"),"")</f>
        <v/>
      </c>
      <c r="D271" s="90" t="e">
        <f t="shared" si="31"/>
        <v>#N/A</v>
      </c>
      <c r="E271" s="1" t="str">
        <f>IF(ISNUMBER(F271),COUNTIF(F$2:F271,"&gt;0"),"")</f>
        <v/>
      </c>
      <c r="F271" s="90" t="e">
        <f t="shared" si="32"/>
        <v>#N/A</v>
      </c>
      <c r="H271" s="1">
        <v>270</v>
      </c>
      <c r="I271" s="93"/>
      <c r="J271" s="93"/>
    </row>
    <row r="272" spans="2:10" x14ac:dyDescent="0.35">
      <c r="B272" s="1" t="e">
        <f>VLOOKUP(A272,周期整合计算!A:G,7,0)</f>
        <v>#N/A</v>
      </c>
      <c r="C272" s="1" t="str">
        <f>IF(ISNUMBER(D272),COUNTIF(D$2:D272,"&gt;0"),"")</f>
        <v/>
      </c>
      <c r="D272" s="90" t="e">
        <f t="shared" si="31"/>
        <v>#N/A</v>
      </c>
      <c r="E272" s="1" t="str">
        <f>IF(ISNUMBER(F272),COUNTIF(F$2:F272,"&gt;0"),"")</f>
        <v/>
      </c>
      <c r="F272" s="90" t="e">
        <f t="shared" si="32"/>
        <v>#N/A</v>
      </c>
      <c r="H272" s="1">
        <v>271</v>
      </c>
      <c r="I272" s="93"/>
      <c r="J272" s="93"/>
    </row>
    <row r="273" spans="2:10" x14ac:dyDescent="0.35">
      <c r="B273" s="1" t="e">
        <f>VLOOKUP(A273,周期整合计算!A:G,7,0)</f>
        <v>#N/A</v>
      </c>
      <c r="C273" s="1" t="str">
        <f>IF(ISNUMBER(D273),COUNTIF(D$2:D273,"&gt;0"),"")</f>
        <v/>
      </c>
      <c r="D273" s="90" t="e">
        <f t="shared" si="31"/>
        <v>#N/A</v>
      </c>
      <c r="E273" s="1" t="str">
        <f>IF(ISNUMBER(F273),COUNTIF(F$2:F273,"&gt;0"),"")</f>
        <v/>
      </c>
      <c r="F273" s="90" t="e">
        <f t="shared" si="32"/>
        <v>#N/A</v>
      </c>
      <c r="H273" s="1">
        <v>272</v>
      </c>
      <c r="I273" s="93"/>
      <c r="J273" s="93"/>
    </row>
    <row r="274" spans="2:10" x14ac:dyDescent="0.35">
      <c r="B274" s="1" t="e">
        <f>VLOOKUP(A274,周期整合计算!A:G,7,0)</f>
        <v>#N/A</v>
      </c>
      <c r="C274" s="1" t="str">
        <f>IF(ISNUMBER(D274),COUNTIF(D$2:D274,"&gt;0"),"")</f>
        <v/>
      </c>
      <c r="D274" s="90" t="e">
        <f t="shared" si="31"/>
        <v>#N/A</v>
      </c>
      <c r="E274" s="1" t="str">
        <f>IF(ISNUMBER(F274),COUNTIF(F$2:F274,"&gt;0"),"")</f>
        <v/>
      </c>
      <c r="F274" s="90" t="e">
        <f t="shared" si="32"/>
        <v>#N/A</v>
      </c>
      <c r="H274" s="1">
        <v>273</v>
      </c>
      <c r="I274" s="93"/>
      <c r="J274" s="93"/>
    </row>
    <row r="275" spans="2:10" x14ac:dyDescent="0.35">
      <c r="B275" s="1" t="e">
        <f>VLOOKUP(A275,周期整合计算!A:G,7,0)</f>
        <v>#N/A</v>
      </c>
      <c r="C275" s="1" t="str">
        <f>IF(ISNUMBER(D275),COUNTIF(D$2:D275,"&gt;0"),"")</f>
        <v/>
      </c>
      <c r="D275" s="90" t="e">
        <f t="shared" si="31"/>
        <v>#N/A</v>
      </c>
      <c r="E275" s="1" t="str">
        <f>IF(ISNUMBER(F275),COUNTIF(F$2:F275,"&gt;0"),"")</f>
        <v/>
      </c>
      <c r="F275" s="90" t="e">
        <f t="shared" si="32"/>
        <v>#N/A</v>
      </c>
      <c r="H275" s="1">
        <v>274</v>
      </c>
      <c r="I275" s="93"/>
      <c r="J275" s="93"/>
    </row>
    <row r="276" spans="2:10" x14ac:dyDescent="0.35">
      <c r="B276" s="1" t="e">
        <f>VLOOKUP(A276,周期整合计算!A:G,7,0)</f>
        <v>#N/A</v>
      </c>
      <c r="C276" s="1" t="str">
        <f>IF(ISNUMBER(D276),COUNTIF(D$2:D276,"&gt;0"),"")</f>
        <v/>
      </c>
      <c r="D276" s="90" t="e">
        <f t="shared" si="31"/>
        <v>#N/A</v>
      </c>
      <c r="E276" s="1" t="str">
        <f>IF(ISNUMBER(F276),COUNTIF(F$2:F276,"&gt;0"),"")</f>
        <v/>
      </c>
      <c r="F276" s="90" t="e">
        <f t="shared" si="32"/>
        <v>#N/A</v>
      </c>
      <c r="H276" s="1">
        <v>275</v>
      </c>
      <c r="I276" s="93"/>
      <c r="J276" s="93"/>
    </row>
    <row r="277" spans="2:10" x14ac:dyDescent="0.35">
      <c r="B277" s="1" t="e">
        <f>VLOOKUP(A277,周期整合计算!A:G,7,0)</f>
        <v>#N/A</v>
      </c>
      <c r="C277" s="1" t="str">
        <f>IF(ISNUMBER(D277),COUNTIF(D$2:D277,"&gt;0"),"")</f>
        <v/>
      </c>
      <c r="D277" s="90" t="e">
        <f t="shared" si="31"/>
        <v>#N/A</v>
      </c>
      <c r="E277" s="1" t="str">
        <f>IF(ISNUMBER(F277),COUNTIF(F$2:F277,"&gt;0"),"")</f>
        <v/>
      </c>
      <c r="F277" s="90" t="e">
        <f t="shared" si="32"/>
        <v>#N/A</v>
      </c>
      <c r="H277" s="1">
        <v>276</v>
      </c>
      <c r="I277" s="93"/>
      <c r="J277" s="93"/>
    </row>
    <row r="278" spans="2:10" x14ac:dyDescent="0.35">
      <c r="B278" s="1" t="e">
        <f>VLOOKUP(A278,周期整合计算!A:G,7,0)</f>
        <v>#N/A</v>
      </c>
      <c r="C278" s="1" t="str">
        <f>IF(ISNUMBER(D278),COUNTIF(D$2:D278,"&gt;0"),"")</f>
        <v/>
      </c>
      <c r="D278" s="90" t="e">
        <f t="shared" si="31"/>
        <v>#N/A</v>
      </c>
      <c r="E278" s="1" t="str">
        <f>IF(ISNUMBER(F278),COUNTIF(F$2:F278,"&gt;0"),"")</f>
        <v/>
      </c>
      <c r="F278" s="90" t="e">
        <f t="shared" si="32"/>
        <v>#N/A</v>
      </c>
      <c r="H278" s="1">
        <v>277</v>
      </c>
      <c r="I278" s="93"/>
      <c r="J278" s="93"/>
    </row>
    <row r="279" spans="2:10" x14ac:dyDescent="0.35">
      <c r="B279" s="1" t="e">
        <f>VLOOKUP(A279,周期整合计算!A:G,7,0)</f>
        <v>#N/A</v>
      </c>
      <c r="C279" s="1" t="str">
        <f>IF(ISNUMBER(D279),COUNTIF(D$2:D279,"&gt;0"),"")</f>
        <v/>
      </c>
      <c r="D279" s="90" t="e">
        <f t="shared" si="31"/>
        <v>#N/A</v>
      </c>
      <c r="E279" s="1" t="str">
        <f>IF(ISNUMBER(F279),COUNTIF(F$2:F279,"&gt;0"),"")</f>
        <v/>
      </c>
      <c r="F279" s="90" t="e">
        <f t="shared" si="32"/>
        <v>#N/A</v>
      </c>
      <c r="H279" s="1">
        <v>278</v>
      </c>
      <c r="I279" s="93"/>
      <c r="J279" s="93"/>
    </row>
    <row r="280" spans="2:10" x14ac:dyDescent="0.35">
      <c r="B280" s="1" t="e">
        <f>VLOOKUP(A280,周期整合计算!A:G,7,0)</f>
        <v>#N/A</v>
      </c>
      <c r="C280" s="1" t="str">
        <f>IF(ISNUMBER(D280),COUNTIF(D$2:D280,"&gt;0"),"")</f>
        <v/>
      </c>
      <c r="D280" s="90" t="e">
        <f t="shared" si="31"/>
        <v>#N/A</v>
      </c>
      <c r="E280" s="1" t="str">
        <f>IF(ISNUMBER(F280),COUNTIF(F$2:F280,"&gt;0"),"")</f>
        <v/>
      </c>
      <c r="F280" s="90" t="e">
        <f t="shared" si="32"/>
        <v>#N/A</v>
      </c>
      <c r="H280" s="1">
        <v>279</v>
      </c>
      <c r="I280" s="93"/>
      <c r="J280" s="93"/>
    </row>
    <row r="281" spans="2:10" x14ac:dyDescent="0.35">
      <c r="B281" s="1" t="e">
        <f>VLOOKUP(A281,周期整合计算!A:G,7,0)</f>
        <v>#N/A</v>
      </c>
      <c r="C281" s="1" t="str">
        <f>IF(ISNUMBER(D281),COUNTIF(D$2:D281,"&gt;0"),"")</f>
        <v/>
      </c>
      <c r="D281" s="90" t="e">
        <f t="shared" si="31"/>
        <v>#N/A</v>
      </c>
      <c r="E281" s="1" t="str">
        <f>IF(ISNUMBER(F281),COUNTIF(F$2:F281,"&gt;0"),"")</f>
        <v/>
      </c>
      <c r="F281" s="90" t="e">
        <f t="shared" si="32"/>
        <v>#N/A</v>
      </c>
      <c r="H281" s="1">
        <v>280</v>
      </c>
      <c r="I281" s="93"/>
      <c r="J281" s="93"/>
    </row>
    <row r="282" spans="2:10" x14ac:dyDescent="0.35">
      <c r="B282" s="1" t="e">
        <f>VLOOKUP(A282,周期整合计算!A:G,7,0)</f>
        <v>#N/A</v>
      </c>
      <c r="C282" s="1" t="str">
        <f>IF(ISNUMBER(D282),COUNTIF(D$2:D282,"&gt;0"),"")</f>
        <v/>
      </c>
      <c r="D282" s="90" t="e">
        <f t="shared" si="31"/>
        <v>#N/A</v>
      </c>
      <c r="E282" s="1" t="str">
        <f>IF(ISNUMBER(F282),COUNTIF(F$2:F282,"&gt;0"),"")</f>
        <v/>
      </c>
      <c r="F282" s="90" t="e">
        <f t="shared" si="32"/>
        <v>#N/A</v>
      </c>
      <c r="H282" s="1">
        <v>281</v>
      </c>
      <c r="I282" s="93"/>
      <c r="J282" s="93"/>
    </row>
    <row r="283" spans="2:10" x14ac:dyDescent="0.35">
      <c r="B283" s="1" t="e">
        <f>VLOOKUP(A283,周期整合计算!A:G,7,0)</f>
        <v>#N/A</v>
      </c>
      <c r="C283" s="1" t="str">
        <f>IF(ISNUMBER(D283),COUNTIF(D$2:D283,"&gt;0"),"")</f>
        <v/>
      </c>
      <c r="D283" s="90" t="e">
        <f t="shared" si="31"/>
        <v>#N/A</v>
      </c>
      <c r="E283" s="1" t="str">
        <f>IF(ISNUMBER(F283),COUNTIF(F$2:F283,"&gt;0"),"")</f>
        <v/>
      </c>
      <c r="F283" s="90" t="e">
        <f t="shared" si="32"/>
        <v>#N/A</v>
      </c>
      <c r="H283" s="1">
        <v>282</v>
      </c>
      <c r="I283" s="93"/>
      <c r="J283" s="93"/>
    </row>
    <row r="284" spans="2:10" x14ac:dyDescent="0.35">
      <c r="B284" s="1" t="e">
        <f>VLOOKUP(A284,周期整合计算!A:G,7,0)</f>
        <v>#N/A</v>
      </c>
      <c r="C284" s="1" t="str">
        <f>IF(ISNUMBER(D284),COUNTIF(D$2:D284,"&gt;0"),"")</f>
        <v/>
      </c>
      <c r="D284" s="90" t="e">
        <f t="shared" si="31"/>
        <v>#N/A</v>
      </c>
      <c r="E284" s="1" t="str">
        <f>IF(ISNUMBER(F284),COUNTIF(F$2:F284,"&gt;0"),"")</f>
        <v/>
      </c>
      <c r="F284" s="90" t="e">
        <f t="shared" si="32"/>
        <v>#N/A</v>
      </c>
      <c r="H284" s="1">
        <v>283</v>
      </c>
      <c r="I284" s="93"/>
      <c r="J284" s="93"/>
    </row>
    <row r="285" spans="2:10" x14ac:dyDescent="0.35">
      <c r="B285" s="1" t="e">
        <f>VLOOKUP(A285,周期整合计算!A:G,7,0)</f>
        <v>#N/A</v>
      </c>
      <c r="C285" s="1" t="str">
        <f>IF(ISNUMBER(D285),COUNTIF(D$2:D285,"&gt;0"),"")</f>
        <v/>
      </c>
      <c r="D285" s="90" t="e">
        <f t="shared" si="31"/>
        <v>#N/A</v>
      </c>
      <c r="E285" s="1" t="str">
        <f>IF(ISNUMBER(F285),COUNTIF(F$2:F285,"&gt;0"),"")</f>
        <v/>
      </c>
      <c r="F285" s="90" t="e">
        <f t="shared" si="32"/>
        <v>#N/A</v>
      </c>
      <c r="H285" s="1">
        <v>284</v>
      </c>
      <c r="I285" s="93"/>
      <c r="J285" s="93"/>
    </row>
    <row r="286" spans="2:10" x14ac:dyDescent="0.35">
      <c r="B286" s="1" t="e">
        <f>VLOOKUP(A286,周期整合计算!A:G,7,0)</f>
        <v>#N/A</v>
      </c>
      <c r="C286" s="1" t="str">
        <f>IF(ISNUMBER(D286),COUNTIF(D$2:D286,"&gt;0"),"")</f>
        <v/>
      </c>
      <c r="D286" s="90" t="e">
        <f t="shared" si="31"/>
        <v>#N/A</v>
      </c>
      <c r="E286" s="1" t="str">
        <f>IF(ISNUMBER(F286),COUNTIF(F$2:F286,"&gt;0"),"")</f>
        <v/>
      </c>
      <c r="F286" s="90" t="e">
        <f t="shared" si="32"/>
        <v>#N/A</v>
      </c>
      <c r="H286" s="1">
        <v>285</v>
      </c>
      <c r="I286" s="93"/>
      <c r="J286" s="93"/>
    </row>
    <row r="287" spans="2:10" x14ac:dyDescent="0.35">
      <c r="B287" s="1" t="e">
        <f>VLOOKUP(A287,周期整合计算!A:G,7,0)</f>
        <v>#N/A</v>
      </c>
      <c r="C287" s="1" t="str">
        <f>IF(ISNUMBER(D287),COUNTIF(D$2:D287,"&gt;0"),"")</f>
        <v/>
      </c>
      <c r="D287" s="90" t="e">
        <f t="shared" si="31"/>
        <v>#N/A</v>
      </c>
      <c r="E287" s="1" t="str">
        <f>IF(ISNUMBER(F287),COUNTIF(F$2:F287,"&gt;0"),"")</f>
        <v/>
      </c>
      <c r="F287" s="90" t="e">
        <f t="shared" si="32"/>
        <v>#N/A</v>
      </c>
      <c r="H287" s="1">
        <v>286</v>
      </c>
      <c r="I287" s="93"/>
      <c r="J287" s="93"/>
    </row>
    <row r="288" spans="2:10" x14ac:dyDescent="0.35">
      <c r="B288" s="1" t="e">
        <f>VLOOKUP(A288,周期整合计算!A:G,7,0)</f>
        <v>#N/A</v>
      </c>
      <c r="C288" s="1" t="str">
        <f>IF(ISNUMBER(D288),COUNTIF(D$2:D288,"&gt;0"),"")</f>
        <v/>
      </c>
      <c r="D288" s="90" t="e">
        <f t="shared" si="31"/>
        <v>#N/A</v>
      </c>
      <c r="E288" s="1" t="str">
        <f>IF(ISNUMBER(F288),COUNTIF(F$2:F288,"&gt;0"),"")</f>
        <v/>
      </c>
      <c r="F288" s="90" t="e">
        <f t="shared" si="32"/>
        <v>#N/A</v>
      </c>
    </row>
    <row r="289" spans="2:6" x14ac:dyDescent="0.35">
      <c r="B289" s="1" t="e">
        <f>VLOOKUP(A289,周期整合计算!A:G,7,0)</f>
        <v>#N/A</v>
      </c>
      <c r="C289" s="1" t="str">
        <f>IF(ISNUMBER(D289),COUNTIF(D$2:D289,"&gt;0"),"")</f>
        <v/>
      </c>
      <c r="D289" s="90" t="e">
        <f t="shared" si="31"/>
        <v>#N/A</v>
      </c>
      <c r="E289" s="1" t="str">
        <f>IF(ISNUMBER(F289),COUNTIF(F$2:F289,"&gt;0"),"")</f>
        <v/>
      </c>
      <c r="F289" s="90" t="e">
        <f t="shared" si="32"/>
        <v>#N/A</v>
      </c>
    </row>
    <row r="290" spans="2:6" x14ac:dyDescent="0.35">
      <c r="B290" s="1" t="e">
        <f>VLOOKUP(A290,周期整合计算!A:G,7,0)</f>
        <v>#N/A</v>
      </c>
      <c r="C290" s="1" t="str">
        <f>IF(ISNUMBER(D290),COUNTIF(D$2:D290,"&gt;0"),"")</f>
        <v/>
      </c>
      <c r="D290" s="90" t="e">
        <f t="shared" si="31"/>
        <v>#N/A</v>
      </c>
      <c r="E290" s="1" t="str">
        <f>IF(ISNUMBER(F290),COUNTIF(F$2:F290,"&gt;0"),"")</f>
        <v/>
      </c>
      <c r="F290" s="90" t="e">
        <f t="shared" si="32"/>
        <v>#N/A</v>
      </c>
    </row>
    <row r="291" spans="2:6" x14ac:dyDescent="0.35">
      <c r="B291" s="1" t="e">
        <f>VLOOKUP(A291,周期整合计算!A:G,7,0)</f>
        <v>#N/A</v>
      </c>
      <c r="C291" s="1" t="str">
        <f>IF(ISNUMBER(D291),COUNTIF(D$2:D291,"&gt;0"),"")</f>
        <v/>
      </c>
      <c r="D291" s="90" t="e">
        <f t="shared" si="31"/>
        <v>#N/A</v>
      </c>
      <c r="E291" s="1" t="str">
        <f>IF(ISNUMBER(F291),COUNTIF(F$2:F291,"&gt;0"),"")</f>
        <v/>
      </c>
      <c r="F291" s="90" t="e">
        <f t="shared" si="32"/>
        <v>#N/A</v>
      </c>
    </row>
    <row r="292" spans="2:6" x14ac:dyDescent="0.35">
      <c r="B292" s="1" t="e">
        <f>VLOOKUP(A292,周期整合计算!A:G,7,0)</f>
        <v>#N/A</v>
      </c>
      <c r="C292" s="1" t="str">
        <f>IF(ISNUMBER(D292),COUNTIF(D$2:D292,"&gt;0"),"")</f>
        <v/>
      </c>
      <c r="D292" s="90" t="e">
        <f t="shared" si="31"/>
        <v>#N/A</v>
      </c>
      <c r="E292" s="1" t="str">
        <f>IF(ISNUMBER(F292),COUNTIF(F$2:F292,"&gt;0"),"")</f>
        <v/>
      </c>
      <c r="F292" s="90" t="e">
        <f t="shared" si="32"/>
        <v>#N/A</v>
      </c>
    </row>
    <row r="293" spans="2:6" x14ac:dyDescent="0.35">
      <c r="B293" s="1" t="e">
        <f>VLOOKUP(A293,周期整合计算!A:G,7,0)</f>
        <v>#N/A</v>
      </c>
      <c r="C293" s="1" t="str">
        <f>IF(ISNUMBER(D293),COUNTIF(D$2:D293,"&gt;0"),"")</f>
        <v/>
      </c>
      <c r="D293" s="90" t="e">
        <f t="shared" si="31"/>
        <v>#N/A</v>
      </c>
      <c r="E293" s="1" t="str">
        <f>IF(ISNUMBER(F293),COUNTIF(F$2:F293,"&gt;0"),"")</f>
        <v/>
      </c>
      <c r="F293" s="90" t="e">
        <f t="shared" si="32"/>
        <v>#N/A</v>
      </c>
    </row>
    <row r="294" spans="2:6" x14ac:dyDescent="0.35">
      <c r="B294" s="1" t="e">
        <f>VLOOKUP(A294,周期整合计算!A:G,7,0)</f>
        <v>#N/A</v>
      </c>
      <c r="C294" s="1" t="str">
        <f>IF(ISNUMBER(D294),COUNTIF(D$2:D294,"&gt;0"),"")</f>
        <v/>
      </c>
      <c r="D294" s="90" t="e">
        <f t="shared" si="31"/>
        <v>#N/A</v>
      </c>
      <c r="E294" s="1" t="str">
        <f>IF(ISNUMBER(F294),COUNTIF(F$2:F294,"&gt;0"),"")</f>
        <v/>
      </c>
      <c r="F294" s="90" t="e">
        <f t="shared" si="32"/>
        <v>#N/A</v>
      </c>
    </row>
    <row r="295" spans="2:6" x14ac:dyDescent="0.35">
      <c r="B295" s="1" t="e">
        <f>VLOOKUP(A295,周期整合计算!A:G,7,0)</f>
        <v>#N/A</v>
      </c>
      <c r="C295" s="1" t="str">
        <f>IF(ISNUMBER(D295),COUNTIF(D$2:D295,"&gt;0"),"")</f>
        <v/>
      </c>
      <c r="D295" s="90" t="e">
        <f t="shared" si="31"/>
        <v>#N/A</v>
      </c>
      <c r="E295" s="1" t="str">
        <f>IF(ISNUMBER(F295),COUNTIF(F$2:F295,"&gt;0"),"")</f>
        <v/>
      </c>
      <c r="F295" s="90" t="e">
        <f>IF(B295=#REF!,"",A295)</f>
        <v>#N/A</v>
      </c>
    </row>
  </sheetData>
  <autoFilter ref="H1:L287" xr:uid="{00000000-0009-0000-0000-000005000000}"/>
  <mergeCells count="4">
    <mergeCell ref="O13:O16"/>
    <mergeCell ref="O17:O19"/>
    <mergeCell ref="O3:O7"/>
    <mergeCell ref="O8:O12"/>
  </mergeCells>
  <phoneticPr fontId="29" type="noConversion"/>
  <pageMargins left="0.75" right="0.75" top="1" bottom="1" header="0.5" footer="0.5"/>
  <pageSetup paperSize="9" orientation="portrait" horizontalDpi="1200" verticalDpi="1200" r:id="rId1"/>
  <customProperties>
    <customPr name="SheetID" r:id="rId2"/>
  </customPropertie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1">
    <tabColor theme="5" tint="0.79995117038483843"/>
  </sheetPr>
  <dimension ref="A1:T4835"/>
  <sheetViews>
    <sheetView topLeftCell="A4" zoomScale="85" zoomScaleNormal="85" workbookViewId="0">
      <selection activeCell="C31" sqref="C31"/>
    </sheetView>
  </sheetViews>
  <sheetFormatPr defaultColWidth="9" defaultRowHeight="14.15" x14ac:dyDescent="0.35"/>
  <cols>
    <col min="1" max="1" width="9" style="1"/>
    <col min="2" max="2" width="25.78515625" style="1" customWidth="1"/>
    <col min="3" max="3" width="55.42578125" style="1" customWidth="1"/>
    <col min="4" max="5" width="9" style="1"/>
    <col min="6" max="8" width="12.85546875" style="1" customWidth="1"/>
    <col min="9" max="9" width="8.85546875" style="1" customWidth="1"/>
    <col min="10" max="10" width="17.140625" style="1" customWidth="1"/>
    <col min="11" max="13" width="12.85546875" style="1" customWidth="1"/>
    <col min="14" max="14" width="8.85546875" style="1" customWidth="1"/>
    <col min="15" max="15" width="17.140625" style="1" customWidth="1"/>
    <col min="16" max="20" width="13.78515625" style="1"/>
    <col min="21" max="16384" width="9" style="1"/>
  </cols>
  <sheetData>
    <row r="1" spans="1:20" x14ac:dyDescent="0.35">
      <c r="A1" s="85"/>
    </row>
    <row r="2" spans="1:20" x14ac:dyDescent="0.35">
      <c r="A2" s="130" t="s">
        <v>263</v>
      </c>
      <c r="B2" s="130" t="s">
        <v>279</v>
      </c>
      <c r="C2" s="130" t="s">
        <v>280</v>
      </c>
      <c r="D2" s="86" t="s">
        <v>110</v>
      </c>
      <c r="E2" s="86" t="s">
        <v>111</v>
      </c>
      <c r="F2" s="86" t="s">
        <v>100</v>
      </c>
      <c r="G2" s="1" t="s">
        <v>102</v>
      </c>
      <c r="H2" s="1" t="s">
        <v>101</v>
      </c>
      <c r="I2" s="1" t="s">
        <v>99</v>
      </c>
      <c r="J2" s="1" t="s">
        <v>103</v>
      </c>
      <c r="K2" s="86" t="s">
        <v>100</v>
      </c>
      <c r="L2" s="1" t="s">
        <v>102</v>
      </c>
      <c r="M2" s="1" t="s">
        <v>101</v>
      </c>
      <c r="N2" s="1" t="s">
        <v>99</v>
      </c>
      <c r="O2" s="1" t="s">
        <v>103</v>
      </c>
      <c r="P2" s="86" t="s">
        <v>100</v>
      </c>
      <c r="Q2" s="1" t="s">
        <v>102</v>
      </c>
      <c r="R2" s="1" t="s">
        <v>101</v>
      </c>
      <c r="S2" s="1" t="s">
        <v>99</v>
      </c>
      <c r="T2" s="1" t="s">
        <v>103</v>
      </c>
    </row>
    <row r="3" spans="1:20" x14ac:dyDescent="0.35">
      <c r="A3" s="130" t="s">
        <v>265</v>
      </c>
      <c r="B3" s="130" t="s">
        <v>272</v>
      </c>
      <c r="C3" s="130" t="s">
        <v>272</v>
      </c>
      <c r="K3" s="1" t="s">
        <v>110</v>
      </c>
      <c r="L3" s="1" t="s">
        <v>110</v>
      </c>
      <c r="M3" s="1" t="s">
        <v>110</v>
      </c>
      <c r="N3" s="1" t="s">
        <v>110</v>
      </c>
      <c r="O3" s="1" t="s">
        <v>110</v>
      </c>
      <c r="P3" s="1" t="s">
        <v>111</v>
      </c>
      <c r="Q3" s="1" t="s">
        <v>111</v>
      </c>
      <c r="R3" s="1" t="s">
        <v>111</v>
      </c>
      <c r="S3" s="1" t="s">
        <v>111</v>
      </c>
      <c r="T3" s="1" t="s">
        <v>111</v>
      </c>
    </row>
    <row r="4" spans="1:20" x14ac:dyDescent="0.35">
      <c r="A4" s="130" t="s">
        <v>281</v>
      </c>
      <c r="B4" s="130" t="s">
        <v>282</v>
      </c>
      <c r="C4" s="130" t="s">
        <v>283</v>
      </c>
    </row>
    <row r="5" spans="1:20" x14ac:dyDescent="0.35">
      <c r="A5" s="130" t="s">
        <v>276</v>
      </c>
      <c r="B5" s="131" t="s">
        <v>287</v>
      </c>
      <c r="C5" s="131" t="s">
        <v>287</v>
      </c>
    </row>
    <row r="6" spans="1:20" x14ac:dyDescent="0.35">
      <c r="A6" s="12">
        <v>46387</v>
      </c>
      <c r="B6" s="131"/>
      <c r="C6" s="87">
        <v>-218.66263886990299</v>
      </c>
      <c r="D6" s="1" t="str">
        <f t="shared" ref="D6:D7" si="0">IF(B6&gt;=1,"牛市",IF(B6&lt;=-1,"熊市","震荡"))</f>
        <v>震荡</v>
      </c>
      <c r="E6" s="1" t="str">
        <f t="shared" ref="E6:E7" si="1">IF(C6&lt;=-2,"牛市",IF(C6&gt;=2,"熊市","震荡"))</f>
        <v>牛市</v>
      </c>
      <c r="F6" s="1" t="str">
        <f>VLOOKUP(A6,'货币信用框架5-货币政策目标+信用脉冲'!A:L,12,0)</f>
        <v>宽货币紧信用</v>
      </c>
      <c r="G6" s="1" t="str">
        <f>VLOOKUP(A6,'信贷库存框架1-票据+贷款余额'!A:L,12,0)</f>
        <v>被动去库存</v>
      </c>
      <c r="H6" s="1" t="str">
        <f>IFERROR(VLOOKUP(A6,'财政货币框架1&amp;2底稿'!P:AA,12,0),H7)</f>
        <v>紧货币宽财政</v>
      </c>
      <c r="I6" s="1" t="str">
        <f>IFERROR(VLOOKUP(A6,美林时钟!A:W,23,0),I7)</f>
        <v>衰退</v>
      </c>
      <c r="J6" s="1" t="str">
        <f>VLOOKUP(A6,库存与产能周期2!A:Q,17,0)</f>
        <v>产能周期下行,主动补库存</v>
      </c>
      <c r="K6" s="1">
        <f t="shared" ref="K6:O6" si="2">IFERROR((COUNTIFS($D8:$D67,"牛市",F8:F67,F6)-COUNTIFS($D8:$D67,"熊市",F8:F67,F6))/COUNTIFS(F8:F67,F6),K7)</f>
        <v>-8.3333333333333329E-2</v>
      </c>
      <c r="L6" s="1">
        <f t="shared" si="2"/>
        <v>-7.6923076923076927E-2</v>
      </c>
      <c r="M6" s="1">
        <f t="shared" si="2"/>
        <v>-4.3478260869565216E-2</v>
      </c>
      <c r="N6" s="1">
        <f t="shared" si="2"/>
        <v>-7.6923076923076927E-2</v>
      </c>
      <c r="O6" s="1">
        <f t="shared" si="2"/>
        <v>-5.5555555555555552E-2</v>
      </c>
      <c r="P6" s="1">
        <f t="shared" ref="P6:T6" si="3">IFERROR((COUNTIFS($E8:$E67,"牛市",F8:F67,F6)-COUNTIFS($E8:$E67,"熊市",F8:F67,F6))/COUNTIFS(F8:F67,F6),P7)</f>
        <v>0.56666666666666665</v>
      </c>
      <c r="Q6" s="1">
        <f t="shared" si="3"/>
        <v>0.57692307692307687</v>
      </c>
      <c r="R6" s="1">
        <f t="shared" si="3"/>
        <v>0.95652173913043481</v>
      </c>
      <c r="S6" s="1">
        <f t="shared" si="3"/>
        <v>0.15384615384615385</v>
      </c>
      <c r="T6" s="1">
        <f t="shared" si="3"/>
        <v>0.77777777777777779</v>
      </c>
    </row>
    <row r="7" spans="1:20" x14ac:dyDescent="0.35">
      <c r="A7" s="12">
        <v>46356</v>
      </c>
      <c r="C7" s="87">
        <v>-210.21372317156599</v>
      </c>
      <c r="D7" s="1" t="str">
        <f t="shared" si="0"/>
        <v>震荡</v>
      </c>
      <c r="E7" s="1" t="str">
        <f t="shared" si="1"/>
        <v>牛市</v>
      </c>
      <c r="F7" s="1" t="str">
        <f>VLOOKUP(A7,'货币信用框架5-货币政策目标+信用脉冲'!A:L,12,0)</f>
        <v>宽货币紧信用</v>
      </c>
      <c r="G7" s="1" t="str">
        <f>VLOOKUP(A7,'信贷库存框架1-票据+贷款余额'!A:L,12,0)</f>
        <v>被动去库存</v>
      </c>
      <c r="H7" s="1" t="str">
        <f>IFERROR(VLOOKUP(A7,'财政货币框架1&amp;2底稿'!P:AA,12,0),H8)</f>
        <v>紧货币宽财政</v>
      </c>
      <c r="I7" s="1" t="str">
        <f>IFERROR(VLOOKUP(A7,美林时钟!A:W,23,0),I8)</f>
        <v>衰退</v>
      </c>
      <c r="J7" s="1" t="str">
        <f>VLOOKUP(A7,库存与产能周期2!A:Q,17,0)</f>
        <v>产能周期下行,主动补库存</v>
      </c>
      <c r="K7" s="1">
        <f t="shared" ref="K7:O7" si="4">IFERROR((COUNTIFS($D9:$D68,"牛市",F9:F68,F7)-COUNTIFS($D9:$D68,"熊市",F9:F68,F7))/COUNTIFS(F9:F68,F7),K8)</f>
        <v>-8.3333333333333329E-2</v>
      </c>
      <c r="L7" s="1">
        <f t="shared" si="4"/>
        <v>-0.08</v>
      </c>
      <c r="M7" s="1">
        <f t="shared" si="4"/>
        <v>-4.5454545454545456E-2</v>
      </c>
      <c r="N7" s="1">
        <f t="shared" si="4"/>
        <v>-8.3333333333333329E-2</v>
      </c>
      <c r="O7" s="1">
        <f t="shared" si="4"/>
        <v>-5.7142857142857141E-2</v>
      </c>
      <c r="P7" s="1">
        <f t="shared" ref="P7:T7" si="5">IFERROR((COUNTIFS($E9:$E68,"牛市",F9:F68,F7)-COUNTIFS($E9:$E68,"熊市",F9:F68,F7))/COUNTIFS(F9:F68,F7),P8)</f>
        <v>0.53333333333333333</v>
      </c>
      <c r="Q7" s="1">
        <f t="shared" si="5"/>
        <v>0.56000000000000005</v>
      </c>
      <c r="R7" s="1">
        <f t="shared" si="5"/>
        <v>0.95454545454545459</v>
      </c>
      <c r="S7" s="1">
        <f t="shared" si="5"/>
        <v>8.3333333333333329E-2</v>
      </c>
      <c r="T7" s="1">
        <f t="shared" si="5"/>
        <v>0.77142857142857146</v>
      </c>
    </row>
    <row r="8" spans="1:20" x14ac:dyDescent="0.35">
      <c r="A8" s="12">
        <v>46326</v>
      </c>
      <c r="C8" s="87">
        <v>-201.76480747322901</v>
      </c>
      <c r="D8" s="1" t="str">
        <f t="shared" ref="D8:D28" si="6">IF(B8&gt;=1,"牛市",IF(B8&lt;=-1,"熊市","震荡"))</f>
        <v>震荡</v>
      </c>
      <c r="E8" s="1" t="str">
        <f t="shared" ref="E8:E28" si="7">IF(C8&lt;=-2,"牛市",IF(C8&gt;=2,"熊市","震荡"))</f>
        <v>牛市</v>
      </c>
      <c r="F8" s="1" t="str">
        <f>VLOOKUP(A8,'货币信用框架5-货币政策目标+信用脉冲'!A:L,12,0)</f>
        <v>宽货币紧信用</v>
      </c>
      <c r="G8" s="1" t="str">
        <f>VLOOKUP(A8,'信贷库存框架1-票据+贷款余额'!A:L,12,0)</f>
        <v>被动去库存</v>
      </c>
      <c r="H8" s="1" t="str">
        <f>IFERROR(VLOOKUP(A8,'财政货币框架1&amp;2底稿'!P:AA,12,0),H9)</f>
        <v>紧货币宽财政</v>
      </c>
      <c r="I8" s="1" t="str">
        <f>IFERROR(VLOOKUP(A8,美林时钟!A:W,23,0),I9)</f>
        <v>衰退</v>
      </c>
      <c r="J8" s="1" t="str">
        <f>VLOOKUP(A8,库存与产能周期2!A:Q,17,0)</f>
        <v>产能周期下行,主动补库存</v>
      </c>
      <c r="K8" s="1">
        <f t="shared" ref="K8:O8" si="8">IFERROR((COUNTIFS($D10:$D69,"牛市",F10:F69,F8)-COUNTIFS($D10:$D69,"熊市",F10:F69,F8))/COUNTIFS(F10:F69,F8),K9)</f>
        <v>-0.1</v>
      </c>
      <c r="L8" s="1">
        <f t="shared" si="8"/>
        <v>-8.3333333333333329E-2</v>
      </c>
      <c r="M8" s="1">
        <f t="shared" si="8"/>
        <v>-4.7619047619047616E-2</v>
      </c>
      <c r="N8" s="1">
        <f t="shared" si="8"/>
        <v>-9.0909090909090912E-2</v>
      </c>
      <c r="O8" s="1">
        <f t="shared" si="8"/>
        <v>-5.8823529411764705E-2</v>
      </c>
      <c r="P8" s="1">
        <f t="shared" ref="P8:T8" si="9">IFERROR((COUNTIFS($E10:$E69,"牛市",F10:F69,F8)-COUNTIFS($E10:$E69,"熊市",F10:F69,F8))/COUNTIFS(F10:F69,F8),P9)</f>
        <v>0.51666666666666672</v>
      </c>
      <c r="Q8" s="1">
        <f t="shared" si="9"/>
        <v>0.54166666666666663</v>
      </c>
      <c r="R8" s="1">
        <f t="shared" si="9"/>
        <v>0.95238095238095233</v>
      </c>
      <c r="S8" s="1">
        <f t="shared" si="9"/>
        <v>0</v>
      </c>
      <c r="T8" s="1">
        <f t="shared" si="9"/>
        <v>0.76470588235294112</v>
      </c>
    </row>
    <row r="9" spans="1:20" x14ac:dyDescent="0.35">
      <c r="A9" s="12">
        <v>46295</v>
      </c>
      <c r="C9" s="87">
        <v>-193.31589177489201</v>
      </c>
      <c r="D9" s="1" t="str">
        <f t="shared" si="6"/>
        <v>震荡</v>
      </c>
      <c r="E9" s="1" t="str">
        <f t="shared" si="7"/>
        <v>牛市</v>
      </c>
      <c r="F9" s="1" t="str">
        <f>VLOOKUP(A9,'货币信用框架5-货币政策目标+信用脉冲'!A:L,12,0)</f>
        <v>宽货币紧信用</v>
      </c>
      <c r="G9" s="1" t="str">
        <f>VLOOKUP(A9,'信贷库存框架1-票据+贷款余额'!A:L,12,0)</f>
        <v>被动去库存</v>
      </c>
      <c r="H9" s="1" t="str">
        <f>IFERROR(VLOOKUP(A9,'财政货币框架1&amp;2底稿'!P:AA,12,0),H10)</f>
        <v>紧货币宽财政</v>
      </c>
      <c r="I9" s="1" t="str">
        <f>IFERROR(VLOOKUP(A9,美林时钟!A:W,23,0),I10)</f>
        <v>衰退</v>
      </c>
      <c r="J9" s="1" t="str">
        <f>VLOOKUP(A9,库存与产能周期2!A:Q,17,0)</f>
        <v>产能周期下行,主动补库存</v>
      </c>
      <c r="K9" s="1">
        <f t="shared" ref="K9:O9" si="10">IFERROR((COUNTIFS($D11:$D70,"牛市",F11:F70,F9)-COUNTIFS($D11:$D70,"熊市",F11:F70,F9))/COUNTIFS(F11:F70,F9),K10)</f>
        <v>-8.3333333333333329E-2</v>
      </c>
      <c r="L9" s="1">
        <f t="shared" si="10"/>
        <v>-8.6956521739130432E-2</v>
      </c>
      <c r="M9" s="1">
        <f t="shared" si="10"/>
        <v>-0.05</v>
      </c>
      <c r="N9" s="1">
        <f t="shared" si="10"/>
        <v>-0.1</v>
      </c>
      <c r="O9" s="1">
        <f t="shared" si="10"/>
        <v>-6.0606060606060608E-2</v>
      </c>
      <c r="P9" s="1">
        <f t="shared" ref="P9:T9" si="11">IFERROR((COUNTIFS($E11:$E70,"牛市",F11:F70,F9)-COUNTIFS($E11:$E70,"熊市",F11:F70,F9))/COUNTIFS(F11:F70,F9),P10)</f>
        <v>0.51666666666666672</v>
      </c>
      <c r="Q9" s="1">
        <f t="shared" si="11"/>
        <v>0.52173913043478259</v>
      </c>
      <c r="R9" s="1">
        <f t="shared" si="11"/>
        <v>0.95</v>
      </c>
      <c r="S9" s="1">
        <f t="shared" si="11"/>
        <v>-0.1</v>
      </c>
      <c r="T9" s="1">
        <f t="shared" si="11"/>
        <v>0.75757575757575757</v>
      </c>
    </row>
    <row r="10" spans="1:20" x14ac:dyDescent="0.35">
      <c r="A10" s="12">
        <v>46265</v>
      </c>
      <c r="C10" s="87">
        <v>-184.86697607655501</v>
      </c>
      <c r="D10" s="1" t="str">
        <f t="shared" si="6"/>
        <v>震荡</v>
      </c>
      <c r="E10" s="1" t="str">
        <f t="shared" si="7"/>
        <v>牛市</v>
      </c>
      <c r="F10" s="1" t="str">
        <f>VLOOKUP(A10,'货币信用框架5-货币政策目标+信用脉冲'!A:L,12,0)</f>
        <v>宽货币紧信用</v>
      </c>
      <c r="G10" s="1" t="str">
        <f>VLOOKUP(A10,'信贷库存框架1-票据+贷款余额'!A:L,12,0)</f>
        <v>被动去库存</v>
      </c>
      <c r="H10" s="1" t="str">
        <f>IFERROR(VLOOKUP(A10,'财政货币框架1&amp;2底稿'!P:AA,12,0),H11)</f>
        <v>紧货币宽财政</v>
      </c>
      <c r="I10" s="1" t="str">
        <f>IFERROR(VLOOKUP(A10,美林时钟!A:W,23,0),I11)</f>
        <v>衰退</v>
      </c>
      <c r="J10" s="1" t="str">
        <f>VLOOKUP(A10,库存与产能周期2!A:Q,17,0)</f>
        <v>产能周期下行,主动补库存</v>
      </c>
      <c r="K10" s="1">
        <f t="shared" ref="K10:O10" si="12">IFERROR((COUNTIFS($D12:$D71,"牛市",F12:F71,F10)-COUNTIFS($D12:$D71,"熊市",F12:F71,F10))/COUNTIFS(F12:F71,F10),K11)</f>
        <v>-0.1</v>
      </c>
      <c r="L10" s="1">
        <f t="shared" si="12"/>
        <v>-9.0909090909090912E-2</v>
      </c>
      <c r="M10" s="1">
        <f t="shared" si="12"/>
        <v>-5.2631578947368418E-2</v>
      </c>
      <c r="N10" s="1">
        <f t="shared" si="12"/>
        <v>-0.1111111111111111</v>
      </c>
      <c r="O10" s="1">
        <f t="shared" si="12"/>
        <v>-6.25E-2</v>
      </c>
      <c r="P10" s="1">
        <f t="shared" ref="P10:T10" si="13">IFERROR((COUNTIFS($E12:$E71,"牛市",F12:F71,F10)-COUNTIFS($E12:$E71,"熊市",F12:F71,F10))/COUNTIFS(F12:F71,F10),P11)</f>
        <v>0.51666666666666672</v>
      </c>
      <c r="Q10" s="1">
        <f t="shared" si="13"/>
        <v>0.5</v>
      </c>
      <c r="R10" s="1">
        <f t="shared" si="13"/>
        <v>0.94736842105263153</v>
      </c>
      <c r="S10" s="1">
        <f t="shared" si="13"/>
        <v>-0.22222222222222221</v>
      </c>
      <c r="T10" s="1">
        <f t="shared" si="13"/>
        <v>0.75</v>
      </c>
    </row>
    <row r="11" spans="1:20" x14ac:dyDescent="0.35">
      <c r="A11" s="12">
        <v>46234</v>
      </c>
      <c r="C11" s="87">
        <v>-176.418060378219</v>
      </c>
      <c r="D11" s="1" t="str">
        <f t="shared" si="6"/>
        <v>震荡</v>
      </c>
      <c r="E11" s="1" t="str">
        <f t="shared" si="7"/>
        <v>牛市</v>
      </c>
      <c r="F11" s="1" t="str">
        <f>VLOOKUP(A11,'货币信用框架5-货币政策目标+信用脉冲'!A:L,12,0)</f>
        <v>宽货币紧信用</v>
      </c>
      <c r="G11" s="1" t="str">
        <f>VLOOKUP(A11,'信贷库存框架1-票据+贷款余额'!A:L,12,0)</f>
        <v>被动去库存</v>
      </c>
      <c r="H11" s="1" t="str">
        <f>IFERROR(VLOOKUP(A11,'财政货币框架1&amp;2底稿'!P:AA,12,0),H12)</f>
        <v>紧货币宽财政</v>
      </c>
      <c r="I11" s="1" t="str">
        <f>IFERROR(VLOOKUP(A11,美林时钟!A:W,23,0),I12)</f>
        <v>衰退</v>
      </c>
      <c r="J11" s="1" t="str">
        <f>VLOOKUP(A11,库存与产能周期2!A:Q,17,0)</f>
        <v>产能周期下行,主动补库存</v>
      </c>
      <c r="K11" s="1">
        <f t="shared" ref="K11:O11" si="14">IFERROR((COUNTIFS($D13:$D72,"牛市",F13:F72,F11)-COUNTIFS($D13:$D72,"熊市",F13:F72,F11))/COUNTIFS(F13:F72,F11),K12)</f>
        <v>-8.3333333333333329E-2</v>
      </c>
      <c r="L11" s="1">
        <f t="shared" si="14"/>
        <v>-9.5238095238095233E-2</v>
      </c>
      <c r="M11" s="1">
        <f t="shared" si="14"/>
        <v>-5.5555555555555552E-2</v>
      </c>
      <c r="N11" s="1">
        <f t="shared" si="14"/>
        <v>-0.125</v>
      </c>
      <c r="O11" s="1">
        <f t="shared" si="14"/>
        <v>-6.4516129032258063E-2</v>
      </c>
      <c r="P11" s="1">
        <f t="shared" ref="P11:T11" si="15">IFERROR((COUNTIFS($E13:$E72,"牛市",F13:F72,F11)-COUNTIFS($E13:$E72,"熊市",F13:F72,F11))/COUNTIFS(F13:F72,F11),P12)</f>
        <v>0.51666666666666672</v>
      </c>
      <c r="Q11" s="1">
        <f t="shared" si="15"/>
        <v>0.47619047619047616</v>
      </c>
      <c r="R11" s="1">
        <f t="shared" si="15"/>
        <v>0.94444444444444442</v>
      </c>
      <c r="S11" s="1">
        <f t="shared" si="15"/>
        <v>-0.375</v>
      </c>
      <c r="T11" s="1">
        <f t="shared" si="15"/>
        <v>0.74193548387096775</v>
      </c>
    </row>
    <row r="12" spans="1:20" x14ac:dyDescent="0.35">
      <c r="A12" s="12">
        <v>46203</v>
      </c>
      <c r="C12" s="87">
        <v>-167.96914467988199</v>
      </c>
      <c r="D12" s="1" t="str">
        <f t="shared" si="6"/>
        <v>震荡</v>
      </c>
      <c r="E12" s="1" t="str">
        <f t="shared" si="7"/>
        <v>牛市</v>
      </c>
      <c r="F12" s="1" t="str">
        <f>VLOOKUP(A12,'货币信用框架5-货币政策目标+信用脉冲'!A:L,12,0)</f>
        <v>宽货币紧信用</v>
      </c>
      <c r="G12" s="1" t="str">
        <f>VLOOKUP(A12,'信贷库存框架1-票据+贷款余额'!A:L,12,0)</f>
        <v>被动去库存</v>
      </c>
      <c r="H12" s="1" t="str">
        <f>IFERROR(VLOOKUP(A12,'财政货币框架1&amp;2底稿'!P:AA,12,0),H13)</f>
        <v>紧货币宽财政</v>
      </c>
      <c r="I12" s="1" t="str">
        <f>IFERROR(VLOOKUP(A12,美林时钟!A:W,23,0),I13)</f>
        <v>衰退</v>
      </c>
      <c r="J12" s="1" t="str">
        <f>VLOOKUP(A12,库存与产能周期2!A:Q,17,0)</f>
        <v>产能周期下行,主动补库存</v>
      </c>
      <c r="K12" s="1">
        <f t="shared" ref="K12:O12" si="16">IFERROR((COUNTIFS($D14:$D73,"牛市",F14:F73,F12)-COUNTIFS($D14:$D73,"熊市",F14:F73,F12))/COUNTIFS(F14:F73,F12),K13)</f>
        <v>-6.6666666666666666E-2</v>
      </c>
      <c r="L12" s="1">
        <f t="shared" si="16"/>
        <v>-0.1</v>
      </c>
      <c r="M12" s="1">
        <f t="shared" si="16"/>
        <v>-5.8823529411764705E-2</v>
      </c>
      <c r="N12" s="1">
        <f t="shared" si="16"/>
        <v>-0.14285714285714285</v>
      </c>
      <c r="O12" s="1">
        <f t="shared" si="16"/>
        <v>-6.6666666666666666E-2</v>
      </c>
      <c r="P12" s="1">
        <f t="shared" ref="P12:T12" si="17">IFERROR((COUNTIFS($E14:$E73,"牛市",F14:F73,F12)-COUNTIFS($E14:$E73,"熊市",F14:F73,F12))/COUNTIFS(F14:F73,F12),P13)</f>
        <v>0.51666666666666672</v>
      </c>
      <c r="Q12" s="1">
        <f t="shared" si="17"/>
        <v>0.45</v>
      </c>
      <c r="R12" s="1">
        <f t="shared" si="17"/>
        <v>0.94117647058823528</v>
      </c>
      <c r="S12" s="1">
        <f t="shared" si="17"/>
        <v>-0.5714285714285714</v>
      </c>
      <c r="T12" s="1">
        <f t="shared" si="17"/>
        <v>0.73333333333333328</v>
      </c>
    </row>
    <row r="13" spans="1:20" x14ac:dyDescent="0.35">
      <c r="A13" s="12">
        <v>46173</v>
      </c>
      <c r="C13" s="87">
        <v>-159.52022898154499</v>
      </c>
      <c r="D13" s="1" t="str">
        <f t="shared" si="6"/>
        <v>震荡</v>
      </c>
      <c r="E13" s="1" t="str">
        <f t="shared" si="7"/>
        <v>牛市</v>
      </c>
      <c r="F13" s="1" t="str">
        <f>VLOOKUP(A13,'货币信用框架5-货币政策目标+信用脉冲'!A:L,12,0)</f>
        <v>宽货币紧信用</v>
      </c>
      <c r="G13" s="1" t="str">
        <f>VLOOKUP(A13,'信贷库存框架1-票据+贷款余额'!A:L,12,0)</f>
        <v>被动去库存</v>
      </c>
      <c r="H13" s="1" t="str">
        <f>IFERROR(VLOOKUP(A13,'财政货币框架1&amp;2底稿'!P:AA,12,0),H14)</f>
        <v>紧货币宽财政</v>
      </c>
      <c r="I13" s="1" t="str">
        <f>IFERROR(VLOOKUP(A13,美林时钟!A:W,23,0),I14)</f>
        <v>衰退</v>
      </c>
      <c r="J13" s="1" t="str">
        <f>VLOOKUP(A13,库存与产能周期2!A:Q,17,0)</f>
        <v>产能周期下行,主动补库存</v>
      </c>
      <c r="K13" s="1">
        <f t="shared" ref="K13:O13" si="18">IFERROR((COUNTIFS($D15:$D74,"牛市",F15:F74,F13)-COUNTIFS($D15:$D74,"熊市",F15:F74,F13))/COUNTIFS(F15:F74,F13),K14)</f>
        <v>-0.05</v>
      </c>
      <c r="L13" s="1">
        <f t="shared" si="18"/>
        <v>-0.10526315789473684</v>
      </c>
      <c r="M13" s="1">
        <f t="shared" si="18"/>
        <v>-6.25E-2</v>
      </c>
      <c r="N13" s="1">
        <f t="shared" si="18"/>
        <v>-0.14285714285714285</v>
      </c>
      <c r="O13" s="1">
        <f t="shared" si="18"/>
        <v>-6.8965517241379309E-2</v>
      </c>
      <c r="P13" s="1">
        <f t="shared" ref="P13:T13" si="19">IFERROR((COUNTIFS($E15:$E74,"牛市",F15:F74,F13)-COUNTIFS($E15:$E74,"熊市",F15:F74,F13))/COUNTIFS(F15:F74,F13),P14)</f>
        <v>0.51666666666666672</v>
      </c>
      <c r="Q13" s="1">
        <f t="shared" si="19"/>
        <v>0.42105263157894735</v>
      </c>
      <c r="R13" s="1">
        <f t="shared" si="19"/>
        <v>0.9375</v>
      </c>
      <c r="S13" s="1">
        <f t="shared" si="19"/>
        <v>-0.5714285714285714</v>
      </c>
      <c r="T13" s="1">
        <f t="shared" si="19"/>
        <v>0.72413793103448276</v>
      </c>
    </row>
    <row r="14" spans="1:20" x14ac:dyDescent="0.35">
      <c r="A14" s="12">
        <v>46142</v>
      </c>
      <c r="C14" s="87">
        <v>-151.07131328320801</v>
      </c>
      <c r="D14" s="1" t="str">
        <f t="shared" si="6"/>
        <v>震荡</v>
      </c>
      <c r="E14" s="1" t="str">
        <f t="shared" si="7"/>
        <v>牛市</v>
      </c>
      <c r="F14" s="1" t="str">
        <f>VLOOKUP(A14,'货币信用框架5-货币政策目标+信用脉冲'!A:L,12,0)</f>
        <v>宽货币紧信用</v>
      </c>
      <c r="G14" s="1" t="str">
        <f>VLOOKUP(A14,'信贷库存框架1-票据+贷款余额'!A:L,12,0)</f>
        <v>被动去库存</v>
      </c>
      <c r="H14" s="1" t="str">
        <f>IFERROR(VLOOKUP(A14,'财政货币框架1&amp;2底稿'!P:AA,12,0),H15)</f>
        <v>紧货币宽财政</v>
      </c>
      <c r="I14" s="1" t="str">
        <f>IFERROR(VLOOKUP(A14,美林时钟!A:W,23,0),I15)</f>
        <v>过热</v>
      </c>
      <c r="J14" s="1" t="str">
        <f>VLOOKUP(A14,库存与产能周期2!A:Q,17,0)</f>
        <v>产能周期下行,主动补库存</v>
      </c>
      <c r="K14" s="1">
        <f t="shared" ref="K14:O14" si="20">IFERROR((COUNTIFS($D16:$D75,"牛市",F16:F75,F14)-COUNTIFS($D16:$D75,"熊市",F16:F75,F14))/COUNTIFS(F16:F75,F14),K15)</f>
        <v>-6.6666666666666666E-2</v>
      </c>
      <c r="L14" s="1">
        <f t="shared" si="20"/>
        <v>-0.1111111111111111</v>
      </c>
      <c r="M14" s="1">
        <f t="shared" si="20"/>
        <v>-6.6666666666666666E-2</v>
      </c>
      <c r="N14" s="1">
        <f t="shared" si="20"/>
        <v>-0.13333333333333333</v>
      </c>
      <c r="O14" s="1">
        <f t="shared" si="20"/>
        <v>-7.1428571428571425E-2</v>
      </c>
      <c r="P14" s="1">
        <f t="shared" ref="P14:T14" si="21">IFERROR((COUNTIFS($E16:$E75,"牛市",F16:F75,F14)-COUNTIFS($E16:$E75,"熊市",F16:F75,F14))/COUNTIFS(F16:F75,F14),P15)</f>
        <v>0.5</v>
      </c>
      <c r="Q14" s="1">
        <f t="shared" si="21"/>
        <v>0.3888888888888889</v>
      </c>
      <c r="R14" s="1">
        <f t="shared" si="21"/>
        <v>0.93333333333333335</v>
      </c>
      <c r="S14" s="1">
        <f t="shared" si="21"/>
        <v>0.46666666666666667</v>
      </c>
      <c r="T14" s="1">
        <f t="shared" si="21"/>
        <v>0.7142857142857143</v>
      </c>
    </row>
    <row r="15" spans="1:20" x14ac:dyDescent="0.35">
      <c r="A15" s="12">
        <v>46112</v>
      </c>
      <c r="C15" s="87">
        <v>-142.622397584872</v>
      </c>
      <c r="D15" s="1" t="str">
        <f t="shared" si="6"/>
        <v>震荡</v>
      </c>
      <c r="E15" s="1" t="str">
        <f t="shared" si="7"/>
        <v>牛市</v>
      </c>
      <c r="F15" s="1" t="str">
        <f>VLOOKUP(A15,'货币信用框架5-货币政策目标+信用脉冲'!A:L,12,0)</f>
        <v>宽货币紧信用</v>
      </c>
      <c r="G15" s="1" t="str">
        <f>VLOOKUP(A15,'信贷库存框架1-票据+贷款余额'!A:L,12,0)</f>
        <v>被动去库存</v>
      </c>
      <c r="H15" s="1" t="str">
        <f>IFERROR(VLOOKUP(A15,'财政货币框架1&amp;2底稿'!P:AA,12,0),H16)</f>
        <v>紧货币宽财政</v>
      </c>
      <c r="I15" s="1" t="str">
        <f>IFERROR(VLOOKUP(A15,美林时钟!A:W,23,0),I16)</f>
        <v>滞涨</v>
      </c>
      <c r="J15" s="1" t="str">
        <f>VLOOKUP(A15,库存与产能周期2!A:Q,17,0)</f>
        <v>产能周期下行,主动补库存</v>
      </c>
      <c r="K15" s="1">
        <f t="shared" ref="K15:O15" si="22">IFERROR((COUNTIFS($D17:$D76,"牛市",F17:F76,F15)-COUNTIFS($D17:$D76,"熊市",F17:F76,F15))/COUNTIFS(F17:F76,F15),K16)</f>
        <v>-6.6666666666666666E-2</v>
      </c>
      <c r="L15" s="1">
        <f t="shared" si="22"/>
        <v>-0.1111111111111111</v>
      </c>
      <c r="M15" s="1">
        <f t="shared" si="22"/>
        <v>-7.1428571428571425E-2</v>
      </c>
      <c r="N15" s="1">
        <f t="shared" si="22"/>
        <v>0</v>
      </c>
      <c r="O15" s="1">
        <f t="shared" si="22"/>
        <v>-7.1428571428571425E-2</v>
      </c>
      <c r="P15" s="1">
        <f t="shared" ref="P15:T15" si="23">IFERROR((COUNTIFS($E17:$E76,"牛市",F17:F76,F15)-COUNTIFS($E17:$E76,"熊市",F17:F76,F15))/COUNTIFS(F17:F76,F15),P16)</f>
        <v>0.46666666666666667</v>
      </c>
      <c r="Q15" s="1">
        <f t="shared" si="23"/>
        <v>0.3888888888888889</v>
      </c>
      <c r="R15" s="1">
        <f t="shared" si="23"/>
        <v>0.9285714285714286</v>
      </c>
      <c r="S15" s="1">
        <f t="shared" si="23"/>
        <v>0.79166666666666663</v>
      </c>
      <c r="T15" s="1">
        <f t="shared" si="23"/>
        <v>0.7142857142857143</v>
      </c>
    </row>
    <row r="16" spans="1:20" x14ac:dyDescent="0.35">
      <c r="A16" s="12">
        <v>46081</v>
      </c>
      <c r="C16" s="87">
        <v>-134.173481886535</v>
      </c>
      <c r="D16" s="1" t="str">
        <f t="shared" si="6"/>
        <v>震荡</v>
      </c>
      <c r="E16" s="1" t="str">
        <f t="shared" si="7"/>
        <v>牛市</v>
      </c>
      <c r="F16" s="1" t="str">
        <f>VLOOKUP(A16,'货币信用框架5-货币政策目标+信用脉冲'!A:L,12,0)</f>
        <v>宽货币紧信用</v>
      </c>
      <c r="G16" s="1" t="str">
        <f>VLOOKUP(A16,'信贷库存框架1-票据+贷款余额'!A:L,12,0)</f>
        <v>主动补库存</v>
      </c>
      <c r="H16" s="1" t="str">
        <f>IFERROR(VLOOKUP(A16,'财政货币框架1&amp;2底稿'!P:AA,12,0),H17)</f>
        <v>紧货币宽财政</v>
      </c>
      <c r="I16" s="1" t="str">
        <f>IFERROR(VLOOKUP(A16,美林时钟!A:W,23,0),I17)</f>
        <v>滞涨</v>
      </c>
      <c r="J16" s="1" t="str">
        <f>VLOOKUP(A16,库存与产能周期2!A:Q,17,0)</f>
        <v>产能周期下行,被动去库存</v>
      </c>
      <c r="K16" s="1">
        <f t="shared" ref="K16:O16" si="24">IFERROR((COUNTIFS($D18:$D77,"牛市",F18:F77,F16)-COUNTIFS($D18:$D77,"熊市",F18:F77,F16))/COUNTIFS(F18:F77,F16),K17)</f>
        <v>-6.6666666666666666E-2</v>
      </c>
      <c r="L16" s="1">
        <f t="shared" si="24"/>
        <v>-0.5</v>
      </c>
      <c r="M16" s="1">
        <f t="shared" si="24"/>
        <v>-7.1428571428571425E-2</v>
      </c>
      <c r="N16" s="1">
        <f t="shared" si="24"/>
        <v>0</v>
      </c>
      <c r="O16" s="1">
        <f t="shared" si="24"/>
        <v>-0.22222222222222221</v>
      </c>
      <c r="P16" s="1">
        <f t="shared" ref="P16:T16" si="25">IFERROR((COUNTIFS($E18:$E77,"牛市",F18:F77,F16)-COUNTIFS($E18:$E77,"熊市",F18:F77,F16))/COUNTIFS(F18:F77,F16),P17)</f>
        <v>0.46666666666666667</v>
      </c>
      <c r="Q16" s="1">
        <f t="shared" si="25"/>
        <v>1</v>
      </c>
      <c r="R16" s="1">
        <f t="shared" si="25"/>
        <v>0.9285714285714286</v>
      </c>
      <c r="S16" s="1">
        <f t="shared" si="25"/>
        <v>0.78260869565217395</v>
      </c>
      <c r="T16" s="1">
        <f t="shared" si="25"/>
        <v>0.44444444444444442</v>
      </c>
    </row>
    <row r="17" spans="1:20" x14ac:dyDescent="0.35">
      <c r="A17" s="12">
        <v>46053</v>
      </c>
      <c r="C17" s="87">
        <v>-125.724566188198</v>
      </c>
      <c r="D17" s="1" t="str">
        <f t="shared" si="6"/>
        <v>震荡</v>
      </c>
      <c r="E17" s="1" t="str">
        <f t="shared" si="7"/>
        <v>牛市</v>
      </c>
      <c r="F17" s="1" t="str">
        <f>VLOOKUP(A17,'货币信用框架5-货币政策目标+信用脉冲'!A:L,12,0)</f>
        <v>宽货币紧信用</v>
      </c>
      <c r="G17" s="1" t="str">
        <f>VLOOKUP(A17,'信贷库存框架1-票据+贷款余额'!A:L,12,0)</f>
        <v>主动补库存</v>
      </c>
      <c r="H17" s="1" t="str">
        <f>IFERROR(VLOOKUP(A17,'财政货币框架1&amp;2底稿'!P:AA,12,0),H18)</f>
        <v>双紧</v>
      </c>
      <c r="I17" s="1" t="str">
        <f>IFERROR(VLOOKUP(A17,美林时钟!A:W,23,0),I18)</f>
        <v>滞涨</v>
      </c>
      <c r="J17" s="1" t="str">
        <f>VLOOKUP(A17,库存与产能周期2!A:Q,17,0)</f>
        <v>产能周期下行,被动去库存</v>
      </c>
      <c r="K17" s="1">
        <f t="shared" ref="K17:O17" si="26">IFERROR((COUNTIFS($D19:$D78,"牛市",F19:F78,F17)-COUNTIFS($D19:$D78,"熊市",F19:F78,F17))/COUNTIFS(F19:F78,F17),K18)</f>
        <v>-0.05</v>
      </c>
      <c r="L17" s="1">
        <f t="shared" si="26"/>
        <v>-0.5</v>
      </c>
      <c r="M17" s="1">
        <f t="shared" si="26"/>
        <v>-0.25</v>
      </c>
      <c r="N17" s="1">
        <f t="shared" si="26"/>
        <v>0</v>
      </c>
      <c r="O17" s="1">
        <f t="shared" si="26"/>
        <v>-0.22222222222222221</v>
      </c>
      <c r="P17" s="1">
        <f t="shared" ref="P17:T17" si="27">IFERROR((COUNTIFS($E19:$E78,"牛市",F19:F78,F17)-COUNTIFS($E19:$E78,"熊市",F19:F78,F17))/COUNTIFS(F19:F78,F17),P18)</f>
        <v>0.45</v>
      </c>
      <c r="Q17" s="1">
        <f t="shared" si="27"/>
        <v>1</v>
      </c>
      <c r="R17" s="1">
        <f t="shared" si="27"/>
        <v>8.3333333333333329E-2</v>
      </c>
      <c r="S17" s="1">
        <f t="shared" si="27"/>
        <v>0.77272727272727271</v>
      </c>
      <c r="T17" s="1">
        <f t="shared" si="27"/>
        <v>0.44444444444444442</v>
      </c>
    </row>
    <row r="18" spans="1:20" x14ac:dyDescent="0.35">
      <c r="A18" s="12">
        <v>46022</v>
      </c>
      <c r="C18" s="87">
        <v>-117.27565048986099</v>
      </c>
      <c r="D18" s="1" t="str">
        <f t="shared" si="6"/>
        <v>震荡</v>
      </c>
      <c r="E18" s="1" t="str">
        <f t="shared" si="7"/>
        <v>牛市</v>
      </c>
      <c r="F18" s="1" t="str">
        <f>VLOOKUP(A18,'货币信用框架5-货币政策目标+信用脉冲'!A:L,12,0)</f>
        <v>宽货币紧信用</v>
      </c>
      <c r="G18" s="1" t="str">
        <f>VLOOKUP(A18,'信贷库存框架1-票据+贷款余额'!A:L,12,0)</f>
        <v>被动补库存</v>
      </c>
      <c r="H18" s="1" t="str">
        <f>IFERROR(VLOOKUP(A18,'财政货币框架1&amp;2底稿'!P:AA,12,0),H19)</f>
        <v>紧货币宽财政</v>
      </c>
      <c r="I18" s="1" t="str">
        <f>IFERROR(VLOOKUP(A18,美林时钟!A:W,23,0),I19)</f>
        <v>滞涨</v>
      </c>
      <c r="J18" s="1" t="str">
        <f>VLOOKUP(A18,库存与产能周期2!A:Q,17,0)</f>
        <v>产能周期下行,主动补库存</v>
      </c>
      <c r="K18" s="1">
        <f t="shared" ref="K18:O18" si="28">IFERROR((COUNTIFS($D20:$D79,"牛市",F20:F79,F18)-COUNTIFS($D20:$D79,"熊市",F20:F79,F18))/COUNTIFS(F20:F79,F18),K19)</f>
        <v>-5.0847457627118647E-2</v>
      </c>
      <c r="L18" s="1">
        <f t="shared" si="28"/>
        <v>0</v>
      </c>
      <c r="M18" s="1">
        <f t="shared" si="28"/>
        <v>-8.3333333333333329E-2</v>
      </c>
      <c r="N18" s="1">
        <f t="shared" si="28"/>
        <v>0</v>
      </c>
      <c r="O18" s="1">
        <f t="shared" si="28"/>
        <v>-7.6923076923076927E-2</v>
      </c>
      <c r="P18" s="1">
        <f t="shared" ref="P18:T18" si="29">IFERROR((COUNTIFS($E20:$E79,"牛市",F20:F79,F18)-COUNTIFS($E20:$E79,"熊市",F20:F79,F18))/COUNTIFS(F20:F79,F18),P19)</f>
        <v>0.44067796610169491</v>
      </c>
      <c r="Q18" s="1">
        <f t="shared" si="29"/>
        <v>0.37931034482758619</v>
      </c>
      <c r="R18" s="1">
        <f t="shared" si="29"/>
        <v>0.91666666666666663</v>
      </c>
      <c r="S18" s="1">
        <f t="shared" si="29"/>
        <v>0.76190476190476186</v>
      </c>
      <c r="T18" s="1">
        <f t="shared" si="29"/>
        <v>0.69230769230769229</v>
      </c>
    </row>
    <row r="19" spans="1:20" x14ac:dyDescent="0.35">
      <c r="A19" s="12">
        <v>45991</v>
      </c>
      <c r="C19" s="87">
        <v>-108.826734791524</v>
      </c>
      <c r="D19" s="1" t="str">
        <f t="shared" si="6"/>
        <v>震荡</v>
      </c>
      <c r="E19" s="1" t="str">
        <f t="shared" si="7"/>
        <v>牛市</v>
      </c>
      <c r="F19" s="1" t="str">
        <f>VLOOKUP(A19,'货币信用框架5-货币政策目标+信用脉冲'!A:L,12,0)</f>
        <v>宽货币紧信用</v>
      </c>
      <c r="G19" s="1" t="str">
        <f>VLOOKUP(A19,'信贷库存框架1-票据+贷款余额'!A:L,12,0)</f>
        <v>被动补库存</v>
      </c>
      <c r="H19" s="1" t="str">
        <f>IFERROR(VLOOKUP(A19,'财政货币框架1&amp;2底稿'!P:AA,12,0),H20)</f>
        <v>紧货币宽财政</v>
      </c>
      <c r="I19" s="1" t="str">
        <f>IFERROR(VLOOKUP(A19,美林时钟!A:W,23,0),I20)</f>
        <v>滞涨</v>
      </c>
      <c r="J19" s="1" t="str">
        <f>VLOOKUP(A19,库存与产能周期2!A:Q,17,0)</f>
        <v>产能周期下行,主动补库存</v>
      </c>
      <c r="K19" s="1">
        <f>IFERROR((COUNTIFS($D21:$D80,"牛市",F21:F80,F19)-COUNTIFS($D21:$D80,"熊市",F21:F80,F19))/COUNTIFS(F21:F80,F19),K20)</f>
        <v>-5.1724137931034482E-2</v>
      </c>
      <c r="L19" s="1">
        <f>IFERROR((COUNTIFS($D21:$D80,"牛市",G21:G80,G19)-COUNTIFS($D21:$D80,"熊市",G21:G80,G19))/COUNTIFS(G21:G80,G19),L20)</f>
        <v>0</v>
      </c>
      <c r="M19" s="1">
        <f>IFERROR((COUNTIFS($D21:$D80,"牛市",H21:H80,H19)-COUNTIFS($D21:$D80,"熊市",H21:H80,H19))/COUNTIFS(H21:H80,H19),M20)</f>
        <v>-9.0909090909090912E-2</v>
      </c>
      <c r="N19" s="1">
        <f>IFERROR((COUNTIFS($D21:$D80,"牛市",I21:I80,I19)-COUNTIFS($D21:$D80,"熊市",I21:I80,I19))/COUNTIFS(I21:I80,I19),N20)</f>
        <v>0</v>
      </c>
      <c r="O19" s="1">
        <f>IFERROR((COUNTIFS($D21:$D80,"牛市",J21:J80,J19)-COUNTIFS($D21:$D80,"熊市",J21:J80,J19))/COUNTIFS(J21:J80,J19),O20)</f>
        <v>-0.08</v>
      </c>
      <c r="P19" s="1">
        <f>IFERROR((COUNTIFS($E21:$E80,"牛市",F21:F80,F19)-COUNTIFS($E21:$E80,"熊市",F21:F80,F19))/COUNTIFS(F21:F80,F19),P20)</f>
        <v>0.43103448275862066</v>
      </c>
      <c r="Q19" s="1">
        <f>IFERROR((COUNTIFS($E21:$E80,"牛市",G21:G80,G19)-COUNTIFS($E21:$E80,"熊市",G21:G80,G19))/COUNTIFS(G21:G80,G19),Q20)</f>
        <v>0.37931034482758619</v>
      </c>
      <c r="R19" s="1">
        <f>IFERROR((COUNTIFS($E21:$E80,"牛市",H21:H80,H19)-COUNTIFS($E21:$E80,"熊市",H21:H80,H19))/COUNTIFS(H21:H80,H19),R20)</f>
        <v>0.90909090909090906</v>
      </c>
      <c r="S19" s="1">
        <f>IFERROR((COUNTIFS($E21:$E80,"牛市",I21:I80,I19)-COUNTIFS($E21:$E80,"熊市",I21:I80,I19))/COUNTIFS(I21:I80,I19),S20)</f>
        <v>0.75</v>
      </c>
      <c r="T19" s="1">
        <f>IFERROR((COUNTIFS($E21:$E80,"牛市",J21:J80,J19)-COUNTIFS($E21:$E80,"熊市",J21:J80,J19))/COUNTIFS(J21:J80,J19),T20)</f>
        <v>0.68</v>
      </c>
    </row>
    <row r="20" spans="1:20" x14ac:dyDescent="0.35">
      <c r="A20" s="12">
        <v>45961</v>
      </c>
      <c r="C20" s="87">
        <v>-100.37781909318799</v>
      </c>
      <c r="D20" s="1" t="str">
        <f t="shared" si="6"/>
        <v>震荡</v>
      </c>
      <c r="E20" s="1" t="str">
        <f t="shared" si="7"/>
        <v>牛市</v>
      </c>
      <c r="F20" s="1" t="str">
        <f>VLOOKUP(A20,'货币信用框架5-货币政策目标+信用脉冲'!A:L,12,0)</f>
        <v>宽货币紧信用</v>
      </c>
      <c r="G20" s="1" t="str">
        <f>VLOOKUP(A20,'信贷库存框架1-票据+贷款余额'!A:L,12,0)</f>
        <v>被动去库存</v>
      </c>
      <c r="H20" s="1" t="str">
        <f>IFERROR(VLOOKUP(A20,'财政货币框架1&amp;2底稿'!P:AA,12,0),H21)</f>
        <v>紧货币宽财政</v>
      </c>
      <c r="I20" s="1" t="str">
        <f>IFERROR(VLOOKUP(A20,美林时钟!A:W,23,0),I21)</f>
        <v>滞涨</v>
      </c>
      <c r="J20" s="1" t="str">
        <f>VLOOKUP(A20,库存与产能周期2!A:Q,17,0)</f>
        <v>产能周期下行,主动补库存</v>
      </c>
      <c r="K20" s="1">
        <f>IFERROR((COUNTIFS($D22:$D81,"牛市",F22:F81,F20)-COUNTIFS($D22:$D81,"熊市",F22:F81,F20))/COUNTIFS(F22:F81,F20),K21)</f>
        <v>-5.2631578947368418E-2</v>
      </c>
      <c r="L20" s="1">
        <f>IFERROR((COUNTIFS($D22:$D81,"牛市",G22:G81,G20)-COUNTIFS($D22:$D81,"熊市",G22:G81,G20))/COUNTIFS(G22:G81,G20),L21)</f>
        <v>-0.125</v>
      </c>
      <c r="M20" s="1">
        <f>IFERROR((COUNTIFS($D22:$D81,"牛市",H22:H81,H20)-COUNTIFS($D22:$D81,"熊市",H22:H81,H20))/COUNTIFS(H22:H81,H20),M21)</f>
        <v>-0.1</v>
      </c>
      <c r="N20" s="1">
        <f>IFERROR((COUNTIFS($D22:$D81,"牛市",I22:I81,I20)-COUNTIFS($D22:$D81,"熊市",I22:I81,I20))/COUNTIFS(I22:I81,I20),N21)</f>
        <v>0</v>
      </c>
      <c r="O20" s="1">
        <f>IFERROR((COUNTIFS($D22:$D81,"牛市",J22:J81,J20)-COUNTIFS($D22:$D81,"熊市",J22:J81,J20))/COUNTIFS(J22:J81,J20),O21)</f>
        <v>-8.3333333333333329E-2</v>
      </c>
      <c r="P20" s="1">
        <f>IFERROR((COUNTIFS($E22:$E81,"牛市",F22:F81,F20)-COUNTIFS($E22:$E81,"熊市",F22:F81,F20))/COUNTIFS(F22:F81,F20),P21)</f>
        <v>0.42105263157894735</v>
      </c>
      <c r="Q20" s="1">
        <f>IFERROR((COUNTIFS($E22:$E81,"牛市",G22:G81,G20)-COUNTIFS($E22:$E81,"熊市",G22:G81,G20))/COUNTIFS(G22:G81,G20),Q21)</f>
        <v>0.3125</v>
      </c>
      <c r="R20" s="1">
        <f>IFERROR((COUNTIFS($E22:$E81,"牛市",H22:H81,H20)-COUNTIFS($E22:$E81,"熊市",H22:H81,H20))/COUNTIFS(H22:H81,H20),R21)</f>
        <v>0.9</v>
      </c>
      <c r="S20" s="1">
        <f>IFERROR((COUNTIFS($E22:$E81,"牛市",I22:I81,I20)-COUNTIFS($E22:$E81,"熊市",I22:I81,I20))/COUNTIFS(I22:I81,I20),S21)</f>
        <v>0.73684210526315785</v>
      </c>
      <c r="T20" s="1">
        <f>IFERROR((COUNTIFS($E22:$E81,"牛市",J22:J81,J20)-COUNTIFS($E22:$E81,"熊市",J22:J81,J20))/COUNTIFS(J22:J81,J20),T21)</f>
        <v>0.66666666666666663</v>
      </c>
    </row>
    <row r="21" spans="1:20" x14ac:dyDescent="0.35">
      <c r="A21" s="12">
        <v>45930</v>
      </c>
      <c r="C21" s="87">
        <v>-91.928903394850707</v>
      </c>
      <c r="D21" s="1" t="str">
        <f t="shared" si="6"/>
        <v>震荡</v>
      </c>
      <c r="E21" s="1" t="str">
        <f t="shared" si="7"/>
        <v>牛市</v>
      </c>
      <c r="F21" s="1" t="str">
        <f>VLOOKUP(A21,'货币信用框架5-货币政策目标+信用脉冲'!A:L,12,0)</f>
        <v>宽货币紧信用</v>
      </c>
      <c r="G21" s="1" t="str">
        <f>VLOOKUP(A21,'信贷库存框架1-票据+贷款余额'!A:L,12,0)</f>
        <v>被动去库存</v>
      </c>
      <c r="H21" s="1" t="str">
        <f>IFERROR(VLOOKUP(A21,'财政货币框架1&amp;2底稿'!P:AA,12,0),H22)</f>
        <v>紧货币宽财政</v>
      </c>
      <c r="I21" s="1" t="str">
        <f>IFERROR(VLOOKUP(A21,美林时钟!A:W,23,0),I22)</f>
        <v>滞涨</v>
      </c>
      <c r="J21" s="1" t="str">
        <f>VLOOKUP(A21,库存与产能周期2!A:Q,17,0)</f>
        <v>产能周期下行,主动补库存</v>
      </c>
      <c r="K21" s="1">
        <f>IFERROR((COUNTIFS($D23:$D82,"牛市",F23:F82,F21)-COUNTIFS($D23:$D82,"熊市",F23:F82,F21))/COUNTIFS(F23:F82,F21),K22)</f>
        <v>-5.3571428571428568E-2</v>
      </c>
      <c r="L21" s="1">
        <f>IFERROR((COUNTIFS($D23:$D82,"牛市",G23:G82,G21)-COUNTIFS($D23:$D82,"熊市",G23:G82,G21))/COUNTIFS(G23:G82,G21),L22)</f>
        <v>-0.13333333333333333</v>
      </c>
      <c r="M21" s="1">
        <f>IFERROR((COUNTIFS($D23:$D82,"牛市",H23:H82,H21)-COUNTIFS($D23:$D82,"熊市",H23:H82,H21))/COUNTIFS(H23:H82,H21),M22)</f>
        <v>-0.1111111111111111</v>
      </c>
      <c r="N21" s="1">
        <f>IFERROR((COUNTIFS($D23:$D82,"牛市",I23:I82,I21)-COUNTIFS($D23:$D82,"熊市",I23:I82,I21))/COUNTIFS(I23:I82,I21),N22)</f>
        <v>0</v>
      </c>
      <c r="O21" s="1">
        <f>IFERROR((COUNTIFS($D23:$D82,"牛市",J23:J82,J21)-COUNTIFS($D23:$D82,"熊市",J23:J82,J21))/COUNTIFS(J23:J82,J21),O22)</f>
        <v>-8.6956521739130432E-2</v>
      </c>
      <c r="P21" s="1">
        <f>IFERROR((COUNTIFS($E23:$E82,"牛市",F23:F82,F21)-COUNTIFS($E23:$E82,"熊市",F23:F82,F21))/COUNTIFS(F23:F82,F21),P22)</f>
        <v>0.4107142857142857</v>
      </c>
      <c r="Q21" s="1">
        <f>IFERROR((COUNTIFS($E23:$E82,"牛市",G23:G82,G21)-COUNTIFS($E23:$E82,"熊市",G23:G82,G21))/COUNTIFS(G23:G82,G21),Q22)</f>
        <v>0.26666666666666666</v>
      </c>
      <c r="R21" s="1">
        <f>IFERROR((COUNTIFS($E23:$E82,"牛市",H23:H82,H21)-COUNTIFS($E23:$E82,"熊市",H23:H82,H21))/COUNTIFS(H23:H82,H21),R22)</f>
        <v>0.88888888888888884</v>
      </c>
      <c r="S21" s="1">
        <f>IFERROR((COUNTIFS($E23:$E82,"牛市",I23:I82,I21)-COUNTIFS($E23:$E82,"熊市",I23:I82,I21))/COUNTIFS(I23:I82,I21),S22)</f>
        <v>0.72222222222222221</v>
      </c>
      <c r="T21" s="1">
        <f>IFERROR((COUNTIFS($E23:$E82,"牛市",J23:J82,J21)-COUNTIFS($E23:$E82,"熊市",J23:J82,J21))/COUNTIFS(J23:J82,J21),T22)</f>
        <v>0.65217391304347827</v>
      </c>
    </row>
    <row r="22" spans="1:20" x14ac:dyDescent="0.35">
      <c r="A22" s="12">
        <v>45900</v>
      </c>
      <c r="C22" s="87">
        <v>-83.479987696514101</v>
      </c>
      <c r="D22" s="1" t="str">
        <f t="shared" si="6"/>
        <v>震荡</v>
      </c>
      <c r="E22" s="1" t="str">
        <f t="shared" si="7"/>
        <v>牛市</v>
      </c>
      <c r="F22" s="1" t="str">
        <f>VLOOKUP(A22,'货币信用框架5-货币政策目标+信用脉冲'!A:L,12,0)</f>
        <v>宽货币紧信用</v>
      </c>
      <c r="G22" s="1" t="str">
        <f>VLOOKUP(A22,'信贷库存框架1-票据+贷款余额'!A:L,12,0)</f>
        <v>被动去库存</v>
      </c>
      <c r="H22" s="1" t="str">
        <f>IFERROR(VLOOKUP(A22,'财政货币框架1&amp;2底稿'!P:AA,12,0),H23)</f>
        <v>紧货币宽财政</v>
      </c>
      <c r="I22" s="1" t="str">
        <f>IFERROR(VLOOKUP(A22,美林时钟!A:W,23,0),I23)</f>
        <v>滞涨</v>
      </c>
      <c r="J22" s="1" t="str">
        <f>VLOOKUP(A22,库存与产能周期2!A:Q,17,0)</f>
        <v>产能周期下行,主动补库存</v>
      </c>
      <c r="K22" s="1">
        <f>IFERROR((COUNTIFS($D24:$D83,"牛市",F24:F83,F22)-COUNTIFS($D24:$D83,"熊市",F24:F83,F22))/COUNTIFS(F24:F83,F22),K23)</f>
        <v>-5.4545454545454543E-2</v>
      </c>
      <c r="L22" s="1">
        <f>IFERROR((COUNTIFS($D24:$D83,"牛市",G24:G83,G22)-COUNTIFS($D24:$D83,"熊市",G24:G83,G22))/COUNTIFS(G24:G83,G22),L23)</f>
        <v>-0.14285714285714285</v>
      </c>
      <c r="M22" s="1">
        <f>IFERROR((COUNTIFS($D24:$D83,"牛市",H24:H83,H22)-COUNTIFS($D24:$D83,"熊市",H24:H83,H22))/COUNTIFS(H24:H83,H22),M23)</f>
        <v>-0.125</v>
      </c>
      <c r="N22" s="1">
        <f>IFERROR((COUNTIFS($D24:$D83,"牛市",I24:I83,I22)-COUNTIFS($D24:$D83,"熊市",I24:I83,I22))/COUNTIFS(I24:I83,I22),N23)</f>
        <v>0</v>
      </c>
      <c r="O22" s="1">
        <f>IFERROR((COUNTIFS($D24:$D83,"牛市",J24:J83,J22)-COUNTIFS($D24:$D83,"熊市",J24:J83,J22))/COUNTIFS(J24:J83,J22),O23)</f>
        <v>-9.0909090909090912E-2</v>
      </c>
      <c r="P22" s="1">
        <f>IFERROR((COUNTIFS($E24:$E83,"牛市",F24:F83,F22)-COUNTIFS($E24:$E83,"熊市",F24:F83,F22))/COUNTIFS(F24:F83,F22),P23)</f>
        <v>0.4</v>
      </c>
      <c r="Q22" s="1">
        <f>IFERROR((COUNTIFS($E24:$E83,"牛市",G24:G83,G22)-COUNTIFS($E24:$E83,"熊市",G24:G83,G22))/COUNTIFS(G24:G83,G22),Q23)</f>
        <v>0.21428571428571427</v>
      </c>
      <c r="R22" s="1">
        <f>IFERROR((COUNTIFS($E24:$E83,"牛市",H24:H83,H22)-COUNTIFS($E24:$E83,"熊市",H24:H83,H22))/COUNTIFS(H24:H83,H22),R23)</f>
        <v>0.875</v>
      </c>
      <c r="S22" s="1">
        <f>IFERROR((COUNTIFS($E24:$E83,"牛市",I24:I83,I22)-COUNTIFS($E24:$E83,"熊市",I24:I83,I22))/COUNTIFS(I24:I83,I22),S23)</f>
        <v>0.70588235294117652</v>
      </c>
      <c r="T22" s="1">
        <f>IFERROR((COUNTIFS($E24:$E83,"牛市",J24:J83,J22)-COUNTIFS($E24:$E83,"熊市",J24:J83,J22))/COUNTIFS(J24:J83,J22),T23)</f>
        <v>0.63636363636363635</v>
      </c>
    </row>
    <row r="23" spans="1:20" x14ac:dyDescent="0.35">
      <c r="A23" s="12">
        <v>45869</v>
      </c>
      <c r="C23" s="87">
        <v>-75.031071998177296</v>
      </c>
      <c r="D23" s="1" t="str">
        <f t="shared" si="6"/>
        <v>震荡</v>
      </c>
      <c r="E23" s="1" t="str">
        <f t="shared" si="7"/>
        <v>牛市</v>
      </c>
      <c r="F23" s="1" t="str">
        <f>VLOOKUP(A23,'货币信用框架5-货币政策目标+信用脉冲'!A:L,12,0)</f>
        <v>宽货币紧信用</v>
      </c>
      <c r="G23" s="1" t="str">
        <f>VLOOKUP(A23,'信贷库存框架1-票据+贷款余额'!A:L,12,0)</f>
        <v>被动去库存</v>
      </c>
      <c r="H23" s="1" t="str">
        <f>IFERROR(VLOOKUP(A23,'财政货币框架1&amp;2底稿'!P:AA,12,0),H24)</f>
        <v>紧货币宽财政</v>
      </c>
      <c r="I23" s="1" t="str">
        <f>IFERROR(VLOOKUP(A23,美林时钟!A:W,23,0),I24)</f>
        <v>滞涨</v>
      </c>
      <c r="J23" s="1" t="str">
        <f>VLOOKUP(A23,库存与产能周期2!A:Q,17,0)</f>
        <v>产能周期下行,主动补库存</v>
      </c>
      <c r="K23" s="1">
        <f>IFERROR((COUNTIFS($D25:$D84,"牛市",F25:F84,F23)-COUNTIFS($D25:$D84,"熊市",F25:F84,F23))/COUNTIFS(F25:F84,F23),K24)</f>
        <v>-5.5555555555555552E-2</v>
      </c>
      <c r="L23" s="1">
        <f>IFERROR((COUNTIFS($D25:$D84,"牛市",G25:G84,G23)-COUNTIFS($D25:$D84,"熊市",G25:G84,G23))/COUNTIFS(G25:G84,G23),L24)</f>
        <v>-0.15384615384615385</v>
      </c>
      <c r="M23" s="1">
        <f>IFERROR((COUNTIFS($D25:$D84,"牛市",H25:H84,H23)-COUNTIFS($D25:$D84,"熊市",H25:H84,H23))/COUNTIFS(H25:H84,H23),M24)</f>
        <v>-0.14285714285714285</v>
      </c>
      <c r="N23" s="1">
        <f>IFERROR((COUNTIFS($D25:$D84,"牛市",I25:I84,I23)-COUNTIFS($D25:$D84,"熊市",I25:I84,I23))/COUNTIFS(I25:I84,I23),N24)</f>
        <v>0</v>
      </c>
      <c r="O23" s="1">
        <f>IFERROR((COUNTIFS($D25:$D84,"牛市",J25:J84,J23)-COUNTIFS($D25:$D84,"熊市",J25:J84,J23))/COUNTIFS(J25:J84,J23),O24)</f>
        <v>-9.5238095238095233E-2</v>
      </c>
      <c r="P23" s="1">
        <f>IFERROR((COUNTIFS($E25:$E84,"牛市",F25:F84,F23)-COUNTIFS($E25:$E84,"熊市",F25:F84,F23))/COUNTIFS(F25:F84,F23),P24)</f>
        <v>0.3888888888888889</v>
      </c>
      <c r="Q23" s="1">
        <f>IFERROR((COUNTIFS($E25:$E84,"牛市",G25:G84,G23)-COUNTIFS($E25:$E84,"熊市",G25:G84,G23))/COUNTIFS(G25:G84,G23),Q24)</f>
        <v>0.15384615384615385</v>
      </c>
      <c r="R23" s="1">
        <f>IFERROR((COUNTIFS($E25:$E84,"牛市",H25:H84,H23)-COUNTIFS($E25:$E84,"熊市",H25:H84,H23))/COUNTIFS(H25:H84,H23),R24)</f>
        <v>0.8571428571428571</v>
      </c>
      <c r="S23" s="1">
        <f>IFERROR((COUNTIFS($E25:$E84,"牛市",I25:I84,I23)-COUNTIFS($E25:$E84,"熊市",I25:I84,I23))/COUNTIFS(I25:I84,I23),S24)</f>
        <v>0.6875</v>
      </c>
      <c r="T23" s="1">
        <f>IFERROR((COUNTIFS($E25:$E84,"牛市",J25:J84,J23)-COUNTIFS($E25:$E84,"熊市",J25:J84,J23))/COUNTIFS(J25:J84,J23),T24)</f>
        <v>0.61904761904761907</v>
      </c>
    </row>
    <row r="24" spans="1:20" x14ac:dyDescent="0.35">
      <c r="A24" s="12">
        <v>45838</v>
      </c>
      <c r="C24" s="87">
        <v>-66.582156299840605</v>
      </c>
      <c r="D24" s="1" t="str">
        <f t="shared" si="6"/>
        <v>震荡</v>
      </c>
      <c r="E24" s="1" t="str">
        <f t="shared" si="7"/>
        <v>牛市</v>
      </c>
      <c r="F24" s="1" t="str">
        <f>VLOOKUP(A24,'货币信用框架5-货币政策目标+信用脉冲'!A:L,12,0)</f>
        <v>宽货币紧信用</v>
      </c>
      <c r="G24" s="1" t="str">
        <f>VLOOKUP(A24,'信贷库存框架1-票据+贷款余额'!A:L,12,0)</f>
        <v>被动去库存</v>
      </c>
      <c r="H24" s="1" t="str">
        <f>IFERROR(VLOOKUP(A24,'财政货币框架1&amp;2底稿'!P:AA,12,0),H25)</f>
        <v>紧货币宽财政</v>
      </c>
      <c r="I24" s="1" t="str">
        <f>IFERROR(VLOOKUP(A24,美林时钟!A:W,23,0),I25)</f>
        <v>滞涨</v>
      </c>
      <c r="J24" s="1" t="str">
        <f>VLOOKUP(A24,库存与产能周期2!A:Q,17,0)</f>
        <v>产能周期下行,主动补库存</v>
      </c>
      <c r="K24" s="1">
        <f>IFERROR((COUNTIFS($D26:$D85,"牛市",F26:F85,F24)-COUNTIFS($D26:$D85,"熊市",F26:F85,F24))/COUNTIFS(F26:F85,F24),K25)</f>
        <v>-5.6603773584905662E-2</v>
      </c>
      <c r="L24" s="1">
        <f>IFERROR((COUNTIFS($D26:$D85,"牛市",G26:G85,G24)-COUNTIFS($D26:$D85,"熊市",G26:G85,G24))/COUNTIFS(G26:G85,G24),L25)</f>
        <v>-0.16666666666666666</v>
      </c>
      <c r="M24" s="1">
        <f>IFERROR((COUNTIFS($D26:$D85,"牛市",H26:H85,H24)-COUNTIFS($D26:$D85,"熊市",H26:H85,H24))/COUNTIFS(H26:H85,H24),M25)</f>
        <v>-0.16666666666666666</v>
      </c>
      <c r="N24" s="1">
        <f>IFERROR((COUNTIFS($D26:$D85,"牛市",I26:I85,I24)-COUNTIFS($D26:$D85,"熊市",I26:I85,I24))/COUNTIFS(I26:I85,I24),N25)</f>
        <v>0</v>
      </c>
      <c r="O24" s="1">
        <f>IFERROR((COUNTIFS($D26:$D85,"牛市",J26:J85,J24)-COUNTIFS($D26:$D85,"熊市",J26:J85,J24))/COUNTIFS(J26:J85,J24),O25)</f>
        <v>-0.1</v>
      </c>
      <c r="P24" s="1">
        <f>IFERROR((COUNTIFS($E26:$E85,"牛市",F26:F85,F24)-COUNTIFS($E26:$E85,"熊市",F26:F85,F24))/COUNTIFS(F26:F85,F24),P25)</f>
        <v>0.37735849056603776</v>
      </c>
      <c r="Q24" s="1">
        <f>IFERROR((COUNTIFS($E26:$E85,"牛市",G26:G85,G24)-COUNTIFS($E26:$E85,"熊市",G26:G85,G24))/COUNTIFS(G26:G85,G24),Q25)</f>
        <v>8.3333333333333329E-2</v>
      </c>
      <c r="R24" s="1">
        <f>IFERROR((COUNTIFS($E26:$E85,"牛市",H26:H85,H24)-COUNTIFS($E26:$E85,"熊市",H26:H85,H24))/COUNTIFS(H26:H85,H24),R25)</f>
        <v>0.83333333333333337</v>
      </c>
      <c r="S24" s="1">
        <f>IFERROR((COUNTIFS($E26:$E85,"牛市",I26:I85,I24)-COUNTIFS($E26:$E85,"熊市",I26:I85,I24))/COUNTIFS(I26:I85,I24),S25)</f>
        <v>0.66666666666666663</v>
      </c>
      <c r="T24" s="1">
        <f>IFERROR((COUNTIFS($E26:$E85,"牛市",J26:J85,J24)-COUNTIFS($E26:$E85,"熊市",J26:J85,J24))/COUNTIFS(J26:J85,J24),T25)</f>
        <v>0.6</v>
      </c>
    </row>
    <row r="25" spans="1:20" x14ac:dyDescent="0.35">
      <c r="A25" s="12">
        <v>45808</v>
      </c>
      <c r="C25" s="87">
        <v>-58.1332406015038</v>
      </c>
      <c r="D25" s="1" t="str">
        <f t="shared" si="6"/>
        <v>震荡</v>
      </c>
      <c r="E25" s="1" t="str">
        <f t="shared" si="7"/>
        <v>牛市</v>
      </c>
      <c r="F25" s="1" t="str">
        <f>VLOOKUP(A25,'货币信用框架5-货币政策目标+信用脉冲'!A:L,12,0)</f>
        <v>宽货币紧信用</v>
      </c>
      <c r="G25" s="1" t="str">
        <f>VLOOKUP(A25,'信贷库存框架1-票据+贷款余额'!A:L,12,0)</f>
        <v>被动去库存</v>
      </c>
      <c r="H25" s="1" t="str">
        <f>IFERROR(VLOOKUP(A25,'财政货币框架1&amp;2底稿'!P:AA,12,0),H26)</f>
        <v>紧货币宽财政</v>
      </c>
      <c r="I25" s="1" t="str">
        <f>IFERROR(VLOOKUP(A25,美林时钟!A:W,23,0),I26)</f>
        <v>滞涨</v>
      </c>
      <c r="J25" s="1" t="str">
        <f>VLOOKUP(A25,库存与产能周期2!A:Q,17,0)</f>
        <v>产能周期下行,主动补库存</v>
      </c>
      <c r="K25" s="1">
        <f>IFERROR((COUNTIFS($D27:$D86,"牛市",F27:F86,F25)-COUNTIFS($D27:$D86,"熊市",F27:F86,F25))/COUNTIFS(F27:F86,F25),K26)</f>
        <v>-5.7692307692307696E-2</v>
      </c>
      <c r="L25" s="1">
        <f>IFERROR((COUNTIFS($D27:$D86,"牛市",G27:G86,G25)-COUNTIFS($D27:$D86,"熊市",G27:G86,G25))/COUNTIFS(G27:G86,G25),L26)</f>
        <v>-0.18181818181818182</v>
      </c>
      <c r="M25" s="1">
        <f>IFERROR((COUNTIFS($D27:$D86,"牛市",H27:H86,H25)-COUNTIFS($D27:$D86,"熊市",H27:H86,H25))/COUNTIFS(H27:H86,H25),M26)</f>
        <v>-0.2</v>
      </c>
      <c r="N25" s="1">
        <f>IFERROR((COUNTIFS($D27:$D86,"牛市",I27:I86,I25)-COUNTIFS($D27:$D86,"熊市",I27:I86,I25))/COUNTIFS(I27:I86,I25),N26)</f>
        <v>0</v>
      </c>
      <c r="O25" s="1">
        <f>IFERROR((COUNTIFS($D27:$D86,"牛市",J27:J86,J25)-COUNTIFS($D27:$D86,"熊市",J27:J86,J25))/COUNTIFS(J27:J86,J25),O26)</f>
        <v>-0.10526315789473684</v>
      </c>
      <c r="P25" s="1">
        <f>IFERROR((COUNTIFS($E27:$E86,"牛市",F27:F86,F25)-COUNTIFS($E27:$E86,"熊市",F27:F86,F25))/COUNTIFS(F27:F86,F25),P26)</f>
        <v>0.36538461538461536</v>
      </c>
      <c r="Q25" s="1">
        <f>IFERROR((COUNTIFS($E27:$E86,"牛市",G27:G86,G25)-COUNTIFS($E27:$E86,"熊市",G27:G86,G25))/COUNTIFS(G27:G86,G25),Q26)</f>
        <v>0</v>
      </c>
      <c r="R25" s="1">
        <f>IFERROR((COUNTIFS($E27:$E86,"牛市",H27:H86,H25)-COUNTIFS($E27:$E86,"熊市",H27:H86,H25))/COUNTIFS(H27:H86,H25),R26)</f>
        <v>0.8</v>
      </c>
      <c r="S25" s="1">
        <f>IFERROR((COUNTIFS($E27:$E86,"牛市",I27:I86,I25)-COUNTIFS($E27:$E86,"熊市",I27:I86,I25))/COUNTIFS(I27:I86,I25),S26)</f>
        <v>0.66666666666666663</v>
      </c>
      <c r="T25" s="1">
        <f>IFERROR((COUNTIFS($E27:$E86,"牛市",J27:J86,J25)-COUNTIFS($E27:$E86,"熊市",J27:J86,J25))/COUNTIFS(J27:J86,J25),T26)</f>
        <v>0.57894736842105265</v>
      </c>
    </row>
    <row r="26" spans="1:20" x14ac:dyDescent="0.35">
      <c r="A26" s="12">
        <v>45777</v>
      </c>
      <c r="C26" s="87">
        <v>-49.684324903167102</v>
      </c>
      <c r="D26" s="1" t="str">
        <f t="shared" si="6"/>
        <v>震荡</v>
      </c>
      <c r="E26" s="1" t="str">
        <f t="shared" si="7"/>
        <v>牛市</v>
      </c>
      <c r="F26" s="1" t="str">
        <f>VLOOKUP(A26,'货币信用框架5-货币政策目标+信用脉冲'!A:L,12,0)</f>
        <v>宽货币紧信用</v>
      </c>
      <c r="G26" s="1" t="str">
        <f>VLOOKUP(A26,'信贷库存框架1-票据+贷款余额'!A:L,12,0)</f>
        <v>被动去库存</v>
      </c>
      <c r="H26" s="1" t="str">
        <f>IFERROR(VLOOKUP(A26,'财政货币框架1&amp;2底稿'!P:AA,12,0),H27)</f>
        <v>紧货币宽财政</v>
      </c>
      <c r="I26" s="1" t="str">
        <f>IFERROR(VLOOKUP(A26,美林时钟!A:W,23,0),I27)</f>
        <v>过热</v>
      </c>
      <c r="J26" s="1" t="str">
        <f>VLOOKUP(A26,库存与产能周期2!A:Q,17,0)</f>
        <v>产能周期下行,主动补库存</v>
      </c>
      <c r="K26" s="1">
        <f>IFERROR((COUNTIFS($D28:$D87,"牛市",F28:F87,F26)-COUNTIFS($D28:$D87,"熊市",F28:F87,F26))/COUNTIFS(F28:F87,F26),K27)</f>
        <v>-5.8823529411764705E-2</v>
      </c>
      <c r="L26" s="1">
        <f>IFERROR((COUNTIFS($D28:$D87,"牛市",G28:G87,G26)-COUNTIFS($D28:$D87,"熊市",G28:G87,G26))/COUNTIFS(G28:G87,G26),L27)</f>
        <v>-0.2</v>
      </c>
      <c r="M26" s="1">
        <f>IFERROR((COUNTIFS($D28:$D87,"牛市",H28:H87,H26)-COUNTIFS($D28:$D87,"熊市",H28:H87,H26))/COUNTIFS(H28:H87,H26),M27)</f>
        <v>-0.25</v>
      </c>
      <c r="N26" s="1">
        <f>IFERROR((COUNTIFS($D28:$D87,"牛市",I28:I87,I26)-COUNTIFS($D28:$D87,"熊市",I28:I87,I26))/COUNTIFS(I28:I87,I26),N27)</f>
        <v>0.13043478260869565</v>
      </c>
      <c r="O26" s="1">
        <f>IFERROR((COUNTIFS($D28:$D87,"牛市",J28:J87,J26)-COUNTIFS($D28:$D87,"熊市",J28:J87,J26))/COUNTIFS(J28:J87,J26),O27)</f>
        <v>-0.1111111111111111</v>
      </c>
      <c r="P26" s="1">
        <f>IFERROR((COUNTIFS($E28:$E87,"牛市",F28:F87,F26)-COUNTIFS($E28:$E87,"熊市",F28:F87,F26))/COUNTIFS(F28:F87,F26),P27)</f>
        <v>0.35294117647058826</v>
      </c>
      <c r="Q26" s="1">
        <f>IFERROR((COUNTIFS($E28:$E87,"牛市",G28:G87,G26)-COUNTIFS($E28:$E87,"熊市",G28:G87,G26))/COUNTIFS(G28:G87,G26),Q27)</f>
        <v>-0.1</v>
      </c>
      <c r="R26" s="1">
        <f>IFERROR((COUNTIFS($E28:$E87,"牛市",H28:H87,H26)-COUNTIFS($E28:$E87,"熊市",H28:H87,H26))/COUNTIFS(H28:H87,H26),R27)</f>
        <v>0.75</v>
      </c>
      <c r="S26" s="1">
        <f>IFERROR((COUNTIFS($E28:$E87,"牛市",I28:I87,I26)-COUNTIFS($E28:$E87,"熊市",I28:I87,I26))/COUNTIFS(I28:I87,I26),S27)</f>
        <v>0</v>
      </c>
      <c r="T26" s="1">
        <f>IFERROR((COUNTIFS($E28:$E87,"牛市",J28:J87,J26)-COUNTIFS($E28:$E87,"熊市",J28:J87,J26))/COUNTIFS(J28:J87,J26),T27)</f>
        <v>0.55555555555555558</v>
      </c>
    </row>
    <row r="27" spans="1:20" x14ac:dyDescent="0.35">
      <c r="A27" s="12">
        <v>45747</v>
      </c>
      <c r="C27" s="87">
        <v>-41.235409204830297</v>
      </c>
      <c r="D27" s="1" t="str">
        <f t="shared" si="6"/>
        <v>震荡</v>
      </c>
      <c r="E27" s="1" t="str">
        <f t="shared" si="7"/>
        <v>牛市</v>
      </c>
      <c r="F27" s="1" t="str">
        <f>VLOOKUP(A27,'货币信用框架5-货币政策目标+信用脉冲'!A:L,12,0)</f>
        <v>宽货币紧信用</v>
      </c>
      <c r="G27" s="1" t="str">
        <f>VLOOKUP(A27,'信贷库存框架1-票据+贷款余额'!A:L,12,0)</f>
        <v>被动去库存</v>
      </c>
      <c r="H27" s="1" t="str">
        <f>IFERROR(VLOOKUP(A27,'财政货币框架1&amp;2底稿'!P:AA,12,0),H28)</f>
        <v>紧货币宽财政</v>
      </c>
      <c r="I27" s="1" t="str">
        <f>IFERROR(VLOOKUP(A27,美林时钟!A:W,23,0),I28)</f>
        <v>滞涨</v>
      </c>
      <c r="J27" s="1" t="str">
        <f>VLOOKUP(A27,库存与产能周期2!A:Q,17,0)</f>
        <v>产能周期下行,主动补库存</v>
      </c>
      <c r="K27" s="1">
        <f>IFERROR((COUNTIFS($D29:$D88,"牛市",F29:F88,F27)-COUNTIFS($D29:$D88,"熊市",F29:F88,F27))/COUNTIFS(F29:F88,F27),K28)</f>
        <v>-0.06</v>
      </c>
      <c r="L27" s="1">
        <f>IFERROR((COUNTIFS($D29:$D88,"牛市",G29:G88,G27)-COUNTIFS($D29:$D88,"熊市",G29:G88,G27))/COUNTIFS(G29:G88,G27),L28)</f>
        <v>-0.2</v>
      </c>
      <c r="M27" s="1">
        <f>IFERROR((COUNTIFS($D29:$D88,"牛市",H29:H88,H27)-COUNTIFS($D29:$D88,"熊市",H29:H88,H27))/COUNTIFS(H29:H88,H27),M28)</f>
        <v>-0.25</v>
      </c>
      <c r="N27" s="1">
        <f>IFERROR((COUNTIFS($D29:$D88,"牛市",I29:I88,I27)-COUNTIFS($D29:$D88,"熊市",I29:I88,I27))/COUNTIFS(I29:I88,I27),N28)</f>
        <v>0</v>
      </c>
      <c r="O27" s="1">
        <f>IFERROR((COUNTIFS($D29:$D88,"牛市",J29:J88,J27)-COUNTIFS($D29:$D88,"熊市",J29:J88,J27))/COUNTIFS(J29:J88,J27),O28)</f>
        <v>-0.11764705882352941</v>
      </c>
      <c r="P27" s="1">
        <f>IFERROR((COUNTIFS($E29:$E88,"牛市",F29:F88,F27)-COUNTIFS($E29:$E88,"熊市",F29:F88,F27))/COUNTIFS(F29:F88,F27),P28)</f>
        <v>0.34</v>
      </c>
      <c r="Q27" s="1">
        <f>IFERROR((COUNTIFS($E29:$E88,"牛市",G29:G88,G27)-COUNTIFS($E29:$E88,"熊市",G29:G88,G27))/COUNTIFS(G29:G88,G27),Q28)</f>
        <v>-0.1</v>
      </c>
      <c r="R27" s="1">
        <f>IFERROR((COUNTIFS($E29:$E88,"牛市",H29:H88,H27)-COUNTIFS($E29:$E88,"熊市",H29:H88,H27))/COUNTIFS(H29:H88,H27),R28)</f>
        <v>0.75</v>
      </c>
      <c r="S27" s="1">
        <f>IFERROR((COUNTIFS($E29:$E88,"牛市",I29:I88,I27)-COUNTIFS($E29:$E88,"熊市",I29:I88,I27))/COUNTIFS(I29:I88,I27),S28)</f>
        <v>0.61538461538461542</v>
      </c>
      <c r="T27" s="1">
        <f>IFERROR((COUNTIFS($E29:$E88,"牛市",J29:J88,J27)-COUNTIFS($E29:$E88,"熊市",J29:J88,J27))/COUNTIFS(J29:J88,J27),T28)</f>
        <v>0.52941176470588236</v>
      </c>
    </row>
    <row r="28" spans="1:20" x14ac:dyDescent="0.35">
      <c r="A28" s="12">
        <v>45716</v>
      </c>
      <c r="C28" s="87">
        <v>-32.7864935064935</v>
      </c>
      <c r="D28" s="1" t="str">
        <f t="shared" si="6"/>
        <v>震荡</v>
      </c>
      <c r="E28" s="1" t="str">
        <f t="shared" si="7"/>
        <v>牛市</v>
      </c>
      <c r="F28" s="1" t="str">
        <f>VLOOKUP(A28,'货币信用框架5-货币政策目标+信用脉冲'!A:L,12,0)</f>
        <v>宽货币紧信用</v>
      </c>
      <c r="G28" s="1" t="str">
        <f>VLOOKUP(A28,'信贷库存框架1-票据+贷款余额'!A:L,12,0)</f>
        <v>主动补库存</v>
      </c>
      <c r="H28" s="1" t="str">
        <f>IFERROR(VLOOKUP(A28,'财政货币框架1&amp;2底稿'!P:AA,12,0),H29)</f>
        <v>双紧</v>
      </c>
      <c r="I28" s="1" t="str">
        <f>IFERROR(VLOOKUP(A28,美林时钟!A:W,23,0),I29)</f>
        <v>滞涨</v>
      </c>
      <c r="J28" s="1" t="str">
        <f>VLOOKUP(A28,库存与产能周期2!A:Q,17,0)</f>
        <v>产能周期下行,主动补库存</v>
      </c>
      <c r="K28" s="1">
        <f>IFERROR((COUNTIFS($D30:$D89,"牛市",F30:F89,F28)-COUNTIFS($D30:$D89,"熊市",F30:F89,F28))/COUNTIFS(F30:F89,F28),K29)</f>
        <v>-4.0816326530612242E-2</v>
      </c>
      <c r="L28" s="1">
        <f>IFERROR((COUNTIFS($D30:$D89,"牛市",G30:G89,G28)-COUNTIFS($D30:$D89,"熊市",G30:G89,G28))/COUNTIFS(G30:G89,G28),L29)</f>
        <v>0</v>
      </c>
      <c r="M28" s="1">
        <f>IFERROR((COUNTIFS($D30:$D89,"牛市",H30:H89,H28)-COUNTIFS($D30:$D89,"熊市",H30:H89,H28))/COUNTIFS(H30:H89,H28),M29)</f>
        <v>6.25E-2</v>
      </c>
      <c r="N28" s="1">
        <f>IFERROR((COUNTIFS($D30:$D89,"牛市",I30:I89,I28)-COUNTIFS($D30:$D89,"熊市",I30:I89,I28))/COUNTIFS(I30:I89,I28),N29)</f>
        <v>0</v>
      </c>
      <c r="O28" s="1">
        <f>IFERROR((COUNTIFS($D30:$D89,"牛市",J30:J89,J28)-COUNTIFS($D30:$D89,"熊市",J30:J89,J28))/COUNTIFS(J30:J89,J28),O29)</f>
        <v>-6.25E-2</v>
      </c>
      <c r="P28" s="1">
        <f>IFERROR((COUNTIFS($E30:$E89,"牛市",F30:F89,F28)-COUNTIFS($E30:$E89,"熊市",F30:F89,F28))/COUNTIFS(F30:F89,F28),P29)</f>
        <v>0.32653061224489793</v>
      </c>
      <c r="Q28" s="1">
        <f>IFERROR((COUNTIFS($E30:$E89,"牛市",G30:G89,G28)-COUNTIFS($E30:$E89,"熊市",G30:G89,G28))/COUNTIFS(G30:G89,G28),Q29)</f>
        <v>0.33333333333333331</v>
      </c>
      <c r="R28" s="1">
        <f>IFERROR((COUNTIFS($E30:$E89,"牛市",H30:H89,H28)-COUNTIFS($E30:$E89,"熊市",H30:H89,H28))/COUNTIFS(H30:H89,H28),R29)</f>
        <v>-0.4375</v>
      </c>
      <c r="S28" s="1">
        <f>IFERROR((COUNTIFS($E30:$E89,"牛市",I30:I89,I28)-COUNTIFS($E30:$E89,"熊市",I30:I89,I28))/COUNTIFS(I30:I89,I28),S29)</f>
        <v>0.61538461538461542</v>
      </c>
      <c r="T28" s="1">
        <f>IFERROR((COUNTIFS($E30:$E89,"牛市",J30:J89,J28)-COUNTIFS($E30:$E89,"熊市",J30:J89,J28))/COUNTIFS(J30:J89,J28),T29)</f>
        <v>0.5</v>
      </c>
    </row>
    <row r="29" spans="1:20" x14ac:dyDescent="0.35">
      <c r="A29" s="12">
        <v>45688</v>
      </c>
      <c r="B29" s="13">
        <v>-2.3186981818895789</v>
      </c>
      <c r="C29" s="87">
        <v>-16.228851674641099</v>
      </c>
      <c r="D29" s="1" t="str">
        <f>IF(B29&gt;=1,"牛市",IF(B29&lt;=-1,"熊市","震荡"))</f>
        <v>熊市</v>
      </c>
      <c r="E29" s="1" t="str">
        <f>IF(C29&lt;=-2,"牛市",IF(C29&gt;=2,"熊市","震荡"))</f>
        <v>牛市</v>
      </c>
      <c r="F29" s="1" t="str">
        <f>VLOOKUP(A29,'货币信用框架5-货币政策目标+信用脉冲'!A:L,12,0)</f>
        <v>宽货币紧信用</v>
      </c>
      <c r="G29" s="1" t="str">
        <f>VLOOKUP(A29,'信贷库存框架1-票据+贷款余额'!A:L,12,0)</f>
        <v>主动补库存</v>
      </c>
      <c r="H29" s="1" t="str">
        <f>IFERROR(VLOOKUP(A29,'财政货币框架1&amp;2底稿'!P:AA,12,0),H30)</f>
        <v>双紧</v>
      </c>
      <c r="I29" s="1" t="str">
        <f>IFERROR(VLOOKUP(A29,美林时钟!A:W,23,0),I30)</f>
        <v>过热</v>
      </c>
      <c r="J29" s="1" t="s">
        <v>115</v>
      </c>
      <c r="K29" s="1">
        <f>IFERROR((COUNTIFS($D31:$D90,"牛市",F31:F90,F29)-COUNTIFS($D31:$D90,"熊市",F31:F90,F29))/COUNTIFS(F31:F90,F29),K30)</f>
        <v>-2.0833333333333332E-2</v>
      </c>
      <c r="L29" s="1">
        <f>IFERROR((COUNTIFS($D31:$D90,"牛市",G31:G90,G29)-COUNTIFS($D31:$D90,"熊市",G31:G90,G29))/COUNTIFS(G31:G90,G29),L30)</f>
        <v>0</v>
      </c>
      <c r="M29" s="1">
        <f>IFERROR((COUNTIFS($D31:$D90,"牛市",H31:H90,H29)-COUNTIFS($D31:$D90,"熊市",H31:H90,H29))/COUNTIFS(H31:H90,H29),M30)</f>
        <v>0.13333333333333333</v>
      </c>
      <c r="N29" s="1">
        <f>IFERROR((COUNTIFS($D31:$D90,"牛市",I31:I90,I29)-COUNTIFS($D31:$D90,"熊市",I31:I90,I29))/COUNTIFS(I31:I90,I29),N30)</f>
        <v>0.25</v>
      </c>
      <c r="O29" s="1">
        <f>IFERROR((COUNTIFS($D31:$D90,"牛市",J31:J90,J29)-COUNTIFS($D31:$D90,"熊市",J31:J90,J29))/COUNTIFS(J31:J90,J29),O30)</f>
        <v>0</v>
      </c>
      <c r="P29" s="1">
        <f>IFERROR((COUNTIFS($E31:$E90,"牛市",F31:F90,F29)-COUNTIFS($E31:$E90,"熊市",F31:F90,F29))/COUNTIFS(F31:F90,F29),P30)</f>
        <v>0.3125</v>
      </c>
      <c r="Q29" s="1">
        <f>IFERROR((COUNTIFS($E31:$E90,"牛市",G31:G90,G29)-COUNTIFS($E31:$E90,"熊市",G31:G90,G29))/COUNTIFS(G31:G90,G29),Q30)</f>
        <v>0.33333333333333331</v>
      </c>
      <c r="R29" s="1">
        <f>IFERROR((COUNTIFS($E31:$E90,"牛市",H31:H90,H29)-COUNTIFS($E31:$E90,"熊市",H31:H90,H29))/COUNTIFS(H31:H90,H29),R30)</f>
        <v>-0.53333333333333333</v>
      </c>
      <c r="S29" s="1">
        <f>IFERROR((COUNTIFS($E31:$E90,"牛市",I31:I90,I29)-COUNTIFS($E31:$E90,"熊市",I31:I90,I29))/COUNTIFS(I31:I90,I29),S30)</f>
        <v>4.1666666666666664E-2</v>
      </c>
      <c r="T29" s="1">
        <f>IFERROR((COUNTIFS($E31:$E90,"牛市",J31:J90,J29)-COUNTIFS($E31:$E90,"熊市",J31:J90,J29))/COUNTIFS(J31:J90,J29),T30)</f>
        <v>0.46666666666666667</v>
      </c>
    </row>
    <row r="30" spans="1:20" x14ac:dyDescent="0.35">
      <c r="A30" s="12">
        <v>45657</v>
      </c>
      <c r="B30" s="13">
        <v>-1.9590725430636859</v>
      </c>
      <c r="C30" s="87">
        <v>-28.8636796536797</v>
      </c>
      <c r="D30" s="1" t="str">
        <f t="shared" ref="D30:D93" si="30">IF(B30&gt;=1,"牛市",IF(B30&lt;=-1,"熊市","震荡"))</f>
        <v>熊市</v>
      </c>
      <c r="E30" s="1" t="str">
        <f t="shared" ref="E30:E93" si="31">IF(C30&lt;=-2,"牛市",IF(C30&gt;=2,"熊市","震荡"))</f>
        <v>牛市</v>
      </c>
      <c r="F30" s="1" t="str">
        <f>VLOOKUP(A30,'货币信用框架5-货币政策目标+信用脉冲'!A:L,12,0)</f>
        <v>宽货币紧信用</v>
      </c>
      <c r="G30" s="1" t="str">
        <f>VLOOKUP(A30,'信贷库存框架1-票据+贷款余额'!A:L,12,0)</f>
        <v>被动补库存</v>
      </c>
      <c r="H30" s="1" t="str">
        <f>IFERROR(VLOOKUP(A30,'财政货币框架1&amp;2底稿'!P:AA,12,0),H31)</f>
        <v>双紧</v>
      </c>
      <c r="I30" s="1" t="str">
        <f>IFERROR(VLOOKUP(A30,美林时钟!A:W,23,0),I31)</f>
        <v>过热</v>
      </c>
      <c r="J30" s="1" t="str">
        <f>VLOOKUP(A30,库存与产能周期2!A:Q,17,0)</f>
        <v>产能周期下行,主动补库存</v>
      </c>
      <c r="K30" s="1">
        <f>IFERROR((COUNTIFS($D32:$D91,"牛市",F32:F91,F30)-COUNTIFS($D32:$D91,"熊市",F32:F91,F30))/COUNTIFS(F32:F91,F30),K31)</f>
        <v>-4.2553191489361701E-2</v>
      </c>
      <c r="L30" s="1">
        <f>IFERROR((COUNTIFS($D32:$D91,"牛市",G32:G91,G30)-COUNTIFS($D32:$D91,"熊市",G32:G91,G30))/COUNTIFS(G32:G91,G30),L31)</f>
        <v>0</v>
      </c>
      <c r="M30" s="1">
        <f>IFERROR((COUNTIFS($D32:$D91,"牛市",H32:H91,H30)-COUNTIFS($D32:$D91,"熊市",H32:H91,H30))/COUNTIFS(H32:H91,H30),M31)</f>
        <v>7.1428571428571425E-2</v>
      </c>
      <c r="N30" s="1">
        <f>IFERROR((COUNTIFS($D32:$D91,"牛市",I32:I91,I30)-COUNTIFS($D32:$D91,"熊市",I32:I91,I30))/COUNTIFS(I32:I91,I30),N31)</f>
        <v>0.16666666666666666</v>
      </c>
      <c r="O30" s="1">
        <f>IFERROR((COUNTIFS($D32:$D91,"牛市",J32:J91,J30)-COUNTIFS($D32:$D91,"熊市",J32:J91,J30))/COUNTIFS(J32:J91,J30),O31)</f>
        <v>-7.1428571428571425E-2</v>
      </c>
      <c r="P30" s="1">
        <f>IFERROR((COUNTIFS($E32:$E91,"牛市",F32:F91,F30)-COUNTIFS($E32:$E91,"熊市",F32:F91,F30))/COUNTIFS(F32:F91,F30),P31)</f>
        <v>0.2978723404255319</v>
      </c>
      <c r="Q30" s="1">
        <f>IFERROR((COUNTIFS($E32:$E91,"牛市",G32:G91,G30)-COUNTIFS($E32:$E91,"熊市",G32:G91,G30))/COUNTIFS(G32:G91,G30),Q31)</f>
        <v>0.33333333333333331</v>
      </c>
      <c r="R30" s="1">
        <f>IFERROR((COUNTIFS($E32:$E91,"牛市",H32:H91,H30)-COUNTIFS($E32:$E91,"熊市",H32:H91,H30))/COUNTIFS(H32:H91,H30),R31)</f>
        <v>-0.6428571428571429</v>
      </c>
      <c r="S30" s="1">
        <f>IFERROR((COUNTIFS($E32:$E91,"牛市",I32:I91,I30)-COUNTIFS($E32:$E91,"熊市",I32:I91,I30))/COUNTIFS(I32:I91,I30),S31)</f>
        <v>0</v>
      </c>
      <c r="T30" s="1">
        <f>IFERROR((COUNTIFS($E32:$E91,"牛市",J32:J91,J30)-COUNTIFS($E32:$E91,"熊市",J32:J91,J30))/COUNTIFS(J32:J91,J30),T31)</f>
        <v>0.42857142857142855</v>
      </c>
    </row>
    <row r="31" spans="1:20" x14ac:dyDescent="0.35">
      <c r="A31" s="12">
        <v>45626</v>
      </c>
      <c r="B31" s="13">
        <v>1.343044466532469</v>
      </c>
      <c r="C31" s="87">
        <v>-5.8158897243108001</v>
      </c>
      <c r="D31" s="1" t="str">
        <f t="shared" si="30"/>
        <v>牛市</v>
      </c>
      <c r="E31" s="1" t="str">
        <f t="shared" si="31"/>
        <v>牛市</v>
      </c>
      <c r="F31" s="1" t="str">
        <f>VLOOKUP(A31,'货币信用框架5-货币政策目标+信用脉冲'!A:L,12,0)</f>
        <v>宽货币紧信用</v>
      </c>
      <c r="G31" s="1" t="str">
        <f>VLOOKUP(A31,'信贷库存框架1-票据+贷款余额'!A:L,12,0)</f>
        <v>被动补库存</v>
      </c>
      <c r="H31" s="1" t="str">
        <f>IFERROR(VLOOKUP(A31,'财政货币框架1&amp;2底稿'!P:AA,12,0),H32)</f>
        <v>双紧</v>
      </c>
      <c r="I31" s="1" t="str">
        <f>IFERROR(VLOOKUP(A31,美林时钟!A:W,23,0),I32)</f>
        <v>过热</v>
      </c>
      <c r="J31" s="1" t="str">
        <f>VLOOKUP(A31,库存与产能周期2!A:Q,17,0)</f>
        <v>产能周期下行,主动补库存</v>
      </c>
      <c r="K31" s="1">
        <f>IFERROR((COUNTIFS($D33:$D92,"牛市",F33:F92,F31)-COUNTIFS($D33:$D92,"熊市",F33:F92,F31))/COUNTIFS(F33:F92,F31),K32)</f>
        <v>-6.5217391304347824E-2</v>
      </c>
      <c r="L31" s="1">
        <f>IFERROR((COUNTIFS($D33:$D92,"牛市",G33:G92,G31)-COUNTIFS($D33:$D92,"熊市",G33:G92,G31))/COUNTIFS(G33:G92,G31),L32)</f>
        <v>-3.8461538461538464E-2</v>
      </c>
      <c r="M31" s="1">
        <f>IFERROR((COUNTIFS($D33:$D92,"牛市",H33:H92,H31)-COUNTIFS($D33:$D92,"熊市",H33:H92,H31))/COUNTIFS(H33:H92,H31),M32)</f>
        <v>0</v>
      </c>
      <c r="N31" s="1">
        <f>IFERROR((COUNTIFS($D33:$D92,"牛市",I33:I92,I31)-COUNTIFS($D33:$D92,"熊市",I33:I92,I31))/COUNTIFS(I33:I92,I31),N32)</f>
        <v>0.13043478260869565</v>
      </c>
      <c r="O31" s="1">
        <f>IFERROR((COUNTIFS($D33:$D92,"牛市",J33:J92,J31)-COUNTIFS($D33:$D92,"熊市",J33:J92,J31))/COUNTIFS(J33:J92,J31),O32)</f>
        <v>-0.15384615384615385</v>
      </c>
      <c r="P31" s="1">
        <f>IFERROR((COUNTIFS($E33:$E92,"牛市",F33:F92,F31)-COUNTIFS($E33:$E92,"熊市",F33:F92,F31))/COUNTIFS(F33:F92,F31),P32)</f>
        <v>0.32608695652173914</v>
      </c>
      <c r="Q31" s="1">
        <f>IFERROR((COUNTIFS($E33:$E92,"牛市",G33:G92,G31)-COUNTIFS($E33:$E92,"熊市",G33:G92,G31))/COUNTIFS(G33:G92,G31),Q32)</f>
        <v>0.38461538461538464</v>
      </c>
      <c r="R31" s="1">
        <f>IFERROR((COUNTIFS($E33:$E92,"牛市",H33:H92,H31)-COUNTIFS($E33:$E92,"熊市",H33:H92,H31))/COUNTIFS(H33:H92,H31),R32)</f>
        <v>-0.61538461538461542</v>
      </c>
      <c r="S31" s="1">
        <f>IFERROR((COUNTIFS($E33:$E92,"牛市",I33:I92,I31)-COUNTIFS($E33:$E92,"熊市",I33:I92,I31))/COUNTIFS(I33:I92,I31),S32)</f>
        <v>4.3478260869565216E-2</v>
      </c>
      <c r="T31" s="1">
        <f>IFERROR((COUNTIFS($E33:$E92,"牛市",J33:J92,J31)-COUNTIFS($E33:$E92,"熊市",J33:J92,J31))/COUNTIFS(J33:J92,J31),T32)</f>
        <v>0.53846153846153844</v>
      </c>
    </row>
    <row r="32" spans="1:20" x14ac:dyDescent="0.35">
      <c r="A32" s="12">
        <v>45596</v>
      </c>
      <c r="B32" s="13">
        <v>2.278456268582191</v>
      </c>
      <c r="C32" s="87">
        <v>4.2516040100251002</v>
      </c>
      <c r="D32" s="1" t="str">
        <f t="shared" si="30"/>
        <v>牛市</v>
      </c>
      <c r="E32" s="1" t="str">
        <f t="shared" si="31"/>
        <v>熊市</v>
      </c>
      <c r="F32" s="1" t="str">
        <f>VLOOKUP(A32,'货币信用框架5-货币政策目标+信用脉冲'!A:L,12,0)</f>
        <v>宽货币紧信用</v>
      </c>
      <c r="G32" s="1" t="str">
        <f>VLOOKUP(A32,'信贷库存框架1-票据+贷款余额'!A:L,12,0)</f>
        <v>被动补库存</v>
      </c>
      <c r="H32" s="1" t="str">
        <f>IFERROR(VLOOKUP(A32,'财政货币框架1&amp;2底稿'!P:AA,12,0),H33)</f>
        <v>双紧</v>
      </c>
      <c r="I32" s="1" t="str">
        <f>IFERROR(VLOOKUP(A32,美林时钟!A:W,23,0),I33)</f>
        <v>过热</v>
      </c>
      <c r="J32" s="1" t="str">
        <f>VLOOKUP(A32,库存与产能周期2!A:Q,17,0)</f>
        <v>产能周期下行,主动补库存</v>
      </c>
      <c r="K32" s="1">
        <f>IFERROR((COUNTIFS($D34:$D93,"牛市",F34:F93,F32)-COUNTIFS($D34:$D93,"熊市",F34:F93,F32))/COUNTIFS(F34:F93,F32),K33)</f>
        <v>-8.8888888888888892E-2</v>
      </c>
      <c r="L32" s="1">
        <f>IFERROR((COUNTIFS($D34:$D93,"牛市",G34:G93,G32)-COUNTIFS($D34:$D93,"熊市",G34:G93,G32))/COUNTIFS(G34:G93,G32),L33)</f>
        <v>-0.08</v>
      </c>
      <c r="M32" s="1">
        <f>IFERROR((COUNTIFS($D34:$D93,"牛市",H34:H93,H32)-COUNTIFS($D34:$D93,"熊市",H34:H93,H32))/COUNTIFS(H34:H93,H32),M33)</f>
        <v>0</v>
      </c>
      <c r="N32" s="1">
        <f>IFERROR((COUNTIFS($D34:$D93,"牛市",I34:I93,I32)-COUNTIFS($D34:$D93,"熊市",I34:I93,I32))/COUNTIFS(I34:I93,I32),N33)</f>
        <v>9.0909090909090912E-2</v>
      </c>
      <c r="O32" s="1">
        <f>IFERROR((COUNTIFS($D34:$D93,"牛市",J34:J93,J32)-COUNTIFS($D34:$D93,"熊市",J34:J93,J32))/COUNTIFS(J34:J93,J32),O33)</f>
        <v>-0.25</v>
      </c>
      <c r="P32" s="1">
        <f>IFERROR((COUNTIFS($E34:$E93,"牛市",F34:F93,F32)-COUNTIFS($E34:$E93,"熊市",F34:F93,F32))/COUNTIFS(F34:F93,F32),P33)</f>
        <v>0.31111111111111112</v>
      </c>
      <c r="Q32" s="1">
        <f>IFERROR((COUNTIFS($E34:$E93,"牛市",G34:G93,G32)-COUNTIFS($E34:$E93,"熊市",G34:G93,G32))/COUNTIFS(G34:G93,G32),Q33)</f>
        <v>0.36</v>
      </c>
      <c r="R32" s="1">
        <f>IFERROR((COUNTIFS($E34:$E93,"牛市",H34:H93,H32)-COUNTIFS($E34:$E93,"熊市",H34:H93,H32))/COUNTIFS(H34:H93,H32),R33)</f>
        <v>-0.61538461538461542</v>
      </c>
      <c r="S32" s="1">
        <f>IFERROR((COUNTIFS($E34:$E93,"牛市",I34:I93,I32)-COUNTIFS($E34:$E93,"熊市",I34:I93,I32))/COUNTIFS(I34:I93,I32),S33)</f>
        <v>0</v>
      </c>
      <c r="T32" s="1">
        <f>IFERROR((COUNTIFS($E34:$E93,"牛市",J34:J93,J32)-COUNTIFS($E34:$E93,"熊市",J34:J93,J32))/COUNTIFS(J34:J93,J32),T33)</f>
        <v>0.5</v>
      </c>
    </row>
    <row r="33" spans="1:20" x14ac:dyDescent="0.35">
      <c r="A33" s="12">
        <v>45565</v>
      </c>
      <c r="B33" s="13">
        <v>22.210134627747362</v>
      </c>
      <c r="C33" s="87">
        <v>-6.9838528138528</v>
      </c>
      <c r="D33" s="1" t="str">
        <f t="shared" si="30"/>
        <v>牛市</v>
      </c>
      <c r="E33" s="1" t="str">
        <f t="shared" si="31"/>
        <v>牛市</v>
      </c>
      <c r="F33" s="1" t="str">
        <f>VLOOKUP(A33,'货币信用框架5-货币政策目标+信用脉冲'!A:L,12,0)</f>
        <v>宽货币紧信用</v>
      </c>
      <c r="G33" s="1" t="str">
        <f>VLOOKUP(A33,'信贷库存框架1-票据+贷款余额'!A:L,12,0)</f>
        <v>被动补库存</v>
      </c>
      <c r="H33" s="1" t="str">
        <f>IFERROR(VLOOKUP(A33,'财政货币框架1&amp;2底稿'!P:AA,12,0),H34)</f>
        <v>紧货币宽财政</v>
      </c>
      <c r="I33" s="1" t="str">
        <f>IFERROR(VLOOKUP(A33,美林时钟!A:W,23,0),I34)</f>
        <v>过热</v>
      </c>
      <c r="J33" s="1" t="str">
        <f>VLOOKUP(A33,库存与产能周期2!A:Q,17,0)</f>
        <v>产能周期下行,主动补库存</v>
      </c>
      <c r="K33" s="1">
        <f>IFERROR((COUNTIFS($D35:$D94,"牛市",F35:F94,F33)-COUNTIFS($D35:$D94,"熊市",F35:F94,F33))/COUNTIFS(F35:F94,F33),K34)</f>
        <v>-6.8181818181818177E-2</v>
      </c>
      <c r="L33" s="1">
        <f>IFERROR((COUNTIFS($D35:$D94,"牛市",G35:G94,G33)-COUNTIFS($D35:$D94,"熊市",G35:G94,G33))/COUNTIFS(G35:G94,G33),L34)</f>
        <v>-4.1666666666666664E-2</v>
      </c>
      <c r="M33" s="1">
        <f>IFERROR((COUNTIFS($D35:$D94,"牛市",H35:H94,H33)-COUNTIFS($D35:$D94,"熊市",H35:H94,H33))/COUNTIFS(H35:H94,H33),M34)</f>
        <v>-0.5</v>
      </c>
      <c r="N33" s="1">
        <f>IFERROR((COUNTIFS($D35:$D94,"牛市",I35:I94,I33)-COUNTIFS($D35:$D94,"熊市",I35:I94,I33))/COUNTIFS(I35:I94,I33),N34)</f>
        <v>9.0909090909090912E-2</v>
      </c>
      <c r="O33" s="1">
        <f>IFERROR((COUNTIFS($D35:$D94,"牛市",J35:J94,J33)-COUNTIFS($D35:$D94,"熊市",J35:J94,J33))/COUNTIFS(J35:J94,J33),O34)</f>
        <v>-0.25</v>
      </c>
      <c r="P33" s="1">
        <f>IFERROR((COUNTIFS($E35:$E94,"牛市",F35:F94,F33)-COUNTIFS($E35:$E94,"熊市",F35:F94,F33))/COUNTIFS(F35:F94,F33),P34)</f>
        <v>0.29545454545454547</v>
      </c>
      <c r="Q33" s="1">
        <f>IFERROR((COUNTIFS($E35:$E94,"牛市",G35:G94,G33)-COUNTIFS($E35:$E94,"熊市",G35:G94,G33))/COUNTIFS(G35:G94,G33),Q34)</f>
        <v>0.33333333333333331</v>
      </c>
      <c r="R33" s="1">
        <f>IFERROR((COUNTIFS($E35:$E94,"牛市",H35:H94,H33)-COUNTIFS($E35:$E94,"熊市",H35:H94,H33))/COUNTIFS(H35:H94,H33),R34)</f>
        <v>0.5</v>
      </c>
      <c r="S33" s="1">
        <f>IFERROR((COUNTIFS($E35:$E94,"牛市",I35:I94,I33)-COUNTIFS($E35:$E94,"熊市",I35:I94,I33))/COUNTIFS(I35:I94,I33),S34)</f>
        <v>0</v>
      </c>
      <c r="T33" s="1">
        <f>IFERROR((COUNTIFS($E35:$E94,"牛市",J35:J94,J33)-COUNTIFS($E35:$E94,"熊市",J35:J94,J33))/COUNTIFS(J35:J94,J33),T34)</f>
        <v>0.5</v>
      </c>
    </row>
    <row r="34" spans="1:20" x14ac:dyDescent="0.35">
      <c r="A34" s="12">
        <v>45535</v>
      </c>
      <c r="B34" s="13">
        <v>-3.9690314175752399</v>
      </c>
      <c r="C34" s="87">
        <v>-6.4669960474307997</v>
      </c>
      <c r="D34" s="1" t="str">
        <f t="shared" si="30"/>
        <v>熊市</v>
      </c>
      <c r="E34" s="1" t="str">
        <f t="shared" si="31"/>
        <v>牛市</v>
      </c>
      <c r="F34" s="1" t="str">
        <f>VLOOKUP(A34,'货币信用框架5-货币政策目标+信用脉冲'!A:L,12,0)</f>
        <v>宽货币紧信用</v>
      </c>
      <c r="G34" s="1" t="str">
        <f>VLOOKUP(A34,'信贷库存框架1-票据+贷款余额'!A:L,12,0)</f>
        <v>被动补库存</v>
      </c>
      <c r="H34" s="1" t="str">
        <f>IFERROR(VLOOKUP(A34,'财政货币框架1&amp;2底稿'!P:AA,12,0),H35)</f>
        <v>紧货币宽财政</v>
      </c>
      <c r="I34" s="1" t="str">
        <f>IFERROR(VLOOKUP(A34,美林时钟!A:W,23,0),I35)</f>
        <v>滞涨</v>
      </c>
      <c r="J34" s="1" t="str">
        <f>VLOOKUP(A34,库存与产能周期2!A:Q,17,0)</f>
        <v>产能周期下行,被动去库存</v>
      </c>
      <c r="K34" s="1">
        <f>IFERROR((COUNTIFS($D36:$D95,"牛市",F36:F95,F34)-COUNTIFS($D36:$D95,"熊市",F36:F95,F34))/COUNTIFS(F36:F95,F34),K35)</f>
        <v>-6.9767441860465115E-2</v>
      </c>
      <c r="L34" s="1">
        <f>IFERROR((COUNTIFS($D36:$D95,"牛市",G36:G95,G34)-COUNTIFS($D36:$D95,"熊市",G36:G95,G34))/COUNTIFS(G36:G95,G34),L35)</f>
        <v>-4.3478260869565216E-2</v>
      </c>
      <c r="M34" s="1">
        <f>IFERROR((COUNTIFS($D36:$D95,"牛市",H36:H95,H34)-COUNTIFS($D36:$D95,"熊市",H36:H95,H34))/COUNTIFS(H36:H95,H34),M35)</f>
        <v>-1</v>
      </c>
      <c r="N34" s="1">
        <f>IFERROR((COUNTIFS($D36:$D95,"牛市",I36:I95,I34)-COUNTIFS($D36:$D95,"熊市",I36:I95,I34))/COUNTIFS(I36:I95,I34),N35)</f>
        <v>9.0909090909090912E-2</v>
      </c>
      <c r="O34" s="1">
        <f>IFERROR((COUNTIFS($D36:$D95,"牛市",J36:J95,J34)-COUNTIFS($D36:$D95,"熊市",J36:J95,J34))/COUNTIFS(J36:J95,J34),O35)</f>
        <v>-0.14285714285714285</v>
      </c>
      <c r="P34" s="1">
        <f>IFERROR((COUNTIFS($E36:$E95,"牛市",F36:F95,F34)-COUNTIFS($E36:$E95,"熊市",F36:F95,F34))/COUNTIFS(F36:F95,F34),P35)</f>
        <v>0.30232558139534882</v>
      </c>
      <c r="Q34" s="1">
        <f>IFERROR((COUNTIFS($E36:$E95,"牛市",G36:G95,G34)-COUNTIFS($E36:$E95,"熊市",G36:G95,G34))/COUNTIFS(G36:G95,G34),Q35)</f>
        <v>0.34782608695652173</v>
      </c>
      <c r="R34" s="1">
        <f>IFERROR((COUNTIFS($E36:$E95,"牛市",H36:H95,H34)-COUNTIFS($E36:$E95,"熊市",H36:H95,H34))/COUNTIFS(H36:H95,H34),R35)</f>
        <v>1</v>
      </c>
      <c r="S34" s="1">
        <f>IFERROR((COUNTIFS($E36:$E95,"牛市",I36:I95,I34)-COUNTIFS($E36:$E95,"熊市",I36:I95,I34))/COUNTIFS(I36:I95,I34),S35)</f>
        <v>0.63636363636363635</v>
      </c>
      <c r="T34" s="1">
        <f>IFERROR((COUNTIFS($E36:$E95,"牛市",J36:J95,J34)-COUNTIFS($E36:$E95,"熊市",J36:J95,J34))/COUNTIFS(J36:J95,J34),T35)</f>
        <v>0.42857142857142855</v>
      </c>
    </row>
    <row r="35" spans="1:20" x14ac:dyDescent="0.35">
      <c r="A35" s="12">
        <v>45504</v>
      </c>
      <c r="B35" s="13">
        <v>0.27106654712188499</v>
      </c>
      <c r="C35" s="87">
        <v>-1.7454919908466999</v>
      </c>
      <c r="D35" s="1" t="str">
        <f t="shared" si="30"/>
        <v>震荡</v>
      </c>
      <c r="E35" s="1" t="str">
        <f t="shared" si="31"/>
        <v>震荡</v>
      </c>
      <c r="F35" s="1" t="str">
        <f>VLOOKUP(A35,'货币信用框架5-货币政策目标+信用脉冲'!A:L,12,0)</f>
        <v>宽货币紧信用</v>
      </c>
      <c r="G35" s="1" t="str">
        <f>VLOOKUP(A35,'信贷库存框架1-票据+贷款余额'!A:L,12,0)</f>
        <v>被动补库存</v>
      </c>
      <c r="H35" s="1" t="str">
        <f>IFERROR(VLOOKUP(A35,'财政货币框架1&amp;2底稿'!P:AA,12,0),H36)</f>
        <v>紧货币宽财政</v>
      </c>
      <c r="I35" s="1" t="str">
        <f>IFERROR(VLOOKUP(A35,美林时钟!A:W,23,0),I36)</f>
        <v>滞涨</v>
      </c>
      <c r="J35" s="1" t="str">
        <f>VLOOKUP(A35,库存与产能周期2!A:Q,17,0)</f>
        <v>产能周期下行,被动去库存</v>
      </c>
      <c r="K35" s="1">
        <f>IFERROR((COUNTIFS($D37:$D96,"牛市",F37:F96,F35)-COUNTIFS($D37:$D96,"熊市",F37:F96,F35))/COUNTIFS(F37:F96,F35),K36)</f>
        <v>-4.7619047619047616E-2</v>
      </c>
      <c r="L35" s="1">
        <f>IFERROR((COUNTIFS($D37:$D96,"牛市",G37:G96,G35)-COUNTIFS($D37:$D96,"熊市",G37:G96,G35))/COUNTIFS(G37:G96,G35),L36)</f>
        <v>0</v>
      </c>
      <c r="M35" s="1">
        <f>IFERROR((COUNTIFS($D37:$D96,"牛市",H37:H96,H35)-COUNTIFS($D37:$D96,"熊市",H37:H96,H35))/COUNTIFS(H37:H96,H35),M36)</f>
        <v>3.8461538461538464E-2</v>
      </c>
      <c r="N35" s="1">
        <f>IFERROR((COUNTIFS($D37:$D96,"牛市",I37:I96,I35)-COUNTIFS($D37:$D96,"熊市",I37:I96,I35))/COUNTIFS(I37:I96,I35),N36)</f>
        <v>0.2</v>
      </c>
      <c r="O35" s="1">
        <f>IFERROR((COUNTIFS($D37:$D96,"牛市",J37:J96,J35)-COUNTIFS($D37:$D96,"熊市",J37:J96,J35))/COUNTIFS(J37:J96,J35),O36)</f>
        <v>-0.14285714285714285</v>
      </c>
      <c r="P35" s="1">
        <f>IFERROR((COUNTIFS($E37:$E96,"牛市",F37:F96,F35)-COUNTIFS($E37:$E96,"熊市",F37:F96,F35))/COUNTIFS(F37:F96,F35),P36)</f>
        <v>0.2857142857142857</v>
      </c>
      <c r="Q35" s="1">
        <f>IFERROR((COUNTIFS($E37:$E96,"牛市",G37:G96,G35)-COUNTIFS($E37:$E96,"熊市",G37:G96,G35))/COUNTIFS(G37:G96,G35),Q36)</f>
        <v>0.31818181818181818</v>
      </c>
      <c r="R35" s="1">
        <f>IFERROR((COUNTIFS($E37:$E96,"牛市",H37:H96,H35)-COUNTIFS($E37:$E96,"熊市",H37:H96,H35))/COUNTIFS(H37:H96,H35),R36)</f>
        <v>0.46153846153846156</v>
      </c>
      <c r="S35" s="1">
        <f>IFERROR((COUNTIFS($E37:$E96,"牛市",I37:I96,I35)-COUNTIFS($E37:$E96,"熊市",I37:I96,I35))/COUNTIFS(I37:I96,I35),S36)</f>
        <v>0.6</v>
      </c>
      <c r="T35" s="1">
        <f>IFERROR((COUNTIFS($E37:$E96,"牛市",J37:J96,J35)-COUNTIFS($E37:$E96,"熊市",J37:J96,J35))/COUNTIFS(J37:J96,J35),T36)</f>
        <v>0.42857142857142855</v>
      </c>
    </row>
    <row r="36" spans="1:20" x14ac:dyDescent="0.35">
      <c r="A36" s="12">
        <v>45473</v>
      </c>
      <c r="B36" s="13">
        <v>-5.1273772152469537</v>
      </c>
      <c r="C36" s="87">
        <v>-4.7655639097745004</v>
      </c>
      <c r="D36" s="1" t="str">
        <f t="shared" si="30"/>
        <v>熊市</v>
      </c>
      <c r="E36" s="1" t="str">
        <f t="shared" si="31"/>
        <v>牛市</v>
      </c>
      <c r="F36" s="1" t="str">
        <f>VLOOKUP(A36,'货币信用框架5-货币政策目标+信用脉冲'!A:L,12,0)</f>
        <v>宽货币紧信用</v>
      </c>
      <c r="G36" s="1" t="str">
        <f>VLOOKUP(A36,'信贷库存框架1-票据+贷款余额'!A:L,12,0)</f>
        <v>被动补库存</v>
      </c>
      <c r="H36" s="1" t="str">
        <f>IFERROR(VLOOKUP(A36,'财政货币框架1&amp;2底稿'!P:AA,12,0),H37)</f>
        <v>紧货币宽财政</v>
      </c>
      <c r="I36" s="1" t="str">
        <f>IFERROR(VLOOKUP(A36,美林时钟!A:W,23,0),I37)</f>
        <v>滞涨</v>
      </c>
      <c r="J36" s="1" t="str">
        <f>VLOOKUP(A36,库存与产能周期2!A:Q,17,0)</f>
        <v>产能周期下行,主动补库存</v>
      </c>
      <c r="K36" s="1">
        <f>IFERROR((COUNTIFS($D38:$D97,"牛市",F38:F97,F36)-COUNTIFS($D38:$D97,"熊市",F38:F97,F36))/COUNTIFS(F38:F97,F36),K37)</f>
        <v>-2.4390243902439025E-2</v>
      </c>
      <c r="L36" s="1">
        <f>IFERROR((COUNTIFS($D38:$D97,"牛市",G38:G97,G36)-COUNTIFS($D38:$D97,"熊市",G38:G97,G36))/COUNTIFS(G38:G97,G36),L37)</f>
        <v>4.7619047619047616E-2</v>
      </c>
      <c r="M36" s="1">
        <f>IFERROR((COUNTIFS($D38:$D97,"牛市",H38:H97,H36)-COUNTIFS($D38:$D97,"熊市",H38:H97,H36))/COUNTIFS(H38:H97,H36),M37)</f>
        <v>3.8461538461538464E-2</v>
      </c>
      <c r="N36" s="1">
        <f>IFERROR((COUNTIFS($D38:$D97,"牛市",I38:I97,I36)-COUNTIFS($D38:$D97,"熊市",I38:I97,I36))/COUNTIFS(I38:I97,I36),N37)</f>
        <v>0.33333333333333331</v>
      </c>
      <c r="O36" s="1">
        <f>IFERROR((COUNTIFS($D38:$D97,"牛市",J38:J97,J36)-COUNTIFS($D38:$D97,"熊市",J38:J97,J36))/COUNTIFS(J38:J97,J36),O37)</f>
        <v>-0.1</v>
      </c>
      <c r="P36" s="1">
        <f>IFERROR((COUNTIFS($E38:$E97,"牛市",F38:F97,F36)-COUNTIFS($E38:$E97,"熊市",F38:F97,F36))/COUNTIFS(F38:F97,F36),P37)</f>
        <v>0.31707317073170732</v>
      </c>
      <c r="Q36" s="1">
        <f>IFERROR((COUNTIFS($E38:$E97,"牛市",G38:G97,G36)-COUNTIFS($E38:$E97,"熊市",G38:G97,G36))/COUNTIFS(G38:G97,G36),Q37)</f>
        <v>0.38095238095238093</v>
      </c>
      <c r="R36" s="1">
        <f>IFERROR((COUNTIFS($E38:$E97,"牛市",H38:H97,H36)-COUNTIFS($E38:$E97,"熊市",H38:H97,H36))/COUNTIFS(H38:H97,H36),R37)</f>
        <v>0.46153846153846156</v>
      </c>
      <c r="S36" s="1">
        <f>IFERROR((COUNTIFS($E38:$E97,"牛市",I38:I97,I36)-COUNTIFS($E38:$E97,"熊市",I38:I97,I36))/COUNTIFS(I38:I97,I36),S37)</f>
        <v>0.77777777777777779</v>
      </c>
      <c r="T36" s="1">
        <f>IFERROR((COUNTIFS($E38:$E97,"牛市",J38:J97,J36)-COUNTIFS($E38:$E97,"熊市",J38:J97,J36))/COUNTIFS(J38:J97,J36),T37)</f>
        <v>0.6</v>
      </c>
    </row>
    <row r="37" spans="1:20" x14ac:dyDescent="0.35">
      <c r="A37" s="12">
        <v>45443</v>
      </c>
      <c r="B37" s="13">
        <v>-1.2058617125129469</v>
      </c>
      <c r="C37" s="87">
        <v>2.1025974025974001</v>
      </c>
      <c r="D37" s="1" t="str">
        <f t="shared" si="30"/>
        <v>熊市</v>
      </c>
      <c r="E37" s="1" t="str">
        <f t="shared" si="31"/>
        <v>熊市</v>
      </c>
      <c r="F37" s="1" t="str">
        <f>VLOOKUP(A37,'货币信用框架5-货币政策目标+信用脉冲'!A:L,12,0)</f>
        <v>宽货币紧信用</v>
      </c>
      <c r="G37" s="1" t="str">
        <f>VLOOKUP(A37,'信贷库存框架1-票据+贷款余额'!A:L,12,0)</f>
        <v>被动补库存</v>
      </c>
      <c r="H37" s="1" t="str">
        <f>IFERROR(VLOOKUP(A37,'财政货币框架1&amp;2底稿'!A:N,14,0),H38)</f>
        <v>双宽</v>
      </c>
      <c r="I37" s="1" t="str">
        <f>IFERROR(VLOOKUP(A37,美林时钟!A:W,23,0),I38)</f>
        <v>滞涨</v>
      </c>
      <c r="J37" s="1" t="str">
        <f>VLOOKUP(A37,库存与产能周期2!A:Q,17,0)</f>
        <v>产能周期下行,主动补库存</v>
      </c>
      <c r="K37" s="1">
        <f>IFERROR((COUNTIFS($D39:$D98,"牛市",F39:F98,F37)-COUNTIFS($D39:$D98,"熊市",F39:F98,F37))/COUNTIFS(F39:F98,F37),K38)</f>
        <v>-0.05</v>
      </c>
      <c r="L37" s="1">
        <f>IFERROR((COUNTIFS($D39:$D98,"牛市",G39:G98,G37)-COUNTIFS($D39:$D98,"熊市",G39:G98,G37))/COUNTIFS(G39:G98,G37),L38)</f>
        <v>0</v>
      </c>
      <c r="M37" s="1">
        <f>IFERROR((COUNTIFS($D39:$D98,"牛市",H39:H98,H37)-COUNTIFS($D39:$D98,"熊市",H39:H98,H37))/COUNTIFS(H39:H98,H37),M38)</f>
        <v>3.8461538461538464E-2</v>
      </c>
      <c r="N37" s="1">
        <f>IFERROR((COUNTIFS($D39:$D98,"牛市",I39:I98,I37)-COUNTIFS($D39:$D98,"熊市",I39:I98,I37))/COUNTIFS(I39:I98,I37),N38)</f>
        <v>0.25</v>
      </c>
      <c r="O37" s="1">
        <f>IFERROR((COUNTIFS($D39:$D98,"牛市",J39:J98,J37)-COUNTIFS($D39:$D98,"熊市",J39:J98,J37))/COUNTIFS(J39:J98,J37),O38)</f>
        <v>-0.22222222222222221</v>
      </c>
      <c r="P37" s="1">
        <f>IFERROR((COUNTIFS($E39:$E98,"牛市",F39:F98,F37)-COUNTIFS($E39:$E98,"熊市",F39:F98,F37))/COUNTIFS(F39:F98,F37),P38)</f>
        <v>0.3</v>
      </c>
      <c r="Q37" s="1">
        <f>IFERROR((COUNTIFS($E39:$E98,"牛市",G39:G98,G37)-COUNTIFS($E39:$E98,"熊市",G39:G98,G37))/COUNTIFS(G39:G98,G37),Q38)</f>
        <v>0.35</v>
      </c>
      <c r="R37" s="1">
        <f>IFERROR((COUNTIFS($E39:$E98,"牛市",H39:H98,H37)-COUNTIFS($E39:$E98,"熊市",H39:H98,H37))/COUNTIFS(H39:H98,H37),R38)</f>
        <v>0.46153846153846156</v>
      </c>
      <c r="S37" s="1">
        <f>IFERROR((COUNTIFS($E39:$E98,"牛市",I39:I98,I37)-COUNTIFS($E39:$E98,"熊市",I39:I98,I37))/COUNTIFS(I39:I98,I37),S38)</f>
        <v>0.75</v>
      </c>
      <c r="T37" s="1">
        <f>IFERROR((COUNTIFS($E39:$E98,"牛市",J39:J98,J37)-COUNTIFS($E39:$E98,"熊市",J39:J98,J37))/COUNTIFS(J39:J98,J37),T38)</f>
        <v>0.55555555555555558</v>
      </c>
    </row>
    <row r="38" spans="1:20" x14ac:dyDescent="0.35">
      <c r="A38" s="12">
        <v>45412</v>
      </c>
      <c r="B38" s="13">
        <v>1.020186693010396</v>
      </c>
      <c r="C38" s="87">
        <v>-2.5316450216450002</v>
      </c>
      <c r="D38" s="1" t="str">
        <f t="shared" si="30"/>
        <v>牛市</v>
      </c>
      <c r="E38" s="1" t="str">
        <f t="shared" si="31"/>
        <v>牛市</v>
      </c>
      <c r="F38" s="1" t="str">
        <f>VLOOKUP(A38,'货币信用框架5-货币政策目标+信用脉冲'!A:L,12,0)</f>
        <v>宽货币紧信用</v>
      </c>
      <c r="G38" s="1" t="str">
        <f>VLOOKUP(A38,'信贷库存框架1-票据+贷款余额'!A:L,12,0)</f>
        <v>被动补库存</v>
      </c>
      <c r="H38" s="1" t="str">
        <f>IFERROR(VLOOKUP(A38,'财政货币框架1&amp;2底稿'!A:N,14,0),H39)</f>
        <v>双宽</v>
      </c>
      <c r="I38" s="1" t="str">
        <f>IFERROR(VLOOKUP(A38,美林时钟!A:W,23,0),I39)</f>
        <v>滞涨</v>
      </c>
      <c r="J38" s="1" t="str">
        <f>VLOOKUP(A38,库存与产能周期2!A:Q,17,0)</f>
        <v>产能周期下行,主动补库存</v>
      </c>
      <c r="K38" s="1">
        <f>IFERROR((COUNTIFS($D40:$D99,"牛市",F40:F99,F38)-COUNTIFS($D40:$D99,"熊市",F40:F99,F38))/COUNTIFS(F40:F99,F38),K39)</f>
        <v>-7.6923076923076927E-2</v>
      </c>
      <c r="L38" s="1">
        <f>IFERROR((COUNTIFS($D40:$D99,"牛市",G40:G99,G38)-COUNTIFS($D40:$D99,"熊市",G40:G99,G38))/COUNTIFS(G40:G99,G38),L39)</f>
        <v>-5.2631578947368418E-2</v>
      </c>
      <c r="M38" s="1">
        <f>IFERROR((COUNTIFS($D40:$D99,"牛市",H40:H99,H38)-COUNTIFS($D40:$D99,"熊市",H40:H99,H38))/COUNTIFS(H40:H99,H38),M39)</f>
        <v>0</v>
      </c>
      <c r="N38" s="1">
        <f>IFERROR((COUNTIFS($D40:$D99,"牛市",I40:I99,I38)-COUNTIFS($D40:$D99,"熊市",I40:I99,I38))/COUNTIFS(I40:I99,I38),N39)</f>
        <v>0.14285714285714285</v>
      </c>
      <c r="O38" s="1">
        <f>IFERROR((COUNTIFS($D40:$D99,"牛市",J40:J99,J38)-COUNTIFS($D40:$D99,"熊市",J40:J99,J38))/COUNTIFS(J40:J99,J38),O39)</f>
        <v>-0.375</v>
      </c>
      <c r="P38" s="1">
        <f>IFERROR((COUNTIFS($E40:$E99,"牛市",F40:F99,F38)-COUNTIFS($E40:$E99,"熊市",F40:F99,F38))/COUNTIFS(F40:F99,F38),P39)</f>
        <v>0.28205128205128205</v>
      </c>
      <c r="Q38" s="1">
        <f>IFERROR((COUNTIFS($E40:$E99,"牛市",G40:G99,G38)-COUNTIFS($E40:$E99,"熊市",G40:G99,G38))/COUNTIFS(G40:G99,G38),Q39)</f>
        <v>0.31578947368421051</v>
      </c>
      <c r="R38" s="1">
        <f>IFERROR((COUNTIFS($E40:$E99,"牛市",H40:H99,H38)-COUNTIFS($E40:$E99,"熊市",H40:H99,H38))/COUNTIFS(H40:H99,H38),R39)</f>
        <v>0.44</v>
      </c>
      <c r="S38" s="1">
        <f>IFERROR((COUNTIFS($E40:$E99,"牛市",I40:I99,I38)-COUNTIFS($E40:$E99,"熊市",I40:I99,I38))/COUNTIFS(I40:I99,I38),S39)</f>
        <v>0.7142857142857143</v>
      </c>
      <c r="T38" s="1">
        <f>IFERROR((COUNTIFS($E40:$E99,"牛市",J40:J99,J38)-COUNTIFS($E40:$E99,"熊市",J40:J99,J38))/COUNTIFS(J40:J99,J38),T39)</f>
        <v>0.5</v>
      </c>
    </row>
    <row r="39" spans="1:20" x14ac:dyDescent="0.35">
      <c r="A39" s="12">
        <v>45382</v>
      </c>
      <c r="B39" s="13">
        <v>1.3511290693299061</v>
      </c>
      <c r="C39" s="87">
        <v>-9.9376984126983992</v>
      </c>
      <c r="D39" s="1" t="str">
        <f t="shared" si="30"/>
        <v>牛市</v>
      </c>
      <c r="E39" s="1" t="str">
        <f t="shared" si="31"/>
        <v>牛市</v>
      </c>
      <c r="F39" s="1" t="str">
        <f>VLOOKUP(A39,'货币信用框架5-货币政策目标+信用脉冲'!A:L,12,0)</f>
        <v>宽货币紧信用</v>
      </c>
      <c r="G39" s="1" t="str">
        <f>VLOOKUP(A39,'信贷库存框架1-票据+贷款余额'!A:L,12,0)</f>
        <v>被动补库存</v>
      </c>
      <c r="H39" s="1" t="str">
        <f>IFERROR(VLOOKUP(A39,'财政货币框架1&amp;2底稿'!A:N,14,0),H40)</f>
        <v>双宽</v>
      </c>
      <c r="I39" s="1" t="str">
        <f>IFERROR(VLOOKUP(A39,美林时钟!A:W,23,0),I40)</f>
        <v>滞涨</v>
      </c>
      <c r="J39" s="1" t="str">
        <f>VLOOKUP(A39,库存与产能周期2!A:Q,17,0)</f>
        <v>产能周期下行,主动补库存</v>
      </c>
      <c r="K39" s="1">
        <f>IFERROR((COUNTIFS($D41:$D100,"牛市",F41:F100,F39)-COUNTIFS($D41:$D100,"熊市",F41:F100,F39))/COUNTIFS(F41:F100,F39),K40)</f>
        <v>-0.10526315789473684</v>
      </c>
      <c r="L39" s="1">
        <f>IFERROR((COUNTIFS($D41:$D100,"牛市",G41:G100,G39)-COUNTIFS($D41:$D100,"熊市",G41:G100,G39))/COUNTIFS(G41:G100,G39),L40)</f>
        <v>-5.2631578947368418E-2</v>
      </c>
      <c r="M39" s="1">
        <f>IFERROR((COUNTIFS($D41:$D100,"牛市",H41:H100,H39)-COUNTIFS($D41:$D100,"熊市",H41:H100,H39))/COUNTIFS(H41:H100,H39),M40)</f>
        <v>0</v>
      </c>
      <c r="N39" s="1">
        <f>IFERROR((COUNTIFS($D41:$D100,"牛市",I41:I100,I39)-COUNTIFS($D41:$D100,"熊市",I41:I100,I39))/COUNTIFS(I41:I100,I39),N40)</f>
        <v>0.14285714285714285</v>
      </c>
      <c r="O39" s="1">
        <f>IFERROR((COUNTIFS($D41:$D100,"牛市",J41:J100,J39)-COUNTIFS($D41:$D100,"熊市",J41:J100,J39))/COUNTIFS(J41:J100,J39),O40)</f>
        <v>-0.5714285714285714</v>
      </c>
      <c r="P39" s="1">
        <f>IFERROR((COUNTIFS($E41:$E100,"牛市",F41:F100,F39)-COUNTIFS($E41:$E100,"熊市",F41:F100,F39))/COUNTIFS(F41:F100,F39),P40)</f>
        <v>0.26315789473684209</v>
      </c>
      <c r="Q39" s="1">
        <f>IFERROR((COUNTIFS($E41:$E100,"牛市",G41:G100,G39)-COUNTIFS($E41:$E100,"熊市",G41:G100,G39))/COUNTIFS(G41:G100,G39),Q40)</f>
        <v>0.31578947368421051</v>
      </c>
      <c r="R39" s="1">
        <f>IFERROR((COUNTIFS($E41:$E100,"牛市",H41:H100,H39)-COUNTIFS($E41:$E100,"熊市",H41:H100,H39))/COUNTIFS(H41:H100,H39),R40)</f>
        <v>0.4</v>
      </c>
      <c r="S39" s="1">
        <f>IFERROR((COUNTIFS($E41:$E100,"牛市",I41:I100,I39)-COUNTIFS($E41:$E100,"熊市",I41:I100,I39))/COUNTIFS(I41:I100,I39),S40)</f>
        <v>0.7142857142857143</v>
      </c>
      <c r="T39" s="1">
        <f>IFERROR((COUNTIFS($E41:$E100,"牛市",J41:J100,J39)-COUNTIFS($E41:$E100,"熊市",J41:J100,J39))/COUNTIFS(J41:J100,J39),T40)</f>
        <v>0.42857142857142855</v>
      </c>
    </row>
    <row r="40" spans="1:20" x14ac:dyDescent="0.35">
      <c r="A40" s="12">
        <v>45351</v>
      </c>
      <c r="B40" s="13">
        <v>9.6679642835044142</v>
      </c>
      <c r="C40" s="87">
        <v>-9.8124747474747007</v>
      </c>
      <c r="D40" s="1" t="str">
        <f t="shared" si="30"/>
        <v>牛市</v>
      </c>
      <c r="E40" s="1" t="str">
        <f t="shared" si="31"/>
        <v>牛市</v>
      </c>
      <c r="F40" s="1" t="str">
        <f>VLOOKUP(A40,'货币信用框架5-货币政策目标+信用脉冲'!A:L,12,0)</f>
        <v>宽货币紧信用</v>
      </c>
      <c r="G40" s="1" t="str">
        <f>VLOOKUP(A40,'信贷库存框架1-票据+贷款余额'!A:L,12,0)</f>
        <v>主动去库存</v>
      </c>
      <c r="H40" s="1" t="str">
        <f>IFERROR(VLOOKUP(A40,'财政货币框架1&amp;2底稿'!A:N,14,0),H41)</f>
        <v>双宽</v>
      </c>
      <c r="I40" s="1" t="str">
        <f>IFERROR(VLOOKUP(A40,美林时钟!A:W,23,0),I41)</f>
        <v>过热</v>
      </c>
      <c r="J40" s="1" t="str">
        <f>VLOOKUP(A40,库存与产能周期2!A:Q,17,0)</f>
        <v>产能周期下行,主动补库存</v>
      </c>
      <c r="K40" s="1">
        <f>IFERROR((COUNTIFS($D42:$D101,"牛市",F42:F101,F40)-COUNTIFS($D42:$D101,"熊市",F42:F101,F40))/COUNTIFS(F42:F101,F40),K41)</f>
        <v>-8.1081081081081086E-2</v>
      </c>
      <c r="L40" s="1">
        <f>IFERROR((COUNTIFS($D42:$D101,"牛市",G42:G101,G40)-COUNTIFS($D42:$D101,"熊市",G42:G101,G40))/COUNTIFS(G42:G101,G40),L41)</f>
        <v>0.16666666666666666</v>
      </c>
      <c r="M40" s="1">
        <f>IFERROR((COUNTIFS($D42:$D101,"牛市",H42:H101,H40)-COUNTIFS($D42:$D101,"熊市",H42:H101,H40))/COUNTIFS(H42:H101,H40),M41)</f>
        <v>0.08</v>
      </c>
      <c r="N40" s="1">
        <f>IFERROR((COUNTIFS($D42:$D101,"牛市",I42:I101,I40)-COUNTIFS($D42:$D101,"熊市",I42:I101,I40))/COUNTIFS(I42:I101,I40),N41)</f>
        <v>0.1</v>
      </c>
      <c r="O40" s="1">
        <f>IFERROR((COUNTIFS($D42:$D101,"牛市",J42:J101,J40)-COUNTIFS($D42:$D101,"熊市",J42:J101,J40))/COUNTIFS(J42:J101,J40),O41)</f>
        <v>-0.5</v>
      </c>
      <c r="P40" s="1">
        <f>IFERROR((COUNTIFS($E42:$E101,"牛市",F42:F101,F40)-COUNTIFS($E42:$E101,"熊市",F42:F101,F40))/COUNTIFS(F42:F101,F40),P41)</f>
        <v>0.24324324324324326</v>
      </c>
      <c r="Q40" s="1">
        <f>IFERROR((COUNTIFS($E42:$E101,"牛市",G42:G101,G40)-COUNTIFS($E42:$E101,"熊市",G42:G101,G40))/COUNTIFS(G42:G101,G40),Q41)</f>
        <v>0.125</v>
      </c>
      <c r="R40" s="1">
        <f>IFERROR((COUNTIFS($E42:$E101,"牛市",H42:H101,H40)-COUNTIFS($E42:$E101,"熊市",H42:H101,H40))/COUNTIFS(H42:H101,H40),R41)</f>
        <v>0.4</v>
      </c>
      <c r="S40" s="1">
        <f>IFERROR((COUNTIFS($E42:$E101,"牛市",I42:I101,I40)-COUNTIFS($E42:$E101,"熊市",I42:I101,I40))/COUNTIFS(I42:I101,I40),S41)</f>
        <v>-0.1</v>
      </c>
      <c r="T40" s="1">
        <f>IFERROR((COUNTIFS($E42:$E101,"牛市",J42:J101,J40)-COUNTIFS($E42:$E101,"熊市",J42:J101,J40))/COUNTIFS(J42:J101,J40),T41)</f>
        <v>0.33333333333333331</v>
      </c>
    </row>
    <row r="41" spans="1:20" x14ac:dyDescent="0.35">
      <c r="A41" s="12">
        <v>45322</v>
      </c>
      <c r="B41" s="13">
        <v>-12.59459352065995</v>
      </c>
      <c r="C41" s="87">
        <v>-11.1504545454546</v>
      </c>
      <c r="D41" s="1" t="str">
        <f t="shared" si="30"/>
        <v>熊市</v>
      </c>
      <c r="E41" s="1" t="str">
        <f t="shared" si="31"/>
        <v>牛市</v>
      </c>
      <c r="F41" s="1" t="str">
        <f>VLOOKUP(A41,'货币信用框架5-货币政策目标+信用脉冲'!A:L,12,0)</f>
        <v>宽货币紧信用</v>
      </c>
      <c r="G41" s="1" t="str">
        <f>VLOOKUP(A41,'信贷库存框架1-票据+贷款余额'!A:L,12,0)</f>
        <v>主动去库存</v>
      </c>
      <c r="H41" s="1" t="str">
        <f>IFERROR(VLOOKUP(A41,'财政货币框架1&amp;2底稿'!A:N,14,0),H42)</f>
        <v>双宽</v>
      </c>
      <c r="I41" s="1" t="str">
        <f>IFERROR(VLOOKUP(A41,美林时钟!A:W,23,0),I42)</f>
        <v>过热</v>
      </c>
      <c r="J41" s="1" t="str">
        <f>VLOOKUP(A41,库存与产能周期2!A:Q,17,0)</f>
        <v>产能周期下行,主动补库存</v>
      </c>
      <c r="K41" s="1">
        <f>IFERROR((COUNTIFS($D43:$D102,"牛市",F43:F102,F41)-COUNTIFS($D43:$D102,"熊市",F43:F102,F41))/COUNTIFS(F43:F102,F41),K42)</f>
        <v>-8.1081081081081086E-2</v>
      </c>
      <c r="L41" s="1">
        <f>IFERROR((COUNTIFS($D43:$D102,"牛市",G43:G102,G41)-COUNTIFS($D43:$D102,"熊市",G43:G102,G41))/COUNTIFS(G43:G102,G41),L42)</f>
        <v>0.16666666666666666</v>
      </c>
      <c r="M41" s="1">
        <f>IFERROR((COUNTIFS($D43:$D102,"牛市",H43:H102,H41)-COUNTIFS($D43:$D102,"熊市",H43:H102,H41))/COUNTIFS(H43:H102,H41),M42)</f>
        <v>0.08</v>
      </c>
      <c r="N41" s="1">
        <f>IFERROR((COUNTIFS($D43:$D102,"牛市",I43:I102,I41)-COUNTIFS($D43:$D102,"熊市",I43:I102,I41))/COUNTIFS(I43:I102,I41),N42)</f>
        <v>0.15789473684210525</v>
      </c>
      <c r="O41" s="1">
        <f>IFERROR((COUNTIFS($D43:$D102,"牛市",J43:J102,J41)-COUNTIFS($D43:$D102,"熊市",J43:J102,J41))/COUNTIFS(J43:J102,J41),O42)</f>
        <v>-0.4</v>
      </c>
      <c r="P41" s="1">
        <f>IFERROR((COUNTIFS($E43:$E102,"牛市",F43:F102,F41)-COUNTIFS($E43:$E102,"熊市",F43:F102,F41))/COUNTIFS(F43:F102,F41),P42)</f>
        <v>0.24324324324324326</v>
      </c>
      <c r="Q41" s="1">
        <f>IFERROR((COUNTIFS($E43:$E102,"牛市",G43:G102,G41)-COUNTIFS($E43:$E102,"熊市",G43:G102,G41))/COUNTIFS(G43:G102,G41),Q42)</f>
        <v>0.125</v>
      </c>
      <c r="R41" s="1">
        <f>IFERROR((COUNTIFS($E43:$E102,"牛市",H43:H102,H41)-COUNTIFS($E43:$E102,"熊市",H43:H102,H41))/COUNTIFS(H43:H102,H41),R42)</f>
        <v>0.4</v>
      </c>
      <c r="S41" s="1">
        <f>IFERROR((COUNTIFS($E43:$E102,"牛市",I43:I102,I41)-COUNTIFS($E43:$E102,"熊市",I43:I102,I41))/COUNTIFS(I43:I102,I41),S42)</f>
        <v>-0.15789473684210525</v>
      </c>
      <c r="T41" s="1">
        <f>IFERROR((COUNTIFS($E43:$E102,"牛市",J43:J102,J41)-COUNTIFS($E43:$E102,"熊市",J43:J102,J41))/COUNTIFS(J43:J102,J41),T42)</f>
        <v>0.2</v>
      </c>
    </row>
    <row r="42" spans="1:20" x14ac:dyDescent="0.35">
      <c r="A42" s="12">
        <v>45291</v>
      </c>
      <c r="B42" s="13">
        <v>-2.0535176317502102</v>
      </c>
      <c r="C42" s="87">
        <v>-5.0940909090908999</v>
      </c>
      <c r="D42" s="1" t="str">
        <f t="shared" si="30"/>
        <v>熊市</v>
      </c>
      <c r="E42" s="1" t="str">
        <f t="shared" si="31"/>
        <v>牛市</v>
      </c>
      <c r="F42" s="1" t="str">
        <f>VLOOKUP(A42,'货币信用框架5-货币政策目标+信用脉冲'!A:L,12,0)</f>
        <v>宽货币紧信用</v>
      </c>
      <c r="G42" s="1" t="str">
        <f>VLOOKUP(A42,'信贷库存框架1-票据+贷款余额'!A:L,12,0)</f>
        <v>被动补库存</v>
      </c>
      <c r="H42" s="1" t="str">
        <f>IFERROR(VLOOKUP(A42,'财政货币框架1&amp;2底稿'!A:N,14,0),H43)</f>
        <v>双宽</v>
      </c>
      <c r="I42" s="1" t="str">
        <f>IFERROR(VLOOKUP(A42,美林时钟!A:W,23,0),I43)</f>
        <v>过热</v>
      </c>
      <c r="J42" s="1" t="str">
        <f>VLOOKUP(A42,库存与产能周期2!A:Q,17,0)</f>
        <v>产能周期下行,主动补库存</v>
      </c>
      <c r="K42" s="1">
        <f>IFERROR((COUNTIFS($D44:$D103,"牛市",F44:F103,F42)-COUNTIFS($D44:$D103,"熊市",F44:F103,F42))/COUNTIFS(F44:F103,F42),K43)</f>
        <v>-5.4054054054054057E-2</v>
      </c>
      <c r="L42" s="1">
        <f>IFERROR((COUNTIFS($D44:$D103,"牛市",G44:G103,G42)-COUNTIFS($D44:$D103,"熊市",G44:G103,G42))/COUNTIFS(G44:G103,G42),L43)</f>
        <v>0</v>
      </c>
      <c r="M42" s="1">
        <f>IFERROR((COUNTIFS($D44:$D103,"牛市",H44:H103,H42)-COUNTIFS($D44:$D103,"熊市",H44:H103,H42))/COUNTIFS(H44:H103,H42),M43)</f>
        <v>0.12</v>
      </c>
      <c r="N42" s="1">
        <f>IFERROR((COUNTIFS($D44:$D103,"牛市",I44:I103,I42)-COUNTIFS($D44:$D103,"熊市",I44:I103,I42))/COUNTIFS(I44:I103,I42),N43)</f>
        <v>0.16666666666666666</v>
      </c>
      <c r="O42" s="1">
        <f>IFERROR((COUNTIFS($D44:$D103,"牛市",J44:J103,J42)-COUNTIFS($D44:$D103,"熊市",J44:J103,J42))/COUNTIFS(J44:J103,J42),O43)</f>
        <v>-0.5</v>
      </c>
      <c r="P42" s="1">
        <f>IFERROR((COUNTIFS($E44:$E103,"牛市",F44:F103,F42)-COUNTIFS($E44:$E103,"熊市",F44:F103,F42))/COUNTIFS(F44:F103,F42),P43)</f>
        <v>0.24324324324324326</v>
      </c>
      <c r="Q42" s="1">
        <f>IFERROR((COUNTIFS($E44:$E103,"牛市",G44:G103,G42)-COUNTIFS($E44:$E103,"熊市",G44:G103,G42))/COUNTIFS(G44:G103,G42),Q43)</f>
        <v>0.23529411764705882</v>
      </c>
      <c r="R42" s="1">
        <f>IFERROR((COUNTIFS($E44:$E103,"牛市",H44:H103,H42)-COUNTIFS($E44:$E103,"熊市",H44:H103,H42))/COUNTIFS(H44:H103,H42),R43)</f>
        <v>0.4</v>
      </c>
      <c r="S42" s="1">
        <f>IFERROR((COUNTIFS($E44:$E103,"牛市",I44:I103,I42)-COUNTIFS($E44:$E103,"熊市",I44:I103,I42))/COUNTIFS(I44:I103,I42),S43)</f>
        <v>-0.22222222222222221</v>
      </c>
      <c r="T42" s="1">
        <f>IFERROR((COUNTIFS($E44:$E103,"牛市",J44:J103,J42)-COUNTIFS($E44:$E103,"熊市",J44:J103,J42))/COUNTIFS(J44:J103,J42),T43)</f>
        <v>0</v>
      </c>
    </row>
    <row r="43" spans="1:20" x14ac:dyDescent="0.35">
      <c r="A43" s="12">
        <v>45260</v>
      </c>
      <c r="B43" s="13">
        <v>0.35048788689809202</v>
      </c>
      <c r="C43" s="87">
        <v>-2.6211961722488</v>
      </c>
      <c r="D43" s="1" t="str">
        <f t="shared" si="30"/>
        <v>震荡</v>
      </c>
      <c r="E43" s="1" t="str">
        <f t="shared" si="31"/>
        <v>牛市</v>
      </c>
      <c r="F43" s="1" t="str">
        <f>VLOOKUP(A43,'货币信用框架5-货币政策目标+信用脉冲'!A:L,12,0)</f>
        <v>宽货币紧信用</v>
      </c>
      <c r="G43" s="1" t="str">
        <f>VLOOKUP(A43,'信贷库存框架1-票据+贷款余额'!A:L,12,0)</f>
        <v>被动补库存</v>
      </c>
      <c r="H43" s="1" t="str">
        <f>IFERROR(VLOOKUP(A43,'财政货币框架1&amp;2底稿'!A:N,14,0),H44)</f>
        <v>双宽</v>
      </c>
      <c r="I43" s="1" t="str">
        <f>IFERROR(VLOOKUP(A43,美林时钟!A:W,23,0),I44)</f>
        <v>过热</v>
      </c>
      <c r="J43" s="1" t="str">
        <f>VLOOKUP(A43,库存与产能周期2!A:Q,17,0)</f>
        <v>产能周期下行,主动补库存</v>
      </c>
      <c r="K43" s="1">
        <f>IFERROR((COUNTIFS($D45:$D104,"牛市",F45:F104,F43)-COUNTIFS($D45:$D104,"熊市",F45:F104,F43))/COUNTIFS(F45:F104,F43),K44)</f>
        <v>-5.4054054054054057E-2</v>
      </c>
      <c r="L43" s="1">
        <f>IFERROR((COUNTIFS($D45:$D104,"牛市",G45:G104,G43)-COUNTIFS($D45:$D104,"熊市",G45:G104,G43))/COUNTIFS(G45:G104,G43),L44)</f>
        <v>6.25E-2</v>
      </c>
      <c r="M43" s="1">
        <f>IFERROR((COUNTIFS($D45:$D104,"牛市",H45:H104,H43)-COUNTIFS($D45:$D104,"熊市",H45:H104,H43))/COUNTIFS(H45:H104,H43),M44)</f>
        <v>0.12</v>
      </c>
      <c r="N43" s="1">
        <f>IFERROR((COUNTIFS($D45:$D104,"牛市",I45:I104,I43)-COUNTIFS($D45:$D104,"熊市",I45:I104,I43))/COUNTIFS(I45:I104,I43),N44)</f>
        <v>0.23529411764705882</v>
      </c>
      <c r="O43" s="1">
        <f>IFERROR((COUNTIFS($D45:$D104,"牛市",J45:J104,J43)-COUNTIFS($D45:$D104,"熊市",J45:J104,J43))/COUNTIFS(J45:J104,J43),O44)</f>
        <v>-0.33333333333333331</v>
      </c>
      <c r="P43" s="1">
        <f>IFERROR((COUNTIFS($E45:$E104,"牛市",F45:F104,F43)-COUNTIFS($E45:$E104,"熊市",F45:F104,F43))/COUNTIFS(F45:F104,F43),P44)</f>
        <v>0.29729729729729731</v>
      </c>
      <c r="Q43" s="1">
        <f>IFERROR((COUNTIFS($E45:$E104,"牛市",G45:G104,G43)-COUNTIFS($E45:$E104,"熊市",G45:G104,G43))/COUNTIFS(G45:G104,G43),Q44)</f>
        <v>0.3125</v>
      </c>
      <c r="R43" s="1">
        <f>IFERROR((COUNTIFS($E45:$E104,"牛市",H45:H104,H43)-COUNTIFS($E45:$E104,"熊市",H45:H104,H43))/COUNTIFS(H45:H104,H43),R44)</f>
        <v>0.48</v>
      </c>
      <c r="S43" s="1">
        <f>IFERROR((COUNTIFS($E45:$E104,"牛市",I45:I104,I43)-COUNTIFS($E45:$E104,"熊市",I45:I104,I43))/COUNTIFS(I45:I104,I43),S44)</f>
        <v>-0.17647058823529413</v>
      </c>
      <c r="T43" s="1">
        <f>IFERROR((COUNTIFS($E45:$E104,"牛市",J45:J104,J43)-COUNTIFS($E45:$E104,"熊市",J45:J104,J43))/COUNTIFS(J45:J104,J43),T44)</f>
        <v>0.33333333333333331</v>
      </c>
    </row>
    <row r="44" spans="1:20" x14ac:dyDescent="0.35">
      <c r="A44" s="12">
        <v>45230</v>
      </c>
      <c r="B44" s="13">
        <v>-2.1621674454430502</v>
      </c>
      <c r="C44" s="87">
        <v>4.9216052631579004</v>
      </c>
      <c r="D44" s="1" t="str">
        <f t="shared" si="30"/>
        <v>熊市</v>
      </c>
      <c r="E44" s="1" t="str">
        <f t="shared" si="31"/>
        <v>熊市</v>
      </c>
      <c r="F44" s="1" t="str">
        <f>VLOOKUP(A44,'货币信用框架5-货币政策目标+信用脉冲'!A:L,12,0)</f>
        <v>宽货币紧信用</v>
      </c>
      <c r="G44" s="1" t="str">
        <f>VLOOKUP(A44,'信贷库存框架1-票据+贷款余额'!A:L,12,0)</f>
        <v>被动补库存</v>
      </c>
      <c r="H44" s="1" t="str">
        <f>IFERROR(VLOOKUP(A44,'财政货币框架1&amp;2底稿'!A:N,14,0),H45)</f>
        <v>双宽</v>
      </c>
      <c r="I44" s="1" t="str">
        <f>IFERROR(VLOOKUP(A44,美林时钟!A:W,23,0),I45)</f>
        <v>过热</v>
      </c>
      <c r="J44" s="1" t="str">
        <f>VLOOKUP(A44,库存与产能周期2!A:Q,17,0)</f>
        <v>产能周期下行,主动补库存</v>
      </c>
      <c r="K44" s="1">
        <f>IFERROR((COUNTIFS($D46:$D105,"牛市",F46:F105,F44)-COUNTIFS($D46:$D105,"熊市",F46:F105,F44))/COUNTIFS(F46:F105,F44),K45)</f>
        <v>0</v>
      </c>
      <c r="L44" s="1">
        <f>IFERROR((COUNTIFS($D46:$D105,"牛市",G46:G105,G44)-COUNTIFS($D46:$D105,"熊市",G46:G105,G44))/COUNTIFS(G46:G105,G44),L45)</f>
        <v>0.13333333333333333</v>
      </c>
      <c r="M44" s="1">
        <f>IFERROR((COUNTIFS($D46:$D105,"牛市",H46:H105,H44)-COUNTIFS($D46:$D105,"熊市",H46:H105,H44))/COUNTIFS(H46:H105,H44),M45)</f>
        <v>0.2</v>
      </c>
      <c r="N44" s="1">
        <f>IFERROR((COUNTIFS($D46:$D105,"牛市",I46:I105,I44)-COUNTIFS($D46:$D105,"熊市",I46:I105,I44))/COUNTIFS(I46:I105,I44),N45)</f>
        <v>0.3125</v>
      </c>
      <c r="O44" s="1">
        <f>IFERROR((COUNTIFS($D46:$D105,"牛市",J46:J105,J44)-COUNTIFS($D46:$D105,"熊市",J46:J105,J44))/COUNTIFS(J46:J105,J44),O45)</f>
        <v>0</v>
      </c>
      <c r="P44" s="1">
        <f>IFERROR((COUNTIFS($E46:$E105,"牛市",F46:F105,F44)-COUNTIFS($E46:$E105,"熊市",F46:F105,F44))/COUNTIFS(F46:F105,F44),P45)</f>
        <v>0.29729729729729731</v>
      </c>
      <c r="Q44" s="1">
        <f>IFERROR((COUNTIFS($E46:$E105,"牛市",G46:G105,G44)-COUNTIFS($E46:$E105,"熊市",G46:G105,G44))/COUNTIFS(G46:G105,G44),Q45)</f>
        <v>0.4</v>
      </c>
      <c r="R44" s="1">
        <f>IFERROR((COUNTIFS($E46:$E105,"牛市",H46:H105,H44)-COUNTIFS($E46:$E105,"熊市",H46:H105,H44))/COUNTIFS(H46:H105,H44),R45)</f>
        <v>0.48</v>
      </c>
      <c r="S44" s="1">
        <f>IFERROR((COUNTIFS($E46:$E105,"牛市",I46:I105,I44)-COUNTIFS($E46:$E105,"熊市",I46:I105,I44))/COUNTIFS(I46:I105,I44),S45)</f>
        <v>-0.125</v>
      </c>
      <c r="T44" s="1">
        <f>IFERROR((COUNTIFS($E46:$E105,"牛市",J46:J105,J44)-COUNTIFS($E46:$E105,"熊市",J46:J105,J44))/COUNTIFS(J46:J105,J44),T45)</f>
        <v>1</v>
      </c>
    </row>
    <row r="45" spans="1:20" x14ac:dyDescent="0.35">
      <c r="A45" s="12">
        <v>45199</v>
      </c>
      <c r="B45" s="13">
        <v>-1.090224311450847</v>
      </c>
      <c r="C45" s="87">
        <v>4.6761521739129996</v>
      </c>
      <c r="D45" s="1" t="str">
        <f t="shared" si="30"/>
        <v>熊市</v>
      </c>
      <c r="E45" s="1" t="str">
        <f t="shared" si="31"/>
        <v>熊市</v>
      </c>
      <c r="F45" s="1" t="str">
        <f>VLOOKUP(A45,'货币信用框架5-货币政策目标+信用脉冲'!A:L,12,0)</f>
        <v>宽货币紧信用</v>
      </c>
      <c r="G45" s="1" t="str">
        <f>VLOOKUP(A45,'信贷库存框架1-票据+贷款余额'!A:L,12,0)</f>
        <v>被动补库存</v>
      </c>
      <c r="H45" s="1" t="str">
        <f>IFERROR(VLOOKUP(A45,'财政货币框架1&amp;2底稿'!A:N,14,0),H46)</f>
        <v>双宽</v>
      </c>
      <c r="I45" s="1" t="str">
        <f>IFERROR(VLOOKUP(A45,美林时钟!A:W,23,0),I46)</f>
        <v>过热</v>
      </c>
      <c r="J45" s="1" t="str">
        <f>VLOOKUP(A45,库存与产能周期2!A:Q,17,0)</f>
        <v>产能周期下行,主动补库存</v>
      </c>
      <c r="K45" s="1">
        <f>IFERROR((COUNTIFS($D47:$D106,"牛市",F47:F106,F45)-COUNTIFS($D47:$D106,"熊市",F47:F106,F45))/COUNTIFS(F47:F106,F45),K46)</f>
        <v>0</v>
      </c>
      <c r="L45" s="1">
        <f>IFERROR((COUNTIFS($D47:$D106,"牛市",G47:G106,G45)-COUNTIFS($D47:$D106,"熊市",G47:G106,G45))/COUNTIFS(G47:G106,G45),L46)</f>
        <v>0.21428571428571427</v>
      </c>
      <c r="M45" s="1">
        <f>IFERROR((COUNTIFS($D47:$D106,"牛市",H47:H106,H45)-COUNTIFS($D47:$D106,"熊市",H47:H106,H45))/COUNTIFS(H47:H106,H45),M46)</f>
        <v>0.2</v>
      </c>
      <c r="N45" s="1">
        <f>IFERROR((COUNTIFS($D47:$D106,"牛市",I47:I106,I45)-COUNTIFS($D47:$D106,"熊市",I47:I106,I45))/COUNTIFS(I47:I106,I45),N46)</f>
        <v>0.4</v>
      </c>
      <c r="O45" s="1">
        <f>IFERROR((COUNTIFS($D47:$D106,"牛市",J47:J106,J45)-COUNTIFS($D47:$D106,"熊市",J47:J106,J45))/COUNTIFS(J47:J106,J45),O46)</f>
        <v>1</v>
      </c>
      <c r="P45" s="1">
        <f>IFERROR((COUNTIFS($E47:$E106,"牛市",F47:F106,F45)-COUNTIFS($E47:$E106,"熊市",F47:F106,F45))/COUNTIFS(F47:F106,F45),P46)</f>
        <v>0.24324324324324326</v>
      </c>
      <c r="Q45" s="1">
        <f>IFERROR((COUNTIFS($E47:$E106,"牛市",G47:G106,G45)-COUNTIFS($E47:$E106,"熊市",G47:G106,G45))/COUNTIFS(G47:G106,G45),Q46)</f>
        <v>0.35714285714285715</v>
      </c>
      <c r="R45" s="1">
        <f>IFERROR((COUNTIFS($E47:$E106,"牛市",H47:H106,H45)-COUNTIFS($E47:$E106,"熊市",H47:H106,H45))/COUNTIFS(H47:H106,H45),R46)</f>
        <v>0.4</v>
      </c>
      <c r="S45" s="1">
        <f>IFERROR((COUNTIFS($E47:$E106,"牛市",I47:I106,I45)-COUNTIFS($E47:$E106,"熊市",I47:I106,I45))/COUNTIFS(I47:I106,I45),S46)</f>
        <v>-0.2</v>
      </c>
      <c r="T45" s="1">
        <f>IFERROR((COUNTIFS($E47:$E106,"牛市",J47:J106,J45)-COUNTIFS($E47:$E106,"熊市",J47:J106,J45))/COUNTIFS(J47:J106,J45),T46)</f>
        <v>1</v>
      </c>
    </row>
    <row r="46" spans="1:20" x14ac:dyDescent="0.35">
      <c r="A46" s="12">
        <v>45169</v>
      </c>
      <c r="B46" s="13">
        <v>-5.6137094679973538</v>
      </c>
      <c r="C46" s="87">
        <v>-3.8170807453415998</v>
      </c>
      <c r="D46" s="1" t="str">
        <f t="shared" si="30"/>
        <v>熊市</v>
      </c>
      <c r="E46" s="1" t="str">
        <f t="shared" si="31"/>
        <v>牛市</v>
      </c>
      <c r="F46" s="1" t="str">
        <f>VLOOKUP(A46,'货币信用框架5-货币政策目标+信用脉冲'!A:L,12,0)</f>
        <v>宽货币紧信用</v>
      </c>
      <c r="G46" s="1" t="str">
        <f>VLOOKUP(A46,'信贷库存框架1-票据+贷款余额'!A:L,12,0)</f>
        <v>被动补库存</v>
      </c>
      <c r="H46" s="1" t="str">
        <f>IFERROR(VLOOKUP(A46,'财政货币框架1&amp;2底稿'!A:N,14,0),H47)</f>
        <v>双宽</v>
      </c>
      <c r="I46" s="1" t="str">
        <f>IFERROR(VLOOKUP(A46,美林时钟!A:W,23,0),I47)</f>
        <v>过热</v>
      </c>
      <c r="J46" s="1" t="str">
        <f>VLOOKUP(A46,库存与产能周期2!A:Q,17,0)</f>
        <v>产能周期下行,主动补库存</v>
      </c>
      <c r="K46" s="1">
        <f>IFERROR((COUNTIFS($D48:$D107,"牛市",F48:F107,F46)-COUNTIFS($D48:$D107,"熊市",F48:F107,F46))/COUNTIFS(F48:F107,F46),K47)</f>
        <v>-2.7027027027027029E-2</v>
      </c>
      <c r="L46" s="1">
        <f>IFERROR((COUNTIFS($D48:$D107,"牛市",G48:G107,G46)-COUNTIFS($D48:$D107,"熊市",G48:G107,G46))/COUNTIFS(G48:G107,G46),L47)</f>
        <v>0.15384615384615385</v>
      </c>
      <c r="M46" s="1">
        <f>IFERROR((COUNTIFS($D48:$D107,"牛市",H48:H107,H46)-COUNTIFS($D48:$D107,"熊市",H48:H107,H46))/COUNTIFS(H48:H107,H46),M47)</f>
        <v>0.16</v>
      </c>
      <c r="N46" s="1">
        <f>IFERROR((COUNTIFS($D48:$D107,"牛市",I48:I107,I46)-COUNTIFS($D48:$D107,"熊市",I48:I107,I46))/COUNTIFS(I48:I107,I46),N47)</f>
        <v>0.35714285714285715</v>
      </c>
      <c r="O46" s="1">
        <f>IFERROR((COUNTIFS($D48:$D107,"牛市",J48:J107,J46)-COUNTIFS($D48:$D107,"熊市",J48:J107,J46))/COUNTIFS(J48:J107,J46),O47)</f>
        <v>-0.2</v>
      </c>
      <c r="P46" s="1">
        <f>IFERROR((COUNTIFS($E48:$E107,"牛市",F48:F107,F46)-COUNTIFS($E48:$E107,"熊市",F48:F107,F46))/COUNTIFS(F48:F107,F46),P47)</f>
        <v>0.24324324324324326</v>
      </c>
      <c r="Q46" s="1">
        <f>IFERROR((COUNTIFS($E48:$E107,"牛市",G48:G107,G46)-COUNTIFS($E48:$E107,"熊市",G48:G107,G46))/COUNTIFS(G48:G107,G46),Q47)</f>
        <v>0.30769230769230771</v>
      </c>
      <c r="R46" s="1">
        <f>IFERROR((COUNTIFS($E48:$E107,"牛市",H48:H107,H46)-COUNTIFS($E48:$E107,"熊市",H48:H107,H46))/COUNTIFS(H48:H107,H46),R47)</f>
        <v>0.4</v>
      </c>
      <c r="S46" s="1">
        <f>IFERROR((COUNTIFS($E48:$E107,"牛市",I48:I107,I46)-COUNTIFS($E48:$E107,"熊市",I48:I107,I46))/COUNTIFS(I48:I107,I46),S47)</f>
        <v>-0.2857142857142857</v>
      </c>
      <c r="T46" s="1">
        <f>IFERROR((COUNTIFS($E48:$E107,"牛市",J48:J107,J46)-COUNTIFS($E48:$E107,"熊市",J48:J107,J46))/COUNTIFS(J48:J107,J46),T47)</f>
        <v>0.2</v>
      </c>
    </row>
    <row r="47" spans="1:20" x14ac:dyDescent="0.35">
      <c r="A47" s="12">
        <v>45138</v>
      </c>
      <c r="B47" s="13">
        <v>2.4722745685347052</v>
      </c>
      <c r="C47" s="87">
        <v>-2.9390476190475998</v>
      </c>
      <c r="D47" s="1" t="str">
        <f t="shared" si="30"/>
        <v>牛市</v>
      </c>
      <c r="E47" s="1" t="str">
        <f t="shared" si="31"/>
        <v>牛市</v>
      </c>
      <c r="F47" s="1" t="str">
        <f>VLOOKUP(A47,'货币信用框架5-货币政策目标+信用脉冲'!A:L,12,0)</f>
        <v>宽货币紧信用</v>
      </c>
      <c r="G47" s="1" t="str">
        <f>VLOOKUP(A47,'信贷库存框架1-票据+贷款余额'!A:L,12,0)</f>
        <v>被动补库存</v>
      </c>
      <c r="H47" s="1" t="str">
        <f>IFERROR(VLOOKUP(A47,'财政货币框架1&amp;2底稿'!A:N,14,0),H48)</f>
        <v>双宽</v>
      </c>
      <c r="I47" s="1" t="str">
        <f>IFERROR(VLOOKUP(A47,美林时钟!A:W,23,0),I48)</f>
        <v>过热</v>
      </c>
      <c r="J47" s="1" t="str">
        <f>VLOOKUP(A47,库存与产能周期2!A:Q,17,0)</f>
        <v>产能周期下行,主动补库存</v>
      </c>
      <c r="K47" s="1">
        <f>IFERROR((COUNTIFS($D49:$D108,"牛市",F49:F108,F47)-COUNTIFS($D49:$D108,"熊市",F49:F108,F47))/COUNTIFS(F49:F108,F47),K48)</f>
        <v>-8.1081081081081086E-2</v>
      </c>
      <c r="L47" s="1">
        <f>IFERROR((COUNTIFS($D49:$D108,"牛市",G49:G108,G47)-COUNTIFS($D49:$D108,"熊市",G49:G108,G47))/COUNTIFS(G49:G108,G47),L48)</f>
        <v>7.1428571428571425E-2</v>
      </c>
      <c r="M47" s="1">
        <f>IFERROR((COUNTIFS($D49:$D108,"牛市",H49:H108,H47)-COUNTIFS($D49:$D108,"熊市",H49:H108,H47))/COUNTIFS(H49:H108,H47),M48)</f>
        <v>0.11538461538461539</v>
      </c>
      <c r="N47" s="1">
        <f>IFERROR((COUNTIFS($D49:$D108,"牛市",I49:I108,I47)-COUNTIFS($D49:$D108,"熊市",I49:I108,I47))/COUNTIFS(I49:I108,I47),N48)</f>
        <v>0.35714285714285715</v>
      </c>
      <c r="O47" s="1">
        <f>IFERROR((COUNTIFS($D49:$D108,"牛市",J49:J108,J47)-COUNTIFS($D49:$D108,"熊市",J49:J108,J47))/COUNTIFS(J49:J108,J47),O48)</f>
        <v>-0.2</v>
      </c>
      <c r="P47" s="1">
        <f>IFERROR((COUNTIFS($E49:$E108,"牛市",F49:F108,F47)-COUNTIFS($E49:$E108,"熊市",F49:F108,F47))/COUNTIFS(F49:F108,F47),P48)</f>
        <v>0.24324324324324326</v>
      </c>
      <c r="Q47" s="1">
        <f>IFERROR((COUNTIFS($E49:$E108,"牛市",G49:G108,G47)-COUNTIFS($E49:$E108,"熊市",G49:G108,G47))/COUNTIFS(G49:G108,G47),Q48)</f>
        <v>0.35714285714285715</v>
      </c>
      <c r="R47" s="1">
        <f>IFERROR((COUNTIFS($E49:$E108,"牛市",H49:H108,H47)-COUNTIFS($E49:$E108,"熊市",H49:H108,H47))/COUNTIFS(H49:H108,H47),R48)</f>
        <v>0.42307692307692307</v>
      </c>
      <c r="S47" s="1">
        <f>IFERROR((COUNTIFS($E49:$E108,"牛市",I49:I108,I47)-COUNTIFS($E49:$E108,"熊市",I49:I108,I47))/COUNTIFS(I49:I108,I47),S48)</f>
        <v>-0.2857142857142857</v>
      </c>
      <c r="T47" s="1">
        <f>IFERROR((COUNTIFS($E49:$E108,"牛市",J49:J108,J47)-COUNTIFS($E49:$E108,"熊市",J49:J108,J47))/COUNTIFS(J49:J108,J47),T48)</f>
        <v>0.2</v>
      </c>
    </row>
    <row r="48" spans="1:20" x14ac:dyDescent="0.35">
      <c r="A48" s="12">
        <v>45107</v>
      </c>
      <c r="B48" s="13">
        <v>1.5787271882165539</v>
      </c>
      <c r="C48" s="87">
        <v>-5.0428571428571001</v>
      </c>
      <c r="D48" s="1" t="str">
        <f t="shared" si="30"/>
        <v>牛市</v>
      </c>
      <c r="E48" s="1" t="str">
        <f t="shared" si="31"/>
        <v>牛市</v>
      </c>
      <c r="F48" s="1" t="str">
        <f>VLOOKUP(A48,'货币信用框架5-货币政策目标+信用脉冲'!A:L,12,0)</f>
        <v>宽货币紧信用</v>
      </c>
      <c r="G48" s="1" t="str">
        <f>VLOOKUP(A48,'信贷库存框架1-票据+贷款余额'!A:L,12,0)</f>
        <v>主动去库存</v>
      </c>
      <c r="H48" s="1" t="str">
        <f>IFERROR(VLOOKUP(A48,'财政货币框架1&amp;2底稿'!A:N,14,0),H49)</f>
        <v>宽货币紧财政</v>
      </c>
      <c r="I48" s="1" t="str">
        <f>IFERROR(VLOOKUP(A48,美林时钟!A:W,23,0),I49)</f>
        <v>复苏</v>
      </c>
      <c r="J48" s="1" t="str">
        <f>VLOOKUP(A48,库存与产能周期2!A:Q,17,0)</f>
        <v>产能周期下行,被动去库存</v>
      </c>
      <c r="K48" s="1">
        <f>IFERROR((COUNTIFS($D50:$D109,"牛市",F50:F109,F48)-COUNTIFS($D50:$D109,"熊市",F50:F109,F48))/COUNTIFS(F50:F109,F48),K49)</f>
        <v>-5.4054054054054057E-2</v>
      </c>
      <c r="L48" s="1">
        <f>IFERROR((COUNTIFS($D50:$D109,"牛市",G50:G109,G48)-COUNTIFS($D50:$D109,"熊市",G50:G109,G48))/COUNTIFS(G50:G109,G48),L49)</f>
        <v>0.18181818181818182</v>
      </c>
      <c r="M48" s="1">
        <f>IFERROR((COUNTIFS($D50:$D109,"牛市",H50:H109,H48)-COUNTIFS($D50:$D109,"熊市",H50:H109,H48))/COUNTIFS(H50:H109,H48),M49)</f>
        <v>0.05</v>
      </c>
      <c r="N48" s="1">
        <f>IFERROR((COUNTIFS($D50:$D109,"牛市",I50:I109,I48)-COUNTIFS($D50:$D109,"熊市",I50:I109,I48))/COUNTIFS(I50:I109,I48),N49)</f>
        <v>-6.25E-2</v>
      </c>
      <c r="O48" s="1">
        <f>IFERROR((COUNTIFS($D50:$D109,"牛市",J50:J109,J48)-COUNTIFS($D50:$D109,"熊市",J50:J109,J48))/COUNTIFS(J50:J109,J48),O49)</f>
        <v>-0.2</v>
      </c>
      <c r="P48" s="1">
        <f>IFERROR((COUNTIFS($E50:$E109,"牛市",F50:F109,F48)-COUNTIFS($E50:$E109,"熊市",F50:F109,F48))/COUNTIFS(F50:F109,F48),P49)</f>
        <v>0.21621621621621623</v>
      </c>
      <c r="Q48" s="1">
        <f>IFERROR((COUNTIFS($E50:$E109,"牛市",G50:G109,G48)-COUNTIFS($E50:$E109,"熊市",G50:G109,G48))/COUNTIFS(G50:G109,G48),Q49)</f>
        <v>4.5454545454545456E-2</v>
      </c>
      <c r="R48" s="1">
        <f>IFERROR((COUNTIFS($E50:$E109,"牛市",H50:H109,H48)-COUNTIFS($E50:$E109,"熊市",H50:H109,H48))/COUNTIFS(H50:H109,H48),R49)</f>
        <v>0.25</v>
      </c>
      <c r="S48" s="1">
        <f>IFERROR((COUNTIFS($E50:$E109,"牛市",I50:I109,I48)-COUNTIFS($E50:$E109,"熊市",I50:I109,I48))/COUNTIFS(I50:I109,I48),S49)</f>
        <v>0.25</v>
      </c>
      <c r="T48" s="1">
        <f>IFERROR((COUNTIFS($E50:$E109,"牛市",J50:J109,J48)-COUNTIFS($E50:$E109,"熊市",J50:J109,J48))/COUNTIFS(J50:J109,J48),T49)</f>
        <v>0.2</v>
      </c>
    </row>
    <row r="49" spans="1:20" x14ac:dyDescent="0.35">
      <c r="A49" s="12">
        <v>45077</v>
      </c>
      <c r="B49" s="13">
        <v>-3.3120754729155002</v>
      </c>
      <c r="C49" s="87">
        <v>-11.1246666666667</v>
      </c>
      <c r="D49" s="1" t="str">
        <f t="shared" si="30"/>
        <v>熊市</v>
      </c>
      <c r="E49" s="1" t="str">
        <f t="shared" si="31"/>
        <v>牛市</v>
      </c>
      <c r="F49" s="1" t="str">
        <f>VLOOKUP(A49,'货币信用框架5-货币政策目标+信用脉冲'!A:L,12,0)</f>
        <v>宽货币紧信用</v>
      </c>
      <c r="G49" s="1" t="str">
        <f>VLOOKUP(A49,'信贷库存框架1-票据+贷款余额'!A:L,12,0)</f>
        <v>主动去库存</v>
      </c>
      <c r="H49" s="1" t="str">
        <f>IFERROR(VLOOKUP(A49,'财政货币框架1&amp;2底稿'!A:N,14,0),H50)</f>
        <v>宽货币紧财政</v>
      </c>
      <c r="I49" s="1" t="str">
        <f>IFERROR(VLOOKUP(A49,美林时钟!A:W,23,0),I50)</f>
        <v>复苏</v>
      </c>
      <c r="J49" s="1" t="str">
        <f>VLOOKUP(A49,库存与产能周期2!A:Q,17,0)</f>
        <v>产能周期下行,被动去库存</v>
      </c>
      <c r="K49" s="1">
        <f>IFERROR((COUNTIFS($D51:$D110,"牛市",F51:F110,F49)-COUNTIFS($D51:$D110,"熊市",F51:F110,F49))/COUNTIFS(F51:F110,F49),K50)</f>
        <v>-5.4054054054054057E-2</v>
      </c>
      <c r="L49" s="1">
        <f>IFERROR((COUNTIFS($D51:$D110,"牛市",G51:G110,G49)-COUNTIFS($D51:$D110,"熊市",G51:G110,G49))/COUNTIFS(G51:G110,G49),L50)</f>
        <v>0.23809523809523808</v>
      </c>
      <c r="M49" s="1">
        <f>IFERROR((COUNTIFS($D51:$D110,"牛市",H51:H110,H49)-COUNTIFS($D51:$D110,"熊市",H51:H110,H49))/COUNTIFS(H51:H110,H49),M50)</f>
        <v>0.10526315789473684</v>
      </c>
      <c r="N49" s="1">
        <f>IFERROR((COUNTIFS($D51:$D110,"牛市",I51:I110,I49)-COUNTIFS($D51:$D110,"熊市",I51:I110,I49))/COUNTIFS(I51:I110,I49),N50)</f>
        <v>0</v>
      </c>
      <c r="O49" s="1">
        <f>IFERROR((COUNTIFS($D51:$D110,"牛市",J51:J110,J49)-COUNTIFS($D51:$D110,"熊市",J51:J110,J49))/COUNTIFS(J51:J110,J49),O50)</f>
        <v>0</v>
      </c>
      <c r="P49" s="1">
        <f>IFERROR((COUNTIFS($E51:$E110,"牛市",F51:F110,F49)-COUNTIFS($E51:$E110,"熊市",F51:F110,F49))/COUNTIFS(F51:F110,F49),P50)</f>
        <v>0.21621621621621623</v>
      </c>
      <c r="Q49" s="1">
        <f>IFERROR((COUNTIFS($E51:$E110,"牛市",G51:G110,G49)-COUNTIFS($E51:$E110,"熊市",G51:G110,G49))/COUNTIFS(G51:G110,G49),Q50)</f>
        <v>0</v>
      </c>
      <c r="R49" s="1">
        <f>IFERROR((COUNTIFS($E51:$E110,"牛市",H51:H110,H49)-COUNTIFS($E51:$E110,"熊市",H51:H110,H49))/COUNTIFS(H51:H110,H49),R50)</f>
        <v>0.21052631578947367</v>
      </c>
      <c r="S49" s="1">
        <f>IFERROR((COUNTIFS($E51:$E110,"牛市",I51:I110,I49)-COUNTIFS($E51:$E110,"熊市",I51:I110,I49))/COUNTIFS(I51:I110,I49),S50)</f>
        <v>0.2</v>
      </c>
      <c r="T49" s="1">
        <f>IFERROR((COUNTIFS($E51:$E110,"牛市",J51:J110,J49)-COUNTIFS($E51:$E110,"熊市",J51:J110,J49))/COUNTIFS(J51:J110,J49),T50)</f>
        <v>0</v>
      </c>
    </row>
    <row r="50" spans="1:20" x14ac:dyDescent="0.35">
      <c r="A50" s="12">
        <v>45046</v>
      </c>
      <c r="B50" s="13">
        <v>-1.4446498789723901</v>
      </c>
      <c r="C50" s="87">
        <v>-4.0989565217391002</v>
      </c>
      <c r="D50" s="1" t="str">
        <f t="shared" si="30"/>
        <v>熊市</v>
      </c>
      <c r="E50" s="1" t="str">
        <f t="shared" si="31"/>
        <v>牛市</v>
      </c>
      <c r="F50" s="1" t="str">
        <f>VLOOKUP(A50,'货币信用框架5-货币政策目标+信用脉冲'!A:L,12,0)</f>
        <v>宽货币紧信用</v>
      </c>
      <c r="G50" s="1" t="str">
        <f>VLOOKUP(A50,'信贷库存框架1-票据+贷款余额'!A:L,12,0)</f>
        <v>主动去库存</v>
      </c>
      <c r="H50" s="1" t="str">
        <f>IFERROR(VLOOKUP(A50,'财政货币框架1&amp;2底稿'!A:N,14,0),H51)</f>
        <v>宽货币紧财政</v>
      </c>
      <c r="I50" s="1" t="str">
        <f>IFERROR(VLOOKUP(A50,美林时钟!A:W,23,0),I51)</f>
        <v>复苏</v>
      </c>
      <c r="J50" s="1" t="str">
        <f>VLOOKUP(A50,库存与产能周期2!A:Q,17,0)</f>
        <v>产能周期下行,被动去库存</v>
      </c>
      <c r="K50" s="1">
        <f>IFERROR((COUNTIFS($D52:$D111,"牛市",F52:F111,F50)-COUNTIFS($D52:$D111,"熊市",F52:F111,F50))/COUNTIFS(F52:F111,F50),K51)</f>
        <v>-5.5555555555555552E-2</v>
      </c>
      <c r="L50" s="1">
        <f>IFERROR((COUNTIFS($D52:$D111,"牛市",G52:G111,G50)-COUNTIFS($D52:$D111,"熊市",G52:G111,G50))/COUNTIFS(G52:G111,G50),L51)</f>
        <v>0.23809523809523808</v>
      </c>
      <c r="M50" s="1">
        <f>IFERROR((COUNTIFS($D52:$D111,"牛市",H52:H111,H50)-COUNTIFS($D52:$D111,"熊市",H52:H111,H50))/COUNTIFS(H52:H111,H50),M51)</f>
        <v>0.1111111111111111</v>
      </c>
      <c r="N50" s="1">
        <f>IFERROR((COUNTIFS($D52:$D111,"牛市",I52:I111,I50)-COUNTIFS($D52:$D111,"熊市",I52:I111,I50))/COUNTIFS(I52:I111,I50),N51)</f>
        <v>0</v>
      </c>
      <c r="O50" s="1">
        <f>IFERROR((COUNTIFS($D52:$D111,"牛市",J52:J111,J50)-COUNTIFS($D52:$D111,"熊市",J52:J111,J50))/COUNTIFS(J52:J111,J50),O51)</f>
        <v>0</v>
      </c>
      <c r="P50" s="1">
        <f>IFERROR((COUNTIFS($E52:$E111,"牛市",F52:F111,F50)-COUNTIFS($E52:$E111,"熊市",F52:F111,F50))/COUNTIFS(F52:F111,F50),P51)</f>
        <v>0.19444444444444445</v>
      </c>
      <c r="Q50" s="1">
        <f>IFERROR((COUNTIFS($E52:$E111,"牛市",G52:G111,G50)-COUNTIFS($E52:$E111,"熊市",G52:G111,G50))/COUNTIFS(G52:G111,G50),Q51)</f>
        <v>0</v>
      </c>
      <c r="R50" s="1">
        <f>IFERROR((COUNTIFS($E52:$E111,"牛市",H52:H111,H50)-COUNTIFS($E52:$E111,"熊市",H52:H111,H50))/COUNTIFS(H52:H111,H50),R51)</f>
        <v>0.16666666666666666</v>
      </c>
      <c r="S50" s="1">
        <f>IFERROR((COUNTIFS($E52:$E111,"牛市",I52:I111,I50)-COUNTIFS($E52:$E111,"熊市",I52:I111,I50))/COUNTIFS(I52:I111,I50),S51)</f>
        <v>0.14285714285714285</v>
      </c>
      <c r="T50" s="1">
        <f>IFERROR((COUNTIFS($E52:$E111,"牛市",J52:J111,J50)-COUNTIFS($E52:$E111,"熊市",J52:J111,J50))/COUNTIFS(J52:J111,J50),T51)</f>
        <v>-0.33333333333333331</v>
      </c>
    </row>
    <row r="51" spans="1:20" x14ac:dyDescent="0.35">
      <c r="A51" s="12">
        <v>45016</v>
      </c>
      <c r="B51" s="13">
        <v>-0.82606640307027102</v>
      </c>
      <c r="C51" s="87">
        <v>-3.3730434782608998</v>
      </c>
      <c r="D51" s="1" t="str">
        <f t="shared" si="30"/>
        <v>震荡</v>
      </c>
      <c r="E51" s="1" t="str">
        <f t="shared" si="31"/>
        <v>牛市</v>
      </c>
      <c r="F51" s="1" t="str">
        <f>VLOOKUP(A51,'货币信用框架5-货币政策目标+信用脉冲'!A:L,12,0)</f>
        <v>宽货币紧信用</v>
      </c>
      <c r="G51" s="1" t="str">
        <f>VLOOKUP(A51,'信贷库存框架1-票据+贷款余额'!A:L,12,0)</f>
        <v>被动去库存</v>
      </c>
      <c r="H51" s="1" t="str">
        <f>IFERROR(VLOOKUP(A51,'财政货币框架1&amp;2底稿'!A:N,14,0),H52)</f>
        <v>宽货币紧财政</v>
      </c>
      <c r="I51" s="1" t="str">
        <f>IFERROR(VLOOKUP(A51,美林时钟!A:W,23,0),I52)</f>
        <v>复苏</v>
      </c>
      <c r="J51" s="1" t="str">
        <f>VLOOKUP(A51,库存与产能周期2!A:Q,17,0)</f>
        <v>产能周期下行,被动去库存</v>
      </c>
      <c r="K51" s="1">
        <f>IFERROR((COUNTIFS($D53:$D112,"牛市",F53:F112,F51)-COUNTIFS($D53:$D112,"熊市",F53:F112,F51))/COUNTIFS(F53:F112,F51),K52)</f>
        <v>-5.7142857142857141E-2</v>
      </c>
      <c r="L51" s="1">
        <f>IFERROR((COUNTIFS($D53:$D112,"牛市",G53:G112,G51)-COUNTIFS($D53:$D112,"熊市",G53:G112,G51))/COUNTIFS(G53:G112,G51),L52)</f>
        <v>-0.25</v>
      </c>
      <c r="M51" s="1">
        <f>IFERROR((COUNTIFS($D53:$D112,"牛市",H53:H112,H51)-COUNTIFS($D53:$D112,"熊市",H53:H112,H51))/COUNTIFS(H53:H112,H51),M52)</f>
        <v>0.11764705882352941</v>
      </c>
      <c r="N51" s="1">
        <f>IFERROR((COUNTIFS($D53:$D112,"牛市",I53:I112,I51)-COUNTIFS($D53:$D112,"熊市",I53:I112,I51))/COUNTIFS(I53:I112,I51),N52)</f>
        <v>-7.1428571428571425E-2</v>
      </c>
      <c r="O51" s="1">
        <f>IFERROR((COUNTIFS($D53:$D112,"牛市",J53:J112,J51)-COUNTIFS($D53:$D112,"熊市",J53:J112,J51))/COUNTIFS(J53:J112,J51),O52)</f>
        <v>0</v>
      </c>
      <c r="P51" s="1">
        <f>IFERROR((COUNTIFS($E53:$E112,"牛市",F53:F112,F51)-COUNTIFS($E53:$E112,"熊市",F53:F112,F51))/COUNTIFS(F53:F112,F51),P52)</f>
        <v>0.2</v>
      </c>
      <c r="Q51" s="1">
        <f>IFERROR((COUNTIFS($E53:$E112,"牛市",G53:G112,G51)-COUNTIFS($E53:$E112,"熊市",G53:G112,G51))/COUNTIFS(G53:G112,G51),Q52)</f>
        <v>-0.25</v>
      </c>
      <c r="R51" s="1">
        <f>IFERROR((COUNTIFS($E53:$E112,"牛市",H53:H112,H51)-COUNTIFS($E53:$E112,"熊市",H53:H112,H51))/COUNTIFS(H53:H112,H51),R52)</f>
        <v>0.17647058823529413</v>
      </c>
      <c r="S51" s="1">
        <f>IFERROR((COUNTIFS($E53:$E112,"牛市",I53:I112,I51)-COUNTIFS($E53:$E112,"熊市",I53:I112,I51))/COUNTIFS(I53:I112,I51),S52)</f>
        <v>0.21428571428571427</v>
      </c>
      <c r="T51" s="1">
        <f>IFERROR((COUNTIFS($E53:$E112,"牛市",J53:J112,J51)-COUNTIFS($E53:$E112,"熊市",J53:J112,J51))/COUNTIFS(J53:J112,J51),T52)</f>
        <v>-0.5</v>
      </c>
    </row>
    <row r="52" spans="1:20" x14ac:dyDescent="0.35">
      <c r="A52" s="12">
        <v>44985</v>
      </c>
      <c r="B52" s="13">
        <v>-2.3713060250783999E-2</v>
      </c>
      <c r="C52" s="87">
        <v>1.9522222222222001</v>
      </c>
      <c r="D52" s="1" t="str">
        <f t="shared" si="30"/>
        <v>震荡</v>
      </c>
      <c r="E52" s="1" t="str">
        <f t="shared" si="31"/>
        <v>震荡</v>
      </c>
      <c r="F52" s="1" t="str">
        <f>VLOOKUP(A52,'货币信用框架5-货币政策目标+信用脉冲'!A:L,12,0)</f>
        <v>宽货币紧信用</v>
      </c>
      <c r="G52" s="1" t="str">
        <f>VLOOKUP(A52,'信贷库存框架1-票据+贷款余额'!A:L,12,0)</f>
        <v>被动去库存</v>
      </c>
      <c r="H52" s="1" t="str">
        <f>IFERROR(VLOOKUP(A52,'财政货币框架1&amp;2底稿'!A:N,14,0),H53)</f>
        <v>宽货币紧财政</v>
      </c>
      <c r="I52" s="1" t="str">
        <f>IFERROR(VLOOKUP(A52,美林时钟!A:W,23,0),I53)</f>
        <v>复苏</v>
      </c>
      <c r="J52" s="1" t="str">
        <f>VLOOKUP(A52,库存与产能周期2!A:Q,17,0)</f>
        <v>产能周期下行,被动去库存</v>
      </c>
      <c r="K52" s="1">
        <f>IFERROR((COUNTIFS($D54:$D113,"牛市",F54:F113,F52)-COUNTIFS($D54:$D113,"熊市",F54:F113,F52))/COUNTIFS(F54:F113,F52),K53)</f>
        <v>-8.8235294117647065E-2</v>
      </c>
      <c r="L52" s="1">
        <f>IFERROR((COUNTIFS($D54:$D113,"牛市",G54:G113,G52)-COUNTIFS($D54:$D113,"熊市",G54:G113,G52))/COUNTIFS(G54:G113,G52),L53)</f>
        <v>-0.42857142857142855</v>
      </c>
      <c r="M52" s="1">
        <f>IFERROR((COUNTIFS($D54:$D113,"牛市",H54:H113,H52)-COUNTIFS($D54:$D113,"熊市",H54:H113,H52))/COUNTIFS(H54:H113,H52),M53)</f>
        <v>0.11764705882352941</v>
      </c>
      <c r="N52" s="1">
        <f>IFERROR((COUNTIFS($D54:$D113,"牛市",I54:I113,I52)-COUNTIFS($D54:$D113,"熊市",I54:I113,I52))/COUNTIFS(I54:I113,I52),N53)</f>
        <v>0</v>
      </c>
      <c r="O52" s="1">
        <f>IFERROR((COUNTIFS($D54:$D113,"牛市",J54:J113,J52)-COUNTIFS($D54:$D113,"熊市",J54:J113,J52))/COUNTIFS(J54:J113,J52),O53)</f>
        <v>-1</v>
      </c>
      <c r="P52" s="1">
        <f>IFERROR((COUNTIFS($E54:$E113,"牛市",F54:F113,F52)-COUNTIFS($E54:$E113,"熊市",F54:F113,F52))/COUNTIFS(F54:F113,F52),P53)</f>
        <v>0.20588235294117646</v>
      </c>
      <c r="Q52" s="1">
        <f>IFERROR((COUNTIFS($E54:$E113,"牛市",G54:G113,G52)-COUNTIFS($E54:$E113,"熊市",G54:G113,G52))/COUNTIFS(G54:G113,G52),Q53)</f>
        <v>-0.2857142857142857</v>
      </c>
      <c r="R52" s="1">
        <f>IFERROR((COUNTIFS($E54:$E113,"牛市",H54:H113,H52)-COUNTIFS($E54:$E113,"熊市",H54:H113,H52))/COUNTIFS(H54:H113,H52),R53)</f>
        <v>0.17647058823529413</v>
      </c>
      <c r="S52" s="1">
        <f>IFERROR((COUNTIFS($E54:$E113,"牛市",I54:I113,I52)-COUNTIFS($E54:$E113,"熊市",I54:I113,I52))/COUNTIFS(I54:I113,I52),S53)</f>
        <v>0.13333333333333333</v>
      </c>
      <c r="T52" s="1">
        <f>IFERROR((COUNTIFS($E54:$E113,"牛市",J54:J113,J52)-COUNTIFS($E54:$E113,"熊市",J54:J113,J52))/COUNTIFS(J54:J113,J52),T53)</f>
        <v>-1</v>
      </c>
    </row>
    <row r="53" spans="1:20" x14ac:dyDescent="0.35">
      <c r="A53" s="12">
        <v>44957</v>
      </c>
      <c r="B53" s="13">
        <v>7.3820713626821624</v>
      </c>
      <c r="C53" s="87">
        <v>1.6342995169082</v>
      </c>
      <c r="D53" s="1" t="str">
        <f t="shared" si="30"/>
        <v>牛市</v>
      </c>
      <c r="E53" s="1" t="str">
        <f t="shared" si="31"/>
        <v>震荡</v>
      </c>
      <c r="F53" s="1" t="str">
        <f>VLOOKUP(A53,'货币信用框架5-货币政策目标+信用脉冲'!A:L,12,0)</f>
        <v>宽货币紧信用</v>
      </c>
      <c r="G53" s="1" t="str">
        <f>VLOOKUP(A53,'信贷库存框架1-票据+贷款余额'!A:L,12,0)</f>
        <v>被动去库存</v>
      </c>
      <c r="H53" s="1" t="str">
        <f>IFERROR(VLOOKUP(A53,'财政货币框架1&amp;2底稿'!A:N,14,0),H54)</f>
        <v>双紧</v>
      </c>
      <c r="I53" s="1" t="str">
        <f>IFERROR(VLOOKUP(A53,美林时钟!A:W,23,0),I54)</f>
        <v>衰退</v>
      </c>
      <c r="J53" s="1" t="str">
        <f>VLOOKUP(A53,库存与产能周期2!A:Q,17,0)</f>
        <v>产能周期下行,被动去库存</v>
      </c>
      <c r="K53" s="1">
        <f>IFERROR((COUNTIFS($D55:$D114,"牛市",F55:F114,F53)-COUNTIFS($D55:$D114,"熊市",F55:F114,F53))/COUNTIFS(F55:F114,F53),K54)</f>
        <v>-6.0606060606060608E-2</v>
      </c>
      <c r="L53" s="1">
        <f>IFERROR((COUNTIFS($D55:$D114,"牛市",G55:G114,G53)-COUNTIFS($D55:$D114,"熊市",G55:G114,G53))/COUNTIFS(G55:G114,G53),L54)</f>
        <v>-0.33333333333333331</v>
      </c>
      <c r="M53" s="1">
        <f>IFERROR((COUNTIFS($D55:$D114,"牛市",H55:H114,H53)-COUNTIFS($D55:$D114,"熊市",H55:H114,H53))/COUNTIFS(H55:H114,H53),M54)</f>
        <v>0</v>
      </c>
      <c r="N53" s="1">
        <f>IFERROR((COUNTIFS($D55:$D114,"牛市",I55:I114,I53)-COUNTIFS($D55:$D114,"熊市",I55:I114,I53))/COUNTIFS(I55:I114,I53),N54)</f>
        <v>0</v>
      </c>
      <c r="O53" s="1">
        <f>IFERROR((COUNTIFS($D55:$D114,"牛市",J55:J114,J53)-COUNTIFS($D55:$D114,"熊市",J55:J114,J53))/COUNTIFS(J55:J114,J53),O54)</f>
        <v>-0.33333333333333331</v>
      </c>
      <c r="P53" s="1">
        <f>IFERROR((COUNTIFS($E55:$E114,"牛市",F55:F114,F53)-COUNTIFS($E55:$E114,"熊市",F55:F114,F53))/COUNTIFS(F55:F114,F53),P54)</f>
        <v>0.24242424242424243</v>
      </c>
      <c r="Q53" s="1">
        <f>IFERROR((COUNTIFS($E55:$E114,"牛市",G55:G114,G53)-COUNTIFS($E55:$E114,"熊市",G55:G114,G53))/COUNTIFS(G55:G114,G53),Q54)</f>
        <v>-0.16666666666666666</v>
      </c>
      <c r="R53" s="1">
        <f>IFERROR((COUNTIFS($E55:$E114,"牛市",H55:H114,H53)-COUNTIFS($E55:$E114,"熊市",H55:H114,H53))/COUNTIFS(H55:H114,H53),R54)</f>
        <v>-0.42857142857142855</v>
      </c>
      <c r="S53" s="1">
        <f>IFERROR((COUNTIFS($E55:$E114,"牛市",I55:I114,I53)-COUNTIFS($E55:$E114,"熊市",I55:I114,I53))/COUNTIFS(I55:I114,I53),S54)</f>
        <v>0.2</v>
      </c>
      <c r="T53" s="1">
        <f>IFERROR((COUNTIFS($E55:$E114,"牛市",J55:J114,J53)-COUNTIFS($E55:$E114,"熊市",J55:J114,J53))/COUNTIFS(J55:J114,J53),T54)</f>
        <v>0.16666666666666666</v>
      </c>
    </row>
    <row r="54" spans="1:20" x14ac:dyDescent="0.35">
      <c r="A54" s="12">
        <v>44926</v>
      </c>
      <c r="B54" s="13">
        <v>-2.115280685197241</v>
      </c>
      <c r="C54" s="87">
        <v>9.1552964426877992</v>
      </c>
      <c r="D54" s="1" t="str">
        <f t="shared" si="30"/>
        <v>熊市</v>
      </c>
      <c r="E54" s="1" t="str">
        <f t="shared" si="31"/>
        <v>熊市</v>
      </c>
      <c r="F54" s="1" t="str">
        <f>VLOOKUP(A54,'货币信用框架5-货币政策目标+信用脉冲'!A:L,12,0)</f>
        <v>宽货币紧信用</v>
      </c>
      <c r="G54" s="1" t="str">
        <f>VLOOKUP(A54,'信贷库存框架1-票据+贷款余额'!A:L,12,0)</f>
        <v>被动去库存</v>
      </c>
      <c r="H54" s="1" t="str">
        <f>IFERROR(VLOOKUP(A54,'财政货币框架1&amp;2底稿'!A:N,14,0),H55)</f>
        <v>双紧</v>
      </c>
      <c r="I54" s="1" t="str">
        <f>IFERROR(VLOOKUP(A54,美林时钟!A:W,23,0),I55)</f>
        <v>衰退</v>
      </c>
      <c r="J54" s="1" t="str">
        <f>VLOOKUP(A54,库存与产能周期2!A:Q,17,0)</f>
        <v>产能周期下行,被动去库存</v>
      </c>
      <c r="K54" s="1">
        <f>IFERROR((COUNTIFS($D56:$D115,"牛市",F56:F115,F54)-COUNTIFS($D56:$D115,"熊市",F56:F115,F54))/COUNTIFS(F56:F115,F54),K55)</f>
        <v>-9.375E-2</v>
      </c>
      <c r="L54" s="1">
        <f>IFERROR((COUNTIFS($D56:$D115,"牛市",G56:G115,G54)-COUNTIFS($D56:$D115,"熊市",G56:G115,G54))/COUNTIFS(G56:G115,G54),L55)</f>
        <v>-0.6</v>
      </c>
      <c r="M54" s="1">
        <f>IFERROR((COUNTIFS($D56:$D115,"牛市",H56:H115,H54)-COUNTIFS($D56:$D115,"熊市",H56:H115,H54))/COUNTIFS(H56:H115,H54),M55)</f>
        <v>-0.14285714285714285</v>
      </c>
      <c r="N54" s="1">
        <f>IFERROR((COUNTIFS($D56:$D115,"牛市",I56:I115,I54)-COUNTIFS($D56:$D115,"熊市",I56:I115,I54))/COUNTIFS(I56:I115,I54),N55)</f>
        <v>-5.2631578947368418E-2</v>
      </c>
      <c r="O54" s="1">
        <f>IFERROR((COUNTIFS($D56:$D115,"牛市",J56:J115,J54)-COUNTIFS($D56:$D115,"熊市",J56:J115,J54))/COUNTIFS(J56:J115,J54),O55)</f>
        <v>-0.33333333333333331</v>
      </c>
      <c r="P54" s="1">
        <f>IFERROR((COUNTIFS($E56:$E115,"牛市",F56:F115,F54)-COUNTIFS($E56:$E115,"熊市",F56:F115,F54))/COUNTIFS(F56:F115,F54),P55)</f>
        <v>0.28125</v>
      </c>
      <c r="Q54" s="1">
        <f>IFERROR((COUNTIFS($E56:$E115,"牛市",G56:G115,G54)-COUNTIFS($E56:$E115,"熊市",G56:G115,G54))/COUNTIFS(G56:G115,G54),Q55)</f>
        <v>0</v>
      </c>
      <c r="R54" s="1">
        <f>IFERROR((COUNTIFS($E56:$E115,"牛市",H56:H115,H54)-COUNTIFS($E56:$E115,"熊市",H56:H115,H54))/COUNTIFS(H56:H115,H54),R55)</f>
        <v>-0.42857142857142855</v>
      </c>
      <c r="S54" s="1">
        <f>IFERROR((COUNTIFS($E56:$E115,"牛市",I56:I115,I54)-COUNTIFS($E56:$E115,"熊市",I56:I115,I54))/COUNTIFS(I56:I115,I54),S55)</f>
        <v>0.26315789473684209</v>
      </c>
      <c r="T54" s="1">
        <f>IFERROR((COUNTIFS($E56:$E115,"牛市",J56:J115,J54)-COUNTIFS($E56:$E115,"熊市",J56:J115,J54))/COUNTIFS(J56:J115,J54),T55)</f>
        <v>0.16666666666666666</v>
      </c>
    </row>
    <row r="55" spans="1:20" x14ac:dyDescent="0.35">
      <c r="A55" s="12">
        <v>44895</v>
      </c>
      <c r="B55" s="13">
        <v>7.8584045191373848</v>
      </c>
      <c r="C55" s="87">
        <v>6.1242929292929</v>
      </c>
      <c r="D55" s="1" t="str">
        <f t="shared" si="30"/>
        <v>牛市</v>
      </c>
      <c r="E55" s="1" t="str">
        <f t="shared" si="31"/>
        <v>熊市</v>
      </c>
      <c r="F55" s="1" t="str">
        <f>VLOOKUP(A55,'货币信用框架5-货币政策目标+信用脉冲'!A:L,12,0)</f>
        <v>宽货币紧信用</v>
      </c>
      <c r="G55" s="1" t="str">
        <f>VLOOKUP(A55,'信贷库存框架1-票据+贷款余额'!A:L,12,0)</f>
        <v>被动去库存</v>
      </c>
      <c r="H55" s="1" t="str">
        <f>IFERROR(VLOOKUP(A55,'财政货币框架1&amp;2底稿'!A:N,14,0),H56)</f>
        <v>双紧</v>
      </c>
      <c r="I55" s="1" t="str">
        <f>IFERROR(VLOOKUP(A55,美林时钟!A:W,23,0),I56)</f>
        <v>衰退</v>
      </c>
      <c r="J55" s="1" t="str">
        <f>VLOOKUP(A55,库存与产能周期2!A:Q,17,0)</f>
        <v>产能周期下行,主动去库存</v>
      </c>
      <c r="K55" s="1">
        <f>IFERROR((COUNTIFS($D57:$D116,"牛市",F57:F116,F55)-COUNTIFS($D57:$D116,"熊市",F57:F116,F55))/COUNTIFS(F57:F116,F55),K56)</f>
        <v>-6.4516129032258063E-2</v>
      </c>
      <c r="L55" s="1">
        <f>IFERROR((COUNTIFS($D57:$D116,"牛市",G57:G116,G55)-COUNTIFS($D57:$D116,"熊市",G57:G116,G55))/COUNTIFS(G57:G116,G55),L56)</f>
        <v>-0.5</v>
      </c>
      <c r="M55" s="1">
        <f>IFERROR((COUNTIFS($D57:$D116,"牛市",H57:H116,H55)-COUNTIFS($D57:$D116,"熊市",H57:H116,H55))/COUNTIFS(H57:H116,H55),M56)</f>
        <v>0</v>
      </c>
      <c r="N55" s="1">
        <f>IFERROR((COUNTIFS($D57:$D116,"牛市",I57:I116,I55)-COUNTIFS($D57:$D116,"熊市",I57:I116,I55))/COUNTIFS(I57:I116,I55),N56)</f>
        <v>0</v>
      </c>
      <c r="O55" s="1">
        <f>IFERROR((COUNTIFS($D57:$D116,"牛市",J57:J116,J55)-COUNTIFS($D57:$D116,"熊市",J57:J116,J55))/COUNTIFS(J57:J116,J55),O56)</f>
        <v>-0.33333333333333331</v>
      </c>
      <c r="P55" s="1">
        <f>IFERROR((COUNTIFS($E57:$E116,"牛市",F57:F116,F55)-COUNTIFS($E57:$E116,"熊市",F57:F116,F55))/COUNTIFS(F57:F116,F55),P56)</f>
        <v>0.32258064516129031</v>
      </c>
      <c r="Q55" s="1">
        <f>IFERROR((COUNTIFS($E57:$E116,"牛市",G57:G116,G55)-COUNTIFS($E57:$E116,"熊市",G57:G116,G55))/COUNTIFS(G57:G116,G55),Q56)</f>
        <v>0.25</v>
      </c>
      <c r="R55" s="1">
        <f>IFERROR((COUNTIFS($E57:$E116,"牛市",H57:H116,H55)-COUNTIFS($E57:$E116,"熊市",H57:H116,H55))/COUNTIFS(H57:H116,H55),R56)</f>
        <v>-0.42857142857142855</v>
      </c>
      <c r="S55" s="1">
        <f>IFERROR((COUNTIFS($E57:$E116,"牛市",I57:I116,I55)-COUNTIFS($E57:$E116,"熊市",I57:I116,I55))/COUNTIFS(I57:I116,I55),S56)</f>
        <v>0.33333333333333331</v>
      </c>
      <c r="T55" s="1">
        <f>IFERROR((COUNTIFS($E57:$E116,"牛市",J57:J116,J55)-COUNTIFS($E57:$E116,"熊市",J57:J116,J55))/COUNTIFS(J57:J116,J55),T56)</f>
        <v>0.16666666666666666</v>
      </c>
    </row>
    <row r="56" spans="1:20" x14ac:dyDescent="0.35">
      <c r="A56" s="12">
        <v>44865</v>
      </c>
      <c r="B56" s="13">
        <v>-2.5452413464418222</v>
      </c>
      <c r="C56" s="87">
        <v>4.8357936507936996</v>
      </c>
      <c r="D56" s="1" t="str">
        <f t="shared" si="30"/>
        <v>熊市</v>
      </c>
      <c r="E56" s="1" t="str">
        <f t="shared" si="31"/>
        <v>熊市</v>
      </c>
      <c r="F56" s="1" t="str">
        <f>VLOOKUP(A56,'货币信用框架5-货币政策目标+信用脉冲'!A:L,12,0)</f>
        <v>宽货币紧信用</v>
      </c>
      <c r="G56" s="1" t="str">
        <f>VLOOKUP(A56,'信贷库存框架1-票据+贷款余额'!A:L,12,0)</f>
        <v>被动去库存</v>
      </c>
      <c r="H56" s="1" t="str">
        <f>IFERROR(VLOOKUP(A56,'财政货币框架1&amp;2底稿'!A:N,14,0),H57)</f>
        <v>双紧</v>
      </c>
      <c r="I56" s="1" t="str">
        <f>IFERROR(VLOOKUP(A56,美林时钟!A:W,23,0),I57)</f>
        <v>衰退</v>
      </c>
      <c r="J56" s="1" t="str">
        <f>VLOOKUP(A56,库存与产能周期2!A:Q,17,0)</f>
        <v>产能周期下行,主动去库存</v>
      </c>
      <c r="K56" s="1">
        <f>IFERROR((COUNTIFS($D58:$D117,"牛市",F58:F117,F56)-COUNTIFS($D58:$D117,"熊市",F58:F117,F56))/COUNTIFS(F58:F117,F56),K57)</f>
        <v>-3.3333333333333333E-2</v>
      </c>
      <c r="L56" s="1">
        <f>IFERROR((COUNTIFS($D58:$D117,"牛市",G58:G117,G56)-COUNTIFS($D58:$D117,"熊市",G58:G117,G56))/COUNTIFS(G58:G117,G56),L57)</f>
        <v>-0.33333333333333331</v>
      </c>
      <c r="M56" s="1">
        <f>IFERROR((COUNTIFS($D58:$D117,"牛市",H58:H117,H56)-COUNTIFS($D58:$D117,"熊市",H58:H117,H56))/COUNTIFS(H58:H117,H56),M57)</f>
        <v>0.14285714285714285</v>
      </c>
      <c r="N56" s="1">
        <f>IFERROR((COUNTIFS($D58:$D117,"牛市",I58:I117,I56)-COUNTIFS($D58:$D117,"熊市",I58:I117,I56))/COUNTIFS(I58:I117,I56),N57)</f>
        <v>0</v>
      </c>
      <c r="O56" s="1">
        <f>IFERROR((COUNTIFS($D58:$D117,"牛市",J58:J117,J56)-COUNTIFS($D58:$D117,"熊市",J58:J117,J56))/COUNTIFS(J58:J117,J56),O57)</f>
        <v>-0.2</v>
      </c>
      <c r="P56" s="1">
        <f>IFERROR((COUNTIFS($E58:$E117,"牛市",F58:F117,F56)-COUNTIFS($E58:$E117,"熊市",F58:F117,F56))/COUNTIFS(F58:F117,F56),P57)</f>
        <v>0.33333333333333331</v>
      </c>
      <c r="Q56" s="1">
        <f>IFERROR((COUNTIFS($E58:$E117,"牛市",G58:G117,G56)-COUNTIFS($E58:$E117,"熊市",G58:G117,G56))/COUNTIFS(G58:G117,G56),Q57)</f>
        <v>0.33333333333333331</v>
      </c>
      <c r="R56" s="1">
        <f>IFERROR((COUNTIFS($E58:$E117,"牛市",H58:H117,H56)-COUNTIFS($E58:$E117,"熊市",H58:H117,H56))/COUNTIFS(H58:H117,H56),R57)</f>
        <v>-0.42857142857142855</v>
      </c>
      <c r="S56" s="1">
        <f>IFERROR((COUNTIFS($E58:$E117,"牛市",I58:I117,I56)-COUNTIFS($E58:$E117,"熊市",I58:I117,I56))/COUNTIFS(I58:I117,I56),S57)</f>
        <v>0.33333333333333331</v>
      </c>
      <c r="T56" s="1">
        <f>IFERROR((COUNTIFS($E58:$E117,"牛市",J58:J117,J56)-COUNTIFS($E58:$E117,"熊市",J58:J117,J56))/COUNTIFS(J58:J117,J56),T57)</f>
        <v>0.2</v>
      </c>
    </row>
    <row r="57" spans="1:20" x14ac:dyDescent="0.35">
      <c r="A57" s="12">
        <v>44834</v>
      </c>
      <c r="B57" s="13">
        <v>-7.5689670938947913</v>
      </c>
      <c r="C57" s="87">
        <v>-0.1566873706005</v>
      </c>
      <c r="D57" s="1" t="str">
        <f t="shared" si="30"/>
        <v>熊市</v>
      </c>
      <c r="E57" s="1" t="str">
        <f t="shared" si="31"/>
        <v>震荡</v>
      </c>
      <c r="F57" s="1" t="str">
        <f>VLOOKUP(A57,'货币信用框架5-货币政策目标+信用脉冲'!A:L,12,0)</f>
        <v>宽货币紧信用</v>
      </c>
      <c r="G57" s="1" t="str">
        <f>VLOOKUP(A57,'信贷库存框架1-票据+贷款余额'!A:L,12,0)</f>
        <v>被动去库存</v>
      </c>
      <c r="H57" s="1" t="str">
        <f>IFERROR(VLOOKUP(A57,'财政货币框架1&amp;2底稿'!A:N,14,0),H58)</f>
        <v>双紧</v>
      </c>
      <c r="I57" s="1" t="str">
        <f>IFERROR(VLOOKUP(A57,美林时钟!A:W,23,0),I58)</f>
        <v>复苏</v>
      </c>
      <c r="J57" s="1" t="str">
        <f>VLOOKUP(A57,库存与产能周期2!A:Q,17,0)</f>
        <v>产能周期下行,主动去库存</v>
      </c>
      <c r="K57" s="1">
        <f>IFERROR((COUNTIFS($D59:$D118,"牛市",F59:F118,F57)-COUNTIFS($D59:$D118,"熊市",F59:F118,F57))/COUNTIFS(F59:F118,F57),K58)</f>
        <v>0</v>
      </c>
      <c r="L57" s="1">
        <f>IFERROR((COUNTIFS($D59:$D118,"牛市",G59:G118,G57)-COUNTIFS($D59:$D118,"熊市",G59:G118,G57))/COUNTIFS(G59:G118,G57),L58)</f>
        <v>0</v>
      </c>
      <c r="M57" s="1">
        <f>IFERROR((COUNTIFS($D59:$D118,"牛市",H59:H118,H57)-COUNTIFS($D59:$D118,"熊市",H59:H118,H57))/COUNTIFS(H59:H118,H57),M58)</f>
        <v>0.2857142857142857</v>
      </c>
      <c r="N57" s="1">
        <f>IFERROR((COUNTIFS($D59:$D118,"牛市",I59:I118,I57)-COUNTIFS($D59:$D118,"熊市",I59:I118,I57))/COUNTIFS(I59:I118,I57),N58)</f>
        <v>0.17647058823529413</v>
      </c>
      <c r="O57" s="1">
        <f>IFERROR((COUNTIFS($D59:$D118,"牛市",J59:J118,J57)-COUNTIFS($D59:$D118,"熊市",J59:J118,J57))/COUNTIFS(J59:J118,J57),O58)</f>
        <v>0</v>
      </c>
      <c r="P57" s="1">
        <f>IFERROR((COUNTIFS($E59:$E118,"牛市",F59:F118,F57)-COUNTIFS($E59:$E118,"熊市",F59:F118,F57))/COUNTIFS(F59:F118,F57),P58)</f>
        <v>0.31034482758620691</v>
      </c>
      <c r="Q57" s="1">
        <f>IFERROR((COUNTIFS($E59:$E118,"牛市",G59:G118,G57)-COUNTIFS($E59:$E118,"熊市",G59:G118,G57))/COUNTIFS(G59:G118,G57),Q58)</f>
        <v>0</v>
      </c>
      <c r="R57" s="1">
        <f>IFERROR((COUNTIFS($E59:$E118,"牛市",H59:H118,H57)-COUNTIFS($E59:$E118,"熊市",H59:H118,H57))/COUNTIFS(H59:H118,H57),R58)</f>
        <v>-0.5714285714285714</v>
      </c>
      <c r="S57" s="1">
        <f>IFERROR((COUNTIFS($E59:$E118,"牛市",I59:I118,I57)-COUNTIFS($E59:$E118,"熊市",I59:I118,I57))/COUNTIFS(I59:I118,I57),S58)</f>
        <v>0</v>
      </c>
      <c r="T57" s="1">
        <f>IFERROR((COUNTIFS($E59:$E118,"牛市",J59:J118,J57)-COUNTIFS($E59:$E118,"熊市",J59:J118,J57))/COUNTIFS(J59:J118,J57),T58)</f>
        <v>0</v>
      </c>
    </row>
    <row r="58" spans="1:20" x14ac:dyDescent="0.35">
      <c r="A58" s="12">
        <v>44804</v>
      </c>
      <c r="B58" s="13">
        <v>-2.864756092570556</v>
      </c>
      <c r="C58" s="87">
        <v>-13.2261697722567</v>
      </c>
      <c r="D58" s="1" t="str">
        <f t="shared" si="30"/>
        <v>熊市</v>
      </c>
      <c r="E58" s="1" t="str">
        <f t="shared" si="31"/>
        <v>牛市</v>
      </c>
      <c r="F58" s="1" t="str">
        <f>VLOOKUP(A58,'货币信用框架5-货币政策目标+信用脉冲'!A:L,12,0)</f>
        <v>宽货币紧信用</v>
      </c>
      <c r="G58" s="1" t="str">
        <f>VLOOKUP(A58,'信贷库存框架1-票据+贷款余额'!A:L,12,0)</f>
        <v>被动去库存</v>
      </c>
      <c r="H58" s="1" t="str">
        <f>IFERROR(VLOOKUP(A58,'财政货币框架1&amp;2底稿'!A:N,14,0),H59)</f>
        <v>双紧</v>
      </c>
      <c r="I58" s="1" t="str">
        <f>IFERROR(VLOOKUP(A58,美林时钟!A:W,23,0),I59)</f>
        <v>复苏</v>
      </c>
      <c r="J58" s="1" t="str">
        <f>VLOOKUP(A58,库存与产能周期2!A:Q,17,0)</f>
        <v>产能周期下行,主动去库存</v>
      </c>
      <c r="K58" s="1">
        <f>IFERROR((COUNTIFS($D60:$D119,"牛市",F60:F119,F58)-COUNTIFS($D60:$D119,"熊市",F60:F119,F58))/COUNTIFS(F60:F119,F58),K59)</f>
        <v>3.5714285714285712E-2</v>
      </c>
      <c r="L58" s="1">
        <f>IFERROR((COUNTIFS($D60:$D119,"牛市",G60:G119,G58)-COUNTIFS($D60:$D119,"熊市",G60:G119,G58))/COUNTIFS(G60:G119,G58),L59)</f>
        <v>1</v>
      </c>
      <c r="M58" s="1">
        <f>IFERROR((COUNTIFS($D60:$D119,"牛市",H60:H119,H58)-COUNTIFS($D60:$D119,"熊市",H60:H119,H58))/COUNTIFS(H60:H119,H58),M59)</f>
        <v>0.42857142857142855</v>
      </c>
      <c r="N58" s="1">
        <f>IFERROR((COUNTIFS($D60:$D119,"牛市",I60:I119,I58)-COUNTIFS($D60:$D119,"熊市",I60:I119,I58))/COUNTIFS(I60:I119,I58),N59)</f>
        <v>0.25</v>
      </c>
      <c r="O58" s="1">
        <f>IFERROR((COUNTIFS($D60:$D119,"牛市",J60:J119,J58)-COUNTIFS($D60:$D119,"熊市",J60:J119,J58))/COUNTIFS(J60:J119,J58),O59)</f>
        <v>0.33333333333333331</v>
      </c>
      <c r="P58" s="1">
        <f>IFERROR((COUNTIFS($E60:$E119,"牛市",F60:F119,F58)-COUNTIFS($E60:$E119,"熊市",F60:F119,F58))/COUNTIFS(F60:F119,F58),P59)</f>
        <v>0.32142857142857145</v>
      </c>
      <c r="Q58" s="1">
        <f>IFERROR((COUNTIFS($E60:$E119,"牛市",G60:G119,G58)-COUNTIFS($E60:$E119,"熊市",G60:G119,G58))/COUNTIFS(G60:G119,G58),Q59)</f>
        <v>0</v>
      </c>
      <c r="R58" s="1">
        <f>IFERROR((COUNTIFS($E60:$E119,"牛市",H60:H119,H58)-COUNTIFS($E60:$E119,"熊市",H60:H119,H58))/COUNTIFS(H60:H119,H58),R59)</f>
        <v>-0.5714285714285714</v>
      </c>
      <c r="S58" s="1">
        <f>IFERROR((COUNTIFS($E60:$E119,"牛市",I60:I119,I58)-COUNTIFS($E60:$E119,"熊市",I60:I119,I58))/COUNTIFS(I60:I119,I58),S59)</f>
        <v>0</v>
      </c>
      <c r="T58" s="1">
        <f>IFERROR((COUNTIFS($E60:$E119,"牛市",J60:J119,J58)-COUNTIFS($E60:$E119,"熊市",J60:J119,J58))/COUNTIFS(J60:J119,J58),T59)</f>
        <v>0</v>
      </c>
    </row>
    <row r="59" spans="1:20" x14ac:dyDescent="0.35">
      <c r="A59" s="12">
        <v>44773</v>
      </c>
      <c r="B59" s="13">
        <v>-2.6689821537484342</v>
      </c>
      <c r="C59" s="87">
        <v>1.6309523809524</v>
      </c>
      <c r="D59" s="1" t="str">
        <f t="shared" si="30"/>
        <v>熊市</v>
      </c>
      <c r="E59" s="1" t="str">
        <f t="shared" si="31"/>
        <v>震荡</v>
      </c>
      <c r="F59" s="1" t="str">
        <f>VLOOKUP(A59,'货币信用框架5-货币政策目标+信用脉冲'!A:L,12,0)</f>
        <v>宽货币紧信用</v>
      </c>
      <c r="G59" s="1" t="str">
        <f>VLOOKUP(A59,'信贷库存框架1-票据+贷款余额'!A:L,12,0)</f>
        <v>被动去库存</v>
      </c>
      <c r="H59" s="1" t="str">
        <f>IFERROR(VLOOKUP(A59,'财政货币框架1&amp;2底稿'!A:N,14,0),H60)</f>
        <v>双紧</v>
      </c>
      <c r="I59" s="1" t="str">
        <f>IFERROR(VLOOKUP(A59,美林时钟!A:W,23,0),I60)</f>
        <v>复苏</v>
      </c>
      <c r="J59" s="1" t="str">
        <f>VLOOKUP(A59,库存与产能周期2!A:Q,17,0)</f>
        <v>产能周期下行,主动去库存</v>
      </c>
      <c r="K59" s="1">
        <f>IFERROR((COUNTIFS($D61:$D120,"牛市",F61:F120,F59)-COUNTIFS($D61:$D120,"熊市",F61:F120,F59))/COUNTIFS(F61:F120,F59),K60)</f>
        <v>0</v>
      </c>
      <c r="L59" s="1">
        <f>IFERROR((COUNTIFS($D61:$D120,"牛市",G61:G120,G59)-COUNTIFS($D61:$D120,"熊市",G61:G120,G59))/COUNTIFS(G61:G120,G59),L60)</f>
        <v>0</v>
      </c>
      <c r="M59" s="1">
        <f>IFERROR((COUNTIFS($D61:$D120,"牛市",H61:H120,H59)-COUNTIFS($D61:$D120,"熊市",H61:H120,H59))/COUNTIFS(H61:H120,H59),M60)</f>
        <v>0.42857142857142855</v>
      </c>
      <c r="N59" s="1">
        <f>IFERROR((COUNTIFS($D61:$D120,"牛市",I61:I120,I59)-COUNTIFS($D61:$D120,"熊市",I61:I120,I59))/COUNTIFS(I61:I120,I59),N60)</f>
        <v>0.2</v>
      </c>
      <c r="O59" s="1">
        <f>IFERROR((COUNTIFS($D61:$D120,"牛市",J61:J120,J59)-COUNTIFS($D61:$D120,"熊市",J61:J120,J59))/COUNTIFS(J61:J120,J59),O60)</f>
        <v>0</v>
      </c>
      <c r="P59" s="1">
        <f>IFERROR((COUNTIFS($E61:$E120,"牛市",F61:F120,F59)-COUNTIFS($E61:$E120,"熊市",F61:F120,F59))/COUNTIFS(F61:F120,F59),P60)</f>
        <v>0.33333333333333331</v>
      </c>
      <c r="Q59" s="1">
        <f>IFERROR((COUNTIFS($E61:$E120,"牛市",G61:G120,G59)-COUNTIFS($E61:$E120,"熊市",G61:G120,G59))/COUNTIFS(G61:G120,G59),Q60)</f>
        <v>0.3</v>
      </c>
      <c r="R59" s="1">
        <f>IFERROR((COUNTIFS($E61:$E120,"牛市",H61:H120,H59)-COUNTIFS($E61:$E120,"熊市",H61:H120,H59))/COUNTIFS(H61:H120,H59),R60)</f>
        <v>-0.5714285714285714</v>
      </c>
      <c r="S59" s="1">
        <f>IFERROR((COUNTIFS($E61:$E120,"牛市",I61:I120,I59)-COUNTIFS($E61:$E120,"熊市",I61:I120,I59))/COUNTIFS(I61:I120,I59),S60)</f>
        <v>0</v>
      </c>
      <c r="T59" s="1">
        <f>IFERROR((COUNTIFS($E61:$E120,"牛市",J61:J120,J59)-COUNTIFS($E61:$E120,"熊市",J61:J120,J59))/COUNTIFS(J61:J120,J59),T60)</f>
        <v>0</v>
      </c>
    </row>
    <row r="60" spans="1:20" x14ac:dyDescent="0.35">
      <c r="A60" s="12">
        <v>44742</v>
      </c>
      <c r="B60" s="13">
        <v>9.6799967821170902</v>
      </c>
      <c r="C60" s="87">
        <v>-0.19500000000000001</v>
      </c>
      <c r="D60" s="1" t="str">
        <f t="shared" si="30"/>
        <v>牛市</v>
      </c>
      <c r="E60" s="1" t="str">
        <f t="shared" si="31"/>
        <v>震荡</v>
      </c>
      <c r="F60" s="1" t="str">
        <f>VLOOKUP(A60,'货币信用框架5-货币政策目标+信用脉冲'!A:L,12,0)</f>
        <v>宽货币紧信用</v>
      </c>
      <c r="G60" s="1" t="str">
        <f>VLOOKUP(A60,'信贷库存框架1-票据+贷款余额'!A:L,12,0)</f>
        <v>被动去库存</v>
      </c>
      <c r="H60" s="1" t="str">
        <f>IFERROR(VLOOKUP(A60,'财政货币框架1&amp;2底稿'!A:N,14,0),H61)</f>
        <v>双宽</v>
      </c>
      <c r="I60" s="1" t="str">
        <f>IFERROR(VLOOKUP(A60,美林时钟!A:W,23,0),I61)</f>
        <v>复苏</v>
      </c>
      <c r="J60" s="1" t="str">
        <f>VLOOKUP(A60,库存与产能周期2!A:Q,17,0)</f>
        <v>产能周期下行,主动去库存</v>
      </c>
      <c r="K60" s="1">
        <f>IFERROR((COUNTIFS($D62:$D121,"牛市",F62:F121,F60)-COUNTIFS($D62:$D121,"熊市",F62:F121,F60))/COUNTIFS(F62:F121,F60),K61)</f>
        <v>-3.8461538461538464E-2</v>
      </c>
      <c r="L60" s="1">
        <f>IFERROR((COUNTIFS($D62:$D121,"牛市",G62:G121,G60)-COUNTIFS($D62:$D121,"熊市",G62:G121,G60))/COUNTIFS(G62:G121,G60),L61)</f>
        <v>0</v>
      </c>
      <c r="M60" s="1">
        <f>IFERROR((COUNTIFS($D62:$D121,"牛市",H62:H121,H60)-COUNTIFS($D62:$D121,"熊市",H62:H121,H60))/COUNTIFS(H62:H121,H60),M61)</f>
        <v>0</v>
      </c>
      <c r="N60" s="1">
        <f>IFERROR((COUNTIFS($D62:$D121,"牛市",I62:I121,I60)-COUNTIFS($D62:$D121,"熊市",I62:I121,I60))/COUNTIFS(I62:I121,I60),N61)</f>
        <v>0.2</v>
      </c>
      <c r="O60" s="1">
        <f>IFERROR((COUNTIFS($D62:$D121,"牛市",J62:J121,J60)-COUNTIFS($D62:$D121,"熊市",J62:J121,J60))/COUNTIFS(J62:J121,J60),O61)</f>
        <v>-1</v>
      </c>
      <c r="P60" s="1">
        <f>IFERROR((COUNTIFS($E62:$E121,"牛市",F62:F121,F60)-COUNTIFS($E62:$E121,"熊市",F62:F121,F60))/COUNTIFS(F62:F121,F60),P61)</f>
        <v>0.34615384615384615</v>
      </c>
      <c r="Q60" s="1">
        <f>IFERROR((COUNTIFS($E62:$E121,"牛市",G62:G121,G60)-COUNTIFS($E62:$E121,"熊市",G62:G121,G60))/COUNTIFS(G62:G121,G60),Q61)</f>
        <v>0.3</v>
      </c>
      <c r="R60" s="1">
        <f>IFERROR((COUNTIFS($E62:$E121,"牛市",H62:H121,H60)-COUNTIFS($E62:$E121,"熊市",H62:H121,H60))/COUNTIFS(H62:H121,H60),R61)</f>
        <v>0.48148148148148145</v>
      </c>
      <c r="S60" s="1">
        <f>IFERROR((COUNTIFS($E62:$E121,"牛市",I62:I121,I60)-COUNTIFS($E62:$E121,"熊市",I62:I121,I60))/COUNTIFS(I62:I121,I60),S61)</f>
        <v>0</v>
      </c>
      <c r="T60" s="1">
        <f>IFERROR((COUNTIFS($E62:$E121,"牛市",J62:J121,J60)-COUNTIFS($E62:$E121,"熊市",J62:J121,J60))/COUNTIFS(J62:J121,J60),T61)</f>
        <v>0</v>
      </c>
    </row>
    <row r="61" spans="1:20" x14ac:dyDescent="0.35">
      <c r="A61" s="12">
        <v>44712</v>
      </c>
      <c r="B61" s="13">
        <v>5.8976227613743823</v>
      </c>
      <c r="C61" s="87">
        <v>-1.307380952381</v>
      </c>
      <c r="D61" s="1" t="str">
        <f t="shared" si="30"/>
        <v>牛市</v>
      </c>
      <c r="E61" s="1" t="str">
        <f t="shared" si="31"/>
        <v>震荡</v>
      </c>
      <c r="F61" s="1" t="str">
        <f>VLOOKUP(A61,'货币信用框架5-货币政策目标+信用脉冲'!A:L,12,0)</f>
        <v>宽货币紧信用</v>
      </c>
      <c r="G61" s="1" t="str">
        <f>VLOOKUP(A61,'信贷库存框架1-票据+贷款余额'!A:L,12,0)</f>
        <v>被动补库存</v>
      </c>
      <c r="H61" s="1" t="str">
        <f>IFERROR(VLOOKUP(A61,'财政货币框架1&amp;2底稿'!A:N,14,0),H62)</f>
        <v>双宽</v>
      </c>
      <c r="I61" s="1" t="str">
        <f>IFERROR(VLOOKUP(A61,美林时钟!A:W,23,0),I62)</f>
        <v>衰退</v>
      </c>
      <c r="J61" s="1" t="str">
        <f>VLOOKUP(A61,库存与产能周期2!A:Q,17,0)</f>
        <v>产能周期下行,主动去库存</v>
      </c>
      <c r="K61" s="1">
        <f>IFERROR((COUNTIFS($D63:$D122,"牛市",F63:F122,F61)-COUNTIFS($D63:$D122,"熊市",F63:F122,F61))/COUNTIFS(F63:F122,F61),K62)</f>
        <v>0</v>
      </c>
      <c r="L61" s="1">
        <f>IFERROR((COUNTIFS($D63:$D122,"牛市",G63:G122,G61)-COUNTIFS($D63:$D122,"熊市",G63:G122,G61))/COUNTIFS(G63:G122,G61),L62)</f>
        <v>0</v>
      </c>
      <c r="M61" s="1">
        <f>IFERROR((COUNTIFS($D63:$D122,"牛市",H63:H122,H61)-COUNTIFS($D63:$D122,"熊市",H63:H122,H61))/COUNTIFS(H63:H122,H61),M62)</f>
        <v>3.8461538461538464E-2</v>
      </c>
      <c r="N61" s="1">
        <f>IFERROR((COUNTIFS($D63:$D122,"牛市",I63:I122,I61)-COUNTIFS($D63:$D122,"熊市",I63:I122,I61))/COUNTIFS(I63:I122,I61),N62)</f>
        <v>4.7619047619047616E-2</v>
      </c>
      <c r="O61" s="1">
        <f>IFERROR((COUNTIFS($D63:$D122,"牛市",J63:J122,J61)-COUNTIFS($D63:$D122,"熊市",J63:J122,J61))/COUNTIFS(J63:J122,J61),O62)</f>
        <v>0.125</v>
      </c>
      <c r="P61" s="1">
        <f>IFERROR((COUNTIFS($E63:$E122,"牛市",F63:F122,F61)-COUNTIFS($E63:$E122,"熊市",F63:F122,F61))/COUNTIFS(F63:F122,F61),P62)</f>
        <v>0.36</v>
      </c>
      <c r="Q61" s="1">
        <f>IFERROR((COUNTIFS($E63:$E122,"牛市",G63:G122,G61)-COUNTIFS($E63:$E122,"熊市",G63:G122,G61))/COUNTIFS(G63:G122,G61),Q62)</f>
        <v>0.3</v>
      </c>
      <c r="R61" s="1">
        <f>IFERROR((COUNTIFS($E63:$E122,"牛市",H63:H122,H61)-COUNTIFS($E63:$E122,"熊市",H63:H122,H61))/COUNTIFS(H63:H122,H61),R62)</f>
        <v>0.5</v>
      </c>
      <c r="S61" s="1">
        <f>IFERROR((COUNTIFS($E63:$E122,"牛市",I63:I122,I61)-COUNTIFS($E63:$E122,"熊市",I63:I122,I61))/COUNTIFS(I63:I122,I61),S62)</f>
        <v>0.19047619047619047</v>
      </c>
      <c r="T61" s="1">
        <f>IFERROR((COUNTIFS($E63:$E122,"牛市",J63:J122,J61)-COUNTIFS($E63:$E122,"熊市",J63:J122,J61))/COUNTIFS(J63:J122,J61),T62)</f>
        <v>0.625</v>
      </c>
    </row>
    <row r="62" spans="1:20" x14ac:dyDescent="0.35">
      <c r="A62" s="12">
        <v>44681</v>
      </c>
      <c r="B62" s="13">
        <v>-9.5144938447873901</v>
      </c>
      <c r="C62" s="87">
        <v>-0.87501035196679999</v>
      </c>
      <c r="D62" s="1" t="str">
        <f t="shared" si="30"/>
        <v>熊市</v>
      </c>
      <c r="E62" s="1" t="str">
        <f t="shared" si="31"/>
        <v>震荡</v>
      </c>
      <c r="F62" s="1" t="str">
        <f>VLOOKUP(A62,'货币信用框架5-货币政策目标+信用脉冲'!A:L,12,0)</f>
        <v>宽货币紧信用</v>
      </c>
      <c r="G62" s="1" t="str">
        <f>VLOOKUP(A62,'信贷库存框架1-票据+贷款余额'!A:L,12,0)</f>
        <v>被动补库存</v>
      </c>
      <c r="H62" s="1" t="str">
        <f>IFERROR(VLOOKUP(A62,'财政货币框架1&amp;2底稿'!A:N,14,0),H63)</f>
        <v>双宽</v>
      </c>
      <c r="I62" s="1" t="str">
        <f>IFERROR(VLOOKUP(A62,美林时钟!A:W,23,0),I63)</f>
        <v>衰退</v>
      </c>
      <c r="J62" s="1" t="str">
        <f>VLOOKUP(A62,库存与产能周期2!A:Q,17,0)</f>
        <v>产能周期下行,主动去库存</v>
      </c>
      <c r="K62" s="1">
        <f>IFERROR((COUNTIFS($D64:$D123,"牛市",F64:F123,F62)-COUNTIFS($D64:$D123,"熊市",F64:F123,F62))/COUNTIFS(F64:F123,F62),K63)</f>
        <v>4.1666666666666664E-2</v>
      </c>
      <c r="L62" s="1">
        <f>IFERROR((COUNTIFS($D64:$D123,"牛市",G64:G123,G62)-COUNTIFS($D64:$D123,"熊市",G64:G123,G62))/COUNTIFS(G64:G123,G62),L63)</f>
        <v>5.2631578947368418E-2</v>
      </c>
      <c r="M62" s="1">
        <f>IFERROR((COUNTIFS($D64:$D123,"牛市",H64:H123,H62)-COUNTIFS($D64:$D123,"熊市",H64:H123,H62))/COUNTIFS(H64:H123,H62),M63)</f>
        <v>0.08</v>
      </c>
      <c r="N62" s="1">
        <f>IFERROR((COUNTIFS($D64:$D123,"牛市",I64:I123,I62)-COUNTIFS($D64:$D123,"熊市",I64:I123,I62))/COUNTIFS(I64:I123,I62),N63)</f>
        <v>0.1</v>
      </c>
      <c r="O62" s="1">
        <f>IFERROR((COUNTIFS($D64:$D123,"牛市",J64:J123,J62)-COUNTIFS($D64:$D123,"熊市",J64:J123,J62))/COUNTIFS(J64:J123,J62),O63)</f>
        <v>0.125</v>
      </c>
      <c r="P62" s="1">
        <f>IFERROR((COUNTIFS($E64:$E123,"牛市",F64:F123,F62)-COUNTIFS($E64:$E123,"熊市",F64:F123,F62))/COUNTIFS(F64:F123,F62),P63)</f>
        <v>0.41666666666666669</v>
      </c>
      <c r="Q62" s="1">
        <f>IFERROR((COUNTIFS($E64:$E123,"牛市",G64:G123,G62)-COUNTIFS($E64:$E123,"熊市",G64:G123,G62))/COUNTIFS(G64:G123,G62),Q63)</f>
        <v>0.36842105263157893</v>
      </c>
      <c r="R62" s="1">
        <f>IFERROR((COUNTIFS($E64:$E123,"牛市",H64:H123,H62)-COUNTIFS($E64:$E123,"熊市",H64:H123,H62))/COUNTIFS(H64:H123,H62),R63)</f>
        <v>0.56000000000000005</v>
      </c>
      <c r="S62" s="1">
        <f>IFERROR((COUNTIFS($E64:$E123,"牛市",I64:I123,I62)-COUNTIFS($E64:$E123,"熊市",I64:I123,I62))/COUNTIFS(I64:I123,I62),S63)</f>
        <v>0.25</v>
      </c>
      <c r="T62" s="1">
        <f>IFERROR((COUNTIFS($E64:$E123,"牛市",J64:J123,J62)-COUNTIFS($E64:$E123,"熊市",J64:J123,J62))/COUNTIFS(J64:J123,J62),T63)</f>
        <v>0.625</v>
      </c>
    </row>
    <row r="63" spans="1:20" x14ac:dyDescent="0.35">
      <c r="A63" s="12">
        <v>44651</v>
      </c>
      <c r="B63" s="13">
        <v>-7.5219982912394467</v>
      </c>
      <c r="C63" s="87">
        <v>2.8917663043477999</v>
      </c>
      <c r="D63" s="1" t="str">
        <f t="shared" si="30"/>
        <v>熊市</v>
      </c>
      <c r="E63" s="1" t="str">
        <f t="shared" si="31"/>
        <v>熊市</v>
      </c>
      <c r="F63" s="1" t="str">
        <f>VLOOKUP(A63,'货币信用框架5-货币政策目标+信用脉冲'!A:L,12,0)</f>
        <v>宽货币紧信用</v>
      </c>
      <c r="G63" s="1" t="str">
        <f>VLOOKUP(A63,'信贷库存框架1-票据+贷款余额'!A:L,12,0)</f>
        <v>被动补库存</v>
      </c>
      <c r="H63" s="1" t="str">
        <f>IFERROR(VLOOKUP(A63,'财政货币框架1&amp;2底稿'!A:N,14,0),H64)</f>
        <v>双宽</v>
      </c>
      <c r="I63" s="1" t="str">
        <f>IFERROR(VLOOKUP(A63,美林时钟!A:W,23,0),I64)</f>
        <v>衰退</v>
      </c>
      <c r="J63" s="1" t="str">
        <f>VLOOKUP(A63,库存与产能周期2!A:Q,17,0)</f>
        <v>产能周期下行,被动补库存</v>
      </c>
      <c r="K63" s="1">
        <f>IFERROR((COUNTIFS($D65:$D124,"牛市",F65:F124,F63)-COUNTIFS($D65:$D124,"熊市",F65:F124,F63))/COUNTIFS(F65:F124,F63),K64)</f>
        <v>0</v>
      </c>
      <c r="L63" s="1">
        <f>IFERROR((COUNTIFS($D65:$D124,"牛市",G65:G124,G63)-COUNTIFS($D65:$D124,"熊市",G65:G124,G63))/COUNTIFS(G65:G124,G63),L64)</f>
        <v>0</v>
      </c>
      <c r="M63" s="1">
        <f>IFERROR((COUNTIFS($D65:$D124,"牛市",H65:H124,H63)-COUNTIFS($D65:$D124,"熊市",H65:H124,H63))/COUNTIFS(H65:H124,H63),M64)</f>
        <v>4.1666666666666664E-2</v>
      </c>
      <c r="N63" s="1">
        <f>IFERROR((COUNTIFS($D65:$D124,"牛市",I65:I124,I63)-COUNTIFS($D65:$D124,"熊市",I65:I124,I63))/COUNTIFS(I65:I124,I63),N64)</f>
        <v>0.1</v>
      </c>
      <c r="O63" s="1">
        <f>IFERROR((COUNTIFS($D65:$D124,"牛市",J65:J124,J63)-COUNTIFS($D65:$D124,"熊市",J65:J124,J63))/COUNTIFS(J65:J124,J63),O64)</f>
        <v>0.125</v>
      </c>
      <c r="P63" s="1">
        <f>IFERROR((COUNTIFS($E65:$E124,"牛市",F65:F124,F63)-COUNTIFS($E65:$E124,"熊市",F65:F124,F63))/COUNTIFS(F65:F124,F63),P64)</f>
        <v>0.47826086956521741</v>
      </c>
      <c r="Q63" s="1">
        <f>IFERROR((COUNTIFS($E65:$E124,"牛市",G65:G124,G63)-COUNTIFS($E65:$E124,"熊市",G65:G124,G63))/COUNTIFS(G65:G124,G63),Q64)</f>
        <v>0.44444444444444442</v>
      </c>
      <c r="R63" s="1">
        <f>IFERROR((COUNTIFS($E65:$E124,"牛市",H65:H124,H63)-COUNTIFS($E65:$E124,"熊市",H65:H124,H63))/COUNTIFS(H65:H124,H63),R64)</f>
        <v>0.625</v>
      </c>
      <c r="S63" s="1">
        <f>IFERROR((COUNTIFS($E65:$E124,"牛市",I65:I124,I63)-COUNTIFS($E65:$E124,"熊市",I65:I124,I63))/COUNTIFS(I65:I124,I63),S64)</f>
        <v>0.25</v>
      </c>
      <c r="T63" s="1">
        <f>IFERROR((COUNTIFS($E65:$E124,"牛市",J65:J124,J63)-COUNTIFS($E65:$E124,"熊市",J65:J124,J63))/COUNTIFS(J65:J124,J63),T64)</f>
        <v>0.625</v>
      </c>
    </row>
    <row r="64" spans="1:20" x14ac:dyDescent="0.35">
      <c r="A64" s="12">
        <v>44620</v>
      </c>
      <c r="B64" s="13">
        <v>2.814380925705203</v>
      </c>
      <c r="C64" s="87">
        <v>2.4218154761905</v>
      </c>
      <c r="D64" s="1" t="str">
        <f t="shared" si="30"/>
        <v>牛市</v>
      </c>
      <c r="E64" s="1" t="str">
        <f t="shared" si="31"/>
        <v>熊市</v>
      </c>
      <c r="F64" s="1" t="str">
        <f>VLOOKUP(A64,'货币信用框架5-货币政策目标+信用脉冲'!A:L,12,0)</f>
        <v>宽货币紧信用</v>
      </c>
      <c r="G64" s="1" t="str">
        <f>VLOOKUP(A64,'信贷库存框架1-票据+贷款余额'!A:L,12,0)</f>
        <v>被动补库存</v>
      </c>
      <c r="H64" s="1" t="str">
        <f>IFERROR(VLOOKUP(A64,'财政货币框架1&amp;2底稿'!A:N,14,0),H65)</f>
        <v>双宽</v>
      </c>
      <c r="I64" s="1" t="str">
        <f>IFERROR(VLOOKUP(A64,美林时钟!A:W,23,0),I65)</f>
        <v>复苏</v>
      </c>
      <c r="J64" s="1" t="str">
        <f>VLOOKUP(A64,库存与产能周期2!A:Q,17,0)</f>
        <v>产能周期下行,被动补库存</v>
      </c>
      <c r="K64" s="1">
        <f>IFERROR((COUNTIFS($D66:$D125,"牛市",F66:F125,F64)-COUNTIFS($D66:$D125,"熊市",F66:F125,F64))/COUNTIFS(F66:F125,F64),K65)</f>
        <v>4.5454545454545456E-2</v>
      </c>
      <c r="L64" s="1">
        <f>IFERROR((COUNTIFS($D66:$D125,"牛市",G66:G125,G64)-COUNTIFS($D66:$D125,"熊市",G66:G125,G64))/COUNTIFS(G66:G125,G64),L65)</f>
        <v>5.8823529411764705E-2</v>
      </c>
      <c r="M64" s="1">
        <f>IFERROR((COUNTIFS($D66:$D125,"牛市",H66:H125,H64)-COUNTIFS($D66:$D125,"熊市",H66:H125,H64))/COUNTIFS(H66:H125,H64),M65)</f>
        <v>8.6956521739130432E-2</v>
      </c>
      <c r="N64" s="1">
        <f>IFERROR((COUNTIFS($D66:$D125,"牛市",I66:I125,I64)-COUNTIFS($D66:$D125,"熊市",I66:I125,I64))/COUNTIFS(I66:I125,I64),N65)</f>
        <v>0.23076923076923078</v>
      </c>
      <c r="O64" s="1">
        <f>IFERROR((COUNTIFS($D66:$D125,"牛市",J66:J125,J64)-COUNTIFS($D66:$D125,"熊市",J66:J125,J64))/COUNTIFS(J66:J125,J64),O65)</f>
        <v>0.2857142857142857</v>
      </c>
      <c r="P64" s="1">
        <f>IFERROR((COUNTIFS($E66:$E125,"牛市",F66:F125,F64)-COUNTIFS($E66:$E125,"熊市",F66:F125,F64))/COUNTIFS(F66:F125,F64),P65)</f>
        <v>0.45454545454545453</v>
      </c>
      <c r="Q64" s="1">
        <f>IFERROR((COUNTIFS($E66:$E125,"牛市",G66:G125,G64)-COUNTIFS($E66:$E125,"熊市",G66:G125,G64))/COUNTIFS(G66:G125,G64),Q65)</f>
        <v>0.41176470588235292</v>
      </c>
      <c r="R64" s="1">
        <f>IFERROR((COUNTIFS($E66:$E125,"牛市",H66:H125,H64)-COUNTIFS($E66:$E125,"熊市",H66:H125,H64))/COUNTIFS(H66:H125,H64),R65)</f>
        <v>0.60869565217391308</v>
      </c>
      <c r="S64" s="1">
        <f>IFERROR((COUNTIFS($E66:$E125,"牛市",I66:I125,I64)-COUNTIFS($E66:$E125,"熊市",I66:I125,I64))/COUNTIFS(I66:I125,I64),S65)</f>
        <v>0</v>
      </c>
      <c r="T64" s="1">
        <f>IFERROR((COUNTIFS($E66:$E125,"牛市",J66:J125,J64)-COUNTIFS($E66:$E125,"熊市",J66:J125,J64))/COUNTIFS(J66:J125,J64),T65)</f>
        <v>0.5714285714285714</v>
      </c>
    </row>
    <row r="65" spans="1:20" x14ac:dyDescent="0.35">
      <c r="A65" s="12">
        <v>44592</v>
      </c>
      <c r="B65" s="13">
        <v>-9.4629937393637835</v>
      </c>
      <c r="C65" s="87">
        <v>-7.9131469979295996</v>
      </c>
      <c r="D65" s="1" t="str">
        <f t="shared" si="30"/>
        <v>熊市</v>
      </c>
      <c r="E65" s="1" t="str">
        <f t="shared" si="31"/>
        <v>牛市</v>
      </c>
      <c r="F65" s="1" t="str">
        <f>VLOOKUP(A65,'货币信用框架5-货币政策目标+信用脉冲'!A:L,12,0)</f>
        <v>宽货币紧信用</v>
      </c>
      <c r="G65" s="1" t="str">
        <f>VLOOKUP(A65,'信贷库存框架1-票据+贷款余额'!A:L,12,0)</f>
        <v>被动补库存</v>
      </c>
      <c r="H65" s="1" t="str">
        <f>IFERROR(VLOOKUP(A65,'财政货币框架1&amp;2底稿'!A:N,14,0),H66)</f>
        <v>双宽</v>
      </c>
      <c r="I65" s="1" t="str">
        <f>IFERROR(VLOOKUP(A65,美林时钟!A:W,23,0),I66)</f>
        <v>复苏</v>
      </c>
      <c r="J65" s="1" t="str">
        <f>VLOOKUP(A65,库存与产能周期2!A:Q,17,0)</f>
        <v>产能周期下行,被动补库存</v>
      </c>
      <c r="K65" s="1">
        <f>IFERROR((COUNTIFS($D67:$D126,"牛市",F67:F126,F65)-COUNTIFS($D67:$D126,"熊市",F67:F126,F65))/COUNTIFS(F67:F126,F65),K66)</f>
        <v>-4.5454545454545456E-2</v>
      </c>
      <c r="L65" s="1">
        <f>IFERROR((COUNTIFS($D67:$D126,"牛市",G67:G126,G65)-COUNTIFS($D67:$D126,"熊市",G67:G126,G65))/COUNTIFS(G67:G126,G65),L66)</f>
        <v>0</v>
      </c>
      <c r="M65" s="1">
        <f>IFERROR((COUNTIFS($D67:$D126,"牛市",H67:H126,H65)-COUNTIFS($D67:$D126,"熊市",H67:H126,H65))/COUNTIFS(H67:H126,H65),M66)</f>
        <v>4.5454545454545456E-2</v>
      </c>
      <c r="N65" s="1">
        <f>IFERROR((COUNTIFS($D67:$D126,"牛市",I67:I126,I65)-COUNTIFS($D67:$D126,"熊市",I67:I126,I65))/COUNTIFS(I67:I126,I65),N66)</f>
        <v>0.16666666666666666</v>
      </c>
      <c r="O65" s="1">
        <f>IFERROR((COUNTIFS($D67:$D126,"牛市",J67:J126,J65)-COUNTIFS($D67:$D126,"熊市",J67:J126,J65))/COUNTIFS(J67:J126,J65),O66)</f>
        <v>0.16666666666666666</v>
      </c>
      <c r="P65" s="1">
        <f>IFERROR((COUNTIFS($E67:$E126,"牛市",F67:F126,F65)-COUNTIFS($E67:$E126,"熊市",F67:F126,F65))/COUNTIFS(F67:F126,F65),P66)</f>
        <v>0.36363636363636365</v>
      </c>
      <c r="Q65" s="1">
        <f>IFERROR((COUNTIFS($E67:$E126,"牛市",G67:G126,G65)-COUNTIFS($E67:$E126,"熊市",G67:G126,G65))/COUNTIFS(G67:G126,G65),Q66)</f>
        <v>0.375</v>
      </c>
      <c r="R65" s="1">
        <f>IFERROR((COUNTIFS($E67:$E126,"牛市",H67:H126,H65)-COUNTIFS($E67:$E126,"熊市",H67:H126,H65))/COUNTIFS(H67:H126,H65),R66)</f>
        <v>0.59090909090909094</v>
      </c>
      <c r="S65" s="1">
        <f>IFERROR((COUNTIFS($E67:$E126,"牛市",I67:I126,I65)-COUNTIFS($E67:$E126,"熊市",I67:I126,I65))/COUNTIFS(I67:I126,I65),S66)</f>
        <v>-8.3333333333333329E-2</v>
      </c>
      <c r="T65" s="1">
        <f>IFERROR((COUNTIFS($E67:$E126,"牛市",J67:J126,J65)-COUNTIFS($E67:$E126,"熊市",J67:J126,J65))/COUNTIFS(J67:J126,J65),T66)</f>
        <v>0.5</v>
      </c>
    </row>
    <row r="66" spans="1:20" x14ac:dyDescent="0.35">
      <c r="A66" s="12">
        <v>44561</v>
      </c>
      <c r="B66" s="13">
        <v>1.039067107068804</v>
      </c>
      <c r="C66" s="87">
        <v>-6.7248616600790996</v>
      </c>
      <c r="D66" s="1" t="str">
        <f t="shared" si="30"/>
        <v>牛市</v>
      </c>
      <c r="E66" s="1" t="str">
        <f t="shared" si="31"/>
        <v>牛市</v>
      </c>
      <c r="F66" s="1" t="str">
        <f>VLOOKUP(A66,'货币信用框架5-货币政策目标+信用脉冲'!A:L,12,0)</f>
        <v>宽货币紧信用</v>
      </c>
      <c r="G66" s="1" t="str">
        <f>VLOOKUP(A66,'信贷库存框架1-票据+贷款余额'!A:L,12,0)</f>
        <v>被动补库存</v>
      </c>
      <c r="H66" s="1" t="str">
        <f>IFERROR(VLOOKUP(A66,'财政货币框架1&amp;2底稿'!A:N,14,0),H67)</f>
        <v>双宽</v>
      </c>
      <c r="I66" s="1" t="str">
        <f>IFERROR(VLOOKUP(A66,美林时钟!A:W,23,0),I67)</f>
        <v>复苏</v>
      </c>
      <c r="J66" s="1" t="str">
        <f>VLOOKUP(A66,库存与产能周期2!A:Q,17,0)</f>
        <v>产能周期下行,被动补库存</v>
      </c>
      <c r="K66" s="1">
        <f>IFERROR((COUNTIFS($D68:$D127,"牛市",F68:F127,F66)-COUNTIFS($D68:$D127,"熊市",F68:F127,F66))/COUNTIFS(F68:F127,F66),K67)</f>
        <v>-9.5238095238095233E-2</v>
      </c>
      <c r="L66" s="1">
        <f>IFERROR((COUNTIFS($D68:$D127,"牛市",G68:G127,G66)-COUNTIFS($D68:$D127,"熊市",G68:G127,G66))/COUNTIFS(G68:G127,G66),L67)</f>
        <v>-6.6666666666666666E-2</v>
      </c>
      <c r="M66" s="1">
        <f>IFERROR((COUNTIFS($D68:$D127,"牛市",H68:H127,H66)-COUNTIFS($D68:$D127,"熊市",H68:H127,H66))/COUNTIFS(H68:H127,H66),M67)</f>
        <v>0</v>
      </c>
      <c r="N66" s="1">
        <f>IFERROR((COUNTIFS($D68:$D127,"牛市",I68:I127,I66)-COUNTIFS($D68:$D127,"熊市",I68:I127,I66))/COUNTIFS(I68:I127,I66),N67)</f>
        <v>9.0909090909090912E-2</v>
      </c>
      <c r="O66" s="1">
        <f>IFERROR((COUNTIFS($D68:$D127,"牛市",J68:J127,J66)-COUNTIFS($D68:$D127,"熊市",J68:J127,J66))/COUNTIFS(J68:J127,J66),O67)</f>
        <v>0</v>
      </c>
      <c r="P66" s="1">
        <f>IFERROR((COUNTIFS($E68:$E127,"牛市",F68:F127,F66)-COUNTIFS($E68:$E127,"熊市",F68:F127,F66))/COUNTIFS(F68:F127,F66),P67)</f>
        <v>0.33333333333333331</v>
      </c>
      <c r="Q66" s="1">
        <f>IFERROR((COUNTIFS($E68:$E127,"牛市",G68:G127,G66)-COUNTIFS($E68:$E127,"熊市",G68:G127,G66))/COUNTIFS(G68:G127,G66),Q67)</f>
        <v>0.33333333333333331</v>
      </c>
      <c r="R66" s="1">
        <f>IFERROR((COUNTIFS($E68:$E127,"牛市",H68:H127,H66)-COUNTIFS($E68:$E127,"熊市",H68:H127,H66))/COUNTIFS(H68:H127,H66),R67)</f>
        <v>0.5714285714285714</v>
      </c>
      <c r="S66" s="1">
        <f>IFERROR((COUNTIFS($E68:$E127,"牛市",I68:I127,I66)-COUNTIFS($E68:$E127,"熊市",I68:I127,I66))/COUNTIFS(I68:I127,I66),S67)</f>
        <v>-0.18181818181818182</v>
      </c>
      <c r="T66" s="1">
        <f>IFERROR((COUNTIFS($E68:$E127,"牛市",J68:J127,J66)-COUNTIFS($E68:$E127,"熊市",J68:J127,J66))/COUNTIFS(J68:J127,J66),T67)</f>
        <v>0.4</v>
      </c>
    </row>
    <row r="67" spans="1:20" x14ac:dyDescent="0.35">
      <c r="A67" s="12">
        <v>44530</v>
      </c>
      <c r="B67" s="13">
        <v>3.144941939947834</v>
      </c>
      <c r="C67" s="87">
        <v>-7.2987700534759004</v>
      </c>
      <c r="D67" s="1" t="str">
        <f t="shared" si="30"/>
        <v>牛市</v>
      </c>
      <c r="E67" s="1" t="str">
        <f t="shared" si="31"/>
        <v>牛市</v>
      </c>
      <c r="F67" s="1" t="str">
        <f>VLOOKUP(A67,'货币信用框架5-货币政策目标+信用脉冲'!A:L,12,0)</f>
        <v>宽货币紧信用</v>
      </c>
      <c r="G67" s="1" t="str">
        <f>VLOOKUP(A67,'信贷库存框架1-票据+贷款余额'!A:L,12,0)</f>
        <v>被动补库存</v>
      </c>
      <c r="H67" s="1" t="str">
        <f>IFERROR(VLOOKUP(A67,'财政货币框架1&amp;2底稿'!A:N,14,0),H68)</f>
        <v>双宽</v>
      </c>
      <c r="I67" s="1" t="str">
        <f>IFERROR(VLOOKUP(A67,美林时钟!A:W,23,0),I68)</f>
        <v>复苏</v>
      </c>
      <c r="J67" s="1" t="str">
        <f>VLOOKUP(A67,库存与产能周期2!A:Q,17,0)</f>
        <v>产能周期下行,被动补库存</v>
      </c>
      <c r="K67" s="1">
        <f>IFERROR((COUNTIFS($D69:$D128,"牛市",F69:F128,F67)-COUNTIFS($D69:$D128,"熊市",F69:F128,F67))/COUNTIFS(F69:F128,F67),K68)</f>
        <v>-0.1</v>
      </c>
      <c r="L67" s="1">
        <f>IFERROR((COUNTIFS($D69:$D128,"牛市",G69:G128,G67)-COUNTIFS($D69:$D128,"熊市",G69:G128,G67))/COUNTIFS(G69:G128,G67),L68)</f>
        <v>-7.1428571428571425E-2</v>
      </c>
      <c r="M67" s="1">
        <f>IFERROR((COUNTIFS($D69:$D128,"牛市",H69:H128,H67)-COUNTIFS($D69:$D128,"熊市",H69:H128,H67))/COUNTIFS(H69:H128,H67),M68)</f>
        <v>0</v>
      </c>
      <c r="N67" s="1">
        <f>IFERROR((COUNTIFS($D69:$D128,"牛市",I69:I128,I67)-COUNTIFS($D69:$D128,"熊市",I69:I128,I67))/COUNTIFS(I69:I128,I67),N68)</f>
        <v>9.0909090909090912E-2</v>
      </c>
      <c r="O67" s="1">
        <f>IFERROR((COUNTIFS($D69:$D128,"牛市",J69:J128,J67)-COUNTIFS($D69:$D128,"熊市",J69:J128,J67))/COUNTIFS(J69:J128,J67),O68)</f>
        <v>0</v>
      </c>
      <c r="P67" s="1">
        <f>IFERROR((COUNTIFS($E69:$E128,"牛市",F69:F128,F67)-COUNTIFS($E69:$E128,"熊市",F69:F128,F67))/COUNTIFS(F69:F128,F67),P68)</f>
        <v>0.4</v>
      </c>
      <c r="Q67" s="1">
        <f>IFERROR((COUNTIFS($E69:$E128,"牛市",G69:G128,G67)-COUNTIFS($E69:$E128,"熊市",G69:G128,G67))/COUNTIFS(G69:G128,G67),Q68)</f>
        <v>0.42857142857142855</v>
      </c>
      <c r="R67" s="1">
        <f>IFERROR((COUNTIFS($E69:$E128,"牛市",H69:H128,H67)-COUNTIFS($E69:$E128,"熊市",H69:H128,H67))/COUNTIFS(H69:H128,H67),R68)</f>
        <v>0.65</v>
      </c>
      <c r="S67" s="1">
        <f>IFERROR((COUNTIFS($E69:$E128,"牛市",I69:I128,I67)-COUNTIFS($E69:$E128,"熊市",I69:I128,I67))/COUNTIFS(I69:I128,I67),S68)</f>
        <v>-0.18181818181818182</v>
      </c>
      <c r="T67" s="1">
        <f>IFERROR((COUNTIFS($E69:$E128,"牛市",J69:J128,J67)-COUNTIFS($E69:$E128,"熊市",J69:J128,J67))/COUNTIFS(J69:J128,J67),T68)</f>
        <v>0.75</v>
      </c>
    </row>
    <row r="68" spans="1:20" x14ac:dyDescent="0.35">
      <c r="A68" s="12">
        <v>44500</v>
      </c>
      <c r="B68" s="13">
        <v>0.34404333232687101</v>
      </c>
      <c r="C68" s="87">
        <v>10.5728609625668</v>
      </c>
      <c r="D68" s="1" t="str">
        <f t="shared" si="30"/>
        <v>震荡</v>
      </c>
      <c r="E68" s="1" t="str">
        <f t="shared" si="31"/>
        <v>熊市</v>
      </c>
      <c r="F68" s="1" t="str">
        <f>VLOOKUP(A68,'货币信用框架5-货币政策目标+信用脉冲'!A:L,12,0)</f>
        <v>宽货币紧信用</v>
      </c>
      <c r="G68" s="1" t="str">
        <f>VLOOKUP(A68,'信贷库存框架1-票据+贷款余额'!A:L,12,0)</f>
        <v>被动补库存</v>
      </c>
      <c r="H68" s="1" t="str">
        <f>IFERROR(VLOOKUP(A68,'财政货币框架1&amp;2底稿'!A:N,14,0),H69)</f>
        <v>双宽</v>
      </c>
      <c r="I68" s="1" t="str">
        <f>IFERROR(VLOOKUP(A68,美林时钟!A:W,23,0),I69)</f>
        <v>过热</v>
      </c>
      <c r="J68" s="1" t="str">
        <f>VLOOKUP(A68,库存与产能周期2!A:Q,17,0)</f>
        <v>产能周期下行,被动补库存</v>
      </c>
      <c r="K68" s="1">
        <f>IFERROR((COUNTIFS($D70:$D129,"牛市",F70:F129,F68)-COUNTIFS($D70:$D129,"熊市",F70:F129,F68))/COUNTIFS(F70:F129,F68),K69)</f>
        <v>-5.2631578947368418E-2</v>
      </c>
      <c r="L68" s="1">
        <f>IFERROR((COUNTIFS($D70:$D129,"牛市",G70:G129,G68)-COUNTIFS($D70:$D129,"熊市",G70:G129,G68))/COUNTIFS(G70:G129,G68),L69)</f>
        <v>0</v>
      </c>
      <c r="N68" s="1">
        <f>IFERROR((COUNTIFS($D70:$D129,"牛市",I70:I129,I68)-COUNTIFS($D70:$D129,"熊市",I70:I129,I68))/COUNTIFS(I70:I129,I68),N69)</f>
        <v>0.3</v>
      </c>
      <c r="O68" s="1">
        <f>IFERROR((COUNTIFS($D70:$D129,"牛市",J70:J129,J68)-COUNTIFS($D70:$D129,"熊市",J70:J129,J68))/COUNTIFS(J70:J129,J68),O69)</f>
        <v>0.33333333333333331</v>
      </c>
      <c r="P68" s="1">
        <f>IFERROR((COUNTIFS($E70:$E129,"牛市",F70:F129,F68)-COUNTIFS($E70:$E129,"熊市",F70:F129,F68))/COUNTIFS(F70:F129,F68),P69)</f>
        <v>0.42105263157894735</v>
      </c>
      <c r="Q68" s="1">
        <f>IFERROR((COUNTIFS($E70:$E129,"牛市",G70:G129,G68)-COUNTIFS($E70:$E129,"熊市",G70:G129,G68))/COUNTIFS(G70:G129,G68),Q69)</f>
        <v>0.46153846153846156</v>
      </c>
      <c r="S68" s="1">
        <f>IFERROR((COUNTIFS($E70:$E129,"牛市",I70:I129,I68)-COUNTIFS($E70:$E129,"熊市",I70:I129,I68))/COUNTIFS(I70:I129,I68),S69)</f>
        <v>-0.3</v>
      </c>
      <c r="T68" s="1">
        <f>IFERROR((COUNTIFS($E70:$E129,"牛市",J70:J129,J68)-COUNTIFS($E70:$E129,"熊市",J70:J129,J68))/COUNTIFS(J70:J129,J68),T69)</f>
        <v>1</v>
      </c>
    </row>
    <row r="69" spans="1:20" x14ac:dyDescent="0.35">
      <c r="A69" s="12">
        <v>44469</v>
      </c>
      <c r="B69" s="13">
        <v>-1.0308358525903369</v>
      </c>
      <c r="C69" s="87">
        <v>1.27</v>
      </c>
      <c r="D69" s="1" t="str">
        <f t="shared" si="30"/>
        <v>熊市</v>
      </c>
      <c r="E69" s="1" t="str">
        <f t="shared" si="31"/>
        <v>震荡</v>
      </c>
      <c r="F69" s="1" t="str">
        <f>VLOOKUP(A69,'货币信用框架5-货币政策目标+信用脉冲'!A:L,12,0)</f>
        <v>宽货币紧信用</v>
      </c>
      <c r="G69" s="1" t="str">
        <f>VLOOKUP(A69,'信贷库存框架1-票据+贷款余额'!A:L,12,0)</f>
        <v>被动补库存</v>
      </c>
      <c r="H69" s="1" t="str">
        <f>IFERROR(VLOOKUP(A69,'财政货币框架1&amp;2底稿'!A:N,14,0),H70)</f>
        <v>双宽</v>
      </c>
      <c r="I69" s="1" t="str">
        <f>IFERROR(VLOOKUP(A69,美林时钟!A:W,23,0),I70)</f>
        <v>滞涨</v>
      </c>
      <c r="J69" s="1" t="str">
        <f>VLOOKUP(A69,库存与产能周期2!A:Q,17,0)</f>
        <v>产能周期下行,被动补库存</v>
      </c>
      <c r="K69" s="1">
        <f>IFERROR((COUNTIFS($D71:$D130,"牛市",F71:F130,F69)-COUNTIFS($D71:$D130,"熊市",F71:F130,F69))/COUNTIFS(F71:F130,F69),K70)</f>
        <v>-0.1111111111111111</v>
      </c>
      <c r="L69" s="1">
        <f>IFERROR((COUNTIFS($D71:$D130,"牛市",G71:G130,G69)-COUNTIFS($D71:$D130,"熊市",G71:G130,G69))/COUNTIFS(G71:G130,G69),L70)</f>
        <v>-8.3333333333333329E-2</v>
      </c>
      <c r="N69" s="1">
        <f>IFERROR((COUNTIFS($D71:$D130,"牛市",I71:I130,I69)-COUNTIFS($D71:$D130,"熊市",I71:I130,I69))/COUNTIFS(I71:I130,I69),N70)</f>
        <v>-0.125</v>
      </c>
      <c r="O69" s="1">
        <f>IFERROR((COUNTIFS($D71:$D130,"牛市",J71:J130,J69)-COUNTIFS($D71:$D130,"熊市",J71:J130,J69))/COUNTIFS(J71:J130,J69),O70)</f>
        <v>0</v>
      </c>
      <c r="P69" s="1">
        <f>IFERROR((COUNTIFS($E71:$E130,"牛市",F71:F130,F69)-COUNTIFS($E71:$E130,"熊市",F71:F130,F69))/COUNTIFS(F71:F130,F69),P70)</f>
        <v>0.3888888888888889</v>
      </c>
      <c r="Q69" s="1">
        <f>IFERROR((COUNTIFS($E71:$E130,"牛市",G71:G130,G69)-COUNTIFS($E71:$E130,"熊市",G71:G130,G69))/COUNTIFS(G71:G130,G69),Q70)</f>
        <v>0.41666666666666669</v>
      </c>
      <c r="S69" s="1">
        <f>IFERROR((COUNTIFS($E71:$E130,"牛市",I71:I130,I69)-COUNTIFS($E71:$E130,"熊市",I71:I130,I69))/COUNTIFS(I71:I130,I69),S70)</f>
        <v>0.75</v>
      </c>
      <c r="T69" s="1">
        <f>IFERROR((COUNTIFS($E71:$E130,"牛市",J71:J130,J69)-COUNTIFS($E71:$E130,"熊市",J71:J130,J69))/COUNTIFS(J71:J130,J69),T70)</f>
        <v>1</v>
      </c>
    </row>
    <row r="70" spans="1:20" x14ac:dyDescent="0.35">
      <c r="A70" s="12">
        <v>44439</v>
      </c>
      <c r="B70" s="13">
        <v>3.223383302733537</v>
      </c>
      <c r="C70" s="87">
        <v>-10.6736363636363</v>
      </c>
      <c r="D70" s="1" t="str">
        <f t="shared" si="30"/>
        <v>牛市</v>
      </c>
      <c r="E70" s="1" t="str">
        <f t="shared" si="31"/>
        <v>牛市</v>
      </c>
      <c r="F70" s="1" t="str">
        <f>VLOOKUP(A70,'货币信用框架5-货币政策目标+信用脉冲'!A:L,12,0)</f>
        <v>宽货币紧信用</v>
      </c>
      <c r="G70" s="1" t="str">
        <f>VLOOKUP(A70,'信贷库存框架1-票据+贷款余额'!A:L,12,0)</f>
        <v>被动补库存</v>
      </c>
      <c r="H70" s="1" t="str">
        <f>IFERROR(VLOOKUP(A70,'财政货币框架1&amp;2底稿'!A:N,14,0),H71)</f>
        <v>双宽</v>
      </c>
      <c r="I70" s="1" t="str">
        <f>IFERROR(VLOOKUP(A70,美林时钟!A:W,23,0),I71)</f>
        <v>滞涨</v>
      </c>
      <c r="J70" s="1" t="str">
        <f>VLOOKUP(A70,库存与产能周期2!A:Q,17,0)</f>
        <v>产能周期下行,被动补库存</v>
      </c>
      <c r="K70" s="1">
        <f>IFERROR((COUNTIFS($D72:$D131,"牛市",F72:F131,F70)-COUNTIFS($D72:$D131,"熊市",F72:F131,F70))/COUNTIFS(F72:F131,F70),K71)</f>
        <v>-5.8823529411764705E-2</v>
      </c>
      <c r="L70" s="1">
        <f>IFERROR((COUNTIFS($D72:$D131,"牛市",G72:G131,G70)-COUNTIFS($D72:$D131,"熊市",G72:G131,G70))/COUNTIFS(G72:G131,G70),L71)</f>
        <v>0</v>
      </c>
      <c r="N70" s="1">
        <f>IFERROR((COUNTIFS($D72:$D131,"牛市",I72:I131,I70)-COUNTIFS($D72:$D131,"熊市",I72:I131,I70))/COUNTIFS(I72:I131,I70),N71)</f>
        <v>0</v>
      </c>
      <c r="O70" s="1">
        <f>IFERROR((COUNTIFS($D72:$D131,"牛市",J72:J131,J70)-COUNTIFS($D72:$D131,"熊市",J72:J131,J70))/COUNTIFS(J72:J131,J70),O71)</f>
        <v>1</v>
      </c>
      <c r="P70" s="1">
        <f>IFERROR((COUNTIFS($E72:$E131,"牛市",F72:F131,F70)-COUNTIFS($E72:$E131,"熊市",F72:F131,F70))/COUNTIFS(F72:F131,F70),P71)</f>
        <v>0.35294117647058826</v>
      </c>
      <c r="Q70" s="1">
        <f>IFERROR((COUNTIFS($E72:$E131,"牛市",G72:G131,G70)-COUNTIFS($E72:$E131,"熊市",G72:G131,G70))/COUNTIFS(G72:G131,G70),Q71)</f>
        <v>0.36363636363636365</v>
      </c>
      <c r="S70" s="1">
        <f>IFERROR((COUNTIFS($E72:$E131,"牛市",I72:I131,I70)-COUNTIFS($E72:$E131,"熊市",I72:I131,I70))/COUNTIFS(I72:I131,I70),S71)</f>
        <v>0.7142857142857143</v>
      </c>
      <c r="T70" s="1">
        <f>IFERROR((COUNTIFS($E72:$E131,"牛市",J72:J131,J70)-COUNTIFS($E72:$E131,"熊市",J72:J131,J70))/COUNTIFS(J72:J131,J70),T71)</f>
        <v>1</v>
      </c>
    </row>
    <row r="71" spans="1:20" x14ac:dyDescent="0.35">
      <c r="A71" s="12">
        <v>44408</v>
      </c>
      <c r="B71" s="13">
        <v>-3.096445555278255</v>
      </c>
      <c r="C71" s="87">
        <v>-13.394350649350701</v>
      </c>
      <c r="D71" s="1" t="str">
        <f t="shared" si="30"/>
        <v>熊市</v>
      </c>
      <c r="E71" s="1" t="str">
        <f t="shared" si="31"/>
        <v>牛市</v>
      </c>
      <c r="F71" s="1" t="str">
        <f>VLOOKUP(A71,'货币信用框架5-货币政策目标+信用脉冲'!A:L,12,0)</f>
        <v>宽货币紧信用</v>
      </c>
      <c r="G71" s="1" t="str">
        <f>VLOOKUP(A71,'信贷库存框架1-票据+贷款余额'!A:L,12,0)</f>
        <v>被动补库存</v>
      </c>
      <c r="H71" s="1" t="str">
        <f>IFERROR(VLOOKUP(A71,'财政货币框架1&amp;2底稿'!A:N,14,0),H72)</f>
        <v>双宽</v>
      </c>
      <c r="I71" s="1" t="str">
        <f>IFERROR(VLOOKUP(A71,美林时钟!A:W,23,0),I72)</f>
        <v>滞涨</v>
      </c>
      <c r="J71" s="1" t="str">
        <f>VLOOKUP(A71,库存与产能周期2!A:Q,17,0)</f>
        <v>产能周期下行,被动补库存</v>
      </c>
      <c r="K71" s="1">
        <f>IFERROR((COUNTIFS($D73:$D132,"牛市",F73:F132,F71)-COUNTIFS($D73:$D132,"熊市",F73:F132,F71))/COUNTIFS(F73:F132,F71),K72)</f>
        <v>-0.125</v>
      </c>
      <c r="L71" s="1">
        <f>IFERROR((COUNTIFS($D73:$D132,"牛市",G73:G132,G71)-COUNTIFS($D73:$D132,"熊市",G73:G132,G71))/COUNTIFS(G73:G132,G71),L72)</f>
        <v>-0.1</v>
      </c>
      <c r="N71" s="1">
        <f>IFERROR((COUNTIFS($D73:$D132,"牛市",I73:I132,I71)-COUNTIFS($D73:$D132,"熊市",I73:I132,I71))/COUNTIFS(I73:I132,I71),N72)</f>
        <v>-0.16666666666666666</v>
      </c>
      <c r="O71" s="1">
        <f>IFERROR((COUNTIFS($D73:$D132,"牛市",J73:J132,J71)-COUNTIFS($D73:$D132,"熊市",J73:J132,J71))/COUNTIFS(J73:J132,J71),O72)</f>
        <v>-0.2</v>
      </c>
      <c r="P71" s="1">
        <f>IFERROR((COUNTIFS($E73:$E132,"牛市",F73:F132,F71)-COUNTIFS($E73:$E132,"熊市",F73:F132,F71))/COUNTIFS(F73:F132,F71),P72)</f>
        <v>0.3125</v>
      </c>
      <c r="Q71" s="1">
        <f>IFERROR((COUNTIFS($E73:$E132,"牛市",G73:G132,G71)-COUNTIFS($E73:$E132,"熊市",G73:G132,G71))/COUNTIFS(G73:G132,G71),Q72)</f>
        <v>0.3</v>
      </c>
      <c r="S71" s="1">
        <f>IFERROR((COUNTIFS($E73:$E132,"牛市",I73:I132,I71)-COUNTIFS($E73:$E132,"熊市",I73:I132,I71))/COUNTIFS(I73:I132,I71),S72)</f>
        <v>0.66666666666666663</v>
      </c>
      <c r="T71" s="1">
        <f>IFERROR((COUNTIFS($E73:$E132,"牛市",J73:J132,J71)-COUNTIFS($E73:$E132,"熊市",J73:J132,J71))/COUNTIFS(J73:J132,J71),T72)</f>
        <v>0.6</v>
      </c>
    </row>
    <row r="72" spans="1:20" x14ac:dyDescent="0.35">
      <c r="A72" s="12">
        <v>44377</v>
      </c>
      <c r="B72" s="13">
        <v>1.4197527667074319</v>
      </c>
      <c r="C72" s="87">
        <v>-2.0911278195489</v>
      </c>
      <c r="D72" s="1" t="str">
        <f t="shared" si="30"/>
        <v>牛市</v>
      </c>
      <c r="E72" s="1" t="str">
        <f t="shared" si="31"/>
        <v>牛市</v>
      </c>
      <c r="F72" s="1" t="str">
        <f>VLOOKUP(A72,'货币信用框架5-货币政策目标+信用脉冲'!A:L,12,0)</f>
        <v>宽货币紧信用</v>
      </c>
      <c r="G72" s="1" t="str">
        <f>VLOOKUP(A72,'信贷库存框架1-票据+贷款余额'!A:L,12,0)</f>
        <v>被动补库存</v>
      </c>
      <c r="H72" s="1" t="str">
        <f>IFERROR(VLOOKUP(A72,'财政货币框架1&amp;2底稿'!A:N,14,0),H73)</f>
        <v>双宽</v>
      </c>
      <c r="I72" s="1" t="str">
        <f>IFERROR(VLOOKUP(A72,美林时钟!A:W,23,0),I73)</f>
        <v>滞涨</v>
      </c>
      <c r="J72" s="1" t="str">
        <f>VLOOKUP(A72,库存与产能周期2!A:Q,17,0)</f>
        <v>产能周期下行,被动补库存</v>
      </c>
      <c r="K72" s="1">
        <f>IFERROR((COUNTIFS($D74:$D133,"牛市",F74:F133,F72)-COUNTIFS($D74:$D133,"熊市",F74:F133,F72))/COUNTIFS(F74:F133,F72),K73)</f>
        <v>-0.2</v>
      </c>
      <c r="L72" s="1">
        <f>IFERROR((COUNTIFS($D74:$D133,"牛市",G74:G133,G72)-COUNTIFS($D74:$D133,"熊市",G74:G133,G72))/COUNTIFS(G74:G133,G72),L73)</f>
        <v>-0.22222222222222221</v>
      </c>
      <c r="N72" s="1">
        <f>IFERROR((COUNTIFS($D74:$D133,"牛市",I74:I133,I72)-COUNTIFS($D74:$D133,"熊市",I74:I133,I72))/COUNTIFS(I74:I133,I72),N73)</f>
        <v>-0.4</v>
      </c>
      <c r="O72" s="1">
        <f>IFERROR((COUNTIFS($D74:$D133,"牛市",J74:J133,J72)-COUNTIFS($D74:$D133,"熊市",J74:J133,J72))/COUNTIFS(J74:J133,J72),O73)</f>
        <v>-0.2</v>
      </c>
      <c r="P72" s="1">
        <f>IFERROR((COUNTIFS($E74:$E133,"牛市",F74:F133,F72)-COUNTIFS($E74:$E133,"熊市",F74:F133,F72))/COUNTIFS(F74:F133,F72),P73)</f>
        <v>0.26666666666666666</v>
      </c>
      <c r="Q72" s="1">
        <f>IFERROR((COUNTIFS($E74:$E133,"牛市",G74:G133,G72)-COUNTIFS($E74:$E133,"熊市",G74:G133,G72))/COUNTIFS(G74:G133,G72),Q73)</f>
        <v>0.22222222222222221</v>
      </c>
      <c r="S72" s="1">
        <f>IFERROR((COUNTIFS($E74:$E133,"牛市",I74:I133,I72)-COUNTIFS($E74:$E133,"熊市",I74:I133,I72))/COUNTIFS(I74:I133,I72),S73)</f>
        <v>0.6</v>
      </c>
      <c r="T72" s="1">
        <f>IFERROR((COUNTIFS($E74:$E133,"牛市",J74:J133,J72)-COUNTIFS($E74:$E133,"熊市",J74:J133,J72))/COUNTIFS(J74:J133,J72),T73)</f>
        <v>0.6</v>
      </c>
    </row>
    <row r="73" spans="1:20" x14ac:dyDescent="0.35">
      <c r="A73" s="12">
        <v>44347</v>
      </c>
      <c r="B73" s="13">
        <v>5.1350790340010493</v>
      </c>
      <c r="C73" s="87">
        <v>-6.8427033492823002</v>
      </c>
      <c r="D73" s="1" t="str">
        <f t="shared" si="30"/>
        <v>牛市</v>
      </c>
      <c r="E73" s="1" t="str">
        <f t="shared" si="31"/>
        <v>牛市</v>
      </c>
      <c r="F73" s="1" t="str">
        <f>VLOOKUP(A73,'货币信用框架5-货币政策目标+信用脉冲'!A:L,12,0)</f>
        <v>宽货币紧信用</v>
      </c>
      <c r="G73" s="1" t="str">
        <f>VLOOKUP(A73,'信贷库存框架1-票据+贷款余额'!A:L,12,0)</f>
        <v>被动补库存</v>
      </c>
      <c r="H73" s="1" t="str">
        <f>IFERROR(VLOOKUP(A73,'财政货币框架1&amp;2底稿'!A:N,14,0),H74)</f>
        <v>双宽</v>
      </c>
      <c r="I73" s="1" t="str">
        <f>IFERROR(VLOOKUP(A73,美林时钟!A:W,23,0),I74)</f>
        <v>滞涨</v>
      </c>
      <c r="J73" s="1" t="str">
        <f>VLOOKUP(A73,库存与产能周期2!A:Q,17,0)</f>
        <v>产能周期上行,被动补库存</v>
      </c>
      <c r="K73" s="1">
        <f>IFERROR((COUNTIFS($D75:$D134,"牛市",F75:F134,F73)-COUNTIFS($D75:$D134,"熊市",F75:F134,F73))/COUNTIFS(F75:F134,F73),K74)</f>
        <v>-0.2857142857142857</v>
      </c>
      <c r="L73" s="1">
        <f>IFERROR((COUNTIFS($D75:$D134,"牛市",G75:G134,G73)-COUNTIFS($D75:$D134,"熊市",G75:G134,G73))/COUNTIFS(G75:G134,G73),L74)</f>
        <v>-0.22222222222222221</v>
      </c>
      <c r="N73" s="1">
        <f>IFERROR((COUNTIFS($D75:$D134,"牛市",I75:I134,I73)-COUNTIFS($D75:$D134,"熊市",I75:I134,I73))/COUNTIFS(I75:I134,I73),N74)</f>
        <v>-0.75</v>
      </c>
      <c r="O73" s="1">
        <f>IFERROR((COUNTIFS($D75:$D134,"牛市",J75:J134,J73)-COUNTIFS($D75:$D134,"熊市",J75:J134,J73))/COUNTIFS(J75:J134,J73),O74)</f>
        <v>-0.2</v>
      </c>
      <c r="P73" s="1">
        <f>IFERROR((COUNTIFS($E75:$E134,"牛市",F75:F134,F73)-COUNTIFS($E75:$E134,"熊市",F75:F134,F73))/COUNTIFS(F75:F134,F73),P74)</f>
        <v>0.21428571428571427</v>
      </c>
      <c r="Q73" s="1">
        <f>IFERROR((COUNTIFS($E75:$E134,"牛市",G75:G134,G73)-COUNTIFS($E75:$E134,"熊市",G75:G134,G73))/COUNTIFS(G75:G134,G73),Q74)</f>
        <v>0.22222222222222221</v>
      </c>
      <c r="S73" s="1">
        <f>IFERROR((COUNTIFS($E75:$E134,"牛市",I75:I134,I73)-COUNTIFS($E75:$E134,"熊市",I75:I134,I73))/COUNTIFS(I75:I134,I73),S74)</f>
        <v>0.5</v>
      </c>
      <c r="T73" s="1">
        <f>IFERROR((COUNTIFS($E75:$E134,"牛市",J75:J134,J73)-COUNTIFS($E75:$E134,"熊市",J75:J134,J73))/COUNTIFS(J75:J134,J73),T74)</f>
        <v>0.6</v>
      </c>
    </row>
    <row r="74" spans="1:20" x14ac:dyDescent="0.35">
      <c r="A74" s="12">
        <v>44316</v>
      </c>
      <c r="B74" s="13">
        <v>2.2146631483329902</v>
      </c>
      <c r="C74" s="87">
        <v>-5.0021936758893002</v>
      </c>
      <c r="D74" s="1" t="str">
        <f t="shared" si="30"/>
        <v>牛市</v>
      </c>
      <c r="E74" s="1" t="str">
        <f t="shared" si="31"/>
        <v>牛市</v>
      </c>
      <c r="F74" s="1" t="str">
        <f>VLOOKUP(A74,'货币信用框架5-货币政策目标+信用脉冲'!A:L,12,0)</f>
        <v>宽货币紧信用</v>
      </c>
      <c r="G74" s="1" t="str">
        <f>VLOOKUP(A74,'信贷库存框架1-票据+贷款余额'!A:L,12,0)</f>
        <v>主动去库存</v>
      </c>
      <c r="H74" s="1" t="str">
        <f>IFERROR(VLOOKUP(A74,'财政货币框架1&amp;2底稿'!A:N,14,0),H75)</f>
        <v>宽货币紧财政</v>
      </c>
      <c r="I74" s="1" t="str">
        <f>IFERROR(VLOOKUP(A74,美林时钟!A:W,23,0),I75)</f>
        <v>滞涨</v>
      </c>
      <c r="J74" s="1" t="str">
        <f>VLOOKUP(A74,库存与产能周期2!A:Q,17,0)</f>
        <v>产能周期上行,被动补库存</v>
      </c>
      <c r="K74" s="1">
        <f>IFERROR((COUNTIFS($D76:$D135,"牛市",F76:F135,F74)-COUNTIFS($D76:$D135,"熊市",F76:F135,F74))/COUNTIFS(F76:F135,F74),K75)</f>
        <v>-0.23076923076923078</v>
      </c>
      <c r="L74" s="1">
        <f>IFERROR((COUNTIFS($D76:$D135,"牛市",G76:G135,G74)-COUNTIFS($D76:$D135,"熊市",G76:G135,G74))/COUNTIFS(G76:G135,G74),L75)</f>
        <v>0.26315789473684209</v>
      </c>
      <c r="N74" s="1">
        <f>IFERROR((COUNTIFS($D76:$D135,"牛市",I76:I135,I74)-COUNTIFS($D76:$D135,"熊市",I76:I135,I74))/COUNTIFS(I76:I135,I74),N75)</f>
        <v>-0.66666666666666663</v>
      </c>
      <c r="O74" s="1">
        <f>IFERROR((COUNTIFS($D76:$D135,"牛市",J76:J135,J74)-COUNTIFS($D76:$D135,"熊市",J76:J135,J74))/COUNTIFS(J76:J135,J74),O75)</f>
        <v>0</v>
      </c>
      <c r="P74" s="1">
        <f>IFERROR((COUNTIFS($E76:$E135,"牛市",F76:F135,F74)-COUNTIFS($E76:$E135,"熊市",F76:F135,F74))/COUNTIFS(F76:F135,F74),P75)</f>
        <v>0.23076923076923078</v>
      </c>
      <c r="Q74" s="1">
        <f>IFERROR((COUNTIFS($E76:$E135,"牛市",G76:G135,G74)-COUNTIFS($E76:$E135,"熊市",G76:G135,G74))/COUNTIFS(G76:G135,G74),Q75)</f>
        <v>-0.15789473684210525</v>
      </c>
      <c r="S74" s="1">
        <f>IFERROR((COUNTIFS($E76:$E135,"牛市",I76:I135,I74)-COUNTIFS($E76:$E135,"熊市",I76:I135,I74))/COUNTIFS(I76:I135,I74),S75)</f>
        <v>0.66666666666666663</v>
      </c>
      <c r="T74" s="1">
        <f>IFERROR((COUNTIFS($E76:$E135,"牛市",J76:J135,J74)-COUNTIFS($E76:$E135,"熊市",J76:J135,J74))/COUNTIFS(J76:J135,J74),T75)</f>
        <v>0.75</v>
      </c>
    </row>
    <row r="75" spans="1:20" x14ac:dyDescent="0.35">
      <c r="A75" s="12">
        <v>44286</v>
      </c>
      <c r="B75" s="13">
        <v>-3.137483925895312</v>
      </c>
      <c r="C75" s="87">
        <v>-0.66767263427110002</v>
      </c>
      <c r="D75" s="1" t="str">
        <f t="shared" si="30"/>
        <v>熊市</v>
      </c>
      <c r="E75" s="1" t="str">
        <f t="shared" si="31"/>
        <v>震荡</v>
      </c>
      <c r="F75" s="1" t="str">
        <f>VLOOKUP(A75,'货币信用框架5-货币政策目标+信用脉冲'!A:L,12,0)</f>
        <v>宽货币紧信用</v>
      </c>
      <c r="G75" s="1" t="str">
        <f>VLOOKUP(A75,'信贷库存框架1-票据+贷款余额'!A:L,12,0)</f>
        <v>主动去库存</v>
      </c>
      <c r="H75" s="1" t="str">
        <f>IFERROR(VLOOKUP(A75,'财政货币框架1&amp;2底稿'!A:N,14,0),H76)</f>
        <v>宽货币紧财政</v>
      </c>
      <c r="I75" s="1" t="str">
        <f>IFERROR(VLOOKUP(A75,美林时钟!A:W,23,0),I76)</f>
        <v>滞涨</v>
      </c>
      <c r="J75" s="1" t="str">
        <f>VLOOKUP(A75,库存与产能周期2!A:Q,17,0)</f>
        <v>产能周期上行,被动补库存</v>
      </c>
      <c r="K75" s="1">
        <f>IFERROR((COUNTIFS($D77:$D136,"牛市",F77:F136,F75)-COUNTIFS($D77:$D136,"熊市",F77:F136,F75))/COUNTIFS(F77:F136,F75),K76)</f>
        <v>-0.25</v>
      </c>
      <c r="L75" s="1">
        <f>IFERROR((COUNTIFS($D77:$D136,"牛市",G77:G136,G75)-COUNTIFS($D77:$D136,"熊市",G77:G136,G75))/COUNTIFS(G77:G136,G75),L76)</f>
        <v>0.23684210526315788</v>
      </c>
      <c r="N75" s="1">
        <f>IFERROR((COUNTIFS($D77:$D136,"牛市",I77:I136,I75)-COUNTIFS($D77:$D136,"熊市",I77:I136,I75))/COUNTIFS(I77:I136,I75),N76)</f>
        <v>-0.75</v>
      </c>
      <c r="O75" s="1">
        <f>IFERROR((COUNTIFS($D77:$D136,"牛市",J77:J136,J75)-COUNTIFS($D77:$D136,"熊市",J77:J136,J75))/COUNTIFS(J77:J136,J75),O76)</f>
        <v>0</v>
      </c>
      <c r="P75" s="1">
        <f>IFERROR((COUNTIFS($E77:$E136,"牛市",F77:F136,F75)-COUNTIFS($E77:$E136,"熊市",F77:F136,F75))/COUNTIFS(F77:F136,F75),P76)</f>
        <v>0.33333333333333331</v>
      </c>
      <c r="Q75" s="1">
        <f>IFERROR((COUNTIFS($E77:$E136,"牛市",G77:G136,G75)-COUNTIFS($E77:$E136,"熊市",G77:G136,G75))/COUNTIFS(G77:G136,G75),Q76)</f>
        <v>-0.15789473684210525</v>
      </c>
      <c r="S75" s="1">
        <f>IFERROR((COUNTIFS($E77:$E136,"牛市",I77:I136,I75)-COUNTIFS($E77:$E136,"熊市",I77:I136,I75))/COUNTIFS(I77:I136,I75),S76)</f>
        <v>0.25</v>
      </c>
      <c r="T75" s="1">
        <f>IFERROR((COUNTIFS($E77:$E136,"牛市",J77:J136,J75)-COUNTIFS($E77:$E136,"熊市",J77:J136,J75))/COUNTIFS(J77:J136,J75),T76)</f>
        <v>0.75</v>
      </c>
    </row>
    <row r="76" spans="1:20" x14ac:dyDescent="0.35">
      <c r="A76" s="12">
        <v>44255</v>
      </c>
      <c r="B76" s="13">
        <v>-6.9989278587770003E-3</v>
      </c>
      <c r="C76" s="87">
        <v>9.3524117647059004</v>
      </c>
      <c r="D76" s="1" t="str">
        <f t="shared" si="30"/>
        <v>震荡</v>
      </c>
      <c r="E76" s="1" t="str">
        <f t="shared" si="31"/>
        <v>熊市</v>
      </c>
      <c r="F76" s="1" t="str">
        <f>VLOOKUP(A76,'货币信用框架5-货币政策目标+信用脉冲'!A:L,12,0)</f>
        <v>宽货币紧信用</v>
      </c>
      <c r="G76" s="1" t="str">
        <f>VLOOKUP(A76,'信贷库存框架1-票据+贷款余额'!A:L,12,0)</f>
        <v>主动去库存</v>
      </c>
      <c r="H76" s="1" t="str">
        <f>IFERROR(VLOOKUP(A76,'财政货币框架1&amp;2底稿'!A:N,14,0),H77)</f>
        <v>宽货币紧财政</v>
      </c>
      <c r="I76" s="1" t="str">
        <f>IFERROR(VLOOKUP(A76,美林时钟!A:W,23,0),I77)</f>
        <v>过热</v>
      </c>
      <c r="J76" s="1" t="str">
        <f>VLOOKUP(A76,库存与产能周期2!A:Q,17,0)</f>
        <v>产能周期上行,主动补库存</v>
      </c>
      <c r="K76" s="1">
        <f>IFERROR((COUNTIFS($D78:$D137,"牛市",F78:F137,F76)-COUNTIFS($D78:$D137,"熊市",F78:F137,F76))/COUNTIFS(F78:F137,F76),K77)</f>
        <v>-0.27272727272727271</v>
      </c>
      <c r="L76" s="1">
        <f>IFERROR((COUNTIFS($D78:$D137,"牛市",G78:G137,G76)-COUNTIFS($D78:$D137,"熊市",G78:G137,G76))/COUNTIFS(G78:G137,G76),L77)</f>
        <v>0.21052631578947367</v>
      </c>
      <c r="N76" s="1">
        <f>IFERROR((COUNTIFS($D78:$D137,"牛市",I78:I137,I76)-COUNTIFS($D78:$D137,"熊市",I78:I137,I76))/COUNTIFS(I78:I137,I76),N77)</f>
        <v>0.33333333333333331</v>
      </c>
      <c r="O76" s="1">
        <f>IFERROR((COUNTIFS($D78:$D137,"牛市",J78:J137,J76)-COUNTIFS($D78:$D137,"熊市",J78:J137,J76))/COUNTIFS(J78:J137,J76),O77)</f>
        <v>0.33333333333333331</v>
      </c>
      <c r="P76" s="1">
        <f>IFERROR((COUNTIFS($E78:$E137,"牛市",F78:F137,F76)-COUNTIFS($E78:$E137,"熊市",F78:F137,F76))/COUNTIFS(F78:F137,F76),P77)</f>
        <v>0.27272727272727271</v>
      </c>
      <c r="Q76" s="1">
        <f>IFERROR((COUNTIFS($E78:$E137,"牛市",G78:G137,G76)-COUNTIFS($E78:$E137,"熊市",G78:G137,G76))/COUNTIFS(G78:G137,G76),Q77)</f>
        <v>-0.15789473684210525</v>
      </c>
      <c r="S76" s="1">
        <f>IFERROR((COUNTIFS($E78:$E137,"牛市",I78:I137,I76)-COUNTIFS($E78:$E137,"熊市",I78:I137,I76))/COUNTIFS(I78:I137,I76),S77)</f>
        <v>-0.25</v>
      </c>
      <c r="T76" s="1">
        <f>IFERROR((COUNTIFS($E78:$E137,"牛市",J78:J137,J76)-COUNTIFS($E78:$E137,"熊市",J78:J137,J76))/COUNTIFS(J78:J137,J76),T77)</f>
        <v>-0.33333333333333331</v>
      </c>
    </row>
    <row r="77" spans="1:20" x14ac:dyDescent="0.35">
      <c r="A77" s="12">
        <v>44227</v>
      </c>
      <c r="B77" s="13">
        <v>-0.104258476776111</v>
      </c>
      <c r="C77" s="87">
        <v>-9.5038695652173999</v>
      </c>
      <c r="D77" s="1" t="str">
        <f t="shared" si="30"/>
        <v>震荡</v>
      </c>
      <c r="E77" s="1" t="str">
        <f t="shared" si="31"/>
        <v>牛市</v>
      </c>
      <c r="F77" s="1" t="str">
        <f>VLOOKUP(A77,'货币信用框架5-货币政策目标+信用脉冲'!A:L,12,0)</f>
        <v>宽货币紧信用</v>
      </c>
      <c r="G77" s="1" t="str">
        <f>VLOOKUP(A77,'信贷库存框架1-票据+贷款余额'!A:L,12,0)</f>
        <v>主动去库存</v>
      </c>
      <c r="H77" s="1" t="str">
        <f>IFERROR(VLOOKUP(A77,'财政货币框架1&amp;2底稿'!A:N,14,0),H78)</f>
        <v>宽货币紧财政</v>
      </c>
      <c r="I77" s="1" t="str">
        <f>IFERROR(VLOOKUP(A77,美林时钟!A:W,23,0),I78)</f>
        <v>过热</v>
      </c>
      <c r="J77" s="1" t="str">
        <f>VLOOKUP(A77,库存与产能周期2!A:Q,17,0)</f>
        <v>产能周期上行,主动补库存</v>
      </c>
      <c r="K77" s="1">
        <f>IFERROR((COUNTIFS($D79:$D138,"牛市",F79:F138,F77)-COUNTIFS($D79:$D138,"熊市",F79:F138,F77))/COUNTIFS(F79:F138,F77),K78)</f>
        <v>-0.4</v>
      </c>
      <c r="L77" s="1">
        <f>IFERROR((COUNTIFS($D79:$D138,"牛市",G79:G138,G77)-COUNTIFS($D79:$D138,"熊市",G79:G138,G77))/COUNTIFS(G79:G138,G77),L78)</f>
        <v>0.21052631578947367</v>
      </c>
      <c r="N77" s="1">
        <f>IFERROR((COUNTIFS($D79:$D138,"牛市",I79:I138,I77)-COUNTIFS($D79:$D138,"熊市",I79:I138,I77))/COUNTIFS(I79:I138,I77),N78)</f>
        <v>0.30434782608695654</v>
      </c>
      <c r="O77" s="1">
        <f>IFERROR((COUNTIFS($D79:$D138,"牛市",J79:J138,J77)-COUNTIFS($D79:$D138,"熊市",J79:J138,J77))/COUNTIFS(J79:J138,J77),O78)</f>
        <v>0.3</v>
      </c>
      <c r="P77" s="1">
        <f>IFERROR((COUNTIFS($E79:$E138,"牛市",F79:F138,F77)-COUNTIFS($E79:$E138,"熊市",F79:F138,F77))/COUNTIFS(F79:F138,F77),P78)</f>
        <v>0.3</v>
      </c>
      <c r="Q77" s="1">
        <f>IFERROR((COUNTIFS($E79:$E138,"牛市",G79:G138,G77)-COUNTIFS($E79:$E138,"熊市",G79:G138,G77))/COUNTIFS(G79:G138,G77),Q78)</f>
        <v>-0.13157894736842105</v>
      </c>
      <c r="S77" s="1">
        <f>IFERROR((COUNTIFS($E79:$E138,"牛市",I79:I138,I77)-COUNTIFS($E79:$E138,"熊市",I79:I138,I77))/COUNTIFS(I79:I138,I77),S78)</f>
        <v>-0.2608695652173913</v>
      </c>
      <c r="T77" s="1">
        <f>IFERROR((COUNTIFS($E79:$E138,"牛市",J79:J138,J77)-COUNTIFS($E79:$E138,"熊市",J79:J138,J77))/COUNTIFS(J79:J138,J77),T78)</f>
        <v>-0.35</v>
      </c>
    </row>
    <row r="78" spans="1:20" x14ac:dyDescent="0.35">
      <c r="A78" s="12">
        <v>44196</v>
      </c>
      <c r="B78" s="13">
        <v>3.1099018629829489</v>
      </c>
      <c r="C78" s="87">
        <v>-1.2153209109731</v>
      </c>
      <c r="D78" s="1" t="str">
        <f t="shared" si="30"/>
        <v>牛市</v>
      </c>
      <c r="E78" s="1" t="str">
        <f t="shared" si="31"/>
        <v>震荡</v>
      </c>
      <c r="F78" s="1" t="str">
        <f>VLOOKUP(A78,'货币信用框架5-货币政策目标+信用脉冲'!A:L,12,0)</f>
        <v>宽货币紧信用</v>
      </c>
      <c r="G78" s="1" t="str">
        <f>VLOOKUP(A78,'信贷库存框架1-票据+贷款余额'!A:L,12,0)</f>
        <v>主动去库存</v>
      </c>
      <c r="H78" s="1" t="str">
        <f>IFERROR(VLOOKUP(A78,'财政货币框架1&amp;2底稿'!A:N,14,0),H79)</f>
        <v>宽货币紧财政</v>
      </c>
      <c r="I78" s="1" t="str">
        <f>IFERROR(VLOOKUP(A78,美林时钟!A:W,23,0),I79)</f>
        <v>过热</v>
      </c>
      <c r="J78" s="1" t="str">
        <f>VLOOKUP(A78,库存与产能周期2!A:Q,17,0)</f>
        <v>产能周期上行,主动补库存</v>
      </c>
      <c r="K78" s="1">
        <f>IFERROR((COUNTIFS($D80:$D139,"牛市",F80:F139,F78)-COUNTIFS($D80:$D139,"熊市",F80:F139,F78))/COUNTIFS(F80:F139,F78),K79)</f>
        <v>-0.4</v>
      </c>
      <c r="L78" s="1">
        <f>IFERROR((COUNTIFS($D80:$D139,"牛市",G80:G139,G78)-COUNTIFS($D80:$D139,"熊市",G80:G139,G78))/COUNTIFS(G80:G139,G78),L79)</f>
        <v>0.21052631578947367</v>
      </c>
      <c r="N78" s="1">
        <f>IFERROR((COUNTIFS($D80:$D139,"牛市",I80:I139,I78)-COUNTIFS($D80:$D139,"熊市",I80:I139,I78))/COUNTIFS(I80:I139,I78),N79)</f>
        <v>0.27272727272727271</v>
      </c>
      <c r="O78" s="1">
        <f>IFERROR((COUNTIFS($D80:$D139,"牛市",J80:J139,J78)-COUNTIFS($D80:$D139,"熊市",J80:J139,J78))/COUNTIFS(J80:J139,J78),O79)</f>
        <v>0.26315789473684209</v>
      </c>
      <c r="P78" s="1">
        <f>IFERROR((COUNTIFS($E80:$E139,"牛市",F80:F139,F78)-COUNTIFS($E80:$E139,"熊市",F80:F139,F78))/COUNTIFS(F80:F139,F78),P79)</f>
        <v>0.3</v>
      </c>
      <c r="Q78" s="1">
        <f>IFERROR((COUNTIFS($E80:$E139,"牛市",G80:G139,G78)-COUNTIFS($E80:$E139,"熊市",G80:G139,G78))/COUNTIFS(G80:G139,G78),Q79)</f>
        <v>-0.13157894736842105</v>
      </c>
      <c r="S78" s="1">
        <f>IFERROR((COUNTIFS($E80:$E139,"牛市",I80:I139,I78)-COUNTIFS($E80:$E139,"熊市",I80:I139,I78))/COUNTIFS(I80:I139,I78),S79)</f>
        <v>-0.22727272727272727</v>
      </c>
      <c r="T78" s="1">
        <f>IFERROR((COUNTIFS($E80:$E139,"牛市",J80:J139,J78)-COUNTIFS($E80:$E139,"熊市",J80:J139,J78))/COUNTIFS(J80:J139,J78),T79)</f>
        <v>-0.31578947368421051</v>
      </c>
    </row>
    <row r="79" spans="1:20" x14ac:dyDescent="0.35">
      <c r="A79" s="12">
        <v>44165</v>
      </c>
      <c r="B79" s="13">
        <v>3.9826317341389581</v>
      </c>
      <c r="C79" s="87">
        <v>6.2397198879552001</v>
      </c>
      <c r="D79" s="1" t="str">
        <f t="shared" si="30"/>
        <v>牛市</v>
      </c>
      <c r="E79" s="1" t="str">
        <f t="shared" si="31"/>
        <v>熊市</v>
      </c>
      <c r="F79" s="1" t="str">
        <f>VLOOKUP(A79,'货币信用框架5-货币政策目标+信用脉冲'!A:L,12,0)</f>
        <v>宽货币宽信用</v>
      </c>
      <c r="G79" s="1" t="str">
        <f>VLOOKUP(A79,'信贷库存框架1-票据+贷款余额'!A:L,12,0)</f>
        <v>主动去库存</v>
      </c>
      <c r="H79" s="1" t="str">
        <f>IFERROR(VLOOKUP(A79,'财政货币框架1&amp;2底稿'!A:N,14,0),H80)</f>
        <v>宽货币紧财政</v>
      </c>
      <c r="I79" s="1" t="str">
        <f>IFERROR(VLOOKUP(A79,美林时钟!A:W,23,0),I80)</f>
        <v>过热</v>
      </c>
      <c r="J79" s="1" t="str">
        <f>VLOOKUP(A79,库存与产能周期2!A:Q,17,0)</f>
        <v>产能周期上行,主动补库存</v>
      </c>
      <c r="K79" s="1">
        <f>IFERROR((COUNTIFS($D81:$D140,"牛市",F81:F140,F79)-COUNTIFS($D81:$D140,"熊市",F81:F140,F79))/COUNTIFS(F81:F140,F79),K80)</f>
        <v>0.22857142857142856</v>
      </c>
      <c r="L79" s="1">
        <f>IFERROR((COUNTIFS($D81:$D140,"牛市",G81:G140,G79)-COUNTIFS($D81:$D140,"熊市",G81:G140,G79))/COUNTIFS(G81:G140,G79),L80)</f>
        <v>0.21052631578947367</v>
      </c>
      <c r="N79" s="1">
        <f>IFERROR((COUNTIFS($D81:$D140,"牛市",I81:I140,I79)-COUNTIFS($D81:$D140,"熊市",I81:I140,I79))/COUNTIFS(I81:I140,I79),N80)</f>
        <v>0.23809523809523808</v>
      </c>
      <c r="O79" s="1">
        <f>IFERROR((COUNTIFS($D81:$D140,"牛市",J81:J140,J79)-COUNTIFS($D81:$D140,"熊市",J81:J140,J79))/COUNTIFS(J81:J140,J79),O80)</f>
        <v>0.22222222222222221</v>
      </c>
      <c r="P79" s="1">
        <f>IFERROR((COUNTIFS($E81:$E140,"牛市",F81:F140,F79)-COUNTIFS($E81:$E140,"熊市",F81:F140,F79))/COUNTIFS(F81:F140,F79),P80)</f>
        <v>5.7142857142857141E-2</v>
      </c>
      <c r="Q79" s="1">
        <f>IFERROR((COUNTIFS($E81:$E140,"牛市",G81:G140,G79)-COUNTIFS($E81:$E140,"熊市",G81:G140,G79))/COUNTIFS(G81:G140,G79),Q80)</f>
        <v>-7.8947368421052627E-2</v>
      </c>
      <c r="S79" s="1">
        <f>IFERROR((COUNTIFS($E81:$E140,"牛市",I81:I140,I79)-COUNTIFS($E81:$E140,"熊市",I81:I140,I79))/COUNTIFS(I81:I140,I79),S80)</f>
        <v>-0.19047619047619047</v>
      </c>
      <c r="T79" s="1">
        <f>IFERROR((COUNTIFS($E81:$E140,"牛市",J81:J140,J79)-COUNTIFS($E81:$E140,"熊市",J81:J140,J79))/COUNTIFS(J81:J140,J79),T80)</f>
        <v>-0.27777777777777779</v>
      </c>
    </row>
    <row r="80" spans="1:20" x14ac:dyDescent="0.35">
      <c r="A80" s="12">
        <v>44135</v>
      </c>
      <c r="B80" s="13">
        <v>1.0531091239877619</v>
      </c>
      <c r="C80" s="87">
        <v>7.9956010230179002</v>
      </c>
      <c r="D80" s="1" t="str">
        <f t="shared" si="30"/>
        <v>牛市</v>
      </c>
      <c r="E80" s="1" t="str">
        <f t="shared" si="31"/>
        <v>熊市</v>
      </c>
      <c r="F80" s="1" t="str">
        <f>VLOOKUP(A80,'货币信用框架5-货币政策目标+信用脉冲'!A:L,12,0)</f>
        <v>宽货币宽信用</v>
      </c>
      <c r="G80" s="1" t="str">
        <f>VLOOKUP(A80,'信贷库存框架1-票据+贷款余额'!A:L,12,0)</f>
        <v>主动去库存</v>
      </c>
      <c r="H80" s="1" t="str">
        <f>IFERROR(VLOOKUP(A80,'财政货币框架1&amp;2底稿'!A:N,14,0),H81)</f>
        <v>双紧</v>
      </c>
      <c r="I80" s="1" t="str">
        <f>IFERROR(VLOOKUP(A80,美林时钟!A:W,23,0),I81)</f>
        <v>过热</v>
      </c>
      <c r="J80" s="1" t="str">
        <f>VLOOKUP(A80,库存与产能周期2!A:Q,17,0)</f>
        <v>产能周期上行,主动补库存</v>
      </c>
      <c r="K80" s="1">
        <f>IFERROR((COUNTIFS($D82:$D141,"牛市",F82:F141,F80)-COUNTIFS($D82:$D141,"熊市",F82:F141,F80))/COUNTIFS(F82:F141,F80),K81)</f>
        <v>0.22857142857142856</v>
      </c>
      <c r="L80" s="1">
        <f>IFERROR((COUNTIFS($D82:$D141,"牛市",G82:G141,G80)-COUNTIFS($D82:$D141,"熊市",G82:G141,G80))/COUNTIFS(G82:G141,G80),L81)</f>
        <v>0.21052631578947367</v>
      </c>
      <c r="N80" s="1">
        <f>IFERROR((COUNTIFS($D82:$D141,"牛市",I82:I141,I80)-COUNTIFS($D82:$D141,"熊市",I82:I141,I80))/COUNTIFS(I82:I141,I80),N81)</f>
        <v>0.3</v>
      </c>
      <c r="O80" s="1">
        <f>IFERROR((COUNTIFS($D82:$D141,"牛市",J82:J141,J80)-COUNTIFS($D82:$D141,"熊市",J82:J141,J80))/COUNTIFS(J82:J141,J80),O81)</f>
        <v>0.29411764705882354</v>
      </c>
      <c r="P80" s="1">
        <f>IFERROR((COUNTIFS($E82:$E141,"牛市",F82:F141,F80)-COUNTIFS($E82:$E141,"熊市",F82:F141,F80))/COUNTIFS(F82:F141,F80),P81)</f>
        <v>0.11428571428571428</v>
      </c>
      <c r="Q80" s="1">
        <f>IFERROR((COUNTIFS($E82:$E141,"牛市",G82:G141,G80)-COUNTIFS($E82:$E141,"熊市",G82:G141,G80))/COUNTIFS(G82:G141,G80),Q81)</f>
        <v>-2.6315789473684209E-2</v>
      </c>
      <c r="S80" s="1">
        <f>IFERROR((COUNTIFS($E82:$E141,"牛市",I82:I141,I80)-COUNTIFS($E82:$E141,"熊市",I82:I141,I80))/COUNTIFS(I82:I141,I80),S81)</f>
        <v>-0.15</v>
      </c>
      <c r="T80" s="1">
        <f>IFERROR((COUNTIFS($E82:$E141,"牛市",J82:J141,J80)-COUNTIFS($E82:$E141,"熊市",J82:J141,J80))/COUNTIFS(J82:J141,J80),T81)</f>
        <v>-0.23529411764705882</v>
      </c>
    </row>
    <row r="81" spans="1:20" x14ac:dyDescent="0.35">
      <c r="A81" s="12">
        <v>44104</v>
      </c>
      <c r="B81" s="13">
        <v>-5.9693053161541387</v>
      </c>
      <c r="C81" s="87">
        <v>12.652298136645999</v>
      </c>
      <c r="D81" s="1" t="str">
        <f t="shared" si="30"/>
        <v>熊市</v>
      </c>
      <c r="E81" s="1" t="str">
        <f t="shared" si="31"/>
        <v>熊市</v>
      </c>
      <c r="F81" s="1" t="str">
        <f>VLOOKUP(A81,'货币信用框架5-货币政策目标+信用脉冲'!A:L,12,0)</f>
        <v>宽货币宽信用</v>
      </c>
      <c r="G81" s="1" t="str">
        <f>VLOOKUP(A81,'信贷库存框架1-票据+贷款余额'!A:L,12,0)</f>
        <v>主动去库存</v>
      </c>
      <c r="H81" s="1" t="str">
        <f>IFERROR(VLOOKUP(A81,'财政货币框架1&amp;2底稿'!A:N,14,0),H82)</f>
        <v>双紧</v>
      </c>
      <c r="I81" s="1" t="str">
        <f>IFERROR(VLOOKUP(A81,美林时钟!A:W,23,0),I82)</f>
        <v>过热</v>
      </c>
      <c r="J81" s="1" t="str">
        <f>VLOOKUP(A81,库存与产能周期2!A:Q,17,0)</f>
        <v>产能周期上行,主动补库存</v>
      </c>
      <c r="K81" s="1">
        <f>IFERROR((COUNTIFS($D83:$D142,"牛市",F83:F142,F81)-COUNTIFS($D83:$D142,"熊市",F83:F142,F81))/COUNTIFS(F83:F142,F81),K82)</f>
        <v>0.17142857142857143</v>
      </c>
      <c r="L81" s="1">
        <f>IFERROR((COUNTIFS($D83:$D142,"牛市",G83:G142,G81)-COUNTIFS($D83:$D142,"熊市",G83:G142,G81))/COUNTIFS(G83:G142,G81),L82)</f>
        <v>0.15789473684210525</v>
      </c>
      <c r="N81" s="1">
        <f>IFERROR((COUNTIFS($D83:$D142,"牛市",I83:I142,I81)-COUNTIFS($D83:$D142,"熊市",I83:I142,I81))/COUNTIFS(I83:I142,I81),N82)</f>
        <v>0.26315789473684209</v>
      </c>
      <c r="O81" s="1">
        <f>IFERROR((COUNTIFS($D83:$D142,"牛市",J83:J142,J81)-COUNTIFS($D83:$D142,"熊市",J83:J142,J81))/COUNTIFS(J83:J142,J81),O82)</f>
        <v>0.25</v>
      </c>
      <c r="P81" s="1">
        <f>IFERROR((COUNTIFS($E83:$E142,"牛市",F83:F142,F81)-COUNTIFS($E83:$E142,"熊市",F83:F142,F81))/COUNTIFS(F83:F142,F81),P82)</f>
        <v>0.17142857142857143</v>
      </c>
      <c r="Q81" s="1">
        <f>IFERROR((COUNTIFS($E83:$E142,"牛市",G83:G142,G81)-COUNTIFS($E83:$E142,"熊市",G83:G142,G81))/COUNTIFS(G83:G142,G81),Q82)</f>
        <v>2.6315789473684209E-2</v>
      </c>
      <c r="S81" s="1">
        <f>IFERROR((COUNTIFS($E83:$E142,"牛市",I83:I142,I81)-COUNTIFS($E83:$E142,"熊市",I83:I142,I81))/COUNTIFS(I83:I142,I81),S82)</f>
        <v>-0.10526315789473684</v>
      </c>
      <c r="T81" s="1">
        <f>IFERROR((COUNTIFS($E83:$E142,"牛市",J83:J142,J81)-COUNTIFS($E83:$E142,"熊市",J83:J142,J81))/COUNTIFS(J83:J142,J81),T82)</f>
        <v>-0.1875</v>
      </c>
    </row>
    <row r="82" spans="1:20" x14ac:dyDescent="0.35">
      <c r="A82" s="12">
        <v>44074</v>
      </c>
      <c r="B82" s="13">
        <v>1.96847023540455</v>
      </c>
      <c r="C82" s="87">
        <v>3.6855279503105001</v>
      </c>
      <c r="D82" s="1" t="str">
        <f t="shared" si="30"/>
        <v>牛市</v>
      </c>
      <c r="E82" s="1" t="str">
        <f t="shared" si="31"/>
        <v>熊市</v>
      </c>
      <c r="F82" s="1" t="str">
        <f>VLOOKUP(A82,'货币信用框架5-货币政策目标+信用脉冲'!A:L,12,0)</f>
        <v>宽货币宽信用</v>
      </c>
      <c r="G82" s="1" t="str">
        <f>VLOOKUP(A82,'信贷库存框架1-票据+贷款余额'!A:L,12,0)</f>
        <v>主动去库存</v>
      </c>
      <c r="H82" s="1" t="str">
        <f>IFERROR(VLOOKUP(A82,'财政货币框架1&amp;2底稿'!A:N,14,0),H83)</f>
        <v>双紧</v>
      </c>
      <c r="I82" s="1" t="str">
        <f>IFERROR(VLOOKUP(A82,美林时钟!A:W,23,0),I83)</f>
        <v>过热</v>
      </c>
      <c r="J82" s="1" t="str">
        <f>VLOOKUP(A82,库存与产能周期2!A:Q,17,0)</f>
        <v>产能周期上行,主动补库存</v>
      </c>
      <c r="K82" s="1">
        <f>IFERROR((COUNTIFS($D84:$D143,"牛市",F84:F143,F82)-COUNTIFS($D84:$D143,"熊市",F84:F143,F82))/COUNTIFS(F84:F143,F82),K83)</f>
        <v>0.11428571428571428</v>
      </c>
      <c r="L82" s="1">
        <f>IFERROR((COUNTIFS($D84:$D143,"牛市",G84:G143,G82)-COUNTIFS($D84:$D143,"熊市",G84:G143,G82))/COUNTIFS(G84:G143,G82),L83)</f>
        <v>0.10526315789473684</v>
      </c>
      <c r="N82" s="1">
        <f>IFERROR((COUNTIFS($D84:$D143,"牛市",I84:I143,I82)-COUNTIFS($D84:$D143,"熊市",I84:I143,I82))/COUNTIFS(I84:I143,I82),N83)</f>
        <v>0.22222222222222221</v>
      </c>
      <c r="O82" s="1">
        <f>IFERROR((COUNTIFS($D84:$D143,"牛市",J84:J143,J82)-COUNTIFS($D84:$D143,"熊市",J84:J143,J82))/COUNTIFS(J84:J143,J82),O83)</f>
        <v>0.2</v>
      </c>
      <c r="P82" s="1">
        <f>IFERROR((COUNTIFS($E84:$E143,"牛市",F84:F143,F82)-COUNTIFS($E84:$E143,"熊市",F84:F143,F82))/COUNTIFS(F84:F143,F82),P83)</f>
        <v>0.22857142857142856</v>
      </c>
      <c r="Q82" s="1">
        <f>IFERROR((COUNTIFS($E84:$E143,"牛市",G84:G143,G82)-COUNTIFS($E84:$E143,"熊市",G84:G143,G82))/COUNTIFS(G84:G143,G82),Q83)</f>
        <v>7.8947368421052627E-2</v>
      </c>
      <c r="S82" s="1">
        <f>IFERROR((COUNTIFS($E84:$E143,"牛市",I84:I143,I82)-COUNTIFS($E84:$E143,"熊市",I84:I143,I82))/COUNTIFS(I84:I143,I82),S83)</f>
        <v>-5.5555555555555552E-2</v>
      </c>
      <c r="T82" s="1">
        <f>IFERROR((COUNTIFS($E84:$E143,"牛市",J84:J143,J82)-COUNTIFS($E84:$E143,"熊市",J84:J143,J82))/COUNTIFS(J84:J143,J82),T83)</f>
        <v>-0.13333333333333333</v>
      </c>
    </row>
    <row r="83" spans="1:20" x14ac:dyDescent="0.35">
      <c r="A83" s="12">
        <v>44043</v>
      </c>
      <c r="B83" s="13">
        <v>13.06394040638728</v>
      </c>
      <c r="C83" s="87">
        <v>12.227805383022799</v>
      </c>
      <c r="D83" s="1" t="str">
        <f t="shared" si="30"/>
        <v>牛市</v>
      </c>
      <c r="E83" s="1" t="str">
        <f t="shared" si="31"/>
        <v>熊市</v>
      </c>
      <c r="F83" s="1" t="str">
        <f>VLOOKUP(A83,'货币信用框架5-货币政策目标+信用脉冲'!A:L,12,0)</f>
        <v>宽货币宽信用</v>
      </c>
      <c r="G83" s="1" t="str">
        <f>VLOOKUP(A83,'信贷库存框架1-票据+贷款余额'!A:L,12,0)</f>
        <v>主动去库存</v>
      </c>
      <c r="H83" s="1" t="str">
        <f>IFERROR(VLOOKUP(A83,'财政货币框架1&amp;2底稿'!A:N,14,0),H84)</f>
        <v>双紧</v>
      </c>
      <c r="I83" s="1" t="str">
        <f>IFERROR(VLOOKUP(A83,美林时钟!A:W,23,0),I84)</f>
        <v>过热</v>
      </c>
      <c r="J83" s="1" t="str">
        <f>VLOOKUP(A83,库存与产能周期2!A:Q,17,0)</f>
        <v>产能周期上行,主动补库存</v>
      </c>
      <c r="K83" s="1">
        <f>IFERROR((COUNTIFS($D85:$D144,"牛市",F85:F144,F83)-COUNTIFS($D85:$D144,"熊市",F85:F144,F83))/COUNTIFS(F85:F144,F83),K84)</f>
        <v>5.7142857142857141E-2</v>
      </c>
      <c r="L83" s="1">
        <f>IFERROR((COUNTIFS($D85:$D144,"牛市",G85:G144,G83)-COUNTIFS($D85:$D144,"熊市",G85:G144,G83))/COUNTIFS(G85:G144,G83),L84)</f>
        <v>8.1081081081081086E-2</v>
      </c>
      <c r="N83" s="1">
        <f>IFERROR((COUNTIFS($D85:$D144,"牛市",I85:I144,I83)-COUNTIFS($D85:$D144,"熊市",I85:I144,I83))/COUNTIFS(I85:I144,I83),N84)</f>
        <v>0.17647058823529413</v>
      </c>
      <c r="O83" s="1">
        <f>IFERROR((COUNTIFS($D85:$D144,"牛市",J85:J144,J83)-COUNTIFS($D85:$D144,"熊市",J85:J144,J83))/COUNTIFS(J85:J144,J83),O84)</f>
        <v>0.14285714285714285</v>
      </c>
      <c r="P83" s="1">
        <f>IFERROR((COUNTIFS($E85:$E144,"牛市",F85:F144,F83)-COUNTIFS($E85:$E144,"熊市",F85:F144,F83))/COUNTIFS(F85:F144,F83),P84)</f>
        <v>0.22857142857142856</v>
      </c>
      <c r="Q83" s="1">
        <f>IFERROR((COUNTIFS($E85:$E144,"牛市",G85:G144,G83)-COUNTIFS($E85:$E144,"熊市",G85:G144,G83))/COUNTIFS(G85:G144,G83),Q84)</f>
        <v>0.10810810810810811</v>
      </c>
      <c r="S83" s="1">
        <f>IFERROR((COUNTIFS($E85:$E144,"牛市",I85:I144,I83)-COUNTIFS($E85:$E144,"熊市",I85:I144,I83))/COUNTIFS(I85:I144,I83),S84)</f>
        <v>0</v>
      </c>
      <c r="T83" s="1">
        <f>IFERROR((COUNTIFS($E85:$E144,"牛市",J85:J144,J83)-COUNTIFS($E85:$E144,"熊市",J85:J144,J83))/COUNTIFS(J85:J144,J83),T84)</f>
        <v>-7.1428571428571425E-2</v>
      </c>
    </row>
    <row r="84" spans="1:20" x14ac:dyDescent="0.35">
      <c r="A84" s="12">
        <v>44012</v>
      </c>
      <c r="B84" s="13">
        <v>8.4079214751829543</v>
      </c>
      <c r="C84" s="87">
        <v>14.597343358396</v>
      </c>
      <c r="D84" s="1" t="str">
        <f t="shared" si="30"/>
        <v>牛市</v>
      </c>
      <c r="E84" s="1" t="str">
        <f t="shared" si="31"/>
        <v>熊市</v>
      </c>
      <c r="F84" s="1" t="str">
        <f>VLOOKUP(A84,'货币信用框架5-货币政策目标+信用脉冲'!A:L,12,0)</f>
        <v>宽货币宽信用</v>
      </c>
      <c r="G84" s="1" t="str">
        <f>VLOOKUP(A84,'信贷库存框架1-票据+贷款余额'!A:L,12,0)</f>
        <v>主动去库存</v>
      </c>
      <c r="H84" s="1" t="str">
        <f>IFERROR(VLOOKUP(A84,'财政货币框架1&amp;2底稿'!A:N,14,0),H85)</f>
        <v>双紧</v>
      </c>
      <c r="I84" s="1" t="str">
        <f>IFERROR(VLOOKUP(A84,美林时钟!A:W,23,0),I85)</f>
        <v>过热</v>
      </c>
      <c r="J84" s="1" t="str">
        <f>VLOOKUP(A84,库存与产能周期2!A:Q,17,0)</f>
        <v>产能周期上行,主动补库存</v>
      </c>
      <c r="K84" s="1">
        <f>IFERROR((COUNTIFS($D86:$D145,"牛市",F86:F145,F84)-COUNTIFS($D86:$D145,"熊市",F86:F145,F84))/COUNTIFS(F86:F145,F84),K85)</f>
        <v>5.8823529411764705E-2</v>
      </c>
      <c r="L84" s="1">
        <f>IFERROR((COUNTIFS($D86:$D145,"牛市",G86:G145,G84)-COUNTIFS($D86:$D145,"熊市",G86:G145,G84))/COUNTIFS(G86:G145,G84),L85)</f>
        <v>8.1081081081081086E-2</v>
      </c>
      <c r="N84" s="1">
        <f>IFERROR((COUNTIFS($D86:$D145,"牛市",I86:I145,I84)-COUNTIFS($D86:$D145,"熊市",I86:I145,I84))/COUNTIFS(I86:I145,I84),N85)</f>
        <v>0.17647058823529413</v>
      </c>
      <c r="O84" s="1">
        <f>IFERROR((COUNTIFS($D86:$D145,"牛市",J86:J145,J84)-COUNTIFS($D86:$D145,"熊市",J86:J145,J84))/COUNTIFS(J86:J145,J84),O85)</f>
        <v>0.15384615384615385</v>
      </c>
      <c r="P84" s="1">
        <f>IFERROR((COUNTIFS($E86:$E145,"牛市",F86:F145,F84)-COUNTIFS($E86:$E145,"熊市",F86:F145,F84))/COUNTIFS(F86:F145,F84),P85)</f>
        <v>0.26470588235294118</v>
      </c>
      <c r="Q84" s="1">
        <f>IFERROR((COUNTIFS($E86:$E145,"牛市",G86:G145,G84)-COUNTIFS($E86:$E145,"熊市",G86:G145,G84))/COUNTIFS(G86:G145,G84),Q85)</f>
        <v>0.10810810810810811</v>
      </c>
      <c r="S84" s="1">
        <f>IFERROR((COUNTIFS($E86:$E145,"牛市",I86:I145,I84)-COUNTIFS($E86:$E145,"熊市",I86:I145,I84))/COUNTIFS(I86:I145,I84),S85)</f>
        <v>0</v>
      </c>
      <c r="T84" s="1">
        <f>IFERROR((COUNTIFS($E86:$E145,"牛市",J86:J145,J84)-COUNTIFS($E86:$E145,"熊市",J86:J145,J84))/COUNTIFS(J86:J145,J84),T85)</f>
        <v>0</v>
      </c>
    </row>
    <row r="85" spans="1:20" x14ac:dyDescent="0.35">
      <c r="A85" s="12">
        <v>43982</v>
      </c>
      <c r="B85" s="13">
        <v>0.57999903349634296</v>
      </c>
      <c r="C85" s="87">
        <v>13.8697129186603</v>
      </c>
      <c r="D85" s="1" t="str">
        <f t="shared" si="30"/>
        <v>震荡</v>
      </c>
      <c r="E85" s="1" t="str">
        <f t="shared" si="31"/>
        <v>熊市</v>
      </c>
      <c r="F85" s="1" t="str">
        <f>VLOOKUP(A85,'货币信用框架5-货币政策目标+信用脉冲'!A:L,12,0)</f>
        <v>宽货币宽信用</v>
      </c>
      <c r="G85" s="1" t="str">
        <f>VLOOKUP(A85,'信贷库存框架1-票据+贷款余额'!A:L,12,0)</f>
        <v>主动补库存</v>
      </c>
      <c r="H85" s="1" t="str">
        <f>IFERROR(VLOOKUP(A85,'财政货币框架1&amp;2底稿'!A:N,14,0),H86)</f>
        <v>双紧</v>
      </c>
      <c r="I85" s="1" t="str">
        <f>IFERROR(VLOOKUP(A85,美林时钟!A:W,23,0),I86)</f>
        <v>复苏</v>
      </c>
      <c r="J85" s="1" t="str">
        <f>VLOOKUP(A85,库存与产能周期2!A:Q,17,0)</f>
        <v>产能周期上行,主动补库存</v>
      </c>
      <c r="K85" s="1">
        <f>IFERROR((COUNTIFS($D87:$D146,"牛市",F87:F146,F85)-COUNTIFS($D87:$D146,"熊市",F87:F146,F85))/COUNTIFS(F87:F146,F85),K86)</f>
        <v>3.0303030303030304E-2</v>
      </c>
      <c r="L85" s="1">
        <f>IFERROR((COUNTIFS($D87:$D146,"牛市",G87:G146,G85)-COUNTIFS($D87:$D146,"熊市",G87:G146,G85))/COUNTIFS(G87:G146,G85),L86)</f>
        <v>7.1428571428571425E-2</v>
      </c>
      <c r="N85" s="1">
        <f>IFERROR((COUNTIFS($D87:$D146,"牛市",I87:I146,I85)-COUNTIFS($D87:$D146,"熊市",I87:I146,I85))/COUNTIFS(I87:I146,I85),N86)</f>
        <v>8.3333333333333329E-2</v>
      </c>
      <c r="O85" s="1">
        <f>IFERROR((COUNTIFS($D87:$D146,"牛市",J87:J146,J85)-COUNTIFS($D87:$D146,"熊市",J87:J146,J85))/COUNTIFS(J87:J146,J85),O86)</f>
        <v>8.3333333333333329E-2</v>
      </c>
      <c r="P85" s="1">
        <f>IFERROR((COUNTIFS($E87:$E146,"牛市",F87:F146,F85)-COUNTIFS($E87:$E146,"熊市",F87:F146,F85))/COUNTIFS(F87:F146,F85),P86)</f>
        <v>0.24242424242424243</v>
      </c>
      <c r="Q85" s="1">
        <f>IFERROR((COUNTIFS($E87:$E146,"牛市",G87:G146,G85)-COUNTIFS($E87:$E146,"熊市",G87:G146,G85))/COUNTIFS(G87:G146,G85),Q86)</f>
        <v>0.14285714285714285</v>
      </c>
      <c r="S85" s="1">
        <f>IFERROR((COUNTIFS($E87:$E146,"牛市",I87:I146,I85)-COUNTIFS($E87:$E146,"熊市",I87:I146,I85))/COUNTIFS(I87:I146,I85),S86)</f>
        <v>-0.25</v>
      </c>
      <c r="T85" s="1">
        <f>IFERROR((COUNTIFS($E87:$E146,"牛市",J87:J146,J85)-COUNTIFS($E87:$E146,"熊市",J87:J146,J85))/COUNTIFS(J87:J146,J85),T86)</f>
        <v>-8.3333333333333329E-2</v>
      </c>
    </row>
    <row r="86" spans="1:20" x14ac:dyDescent="0.35">
      <c r="A86" s="12">
        <v>43951</v>
      </c>
      <c r="B86" s="13">
        <v>5.2322153117140493</v>
      </c>
      <c r="C86" s="87">
        <v>-10.9554545454546</v>
      </c>
      <c r="D86" s="1" t="str">
        <f t="shared" si="30"/>
        <v>牛市</v>
      </c>
      <c r="E86" s="1" t="str">
        <f t="shared" si="31"/>
        <v>牛市</v>
      </c>
      <c r="F86" s="1" t="str">
        <f>VLOOKUP(A86,'货币信用框架5-货币政策目标+信用脉冲'!A:L,12,0)</f>
        <v>宽货币宽信用</v>
      </c>
      <c r="G86" s="1" t="str">
        <f>VLOOKUP(A86,'信贷库存框架1-票据+贷款余额'!A:L,12,0)</f>
        <v>主动补库存</v>
      </c>
      <c r="H86" s="1" t="str">
        <f>IFERROR(VLOOKUP(A86,'财政货币框架1&amp;2底稿'!A:N,14,0),H87)</f>
        <v>双宽</v>
      </c>
      <c r="I86" s="1" t="str">
        <f>IFERROR(VLOOKUP(A86,美林时钟!A:W,23,0),I87)</f>
        <v>复苏</v>
      </c>
      <c r="J86" s="1" t="str">
        <f>VLOOKUP(A86,库存与产能周期2!A:Q,17,0)</f>
        <v>产能周期上行,主动补库存</v>
      </c>
      <c r="K86" s="1">
        <f>IFERROR((COUNTIFS($D88:$D147,"牛市",F88:F147,F86)-COUNTIFS($D88:$D147,"熊市",F88:F147,F86))/COUNTIFS(F88:F147,F86),K87)</f>
        <v>6.25E-2</v>
      </c>
      <c r="L86" s="1">
        <f>IFERROR((COUNTIFS($D88:$D147,"牛市",G88:G147,G86)-COUNTIFS($D88:$D147,"熊市",G88:G147,G86))/COUNTIFS(G88:G147,G86),L87)</f>
        <v>0.21428571428571427</v>
      </c>
      <c r="N86" s="1">
        <f>IFERROR((COUNTIFS($D88:$D147,"牛市",I88:I147,I86)-COUNTIFS($D88:$D147,"熊市",I88:I147,I86))/COUNTIFS(I88:I147,I86),N87)</f>
        <v>0.18181818181818182</v>
      </c>
      <c r="O86" s="1">
        <f>IFERROR((COUNTIFS($D88:$D147,"牛市",J88:J147,J86)-COUNTIFS($D88:$D147,"熊市",J88:J147,J86))/COUNTIFS(J88:J147,J86),O87)</f>
        <v>0.18181818181818182</v>
      </c>
      <c r="P86" s="1">
        <f>IFERROR((COUNTIFS($E88:$E147,"牛市",F88:F147,F86)-COUNTIFS($E88:$E147,"熊市",F88:F147,F86))/COUNTIFS(F88:F147,F86),P87)</f>
        <v>0.21875</v>
      </c>
      <c r="Q86" s="1">
        <f>IFERROR((COUNTIFS($E88:$E147,"牛市",G88:G147,G86)-COUNTIFS($E88:$E147,"熊市",G88:G147,G86))/COUNTIFS(G88:G147,G86),Q87)</f>
        <v>0</v>
      </c>
      <c r="S86" s="1">
        <f>IFERROR((COUNTIFS($E88:$E147,"牛市",I88:I147,I86)-COUNTIFS($E88:$E147,"熊市",I88:I147,I86))/COUNTIFS(I88:I147,I86),S87)</f>
        <v>-0.36363636363636365</v>
      </c>
      <c r="T86" s="1">
        <f>IFERROR((COUNTIFS($E88:$E147,"牛市",J88:J147,J86)-COUNTIFS($E88:$E147,"熊市",J88:J147,J86))/COUNTIFS(J88:J147,J86),T87)</f>
        <v>-0.18181818181818182</v>
      </c>
    </row>
    <row r="87" spans="1:20" x14ac:dyDescent="0.35">
      <c r="A87" s="12">
        <v>43921</v>
      </c>
      <c r="B87" s="13">
        <v>-6.530276252548469</v>
      </c>
      <c r="C87" s="87">
        <v>-17.8668636363636</v>
      </c>
      <c r="D87" s="1" t="str">
        <f t="shared" si="30"/>
        <v>熊市</v>
      </c>
      <c r="E87" s="1" t="str">
        <f t="shared" si="31"/>
        <v>牛市</v>
      </c>
      <c r="F87" s="1" t="str">
        <f>VLOOKUP(A87,'货币信用框架5-货币政策目标+信用脉冲'!A:L,12,0)</f>
        <v>宽货币宽信用</v>
      </c>
      <c r="G87" s="1" t="str">
        <f>VLOOKUP(A87,'信贷库存框架1-票据+贷款余额'!A:L,12,0)</f>
        <v>主动补库存</v>
      </c>
      <c r="H87" s="1" t="str">
        <f>IFERROR(VLOOKUP(A87,'财政货币框架1&amp;2底稿'!A:N,14,0),H88)</f>
        <v>双宽</v>
      </c>
      <c r="I87" s="1" t="str">
        <f>IFERROR(VLOOKUP(A87,美林时钟!A:W,23,0),I88)</f>
        <v>复苏</v>
      </c>
      <c r="J87" s="1" t="str">
        <f>VLOOKUP(A87,库存与产能周期2!A:Q,17,0)</f>
        <v>产能周期上行,主动补库存</v>
      </c>
      <c r="K87" s="1">
        <f>IFERROR((COUNTIFS($D89:$D148,"牛市",F89:F148,F87)-COUNTIFS($D89:$D148,"熊市",F89:F148,F87))/COUNTIFS(F89:F148,F87),K88)</f>
        <v>6.4516129032258063E-2</v>
      </c>
      <c r="L87" s="1">
        <f>IFERROR((COUNTIFS($D89:$D148,"牛市",G89:G148,G87)-COUNTIFS($D89:$D148,"熊市",G89:G148,G87))/COUNTIFS(G89:G148,G87),L88)</f>
        <v>0.26666666666666666</v>
      </c>
      <c r="N87" s="1">
        <f>IFERROR((COUNTIFS($D89:$D148,"牛市",I89:I148,I87)-COUNTIFS($D89:$D148,"熊市",I89:I148,I87))/COUNTIFS(I89:I148,I87),N88)</f>
        <v>0.18181818181818182</v>
      </c>
      <c r="O87" s="1">
        <f>IFERROR((COUNTIFS($D89:$D148,"牛市",J89:J148,J87)-COUNTIFS($D89:$D148,"熊市",J89:J148,J87))/COUNTIFS(J89:J148,J87),O88)</f>
        <v>0.18181818181818182</v>
      </c>
      <c r="P87" s="1">
        <f>IFERROR((COUNTIFS($E89:$E148,"牛市",F89:F148,F87)-COUNTIFS($E89:$E148,"熊市",F89:F148,F87))/COUNTIFS(F89:F148,F87),P88)</f>
        <v>0.19354838709677419</v>
      </c>
      <c r="Q87" s="1">
        <f>IFERROR((COUNTIFS($E89:$E148,"牛市",G89:G148,G87)-COUNTIFS($E89:$E148,"熊市",G89:G148,G87))/COUNTIFS(G89:G148,G87),Q88)</f>
        <v>6.6666666666666666E-2</v>
      </c>
      <c r="S87" s="1">
        <f>IFERROR((COUNTIFS($E89:$E148,"牛市",I89:I148,I87)-COUNTIFS($E89:$E148,"熊市",I89:I148,I87))/COUNTIFS(I89:I148,I87),S88)</f>
        <v>-0.36363636363636365</v>
      </c>
      <c r="T87" s="1">
        <f>IFERROR((COUNTIFS($E89:$E148,"牛市",J89:J148,J87)-COUNTIFS($E89:$E148,"熊市",J89:J148,J87))/COUNTIFS(J89:J148,J87),T88)</f>
        <v>-0.18181818181818182</v>
      </c>
    </row>
    <row r="88" spans="1:20" x14ac:dyDescent="0.35">
      <c r="A88" s="12">
        <v>43890</v>
      </c>
      <c r="B88" s="13">
        <v>-2.7510793660733002E-2</v>
      </c>
      <c r="C88" s="87">
        <v>-26.109500000000001</v>
      </c>
      <c r="D88" s="1" t="str">
        <f t="shared" si="30"/>
        <v>震荡</v>
      </c>
      <c r="E88" s="1" t="str">
        <f t="shared" si="31"/>
        <v>牛市</v>
      </c>
      <c r="F88" s="1" t="str">
        <f>VLOOKUP(A88,'货币信用框架5-货币政策目标+信用脉冲'!A:L,12,0)</f>
        <v>宽货币宽信用</v>
      </c>
      <c r="G88" s="1" t="str">
        <f>VLOOKUP(A88,'信贷库存框架1-票据+贷款余额'!A:L,12,0)</f>
        <v>主动去库存</v>
      </c>
      <c r="H88" s="1" t="str">
        <f>IFERROR(VLOOKUP(A88,'财政货币框架1&amp;2底稿'!A:N,14,0),H89)</f>
        <v>双宽</v>
      </c>
      <c r="I88" s="1" t="str">
        <f>IFERROR(VLOOKUP(A88,美林时钟!A:W,23,0),I89)</f>
        <v>过热</v>
      </c>
      <c r="J88" s="1" t="str">
        <f>VLOOKUP(A88,库存与产能周期2!A:Q,17,0)</f>
        <v>产能周期上行,被动补库存</v>
      </c>
      <c r="K88" s="1">
        <f>IFERROR((COUNTIFS($D90:$D149,"牛市",F90:F149,F88)-COUNTIFS($D90:$D149,"熊市",F90:F149,F88))/COUNTIFS(F90:F149,F88),K89)</f>
        <v>6.6666666666666666E-2</v>
      </c>
      <c r="L88" s="1">
        <f>IFERROR((COUNTIFS($D90:$D149,"牛市",G90:G149,G88)-COUNTIFS($D90:$D149,"熊市",G90:G149,G88))/COUNTIFS(G90:G149,G88),L89)</f>
        <v>8.5714285714285715E-2</v>
      </c>
      <c r="N88" s="1">
        <f>IFERROR((COUNTIFS($D90:$D149,"牛市",I90:I149,I88)-COUNTIFS($D90:$D149,"熊市",I90:I149,I88))/COUNTIFS(I90:I149,I88),N89)</f>
        <v>0.2</v>
      </c>
      <c r="O88" s="1">
        <f>IFERROR((COUNTIFS($D90:$D149,"牛市",J90:J149,J88)-COUNTIFS($D90:$D149,"熊市",J90:J149,J88))/COUNTIFS(J90:J149,J88),O89)</f>
        <v>0</v>
      </c>
      <c r="P88" s="1">
        <f>IFERROR((COUNTIFS($E90:$E149,"牛市",F90:F149,F88)-COUNTIFS($E90:$E149,"熊市",F90:F149,F88))/COUNTIFS(F90:F149,F88),P89)</f>
        <v>0.16666666666666666</v>
      </c>
      <c r="Q88" s="1">
        <f>IFERROR((COUNTIFS($E90:$E149,"牛市",G90:G149,G88)-COUNTIFS($E90:$E149,"熊市",G90:G149,G88))/COUNTIFS(G90:G149,G88),Q89)</f>
        <v>5.7142857142857141E-2</v>
      </c>
      <c r="S88" s="1">
        <f>IFERROR((COUNTIFS($E90:$E149,"牛市",I90:I149,I88)-COUNTIFS($E90:$E149,"熊市",I90:I149,I88))/COUNTIFS(I90:I149,I88),S89)</f>
        <v>-0.13333333333333333</v>
      </c>
      <c r="T88" s="1">
        <f>IFERROR((COUNTIFS($E90:$E149,"牛市",J90:J149,J88)-COUNTIFS($E90:$E149,"熊市",J90:J149,J88))/COUNTIFS(J90:J149,J88),T89)</f>
        <v>0.5</v>
      </c>
    </row>
    <row r="89" spans="1:20" x14ac:dyDescent="0.35">
      <c r="A89" s="12">
        <v>43861</v>
      </c>
      <c r="B89" s="13">
        <v>-0.25268447865475102</v>
      </c>
      <c r="C89" s="87">
        <v>-8.0195454545455007</v>
      </c>
      <c r="D89" s="1" t="str">
        <f t="shared" si="30"/>
        <v>震荡</v>
      </c>
      <c r="E89" s="1" t="str">
        <f t="shared" si="31"/>
        <v>牛市</v>
      </c>
      <c r="F89" s="1" t="str">
        <f>VLOOKUP(A89,'货币信用框架5-货币政策目标+信用脉冲'!A:L,12,0)</f>
        <v>宽货币宽信用</v>
      </c>
      <c r="G89" s="1" t="str">
        <f>VLOOKUP(A89,'信贷库存框架1-票据+贷款余额'!A:L,12,0)</f>
        <v>主动去库存</v>
      </c>
      <c r="H89" s="1" t="str">
        <f>IFERROR(VLOOKUP(A89,'财政货币框架1&amp;2底稿'!A:N,14,0),H90)</f>
        <v>宽货币紧财政</v>
      </c>
      <c r="I89" s="1" t="str">
        <f>IFERROR(VLOOKUP(A89,美林时钟!A:W,23,0),I90)</f>
        <v>过热</v>
      </c>
      <c r="J89" s="1" t="str">
        <f>VLOOKUP(A89,库存与产能周期2!A:Q,17,0)</f>
        <v>产能周期上行,被动补库存</v>
      </c>
      <c r="K89" s="1">
        <f>IFERROR((COUNTIFS($D91:$D150,"牛市",F91:F150,F89)-COUNTIFS($D91:$D150,"熊市",F91:F150,F89))/COUNTIFS(F91:F150,F89),K90)</f>
        <v>3.4482758620689655E-2</v>
      </c>
      <c r="L89" s="1">
        <f>IFERROR((COUNTIFS($D91:$D150,"牛市",G91:G150,G89)-COUNTIFS($D91:$D150,"熊市",G91:G150,G89))/COUNTIFS(G91:G150,G89),L90)</f>
        <v>5.8823529411764705E-2</v>
      </c>
      <c r="N89" s="1">
        <f>IFERROR((COUNTIFS($D91:$D150,"牛市",I91:I150,I89)-COUNTIFS($D91:$D150,"熊市",I91:I150,I89))/COUNTIFS(I91:I150,I89),N90)</f>
        <v>0.14285714285714285</v>
      </c>
      <c r="O89" s="1">
        <f>IFERROR((COUNTIFS($D91:$D150,"牛市",J91:J150,J89)-COUNTIFS($D91:$D150,"熊市",J91:J150,J89))/COUNTIFS(J91:J150,J89),O90)</f>
        <v>-1</v>
      </c>
      <c r="P89" s="1">
        <f>IFERROR((COUNTIFS($E91:$E150,"牛市",F91:F150,F89)-COUNTIFS($E91:$E150,"熊市",F91:F150,F89))/COUNTIFS(F91:F150,F89),P90)</f>
        <v>0.13793103448275862</v>
      </c>
      <c r="Q89" s="1">
        <f>IFERROR((COUNTIFS($E91:$E150,"牛市",G91:G150,G89)-COUNTIFS($E91:$E150,"熊市",G91:G150,G89))/COUNTIFS(G91:G150,G89),Q90)</f>
        <v>2.9411764705882353E-2</v>
      </c>
      <c r="S89" s="1">
        <f>IFERROR((COUNTIFS($E91:$E150,"牛市",I91:I150,I89)-COUNTIFS($E91:$E150,"熊市",I91:I150,I89))/COUNTIFS(I91:I150,I89),S90)</f>
        <v>-0.21428571428571427</v>
      </c>
      <c r="T89" s="1">
        <f>IFERROR((COUNTIFS($E91:$E150,"牛市",J91:J150,J89)-COUNTIFS($E91:$E150,"熊市",J91:J150,J89))/COUNTIFS(J91:J150,J89),T90)</f>
        <v>0</v>
      </c>
    </row>
    <row r="90" spans="1:20" x14ac:dyDescent="0.35">
      <c r="A90" s="12">
        <v>43830</v>
      </c>
      <c r="B90" s="13">
        <v>7.5465408651152188</v>
      </c>
      <c r="C90" s="87">
        <v>-4.7456926406926003</v>
      </c>
      <c r="D90" s="1" t="str">
        <f t="shared" si="30"/>
        <v>牛市</v>
      </c>
      <c r="E90" s="1" t="str">
        <f t="shared" si="31"/>
        <v>牛市</v>
      </c>
      <c r="F90" s="1" t="str">
        <f>VLOOKUP(A90,'货币信用框架5-货币政策目标+信用脉冲'!A:L,12,0)</f>
        <v>宽货币宽信用</v>
      </c>
      <c r="G90" s="1" t="str">
        <f>VLOOKUP(A90,'信贷库存框架1-票据+贷款余额'!A:L,12,0)</f>
        <v>主动去库存</v>
      </c>
      <c r="H90" s="1" t="str">
        <f>IFERROR(VLOOKUP(A90,'财政货币框架1&amp;2底稿'!A:N,14,0),H91)</f>
        <v>宽货币紧财政</v>
      </c>
      <c r="I90" s="1" t="str">
        <f>IFERROR(VLOOKUP(A90,美林时钟!A:W,23,0),I91)</f>
        <v>过热</v>
      </c>
      <c r="J90" s="1" t="str">
        <f>VLOOKUP(A90,库存与产能周期2!A:Q,17,0)</f>
        <v>产能周期上行,被动补库存</v>
      </c>
      <c r="K90" s="1">
        <f>IFERROR((COUNTIFS($D92:$D151,"牛市",F92:F151,F90)-COUNTIFS($D92:$D151,"熊市",F92:F151,F90))/COUNTIFS(F92:F151,F90),K91)</f>
        <v>7.1428571428571425E-2</v>
      </c>
      <c r="L90" s="1">
        <f>IFERROR((COUNTIFS($D92:$D151,"牛市",G92:G151,G90)-COUNTIFS($D92:$D151,"熊市",G92:G151,G90))/COUNTIFS(G92:G151,G90),L91)</f>
        <v>9.0909090909090912E-2</v>
      </c>
      <c r="N90" s="1">
        <f>IFERROR((COUNTIFS($D92:$D151,"牛市",I92:I151,I90)-COUNTIFS($D92:$D151,"熊市",I92:I151,I90))/COUNTIFS(I92:I151,I90),N91)</f>
        <v>0.23076923076923078</v>
      </c>
      <c r="O90" s="1">
        <f>IFERROR((COUNTIFS($D92:$D151,"牛市",J92:J151,J90)-COUNTIFS($D92:$D151,"熊市",J92:J151,J90))/COUNTIFS(J92:J151,J90),O91)</f>
        <v>0</v>
      </c>
      <c r="P90" s="1">
        <f>IFERROR((COUNTIFS($E92:$E151,"牛市",F92:F151,F90)-COUNTIFS($E92:$E151,"熊市",F92:F151,F90))/COUNTIFS(F92:F151,F90),P91)</f>
        <v>0.14285714285714285</v>
      </c>
      <c r="Q90" s="1">
        <f>IFERROR((COUNTIFS($E92:$E151,"牛市",G92:G151,G90)-COUNTIFS($E92:$E151,"熊市",G92:G151,G90))/COUNTIFS(G92:G151,G90),Q91)</f>
        <v>3.0303030303030304E-2</v>
      </c>
      <c r="S90" s="1">
        <f>IFERROR((COUNTIFS($E92:$E151,"牛市",I92:I151,I90)-COUNTIFS($E92:$E151,"熊市",I92:I151,I90))/COUNTIFS(I92:I151,I90),S91)</f>
        <v>-0.23076923076923078</v>
      </c>
      <c r="T90" s="1">
        <f>IFERROR((COUNTIFS($E92:$E151,"牛市",J92:J151,J90)-COUNTIFS($E92:$E151,"熊市",J92:J151,J90))/COUNTIFS(J92:J151,J90),T91)</f>
        <v>0.33333333333333331</v>
      </c>
    </row>
    <row r="91" spans="1:20" x14ac:dyDescent="0.35">
      <c r="A91" s="12">
        <v>43799</v>
      </c>
      <c r="B91" s="13">
        <v>-1.5069290762109431</v>
      </c>
      <c r="C91" s="87">
        <v>1.8189223057643999</v>
      </c>
      <c r="D91" s="1" t="str">
        <f t="shared" si="30"/>
        <v>熊市</v>
      </c>
      <c r="E91" s="1" t="str">
        <f t="shared" si="31"/>
        <v>震荡</v>
      </c>
      <c r="F91" s="1" t="str">
        <f>VLOOKUP(A91,'货币信用框架5-货币政策目标+信用脉冲'!A:L,12,0)</f>
        <v>宽货币宽信用</v>
      </c>
      <c r="G91" s="1" t="str">
        <f>VLOOKUP(A91,'信贷库存框架1-票据+贷款余额'!A:L,12,0)</f>
        <v>主动去库存</v>
      </c>
      <c r="H91" s="1" t="str">
        <f>IFERROR(VLOOKUP(A91,'财政货币框架1&amp;2底稿'!A:N,14,0),H92)</f>
        <v>宽货币紧财政</v>
      </c>
      <c r="I91" s="1" t="str">
        <f>IFERROR(VLOOKUP(A91,美林时钟!A:W,23,0),I92)</f>
        <v>过热</v>
      </c>
      <c r="J91" s="1" t="str">
        <f>VLOOKUP(A91,库存与产能周期2!A:Q,17,0)</f>
        <v>产能周期上行,被动补库存</v>
      </c>
      <c r="K91" s="1">
        <f>IFERROR((COUNTIFS($D93:$D152,"牛市",F93:F152,F91)-COUNTIFS($D93:$D152,"熊市",F93:F152,F91))/COUNTIFS(F93:F152,F91),K92)</f>
        <v>7.407407407407407E-2</v>
      </c>
      <c r="L91" s="1">
        <f>IFERROR((COUNTIFS($D93:$D152,"牛市",G93:G152,G91)-COUNTIFS($D93:$D152,"熊市",G93:G152,G91))/COUNTIFS(G93:G152,G91),L92)</f>
        <v>9.375E-2</v>
      </c>
      <c r="N91" s="1">
        <f>IFERROR((COUNTIFS($D93:$D152,"牛市",I93:I152,I91)-COUNTIFS($D93:$D152,"熊市",I93:I152,I91))/COUNTIFS(I93:I152,I91),N92)</f>
        <v>0.23076923076923078</v>
      </c>
      <c r="O91" s="1">
        <f>IFERROR((COUNTIFS($D93:$D152,"牛市",J93:J152,J91)-COUNTIFS($D93:$D152,"熊市",J93:J152,J91))/COUNTIFS(J93:J152,J91),O92)</f>
        <v>0</v>
      </c>
      <c r="P91" s="1">
        <f>IFERROR((COUNTIFS($E93:$E152,"牛市",F93:F152,F91)-COUNTIFS($E93:$E152,"熊市",F93:F152,F91))/COUNTIFS(F93:F152,F91),P92)</f>
        <v>0.18518518518518517</v>
      </c>
      <c r="Q91" s="1">
        <f>IFERROR((COUNTIFS($E93:$E152,"牛市",G93:G152,G91)-COUNTIFS($E93:$E152,"熊市",G93:G152,G91))/COUNTIFS(G93:G152,G91),Q92)</f>
        <v>6.25E-2</v>
      </c>
      <c r="S91" s="1">
        <f>IFERROR((COUNTIFS($E93:$E152,"牛市",I93:I152,I91)-COUNTIFS($E93:$E152,"熊市",I93:I152,I91))/COUNTIFS(I93:I152,I91),S92)</f>
        <v>-0.23076923076923078</v>
      </c>
      <c r="T91" s="1">
        <f>IFERROR((COUNTIFS($E93:$E152,"牛市",J93:J152,J91)-COUNTIFS($E93:$E152,"熊市",J93:J152,J91))/COUNTIFS(J93:J152,J91),T92)</f>
        <v>0.33333333333333331</v>
      </c>
    </row>
    <row r="92" spans="1:20" x14ac:dyDescent="0.35">
      <c r="A92" s="12">
        <v>43769</v>
      </c>
      <c r="B92" s="13">
        <v>0.816186188540583</v>
      </c>
      <c r="C92" s="87">
        <v>11.234887218045101</v>
      </c>
      <c r="D92" s="1" t="str">
        <f t="shared" si="30"/>
        <v>震荡</v>
      </c>
      <c r="E92" s="1" t="str">
        <f t="shared" si="31"/>
        <v>熊市</v>
      </c>
      <c r="F92" s="1" t="str">
        <f>VLOOKUP(A92,'货币信用框架5-货币政策目标+信用脉冲'!A:L,12,0)</f>
        <v>宽货币宽信用</v>
      </c>
      <c r="G92" s="1" t="str">
        <f>VLOOKUP(A92,'信贷库存框架1-票据+贷款余额'!A:L,12,0)</f>
        <v>主动去库存</v>
      </c>
      <c r="H92" s="1" t="str">
        <f>IFERROR(VLOOKUP(A92,'财政货币框架1&amp;2底稿'!A:N,14,0),H93)</f>
        <v>宽货币紧财政</v>
      </c>
      <c r="I92" s="1" t="str">
        <f>IFERROR(VLOOKUP(A92,美林时钟!A:W,23,0),I93)</f>
        <v>复苏</v>
      </c>
      <c r="J92" s="1" t="str">
        <f>VLOOKUP(A92,库存与产能周期2!A:Q,17,0)</f>
        <v>产能周期上行,主动去库存</v>
      </c>
      <c r="K92" s="1">
        <f>IFERROR((COUNTIFS($D94:$D153,"牛市",F94:F153,F92)-COUNTIFS($D94:$D153,"熊市",F94:F153,F92))/COUNTIFS(F94:F153,F92),K93)</f>
        <v>7.6923076923076927E-2</v>
      </c>
      <c r="L92" s="1">
        <f>IFERROR((COUNTIFS($D94:$D153,"牛市",G94:G153,G92)-COUNTIFS($D94:$D153,"熊市",G94:G153,G92))/COUNTIFS(G94:G153,G92),L93)</f>
        <v>9.6774193548387094E-2</v>
      </c>
      <c r="N92" s="1">
        <f>IFERROR((COUNTIFS($D94:$D153,"牛市",I94:I153,I92)-COUNTIFS($D94:$D153,"熊市",I94:I153,I92))/COUNTIFS(I94:I153,I92),N93)</f>
        <v>0.22222222222222221</v>
      </c>
      <c r="O92" s="1">
        <f>IFERROR((COUNTIFS($D94:$D153,"牛市",J94:J153,J92)-COUNTIFS($D94:$D153,"熊市",J94:J153,J92))/COUNTIFS(J94:J153,J92),O93)</f>
        <v>0</v>
      </c>
      <c r="P92" s="1">
        <f>IFERROR((COUNTIFS($E94:$E153,"牛市",F94:F153,F92)-COUNTIFS($E94:$E153,"熊市",F94:F153,F92))/COUNTIFS(F94:F153,F92),P93)</f>
        <v>0.23076923076923078</v>
      </c>
      <c r="Q92" s="1">
        <f>IFERROR((COUNTIFS($E94:$E153,"牛市",G94:G153,G92)-COUNTIFS($E94:$E153,"熊市",G94:G153,G92))/COUNTIFS(G94:G153,G92),Q93)</f>
        <v>9.6774193548387094E-2</v>
      </c>
      <c r="S92" s="1">
        <f>IFERROR((COUNTIFS($E94:$E153,"牛市",I94:I153,I92)-COUNTIFS($E94:$E153,"熊市",I94:I153,I92))/COUNTIFS(I94:I153,I92),S93)</f>
        <v>-0.22222222222222221</v>
      </c>
      <c r="T92" s="1">
        <f>IFERROR((COUNTIFS($E94:$E153,"牛市",J94:J153,J92)-COUNTIFS($E94:$E153,"熊市",J94:J153,J92))/COUNTIFS(J94:J153,J92),T93)</f>
        <v>0.33333333333333331</v>
      </c>
    </row>
    <row r="93" spans="1:20" x14ac:dyDescent="0.35">
      <c r="A93" s="12">
        <v>43738</v>
      </c>
      <c r="B93" s="13">
        <v>0.76953208302911902</v>
      </c>
      <c r="C93" s="87">
        <v>4.1755194805195002</v>
      </c>
      <c r="D93" s="1" t="str">
        <f t="shared" si="30"/>
        <v>震荡</v>
      </c>
      <c r="E93" s="1" t="str">
        <f t="shared" si="31"/>
        <v>熊市</v>
      </c>
      <c r="F93" s="1" t="str">
        <f>VLOOKUP(A93,'货币信用框架5-货币政策目标+信用脉冲'!A:L,12,0)</f>
        <v>宽货币宽信用</v>
      </c>
      <c r="G93" s="1" t="str">
        <f>VLOOKUP(A93,'信贷库存框架1-票据+贷款余额'!A:L,12,0)</f>
        <v>主动去库存</v>
      </c>
      <c r="H93" s="1" t="str">
        <f>IFERROR(VLOOKUP(A93,'财政货币框架1&amp;2底稿'!A:N,14,0),H94)</f>
        <v>宽货币紧财政</v>
      </c>
      <c r="I93" s="1" t="str">
        <f>IFERROR(VLOOKUP(A93,美林时钟!A:W,23,0),I94)</f>
        <v>复苏</v>
      </c>
      <c r="J93" s="1" t="str">
        <f>VLOOKUP(A93,库存与产能周期2!A:Q,17,0)</f>
        <v>产能周期上行,主动去库存</v>
      </c>
      <c r="K93" s="1">
        <f>IFERROR((COUNTIFS($D95:$D154,"牛市",F95:F154,F93)-COUNTIFS($D95:$D154,"熊市",F95:F154,F93))/COUNTIFS(F95:F154,F93),K94)</f>
        <v>0.08</v>
      </c>
      <c r="L93" s="1">
        <f>IFERROR((COUNTIFS($D95:$D154,"牛市",G95:G154,G93)-COUNTIFS($D95:$D154,"熊市",G95:G154,G93))/COUNTIFS(G95:G154,G93),L94)</f>
        <v>0.1</v>
      </c>
      <c r="N93" s="1">
        <f>IFERROR((COUNTIFS($D95:$D154,"牛市",I95:I154,I93)-COUNTIFS($D95:$D154,"熊市",I95:I154,I93))/COUNTIFS(I95:I154,I93),N94)</f>
        <v>0.22222222222222221</v>
      </c>
      <c r="O93" s="1">
        <f>IFERROR((COUNTIFS($D95:$D154,"牛市",J95:J154,J93)-COUNTIFS($D95:$D154,"熊市",J95:J154,J93))/COUNTIFS(J95:J154,J93),O94)</f>
        <v>0</v>
      </c>
      <c r="P93" s="1">
        <f>IFERROR((COUNTIFS($E95:$E154,"牛市",F95:F154,F93)-COUNTIFS($E95:$E154,"熊市",F95:F154,F93))/COUNTIFS(F95:F154,F93),P94)</f>
        <v>0.2</v>
      </c>
      <c r="Q93" s="1">
        <f>IFERROR((COUNTIFS($E95:$E154,"牛市",G95:G154,G93)-COUNTIFS($E95:$E154,"熊市",G95:G154,G93))/COUNTIFS(G95:G154,G93),Q94)</f>
        <v>6.6666666666666666E-2</v>
      </c>
      <c r="S93" s="1">
        <f>IFERROR((COUNTIFS($E95:$E154,"牛市",I95:I154,I93)-COUNTIFS($E95:$E154,"熊市",I95:I154,I93))/COUNTIFS(I95:I154,I93),S94)</f>
        <v>-0.22222222222222221</v>
      </c>
      <c r="T93" s="1">
        <f>IFERROR((COUNTIFS($E95:$E154,"牛市",J95:J154,J93)-COUNTIFS($E95:$E154,"熊市",J95:J154,J93))/COUNTIFS(J95:J154,J93),T94)</f>
        <v>0.30434782608695654</v>
      </c>
    </row>
    <row r="94" spans="1:20" x14ac:dyDescent="0.35">
      <c r="A94" s="12">
        <v>43708</v>
      </c>
      <c r="B94" s="13">
        <v>-0.74154715479026001</v>
      </c>
      <c r="C94" s="87">
        <v>-12.1123517786561</v>
      </c>
      <c r="D94" s="1" t="str">
        <f t="shared" ref="D94:D157" si="32">IF(B94&gt;=1,"牛市",IF(B94&lt;=-1,"熊市","震荡"))</f>
        <v>震荡</v>
      </c>
      <c r="E94" s="1" t="str">
        <f t="shared" ref="E94:E157" si="33">IF(C94&lt;=-2,"牛市",IF(C94&gt;=2,"熊市","震荡"))</f>
        <v>牛市</v>
      </c>
      <c r="F94" s="1" t="str">
        <f>VLOOKUP(A94,'货币信用框架5-货币政策目标+信用脉冲'!A:L,12,0)</f>
        <v>宽货币宽信用</v>
      </c>
      <c r="G94" s="1" t="str">
        <f>VLOOKUP(A94,'信贷库存框架1-票据+贷款余额'!A:L,12,0)</f>
        <v>主动去库存</v>
      </c>
      <c r="H94" s="1" t="str">
        <f>IFERROR(VLOOKUP(A94,'财政货币框架1&amp;2底稿'!A:N,14,0),H95)</f>
        <v>宽货币紧财政</v>
      </c>
      <c r="I94" s="1" t="str">
        <f>IFERROR(VLOOKUP(A94,美林时钟!A:W,23,0),I95)</f>
        <v>衰退</v>
      </c>
      <c r="J94" s="1" t="str">
        <f>VLOOKUP(A94,库存与产能周期2!A:Q,17,0)</f>
        <v>产能周期上行,主动去库存</v>
      </c>
      <c r="K94" s="1">
        <f>IFERROR((COUNTIFS($D96:$D155,"牛市",F96:F155,F94)-COUNTIFS($D96:$D155,"熊市",F96:F155,F94))/COUNTIFS(F96:F155,F94),K95)</f>
        <v>8.3333333333333329E-2</v>
      </c>
      <c r="L94" s="1">
        <f>IFERROR((COUNTIFS($D96:$D155,"牛市",G96:G155,G94)-COUNTIFS($D96:$D155,"熊市",G96:G155,G94))/COUNTIFS(G96:G155,G94),L95)</f>
        <v>0.10344827586206896</v>
      </c>
      <c r="N94" s="1">
        <f>IFERROR((COUNTIFS($D96:$D155,"牛市",I96:I155,I94)-COUNTIFS($D96:$D155,"熊市",I96:I155,I94))/COUNTIFS(I96:I155,I94),N95)</f>
        <v>0.2857142857142857</v>
      </c>
      <c r="O94" s="1">
        <f>IFERROR((COUNTIFS($D96:$D155,"牛市",J96:J155,J94)-COUNTIFS($D96:$D155,"熊市",J96:J155,J94))/COUNTIFS(J96:J155,J94),O95)</f>
        <v>0</v>
      </c>
      <c r="P94" s="1">
        <f>IFERROR((COUNTIFS($E96:$E155,"牛市",F96:F155,F94)-COUNTIFS($E96:$E155,"熊市",F96:F155,F94))/COUNTIFS(F96:F155,F94),P95)</f>
        <v>0.16666666666666666</v>
      </c>
      <c r="Q94" s="1">
        <f>IFERROR((COUNTIFS($E96:$E155,"牛市",G96:G155,G94)-COUNTIFS($E96:$E155,"熊市",G96:G155,G94))/COUNTIFS(G96:G155,G94),Q95)</f>
        <v>3.4482758620689655E-2</v>
      </c>
      <c r="S94" s="1">
        <f>IFERROR((COUNTIFS($E96:$E155,"牛市",I96:I155,I94)-COUNTIFS($E96:$E155,"熊市",I96:I155,I94))/COUNTIFS(I96:I155,I94),S95)</f>
        <v>0.25</v>
      </c>
      <c r="T94" s="1">
        <f>IFERROR((COUNTIFS($E96:$E155,"牛市",J96:J155,J94)-COUNTIFS($E96:$E155,"熊市",J96:J155,J94))/COUNTIFS(J96:J155,J94),T95)</f>
        <v>0.27272727272727271</v>
      </c>
    </row>
    <row r="95" spans="1:20" x14ac:dyDescent="0.35">
      <c r="A95" s="12">
        <v>43677</v>
      </c>
      <c r="B95" s="13">
        <v>-0.112433862270385</v>
      </c>
      <c r="C95" s="87">
        <v>-6.7159496567505998</v>
      </c>
      <c r="D95" s="1" t="str">
        <f t="shared" si="32"/>
        <v>震荡</v>
      </c>
      <c r="E95" s="1" t="str">
        <f t="shared" si="33"/>
        <v>牛市</v>
      </c>
      <c r="F95" s="1" t="str">
        <f>VLOOKUP(A95,'货币信用框架5-货币政策目标+信用脉冲'!A:L,12,0)</f>
        <v>宽货币宽信用</v>
      </c>
      <c r="G95" s="1" t="str">
        <f>VLOOKUP(A95,'信贷库存框架1-票据+贷款余额'!A:L,12,0)</f>
        <v>主动去库存</v>
      </c>
      <c r="H95" s="1" t="str">
        <f>IFERROR(VLOOKUP(A95,'财政货币框架1&amp;2底稿'!A:N,14,0),H96)</f>
        <v>宽货币紧财政</v>
      </c>
      <c r="I95" s="1" t="str">
        <f>IFERROR(VLOOKUP(A95,美林时钟!A:W,23,0),I96)</f>
        <v>衰退</v>
      </c>
      <c r="J95" s="1" t="str">
        <f>VLOOKUP(A95,库存与产能周期2!A:Q,17,0)</f>
        <v>产能周期上行,主动去库存</v>
      </c>
      <c r="K95" s="1">
        <f>IFERROR((COUNTIFS($D97:$D156,"牛市",F97:F156,F95)-COUNTIFS($D97:$D156,"熊市",F97:F156,F95))/COUNTIFS(F97:F156,F95),K96)</f>
        <v>4.3478260869565216E-2</v>
      </c>
      <c r="L95" s="1">
        <f>IFERROR((COUNTIFS($D97:$D156,"牛市",G97:G156,G95)-COUNTIFS($D97:$D156,"熊市",G97:G156,G95))/COUNTIFS(G97:G156,G95),L96)</f>
        <v>7.1428571428571425E-2</v>
      </c>
      <c r="N95" s="1">
        <f>IFERROR((COUNTIFS($D97:$D156,"牛市",I97:I156,I95)-COUNTIFS($D97:$D156,"熊市",I97:I156,I95))/COUNTIFS(I97:I156,I95),N96)</f>
        <v>0.25925925925925924</v>
      </c>
      <c r="O95" s="1">
        <f>IFERROR((COUNTIFS($D97:$D156,"牛市",J97:J156,J95)-COUNTIFS($D97:$D156,"熊市",J97:J156,J95))/COUNTIFS(J97:J156,J95),O96)</f>
        <v>-4.7619047619047616E-2</v>
      </c>
      <c r="P95" s="1">
        <f>IFERROR((COUNTIFS($E97:$E156,"牛市",F97:F156,F95)-COUNTIFS($E97:$E156,"熊市",F97:F156,F95))/COUNTIFS(F97:F156,F95),P96)</f>
        <v>0.13043478260869565</v>
      </c>
      <c r="Q95" s="1">
        <f>IFERROR((COUNTIFS($E97:$E156,"牛市",G97:G156,G95)-COUNTIFS($E97:$E156,"熊市",G97:G156,G95))/COUNTIFS(G97:G156,G95),Q96)</f>
        <v>0</v>
      </c>
      <c r="S95" s="1">
        <f>IFERROR((COUNTIFS($E97:$E156,"牛市",I97:I156,I95)-COUNTIFS($E97:$E156,"熊市",I97:I156,I95))/COUNTIFS(I97:I156,I95),S96)</f>
        <v>0.22222222222222221</v>
      </c>
      <c r="T95" s="1">
        <f>IFERROR((COUNTIFS($E97:$E156,"牛市",J97:J156,J95)-COUNTIFS($E97:$E156,"熊市",J97:J156,J95))/COUNTIFS(J97:J156,J95),T96)</f>
        <v>0.23809523809523808</v>
      </c>
    </row>
    <row r="96" spans="1:20" x14ac:dyDescent="0.35">
      <c r="A96" s="12">
        <v>43646</v>
      </c>
      <c r="B96" s="13">
        <v>3.3729461944282559</v>
      </c>
      <c r="C96" s="87">
        <v>-7.1129323308270997</v>
      </c>
      <c r="D96" s="1" t="str">
        <f t="shared" si="32"/>
        <v>牛市</v>
      </c>
      <c r="E96" s="1" t="str">
        <f t="shared" si="33"/>
        <v>牛市</v>
      </c>
      <c r="F96" s="1" t="str">
        <f>VLOOKUP(A96,'货币信用框架5-货币政策目标+信用脉冲'!A:L,12,0)</f>
        <v>宽货币宽信用</v>
      </c>
      <c r="G96" s="1" t="str">
        <f>VLOOKUP(A96,'信贷库存框架1-票据+贷款余额'!A:L,12,0)</f>
        <v>主动去库存</v>
      </c>
      <c r="H96" s="1" t="str">
        <f>IFERROR(VLOOKUP(A96,'财政货币框架1&amp;2底稿'!A:N,14,0),H97)</f>
        <v>宽货币紧财政</v>
      </c>
      <c r="I96" s="1" t="str">
        <f>IFERROR(VLOOKUP(A96,美林时钟!A:W,23,0),I97)</f>
        <v>衰退</v>
      </c>
      <c r="J96" s="1" t="str">
        <f>VLOOKUP(A96,库存与产能周期2!A:Q,17,0)</f>
        <v>产能周期上行,主动去库存</v>
      </c>
      <c r="K96" s="1">
        <f>IFERROR((COUNTIFS($D98:$D157,"牛市",F98:F157,F96)-COUNTIFS($D98:$D157,"熊市",F98:F157,F96))/COUNTIFS(F98:F157,F96),K97)</f>
        <v>9.0909090909090912E-2</v>
      </c>
      <c r="L96" s="1">
        <f>IFERROR((COUNTIFS($D98:$D157,"牛市",G98:G157,G96)-COUNTIFS($D98:$D157,"熊市",G98:G157,G96))/COUNTIFS(G98:G157,G96),L97)</f>
        <v>0.1111111111111111</v>
      </c>
      <c r="N96" s="1">
        <f>IFERROR((COUNTIFS($D98:$D157,"牛市",I98:I157,I96)-COUNTIFS($D98:$D157,"熊市",I98:I157,I96))/COUNTIFS(I98:I157,I96),N97)</f>
        <v>0.30769230769230771</v>
      </c>
      <c r="O96" s="1">
        <f>IFERROR((COUNTIFS($D98:$D157,"牛市",J98:J157,J96)-COUNTIFS($D98:$D157,"熊市",J98:J157,J96))/COUNTIFS(J98:J157,J96),O97)</f>
        <v>0</v>
      </c>
      <c r="P96" s="1">
        <f>IFERROR((COUNTIFS($E98:$E157,"牛市",F98:F157,F96)-COUNTIFS($E98:$E157,"熊市",F98:F157,F96))/COUNTIFS(F98:F157,F96),P97)</f>
        <v>9.0909090909090912E-2</v>
      </c>
      <c r="Q96" s="1">
        <f>IFERROR((COUNTIFS($E98:$E157,"牛市",G98:G157,G96)-COUNTIFS($E98:$E157,"熊市",G98:G157,G96))/COUNTIFS(G98:G157,G96),Q97)</f>
        <v>-3.7037037037037035E-2</v>
      </c>
      <c r="S96" s="1">
        <f>IFERROR((COUNTIFS($E98:$E157,"牛市",I98:I157,I96)-COUNTIFS($E98:$E157,"熊市",I98:I157,I96))/COUNTIFS(I98:I157,I96),S97)</f>
        <v>0.19230769230769232</v>
      </c>
      <c r="T96" s="1">
        <f>IFERROR((COUNTIFS($E98:$E157,"牛市",J98:J157,J96)-COUNTIFS($E98:$E157,"熊市",J98:J157,J96))/COUNTIFS(J98:J157,J96),T97)</f>
        <v>0.2</v>
      </c>
    </row>
    <row r="97" spans="1:20" x14ac:dyDescent="0.35">
      <c r="A97" s="12">
        <v>43616</v>
      </c>
      <c r="B97" s="13">
        <v>-6.3814701762601338</v>
      </c>
      <c r="C97" s="87">
        <v>-3.0996753246752999</v>
      </c>
      <c r="D97" s="1" t="str">
        <f t="shared" si="32"/>
        <v>熊市</v>
      </c>
      <c r="E97" s="1" t="str">
        <f t="shared" si="33"/>
        <v>牛市</v>
      </c>
      <c r="F97" s="1" t="str">
        <f>VLOOKUP(A97,'货币信用框架5-货币政策目标+信用脉冲'!A:L,12,0)</f>
        <v>宽货币宽信用</v>
      </c>
      <c r="G97" s="1" t="str">
        <f>VLOOKUP(A97,'信贷库存框架1-票据+贷款余额'!A:L,12,0)</f>
        <v>主动去库存</v>
      </c>
      <c r="H97" s="1" t="str">
        <f>IFERROR(VLOOKUP(A97,'财政货币框架1&amp;2底稿'!A:N,14,0),H98)</f>
        <v>宽货币紧财政</v>
      </c>
      <c r="I97" s="1" t="str">
        <f>IFERROR(VLOOKUP(A97,美林时钟!A:W,23,0),I98)</f>
        <v>衰退</v>
      </c>
      <c r="J97" s="1" t="str">
        <f>VLOOKUP(A97,库存与产能周期2!A:Q,17,0)</f>
        <v>产能周期上行,主动去库存</v>
      </c>
      <c r="K97" s="1">
        <f>IFERROR((COUNTIFS($D99:$D158,"牛市",F99:F158,F97)-COUNTIFS($D99:$D158,"熊市",F99:F158,F97))/COUNTIFS(F99:F158,F97),K98)</f>
        <v>0.14285714285714285</v>
      </c>
      <c r="L97" s="1">
        <f>IFERROR((COUNTIFS($D99:$D158,"牛市",G99:G158,G97)-COUNTIFS($D99:$D158,"熊市",G99:G158,G97))/COUNTIFS(G99:G158,G97),L98)</f>
        <v>0.1111111111111111</v>
      </c>
      <c r="N97" s="1">
        <f>IFERROR((COUNTIFS($D99:$D158,"牛市",I99:I158,I97)-COUNTIFS($D99:$D158,"熊市",I99:I158,I97))/COUNTIFS(I99:I158,I97),N98)</f>
        <v>0.36</v>
      </c>
      <c r="O97" s="1">
        <f>IFERROR((COUNTIFS($D99:$D158,"牛市",J99:J158,J97)-COUNTIFS($D99:$D158,"熊市",J99:J158,J97))/COUNTIFS(J99:J158,J97),O98)</f>
        <v>5.2631578947368418E-2</v>
      </c>
      <c r="P97" s="1">
        <f>IFERROR((COUNTIFS($E99:$E158,"牛市",F99:F158,F97)-COUNTIFS($E99:$E158,"熊市",F99:F158,F97))/COUNTIFS(F99:F158,F97),P98)</f>
        <v>0.14285714285714285</v>
      </c>
      <c r="Q97" s="1">
        <f>IFERROR((COUNTIFS($E99:$E158,"牛市",G99:G158,G97)-COUNTIFS($E99:$E158,"熊市",G99:G158,G97))/COUNTIFS(G99:G158,G97),Q98)</f>
        <v>-3.7037037037037035E-2</v>
      </c>
      <c r="S97" s="1">
        <f>IFERROR((COUNTIFS($E99:$E158,"牛市",I99:I158,I97)-COUNTIFS($E99:$E158,"熊市",I99:I158,I97))/COUNTIFS(I99:I158,I97),S98)</f>
        <v>0.24</v>
      </c>
      <c r="T97" s="1">
        <f>IFERROR((COUNTIFS($E99:$E158,"牛市",J99:J158,J97)-COUNTIFS($E99:$E158,"熊市",J99:J158,J97))/COUNTIFS(J99:J158,J97),T98)</f>
        <v>0.26315789473684209</v>
      </c>
    </row>
    <row r="98" spans="1:20" x14ac:dyDescent="0.35">
      <c r="A98" s="12">
        <v>43585</v>
      </c>
      <c r="B98" s="13">
        <v>-1.4403164596743501</v>
      </c>
      <c r="C98" s="87">
        <v>20.249675324675302</v>
      </c>
      <c r="D98" s="1" t="str">
        <f t="shared" si="32"/>
        <v>熊市</v>
      </c>
      <c r="E98" s="1" t="str">
        <f t="shared" si="33"/>
        <v>熊市</v>
      </c>
      <c r="F98" s="1" t="str">
        <f>VLOOKUP(A98,'货币信用框架5-货币政策目标+信用脉冲'!A:L,12,0)</f>
        <v>宽货币宽信用</v>
      </c>
      <c r="G98" s="1" t="str">
        <f>VLOOKUP(A98,'信贷库存框架1-票据+贷款余额'!A:L,12,0)</f>
        <v>主动补库存</v>
      </c>
      <c r="H98" s="1" t="str">
        <f>IFERROR(VLOOKUP(A98,'财政货币框架1&amp;2底稿'!A:N,14,0),H99)</f>
        <v>宽货币紧财政</v>
      </c>
      <c r="I98" s="1" t="str">
        <f>IFERROR(VLOOKUP(A98,美林时钟!A:W,23,0),I99)</f>
        <v>衰退</v>
      </c>
      <c r="J98" s="1" t="str">
        <f>VLOOKUP(A98,库存与产能周期2!A:Q,17,0)</f>
        <v>产能周期上行,主动去库存</v>
      </c>
      <c r="K98" s="1">
        <f>IFERROR((COUNTIFS($D100:$D159,"牛市",F100:F159,F98)-COUNTIFS($D100:$D159,"熊市",F100:F159,F98))/COUNTIFS(F100:F159,F98),K99)</f>
        <v>0.1</v>
      </c>
      <c r="L98" s="1">
        <f>IFERROR((COUNTIFS($D100:$D159,"牛市",G100:G159,G98)-COUNTIFS($D100:$D159,"熊市",G100:G159,G98))/COUNTIFS(G100:G159,G98),L99)</f>
        <v>0.4375</v>
      </c>
      <c r="N98" s="1">
        <f>IFERROR((COUNTIFS($D100:$D159,"牛市",I100:I159,I98)-COUNTIFS($D100:$D159,"熊市",I100:I159,I98))/COUNTIFS(I100:I159,I98),N99)</f>
        <v>0.33333333333333331</v>
      </c>
      <c r="O98" s="1">
        <f>IFERROR((COUNTIFS($D100:$D159,"牛市",J100:J159,J98)-COUNTIFS($D100:$D159,"熊市",J100:J159,J98))/COUNTIFS(J100:J159,J98),O99)</f>
        <v>0</v>
      </c>
      <c r="P98" s="1">
        <f>IFERROR((COUNTIFS($E100:$E159,"牛市",F100:F159,F98)-COUNTIFS($E100:$E159,"熊市",F100:F159,F98))/COUNTIFS(F100:F159,F98),P99)</f>
        <v>0.15</v>
      </c>
      <c r="Q98" s="1">
        <f>IFERROR((COUNTIFS($E100:$E159,"牛市",G100:G159,G98)-COUNTIFS($E100:$E159,"熊市",G100:G159,G98))/COUNTIFS(G100:G159,G98),Q99)</f>
        <v>0.1875</v>
      </c>
      <c r="S98" s="1">
        <f>IFERROR((COUNTIFS($E100:$E159,"牛市",I100:I159,I98)-COUNTIFS($E100:$E159,"熊市",I100:I159,I98))/COUNTIFS(I100:I159,I98),S99)</f>
        <v>0.25</v>
      </c>
      <c r="T98" s="1">
        <f>IFERROR((COUNTIFS($E100:$E159,"牛市",J100:J159,J98)-COUNTIFS($E100:$E159,"熊市",J100:J159,J98))/COUNTIFS(J100:J159,J98),T99)</f>
        <v>0.27777777777777779</v>
      </c>
    </row>
    <row r="99" spans="1:20" x14ac:dyDescent="0.35">
      <c r="A99" s="12">
        <v>43555</v>
      </c>
      <c r="B99" s="13">
        <v>7.9750437268859988</v>
      </c>
      <c r="C99" s="87">
        <v>1.6636134453782001</v>
      </c>
      <c r="D99" s="1" t="str">
        <f t="shared" si="32"/>
        <v>牛市</v>
      </c>
      <c r="E99" s="1" t="str">
        <f t="shared" si="33"/>
        <v>震荡</v>
      </c>
      <c r="F99" s="1" t="str">
        <f>VLOOKUP(A99,'货币信用框架5-货币政策目标+信用脉冲'!A:L,12,0)</f>
        <v>宽货币宽信用</v>
      </c>
      <c r="G99" s="1" t="str">
        <f>VLOOKUP(A99,'信贷库存框架1-票据+贷款余额'!A:L,12,0)</f>
        <v>主动补库存</v>
      </c>
      <c r="H99" s="1" t="str">
        <f>IFERROR(VLOOKUP(A99,'财政货币框架1&amp;2底稿'!A:N,14,0),H100)</f>
        <v>宽货币紧财政</v>
      </c>
      <c r="I99" s="1" t="str">
        <f>IFERROR(VLOOKUP(A99,美林时钟!A:W,23,0),I100)</f>
        <v>衰退</v>
      </c>
      <c r="J99" s="1" t="str">
        <f>VLOOKUP(A99,库存与产能周期2!A:Q,17,0)</f>
        <v>产能周期上行,主动去库存</v>
      </c>
      <c r="K99" s="1">
        <f>IFERROR((COUNTIFS($D101:$D160,"牛市",F101:F160,F99)-COUNTIFS($D101:$D160,"熊市",F101:F160,F99))/COUNTIFS(F101:F160,F99),K100)</f>
        <v>5.2631578947368418E-2</v>
      </c>
      <c r="L99" s="1">
        <f>IFERROR((COUNTIFS($D101:$D160,"牛市",G101:G160,G99)-COUNTIFS($D101:$D160,"熊市",G101:G160,G99))/COUNTIFS(G101:G160,G99),L100)</f>
        <v>0.4</v>
      </c>
      <c r="N99" s="1">
        <f>IFERROR((COUNTIFS($D101:$D160,"牛市",I101:I160,I99)-COUNTIFS($D101:$D160,"熊市",I101:I160,I99))/COUNTIFS(I101:I160,I99),N100)</f>
        <v>0.29166666666666669</v>
      </c>
      <c r="O99" s="1">
        <f>IFERROR((COUNTIFS($D101:$D160,"牛市",J101:J160,J99)-COUNTIFS($D101:$D160,"熊市",J101:J160,J99))/COUNTIFS(J101:J160,J99),O100)</f>
        <v>-5.8823529411764705E-2</v>
      </c>
      <c r="P99" s="1">
        <f>IFERROR((COUNTIFS($E101:$E160,"牛市",F101:F160,F99)-COUNTIFS($E101:$E160,"熊市",F101:F160,F99))/COUNTIFS(F101:F160,F99),P100)</f>
        <v>0.15789473684210525</v>
      </c>
      <c r="Q99" s="1">
        <f>IFERROR((COUNTIFS($E101:$E160,"牛市",G101:G160,G99)-COUNTIFS($E101:$E160,"熊市",G101:G160,G99))/COUNTIFS(G101:G160,G99),Q100)</f>
        <v>0.2</v>
      </c>
      <c r="S99" s="1">
        <f>IFERROR((COUNTIFS($E101:$E160,"牛市",I101:I160,I99)-COUNTIFS($E101:$E160,"熊市",I101:I160,I99))/COUNTIFS(I101:I160,I99),S100)</f>
        <v>0.29166666666666669</v>
      </c>
      <c r="T99" s="1">
        <f>IFERROR((COUNTIFS($E101:$E160,"牛市",J101:J160,J99)-COUNTIFS($E101:$E160,"熊市",J101:J160,J99))/COUNTIFS(J101:J160,J99),T100)</f>
        <v>0.29411764705882354</v>
      </c>
    </row>
    <row r="100" spans="1:20" x14ac:dyDescent="0.35">
      <c r="A100" s="12">
        <v>43524</v>
      </c>
      <c r="B100" s="13">
        <v>17.842749211406151</v>
      </c>
      <c r="C100" s="87">
        <v>-0.2241978609626</v>
      </c>
      <c r="D100" s="1" t="str">
        <f t="shared" si="32"/>
        <v>牛市</v>
      </c>
      <c r="E100" s="1" t="str">
        <f t="shared" si="33"/>
        <v>震荡</v>
      </c>
      <c r="F100" s="1" t="str">
        <f>VLOOKUP(A100,'货币信用框架5-货币政策目标+信用脉冲'!A:L,12,0)</f>
        <v>宽货币宽信用</v>
      </c>
      <c r="G100" s="1" t="str">
        <f>VLOOKUP(A100,'信贷库存框架1-票据+贷款余额'!A:L,12,0)</f>
        <v>主动补库存</v>
      </c>
      <c r="H100" s="1" t="str">
        <f>IFERROR(VLOOKUP(A100,'财政货币框架1&amp;2底稿'!A:N,14,0),H101)</f>
        <v>双宽</v>
      </c>
      <c r="I100" s="1" t="str">
        <f>IFERROR(VLOOKUP(A100,美林时钟!A:W,23,0),I101)</f>
        <v>衰退</v>
      </c>
      <c r="J100" s="1" t="str">
        <f>VLOOKUP(A100,库存与产能周期2!A:Q,17,0)</f>
        <v>产能周期上行,主动去库存</v>
      </c>
      <c r="K100" s="1">
        <f>IFERROR((COUNTIFS($D102:$D161,"牛市",F102:F161,F100)-COUNTIFS($D102:$D161,"熊市",F102:F161,F100))/COUNTIFS(F102:F161,F100),K101)</f>
        <v>0</v>
      </c>
      <c r="L100" s="1">
        <f>IFERROR((COUNTIFS($D102:$D161,"牛市",G102:G161,G100)-COUNTIFS($D102:$D161,"熊市",G102:G161,G100))/COUNTIFS(G102:G161,G100),L101)</f>
        <v>0.35714285714285715</v>
      </c>
      <c r="N100" s="1">
        <f>IFERROR((COUNTIFS($D102:$D161,"牛市",I102:I161,I100)-COUNTIFS($D102:$D161,"熊市",I102:I161,I100))/COUNTIFS(I102:I161,I100),N101)</f>
        <v>0.20833333333333334</v>
      </c>
      <c r="O100" s="1">
        <f>IFERROR((COUNTIFS($D102:$D161,"牛市",J102:J161,J100)-COUNTIFS($D102:$D161,"熊市",J102:J161,J100))/COUNTIFS(J102:J161,J100),O101)</f>
        <v>-0.125</v>
      </c>
      <c r="P100" s="1">
        <f>IFERROR((COUNTIFS($E102:$E161,"牛市",F102:F161,F100)-COUNTIFS($E102:$E161,"熊市",F102:F161,F100))/COUNTIFS(F102:F161,F100),P101)</f>
        <v>0.1111111111111111</v>
      </c>
      <c r="Q100" s="1">
        <f>IFERROR((COUNTIFS($E102:$E161,"牛市",G102:G161,G100)-COUNTIFS($E102:$E161,"熊市",G102:G161,G100))/COUNTIFS(G102:G161,G100),Q101)</f>
        <v>0.14285714285714285</v>
      </c>
      <c r="S100" s="1">
        <f>IFERROR((COUNTIFS($E102:$E161,"牛市",I102:I161,I100)-COUNTIFS($E102:$E161,"熊市",I102:I161,I100))/COUNTIFS(I102:I161,I100),S101)</f>
        <v>0.25</v>
      </c>
      <c r="T100" s="1">
        <f>IFERROR((COUNTIFS($E102:$E161,"牛市",J102:J161,J100)-COUNTIFS($E102:$E161,"熊市",J102:J161,J100))/COUNTIFS(J102:J161,J100),T101)</f>
        <v>0.25</v>
      </c>
    </row>
    <row r="101" spans="1:20" x14ac:dyDescent="0.35">
      <c r="A101" s="12">
        <v>43496</v>
      </c>
      <c r="B101" s="13">
        <v>2.7295023830505478</v>
      </c>
      <c r="C101" s="87">
        <v>-17.583577075098798</v>
      </c>
      <c r="D101" s="1" t="str">
        <f t="shared" si="32"/>
        <v>牛市</v>
      </c>
      <c r="E101" s="1" t="str">
        <f t="shared" si="33"/>
        <v>牛市</v>
      </c>
      <c r="F101" s="1" t="str">
        <f>VLOOKUP(A101,'货币信用框架5-货币政策目标+信用脉冲'!A:L,12,0)</f>
        <v>宽货币宽信用</v>
      </c>
      <c r="G101" s="1" t="str">
        <f>VLOOKUP(A101,'信贷库存框架1-票据+贷款余额'!A:L,12,0)</f>
        <v>主动补库存</v>
      </c>
      <c r="H101" s="1" t="str">
        <f>IFERROR(VLOOKUP(A101,'财政货币框架1&amp;2底稿'!A:N,14,0),H102)</f>
        <v>双宽</v>
      </c>
      <c r="I101" s="1" t="str">
        <f>IFERROR(VLOOKUP(A101,美林时钟!A:W,23,0),I102)</f>
        <v>衰退</v>
      </c>
      <c r="J101" s="1" t="str">
        <f>VLOOKUP(A101,库存与产能周期2!A:Q,17,0)</f>
        <v>产能周期上行,主动去库存</v>
      </c>
      <c r="K101" s="1">
        <f>IFERROR((COUNTIFS($D103:$D162,"牛市",F103:F162,F101)-COUNTIFS($D103:$D162,"熊市",F103:F162,F101))/COUNTIFS(F103:F162,F101),K102)</f>
        <v>0</v>
      </c>
      <c r="L101" s="1">
        <f>IFERROR((COUNTIFS($D103:$D162,"牛市",G103:G162,G101)-COUNTIFS($D103:$D162,"熊市",G103:G162,G101))/COUNTIFS(G103:G162,G101),L102)</f>
        <v>0.46153846153846156</v>
      </c>
      <c r="N101" s="1">
        <f>IFERROR((COUNTIFS($D103:$D162,"牛市",I103:I162,I101)-COUNTIFS($D103:$D162,"熊市",I103:I162,I101))/COUNTIFS(I103:I162,I101),N102)</f>
        <v>0.20833333333333334</v>
      </c>
      <c r="O101" s="1">
        <f>IFERROR((COUNTIFS($D103:$D162,"牛市",J103:J162,J101)-COUNTIFS($D103:$D162,"熊市",J103:J162,J101))/COUNTIFS(J103:J162,J101),O102)</f>
        <v>-6.6666666666666666E-2</v>
      </c>
      <c r="P101" s="1">
        <f>IFERROR((COUNTIFS($E103:$E162,"牛市",F103:F162,F101)-COUNTIFS($E103:$E162,"熊市",F103:F162,F101))/COUNTIFS(F103:F162,F101),P102)</f>
        <v>0.1111111111111111</v>
      </c>
      <c r="Q101" s="1">
        <f>IFERROR((COUNTIFS($E103:$E162,"牛市",G103:G162,G101)-COUNTIFS($E103:$E162,"熊市",G103:G162,G101))/COUNTIFS(G103:G162,G101),Q102)</f>
        <v>7.6923076923076927E-2</v>
      </c>
      <c r="S101" s="1">
        <f>IFERROR((COUNTIFS($E103:$E162,"牛市",I103:I162,I101)-COUNTIFS($E103:$E162,"熊市",I103:I162,I101))/COUNTIFS(I103:I162,I101),S102)</f>
        <v>0.16666666666666666</v>
      </c>
      <c r="T101" s="1">
        <f>IFERROR((COUNTIFS($E103:$E162,"牛市",J103:J162,J101)-COUNTIFS($E103:$E162,"熊市",J103:J162,J101))/COUNTIFS(J103:J162,J101),T102)</f>
        <v>0.2</v>
      </c>
    </row>
    <row r="102" spans="1:20" x14ac:dyDescent="0.35">
      <c r="A102" s="12">
        <v>43465</v>
      </c>
      <c r="B102" s="13">
        <v>-4.8358215486030263</v>
      </c>
      <c r="C102" s="87">
        <v>-13.349604743083001</v>
      </c>
      <c r="D102" s="1" t="str">
        <f t="shared" si="32"/>
        <v>熊市</v>
      </c>
      <c r="E102" s="1" t="str">
        <f t="shared" si="33"/>
        <v>牛市</v>
      </c>
      <c r="F102" s="1" t="str">
        <f>VLOOKUP(A102,'货币信用框架5-货币政策目标+信用脉冲'!A:L,12,0)</f>
        <v>宽货币紧信用</v>
      </c>
      <c r="G102" s="1" t="str">
        <f>VLOOKUP(A102,'信贷库存框架1-票据+贷款余额'!A:L,12,0)</f>
        <v>主动补库存</v>
      </c>
      <c r="H102" s="1" t="str">
        <f>IFERROR(VLOOKUP(A102,'财政货币框架1&amp;2底稿'!A:N,14,0),H103)</f>
        <v>双宽</v>
      </c>
      <c r="I102" s="1" t="str">
        <f>IFERROR(VLOOKUP(A102,美林时钟!A:W,23,0),I103)</f>
        <v>衰退</v>
      </c>
      <c r="J102" s="1" t="str">
        <f>VLOOKUP(A102,库存与产能周期2!A:Q,17,0)</f>
        <v>产能周期上行,主动去库存</v>
      </c>
      <c r="K102" s="1">
        <f>IFERROR((COUNTIFS($D104:$D163,"牛市",F104:F163,F102)-COUNTIFS($D104:$D163,"熊市",F104:F163,F102))/COUNTIFS(F104:F163,F102),K103)</f>
        <v>0.40909090909090912</v>
      </c>
      <c r="L102" s="1">
        <f>IFERROR((COUNTIFS($D104:$D163,"牛市",G104:G163,G102)-COUNTIFS($D104:$D163,"熊市",G104:G163,G102))/COUNTIFS(G104:G163,G102),L103)</f>
        <v>0.41666666666666669</v>
      </c>
      <c r="N102" s="1">
        <f>IFERROR((COUNTIFS($D104:$D163,"牛市",I104:I163,I102)-COUNTIFS($D104:$D163,"熊市",I104:I163,I102))/COUNTIFS(I104:I163,I102),N103)</f>
        <v>0.20833333333333334</v>
      </c>
      <c r="O102" s="1">
        <f>IFERROR((COUNTIFS($D104:$D163,"牛市",J104:J163,J102)-COUNTIFS($D104:$D163,"熊市",J104:J163,J102))/COUNTIFS(J104:J163,J102),O103)</f>
        <v>-0.14285714285714285</v>
      </c>
      <c r="P102" s="1">
        <f>IFERROR((COUNTIFS($E104:$E163,"牛市",F104:F163,F102)-COUNTIFS($E104:$E163,"熊市",F104:F163,F102))/COUNTIFS(F104:F163,F102),P103)</f>
        <v>0.22727272727272727</v>
      </c>
      <c r="Q102" s="1">
        <f>IFERROR((COUNTIFS($E104:$E163,"牛市",G104:G163,G102)-COUNTIFS($E104:$E163,"熊市",G104:G163,G102))/COUNTIFS(G104:G163,G102),Q103)</f>
        <v>0</v>
      </c>
      <c r="S102" s="1">
        <f>IFERROR((COUNTIFS($E104:$E163,"牛市",I104:I163,I102)-COUNTIFS($E104:$E163,"熊市",I104:I163,I102))/COUNTIFS(I104:I163,I102),S103)</f>
        <v>8.3333333333333329E-2</v>
      </c>
      <c r="T102" s="1">
        <f>IFERROR((COUNTIFS($E104:$E163,"牛市",J104:J163,J102)-COUNTIFS($E104:$E163,"熊市",J104:J163,J102))/COUNTIFS(J104:J163,J102),T103)</f>
        <v>0.14285714285714285</v>
      </c>
    </row>
    <row r="103" spans="1:20" x14ac:dyDescent="0.35">
      <c r="A103" s="12">
        <v>43434</v>
      </c>
      <c r="B103" s="13">
        <v>2.1249977349894191</v>
      </c>
      <c r="C103" s="87">
        <v>-13.627979797979799</v>
      </c>
      <c r="D103" s="1" t="str">
        <f t="shared" si="32"/>
        <v>牛市</v>
      </c>
      <c r="E103" s="1" t="str">
        <f t="shared" si="33"/>
        <v>牛市</v>
      </c>
      <c r="F103" s="1" t="str">
        <f>VLOOKUP(A103,'货币信用框架5-货币政策目标+信用脉冲'!A:L,12,0)</f>
        <v>宽货币紧信用</v>
      </c>
      <c r="G103" s="1" t="str">
        <f>VLOOKUP(A103,'信贷库存框架1-票据+贷款余额'!A:L,12,0)</f>
        <v>主动补库存</v>
      </c>
      <c r="H103" s="1" t="str">
        <f>IFERROR(VLOOKUP(A103,'财政货币框架1&amp;2底稿'!A:N,14,0),H104)</f>
        <v>双宽</v>
      </c>
      <c r="I103" s="1" t="str">
        <f>IFERROR(VLOOKUP(A103,美林时钟!A:W,23,0),I104)</f>
        <v>衰退</v>
      </c>
      <c r="J103" s="1" t="str">
        <f>VLOOKUP(A103,库存与产能周期2!A:Q,17,0)</f>
        <v>产能周期上行,主动去库存</v>
      </c>
      <c r="K103" s="1">
        <f>IFERROR((COUNTIFS($D105:$D164,"牛市",F105:F164,F103)-COUNTIFS($D105:$D164,"熊市",F105:F164,F103))/COUNTIFS(F105:F164,F103),K104)</f>
        <v>0.47619047619047616</v>
      </c>
      <c r="L103" s="1">
        <f>IFERROR((COUNTIFS($D105:$D164,"牛市",G105:G164,G103)-COUNTIFS($D105:$D164,"熊市",G105:G164,G103))/COUNTIFS(G105:G164,G103),L104)</f>
        <v>0.54545454545454541</v>
      </c>
      <c r="N103" s="1">
        <f>IFERROR((COUNTIFS($D105:$D164,"牛市",I105:I164,I103)-COUNTIFS($D105:$D164,"熊市",I105:I164,I103))/COUNTIFS(I105:I164,I103),N104)</f>
        <v>0.20833333333333334</v>
      </c>
      <c r="O103" s="1">
        <f>IFERROR((COUNTIFS($D105:$D164,"牛市",J105:J164,J103)-COUNTIFS($D105:$D164,"熊市",J105:J164,J103))/COUNTIFS(J105:J164,J103),O104)</f>
        <v>-7.6923076923076927E-2</v>
      </c>
      <c r="P103" s="1">
        <f>IFERROR((COUNTIFS($E105:$E164,"牛市",F105:F164,F103)-COUNTIFS($E105:$E164,"熊市",F105:F164,F103))/COUNTIFS(F105:F164,F103),P104)</f>
        <v>0.19047619047619047</v>
      </c>
      <c r="Q103" s="1">
        <f>IFERROR((COUNTIFS($E105:$E164,"牛市",G105:G164,G103)-COUNTIFS($E105:$E164,"熊市",G105:G164,G103))/COUNTIFS(G105:G164,G103),Q104)</f>
        <v>-9.0909090909090912E-2</v>
      </c>
      <c r="S103" s="1">
        <f>IFERROR((COUNTIFS($E105:$E164,"牛市",I105:I164,I103)-COUNTIFS($E105:$E164,"熊市",I105:I164,I103))/COUNTIFS(I105:I164,I103),S104)</f>
        <v>0</v>
      </c>
      <c r="T103" s="1">
        <f>IFERROR((COUNTIFS($E105:$E164,"牛市",J105:J164,J103)-COUNTIFS($E105:$E164,"熊市",J105:J164,J103))/COUNTIFS(J105:J164,J103),T104)</f>
        <v>7.6923076923076927E-2</v>
      </c>
    </row>
    <row r="104" spans="1:20" x14ac:dyDescent="0.35">
      <c r="A104" s="12">
        <v>43404</v>
      </c>
      <c r="B104" s="13">
        <v>-9.1413403552184267</v>
      </c>
      <c r="C104" s="87">
        <v>-7.3987301587300998</v>
      </c>
      <c r="D104" s="1" t="str">
        <f t="shared" si="32"/>
        <v>熊市</v>
      </c>
      <c r="E104" s="1" t="str">
        <f t="shared" si="33"/>
        <v>牛市</v>
      </c>
      <c r="F104" s="1" t="str">
        <f>VLOOKUP(A104,'货币信用框架5-货币政策目标+信用脉冲'!A:L,12,0)</f>
        <v>宽货币紧信用</v>
      </c>
      <c r="G104" s="1" t="str">
        <f>VLOOKUP(A104,'信贷库存框架1-票据+贷款余额'!A:L,12,0)</f>
        <v>主动补库存</v>
      </c>
      <c r="H104" s="1" t="str">
        <f>IFERROR(VLOOKUP(A104,'财政货币框架1&amp;2底稿'!A:N,14,0),H105)</f>
        <v>双宽</v>
      </c>
      <c r="I104" s="1" t="str">
        <f>IFERROR(VLOOKUP(A104,美林时钟!A:W,23,0),I105)</f>
        <v>衰退</v>
      </c>
      <c r="J104" s="1" t="str">
        <f>VLOOKUP(A104,库存与产能周期2!A:Q,17,0)</f>
        <v>产能周期上行,主动去库存</v>
      </c>
      <c r="K104" s="1">
        <f>IFERROR((COUNTIFS($D106:$D165,"牛市",F106:F165,F104)-COUNTIFS($D106:$D165,"熊市",F106:F165,F104))/COUNTIFS(F106:F165,F104),K105)</f>
        <v>0.45</v>
      </c>
      <c r="L104" s="1">
        <f>IFERROR((COUNTIFS($D106:$D165,"牛市",G106:G165,G104)-COUNTIFS($D106:$D165,"熊市",G106:G165,G104))/COUNTIFS(G106:G165,G104),L105)</f>
        <v>0.5</v>
      </c>
      <c r="N104" s="1">
        <f>IFERROR((COUNTIFS($D106:$D165,"牛市",I106:I165,I104)-COUNTIFS($D106:$D165,"熊市",I106:I165,I104))/COUNTIFS(I106:I165,I104),N105)</f>
        <v>0.17391304347826086</v>
      </c>
      <c r="O104" s="1">
        <f>IFERROR((COUNTIFS($D106:$D165,"牛市",J106:J165,J104)-COUNTIFS($D106:$D165,"熊市",J106:J165,J104))/COUNTIFS(J106:J165,J104),O105)</f>
        <v>-0.16666666666666666</v>
      </c>
      <c r="P104" s="1">
        <f>IFERROR((COUNTIFS($E106:$E165,"牛市",F106:F165,F104)-COUNTIFS($E106:$E165,"熊市",F106:F165,F104))/COUNTIFS(F106:F165,F104),P105)</f>
        <v>0.25</v>
      </c>
      <c r="Q104" s="1">
        <f>IFERROR((COUNTIFS($E106:$E165,"牛市",G106:G165,G104)-COUNTIFS($E106:$E165,"熊市",G106:G165,G104))/COUNTIFS(G106:G165,G104),Q105)</f>
        <v>0</v>
      </c>
      <c r="S104" s="1">
        <f>IFERROR((COUNTIFS($E106:$E165,"牛市",I106:I165,I104)-COUNTIFS($E106:$E165,"熊市",I106:I165,I104))/COUNTIFS(I106:I165,I104),S105)</f>
        <v>4.3478260869565216E-2</v>
      </c>
      <c r="T104" s="1">
        <f>IFERROR((COUNTIFS($E106:$E165,"牛市",J106:J165,J104)-COUNTIFS($E106:$E165,"熊市",J106:J165,J104))/COUNTIFS(J106:J165,J104),T105)</f>
        <v>0.16666666666666666</v>
      </c>
    </row>
    <row r="105" spans="1:20" x14ac:dyDescent="0.35">
      <c r="A105" s="12">
        <v>43373</v>
      </c>
      <c r="B105" s="13">
        <v>1.347159041564137</v>
      </c>
      <c r="C105" s="87">
        <v>7.2419668737059997</v>
      </c>
      <c r="D105" s="1" t="str">
        <f t="shared" si="32"/>
        <v>牛市</v>
      </c>
      <c r="E105" s="1" t="str">
        <f t="shared" si="33"/>
        <v>熊市</v>
      </c>
      <c r="F105" s="1" t="str">
        <f>VLOOKUP(A105,'货币信用框架5-货币政策目标+信用脉冲'!A:L,12,0)</f>
        <v>宽货币紧信用</v>
      </c>
      <c r="G105" s="1" t="str">
        <f>VLOOKUP(A105,'信贷库存框架1-票据+贷款余额'!A:L,12,0)</f>
        <v>主动补库存</v>
      </c>
      <c r="H105" s="1" t="str">
        <f>IFERROR(VLOOKUP(A105,'财政货币框架1&amp;2底稿'!A:N,14,0),H106)</f>
        <v>双宽</v>
      </c>
      <c r="I105" s="1" t="str">
        <f>IFERROR(VLOOKUP(A105,美林时钟!A:W,23,0),I106)</f>
        <v>衰退</v>
      </c>
      <c r="J105" s="1" t="str">
        <f>VLOOKUP(A105,库存与产能周期2!A:Q,17,0)</f>
        <v>产能周期上行,主动去库存</v>
      </c>
      <c r="K105" s="1">
        <f>IFERROR((COUNTIFS($D107:$D166,"牛市",F107:F166,F105)-COUNTIFS($D107:$D166,"熊市",F107:F166,F105))/COUNTIFS(F107:F166,F105),K106)</f>
        <v>0.52631578947368418</v>
      </c>
      <c r="L105" s="1">
        <f>IFERROR((COUNTIFS($D107:$D166,"牛市",G107:G166,G105)-COUNTIFS($D107:$D166,"熊市",G107:G166,G105))/COUNTIFS(G107:G166,G105),L106)</f>
        <v>0.66666666666666663</v>
      </c>
      <c r="N105" s="1">
        <f>IFERROR((COUNTIFS($D107:$D166,"牛市",I107:I166,I105)-COUNTIFS($D107:$D166,"熊市",I107:I166,I105))/COUNTIFS(I107:I166,I105),N106)</f>
        <v>0.22727272727272727</v>
      </c>
      <c r="O105" s="1">
        <f>IFERROR((COUNTIFS($D107:$D166,"牛市",J107:J166,J105)-COUNTIFS($D107:$D166,"熊市",J107:J166,J105))/COUNTIFS(J107:J166,J105),O106)</f>
        <v>-9.0909090909090912E-2</v>
      </c>
      <c r="P105" s="1">
        <f>IFERROR((COUNTIFS($E107:$E166,"牛市",F107:F166,F105)-COUNTIFS($E107:$E166,"熊市",F107:F166,F105))/COUNTIFS(F107:F166,F105),P106)</f>
        <v>0.31578947368421051</v>
      </c>
      <c r="Q105" s="1">
        <f>IFERROR((COUNTIFS($E107:$E166,"牛市",G107:G166,G105)-COUNTIFS($E107:$E166,"熊市",G107:G166,G105))/COUNTIFS(G107:G166,G105),Q106)</f>
        <v>0.1111111111111111</v>
      </c>
      <c r="S105" s="1">
        <f>IFERROR((COUNTIFS($E107:$E166,"牛市",I107:I166,I105)-COUNTIFS($E107:$E166,"熊市",I107:I166,I105))/COUNTIFS(I107:I166,I105),S106)</f>
        <v>9.0909090909090912E-2</v>
      </c>
      <c r="T105" s="1">
        <f>IFERROR((COUNTIFS($E107:$E166,"牛市",J107:J166,J105)-COUNTIFS($E107:$E166,"熊市",J107:J166,J105))/COUNTIFS(J107:J166,J105),T106)</f>
        <v>0.27272727272727271</v>
      </c>
    </row>
    <row r="106" spans="1:20" x14ac:dyDescent="0.35">
      <c r="A106" s="12">
        <v>43343</v>
      </c>
      <c r="B106" s="13">
        <v>-6.3558640589851523</v>
      </c>
      <c r="C106" s="87">
        <v>5.9197430830039002</v>
      </c>
      <c r="D106" s="1" t="str">
        <f t="shared" si="32"/>
        <v>熊市</v>
      </c>
      <c r="E106" s="1" t="str">
        <f t="shared" si="33"/>
        <v>熊市</v>
      </c>
      <c r="F106" s="1" t="str">
        <f>VLOOKUP(A106,'货币信用框架5-货币政策目标+信用脉冲'!A:L,12,0)</f>
        <v>宽货币紧信用</v>
      </c>
      <c r="G106" s="1" t="str">
        <f>VLOOKUP(A106,'信贷库存框架1-票据+贷款余额'!A:L,12,0)</f>
        <v>主动补库存</v>
      </c>
      <c r="H106" s="1" t="str">
        <f>IFERROR(VLOOKUP(A106,'财政货币框架1&amp;2底稿'!A:N,14,0),H107)</f>
        <v>双宽</v>
      </c>
      <c r="I106" s="1" t="str">
        <f>IFERROR(VLOOKUP(A106,美林时钟!A:W,23,0),I107)</f>
        <v>衰退</v>
      </c>
      <c r="J106" s="1" t="str">
        <f>VLOOKUP(A106,库存与产能周期2!A:Q,17,0)</f>
        <v>产能周期上行,主动去库存</v>
      </c>
      <c r="K106" s="1">
        <f>IFERROR((COUNTIFS($D108:$D167,"牛市",F108:F167,F106)-COUNTIFS($D108:$D167,"熊市",F108:F167,F106))/COUNTIFS(F108:F167,F106),K107)</f>
        <v>0.55555555555555558</v>
      </c>
      <c r="L106" s="1">
        <f>IFERROR((COUNTIFS($D108:$D167,"牛市",G108:G167,G106)-COUNTIFS($D108:$D167,"熊市",G108:G167,G106))/COUNTIFS(G108:G167,G106),L107)</f>
        <v>0.75</v>
      </c>
      <c r="N106" s="1">
        <f>IFERROR((COUNTIFS($D108:$D167,"牛市",I108:I167,I106)-COUNTIFS($D108:$D167,"熊市",I108:I167,I106))/COUNTIFS(I108:I167,I106),N107)</f>
        <v>0.23809523809523808</v>
      </c>
      <c r="O106" s="1">
        <f>IFERROR((COUNTIFS($D108:$D167,"牛市",J108:J167,J106)-COUNTIFS($D108:$D167,"熊市",J108:J167,J106))/COUNTIFS(J108:J167,J106),O107)</f>
        <v>-0.1</v>
      </c>
      <c r="P106" s="1">
        <f>IFERROR((COUNTIFS($E108:$E167,"牛市",F108:F167,F106)-COUNTIFS($E108:$E167,"熊市",F108:F167,F106))/COUNTIFS(F108:F167,F106),P107)</f>
        <v>0.27777777777777779</v>
      </c>
      <c r="Q106" s="1">
        <f>IFERROR((COUNTIFS($E108:$E167,"牛市",G108:G167,G106)-COUNTIFS($E108:$E167,"熊市",G108:G167,G106))/COUNTIFS(G108:G167,G106),Q107)</f>
        <v>0</v>
      </c>
      <c r="S106" s="1">
        <f>IFERROR((COUNTIFS($E108:$E167,"牛市",I108:I167,I106)-COUNTIFS($E108:$E167,"熊市",I108:I167,I106))/COUNTIFS(I108:I167,I106),S107)</f>
        <v>4.7619047619047616E-2</v>
      </c>
      <c r="T106" s="1">
        <f>IFERROR((COUNTIFS($E108:$E167,"牛市",J108:J167,J106)-COUNTIFS($E108:$E167,"熊市",J108:J167,J106))/COUNTIFS(J108:J167,J106),T107)</f>
        <v>0.2</v>
      </c>
    </row>
    <row r="107" spans="1:20" x14ac:dyDescent="0.35">
      <c r="A107" s="12">
        <v>43312</v>
      </c>
      <c r="B107" s="13">
        <v>0.30242176771500701</v>
      </c>
      <c r="C107" s="87">
        <v>-9.9240909090909</v>
      </c>
      <c r="D107" s="1" t="str">
        <f t="shared" si="32"/>
        <v>震荡</v>
      </c>
      <c r="E107" s="1" t="str">
        <f t="shared" si="33"/>
        <v>牛市</v>
      </c>
      <c r="F107" s="1" t="str">
        <f>VLOOKUP(A107,'货币信用框架5-货币政策目标+信用脉冲'!A:L,12,0)</f>
        <v>宽货币紧信用</v>
      </c>
      <c r="G107" s="1" t="str">
        <f>VLOOKUP(A107,'信贷库存框架1-票据+贷款余额'!A:L,12,0)</f>
        <v>主动补库存</v>
      </c>
      <c r="H107" s="1" t="str">
        <f>IFERROR(VLOOKUP(A107,'财政货币框架1&amp;2底稿'!A:N,14,0),H108)</f>
        <v>双宽</v>
      </c>
      <c r="I107" s="1" t="str">
        <f>IFERROR(VLOOKUP(A107,美林时钟!A:W,23,0),I108)</f>
        <v>衰退</v>
      </c>
      <c r="J107" s="1" t="str">
        <f>VLOOKUP(A107,库存与产能周期2!A:Q,17,0)</f>
        <v>产能周期上行,主动去库存</v>
      </c>
      <c r="K107" s="1">
        <f>IFERROR((COUNTIFS($D109:$D168,"牛市",F109:F168,F107)-COUNTIFS($D109:$D168,"熊市",F109:F168,F107))/COUNTIFS(F109:F168,F107),K108)</f>
        <v>0.6470588235294118</v>
      </c>
      <c r="L107" s="1">
        <f>IFERROR((COUNTIFS($D109:$D168,"牛市",G109:G168,G107)-COUNTIFS($D109:$D168,"熊市",G109:G168,G107))/COUNTIFS(G109:G168,G107),L108)</f>
        <v>0.75</v>
      </c>
      <c r="N107" s="1">
        <f>IFERROR((COUNTIFS($D109:$D168,"牛市",I109:I168,I107)-COUNTIFS($D109:$D168,"熊市",I109:I168,I107))/COUNTIFS(I109:I168,I107),N108)</f>
        <v>0.23809523809523808</v>
      </c>
      <c r="O107" s="1">
        <f>IFERROR((COUNTIFS($D109:$D168,"牛市",J109:J168,J107)-COUNTIFS($D109:$D168,"熊市",J109:J168,J107))/COUNTIFS(J109:J168,J107),O108)</f>
        <v>0</v>
      </c>
      <c r="P107" s="1">
        <f>IFERROR((COUNTIFS($E109:$E168,"牛市",F109:F168,F107)-COUNTIFS($E109:$E168,"熊市",F109:F168,F107))/COUNTIFS(F109:F168,F107),P108)</f>
        <v>0.23529411764705882</v>
      </c>
      <c r="Q107" s="1">
        <f>IFERROR((COUNTIFS($E109:$E168,"牛市",G109:G168,G107)-COUNTIFS($E109:$E168,"熊市",G109:G168,G107))/COUNTIFS(G109:G168,G107),Q108)</f>
        <v>0</v>
      </c>
      <c r="S107" s="1">
        <f>IFERROR((COUNTIFS($E109:$E168,"牛市",I109:I168,I107)-COUNTIFS($E109:$E168,"熊市",I109:I168,I107))/COUNTIFS(I109:I168,I107),S108)</f>
        <v>4.7619047619047616E-2</v>
      </c>
      <c r="T107" s="1">
        <f>IFERROR((COUNTIFS($E109:$E168,"牛市",J109:J168,J107)-COUNTIFS($E109:$E168,"熊市",J109:J168,J107))/COUNTIFS(J109:J168,J107),T108)</f>
        <v>0.1111111111111111</v>
      </c>
    </row>
    <row r="108" spans="1:20" x14ac:dyDescent="0.35">
      <c r="A108" s="12">
        <v>43281</v>
      </c>
      <c r="B108" s="13">
        <v>-8.3259614608934065</v>
      </c>
      <c r="C108" s="87">
        <v>-5.6059090909091003</v>
      </c>
      <c r="D108" s="1" t="str">
        <f t="shared" si="32"/>
        <v>熊市</v>
      </c>
      <c r="E108" s="1" t="str">
        <f t="shared" si="33"/>
        <v>牛市</v>
      </c>
      <c r="F108" s="1" t="str">
        <f>VLOOKUP(A108,'货币信用框架5-货币政策目标+信用脉冲'!A:L,12,0)</f>
        <v>宽货币紧信用</v>
      </c>
      <c r="G108" s="1" t="str">
        <f>VLOOKUP(A108,'信贷库存框架1-票据+贷款余额'!A:L,12,0)</f>
        <v>被动补库存</v>
      </c>
      <c r="H108" s="1" t="str">
        <f>IFERROR(VLOOKUP(A108,'财政货币框架1&amp;2底稿'!A:N,14,0),H109)</f>
        <v>双宽</v>
      </c>
      <c r="I108" s="1" t="str">
        <f>IFERROR(VLOOKUP(A108,美林时钟!A:W,23,0),I109)</f>
        <v>滞涨</v>
      </c>
      <c r="J108" s="1" t="str">
        <f>VLOOKUP(A108,库存与产能周期2!A:Q,17,0)</f>
        <v>产能周期上行,主动去库存</v>
      </c>
      <c r="K108" s="1">
        <f>IFERROR((COUNTIFS($D110:$D169,"牛市",F110:F169,F108)-COUNTIFS($D110:$D169,"熊市",F110:F169,F108))/COUNTIFS(F110:F169,F108),K109)</f>
        <v>0.6875</v>
      </c>
      <c r="L108" s="1">
        <f>IFERROR((COUNTIFS($D110:$D169,"牛市",G110:G169,G108)-COUNTIFS($D110:$D169,"熊市",G110:G169,G108))/COUNTIFS(G110:G169,G108),L109)</f>
        <v>0.35714285714285715</v>
      </c>
      <c r="N108" s="1">
        <f>IFERROR((COUNTIFS($D110:$D169,"牛市",I110:I169,I108)-COUNTIFS($D110:$D169,"熊市",I110:I169,I108))/COUNTIFS(I110:I169,I108),N109)</f>
        <v>0.1111111111111111</v>
      </c>
      <c r="O108" s="1">
        <f>IFERROR((COUNTIFS($D110:$D169,"牛市",J110:J169,J108)-COUNTIFS($D110:$D169,"熊市",J110:J169,J108))/COUNTIFS(J110:J169,J108),O109)</f>
        <v>0</v>
      </c>
      <c r="P108" s="1">
        <f>IFERROR((COUNTIFS($E110:$E169,"牛市",F110:F169,F108)-COUNTIFS($E110:$E169,"熊市",F110:F169,F108))/COUNTIFS(F110:F169,F108),P109)</f>
        <v>0.25</v>
      </c>
      <c r="Q108" s="1">
        <f>IFERROR((COUNTIFS($E110:$E169,"牛市",G110:G169,G108)-COUNTIFS($E110:$E169,"熊市",G110:G169,G108))/COUNTIFS(G110:G169,G108),Q109)</f>
        <v>0.2857142857142857</v>
      </c>
      <c r="S108" s="1">
        <f>IFERROR((COUNTIFS($E110:$E169,"牛市",I110:I169,I108)-COUNTIFS($E110:$E169,"熊市",I110:I169,I108))/COUNTIFS(I110:I169,I108),S109)</f>
        <v>0.1111111111111111</v>
      </c>
      <c r="T108" s="1">
        <f>IFERROR((COUNTIFS($E110:$E169,"牛市",J110:J169,J108)-COUNTIFS($E110:$E169,"熊市",J110:J169,J108))/COUNTIFS(J110:J169,J108),T109)</f>
        <v>0.125</v>
      </c>
    </row>
    <row r="109" spans="1:20" x14ac:dyDescent="0.35">
      <c r="A109" s="12">
        <v>43251</v>
      </c>
      <c r="B109" s="13">
        <v>-5.8721997905498001E-2</v>
      </c>
      <c r="C109" s="87">
        <v>1.4829090909091001</v>
      </c>
      <c r="D109" s="1" t="str">
        <f t="shared" si="32"/>
        <v>震荡</v>
      </c>
      <c r="E109" s="1" t="str">
        <f t="shared" si="33"/>
        <v>震荡</v>
      </c>
      <c r="F109" s="1" t="str">
        <f>VLOOKUP(A109,'货币信用框架5-货币政策目标+信用脉冲'!A:L,12,0)</f>
        <v>宽货币紧信用</v>
      </c>
      <c r="G109" s="1" t="str">
        <f>VLOOKUP(A109,'信贷库存框架1-票据+贷款余额'!A:L,12,0)</f>
        <v>被动补库存</v>
      </c>
      <c r="H109" s="1" t="str">
        <f>IFERROR(VLOOKUP(A109,'财政货币框架1&amp;2底稿'!A:N,14,0),H110)</f>
        <v>双宽</v>
      </c>
      <c r="I109" s="1" t="str">
        <f>IFERROR(VLOOKUP(A109,美林时钟!A:W,23,0),I110)</f>
        <v>滞涨</v>
      </c>
      <c r="J109" s="1" t="str">
        <f>VLOOKUP(A109,库存与产能周期2!A:Q,17,0)</f>
        <v>产能周期上行,主动去库存</v>
      </c>
      <c r="K109" s="1">
        <f>IFERROR((COUNTIFS($D111:$D170,"牛市",F111:F170,F109)-COUNTIFS($D111:$D170,"熊市",F111:F170,F109))/COUNTIFS(F111:F170,F109),K110)</f>
        <v>0.8</v>
      </c>
      <c r="L109" s="1">
        <f>IFERROR((COUNTIFS($D111:$D170,"牛市",G111:G170,G109)-COUNTIFS($D111:$D170,"熊市",G111:G170,G109))/COUNTIFS(G111:G170,G109),L110)</f>
        <v>0.46153846153846156</v>
      </c>
      <c r="N109" s="1">
        <f>IFERROR((COUNTIFS($D111:$D170,"牛市",I111:I170,I109)-COUNTIFS($D111:$D170,"熊市",I111:I170,I109))/COUNTIFS(I111:I170,I109),N110)</f>
        <v>0.25</v>
      </c>
      <c r="O109" s="1">
        <f>IFERROR((COUNTIFS($D111:$D170,"牛市",J111:J170,J109)-COUNTIFS($D111:$D170,"熊市",J111:J170,J109))/COUNTIFS(J111:J170,J109),O110)</f>
        <v>0.14285714285714285</v>
      </c>
      <c r="P109" s="1">
        <f>IFERROR((COUNTIFS($E111:$E170,"牛市",F111:F170,F109)-COUNTIFS($E111:$E170,"熊市",F111:F170,F109))/COUNTIFS(F111:F170,F109),P110)</f>
        <v>0.2</v>
      </c>
      <c r="Q109" s="1">
        <f>IFERROR((COUNTIFS($E111:$E170,"牛市",G111:G170,G109)-COUNTIFS($E111:$E170,"熊市",G111:G170,G109))/COUNTIFS(G111:G170,G109),Q110)</f>
        <v>0.23076923076923078</v>
      </c>
      <c r="S109" s="1">
        <f>IFERROR((COUNTIFS($E111:$E170,"牛市",I111:I170,I109)-COUNTIFS($E111:$E170,"熊市",I111:I170,I109))/COUNTIFS(I111:I170,I109),S110)</f>
        <v>0</v>
      </c>
      <c r="T109" s="1">
        <f>IFERROR((COUNTIFS($E111:$E170,"牛市",J111:J170,J109)-COUNTIFS($E111:$E170,"熊市",J111:J170,J109))/COUNTIFS(J111:J170,J109),T110)</f>
        <v>0</v>
      </c>
    </row>
    <row r="110" spans="1:20" x14ac:dyDescent="0.35">
      <c r="A110" s="12">
        <v>43220</v>
      </c>
      <c r="B110" s="13">
        <v>-3.7209346751427521</v>
      </c>
      <c r="C110" s="87">
        <v>-14.4274545454545</v>
      </c>
      <c r="D110" s="1" t="str">
        <f t="shared" si="32"/>
        <v>熊市</v>
      </c>
      <c r="E110" s="1" t="str">
        <f t="shared" si="33"/>
        <v>牛市</v>
      </c>
      <c r="F110" s="1" t="str">
        <f>VLOOKUP(A110,'货币信用框架5-货币政策目标+信用脉冲'!A:L,12,0)</f>
        <v>宽货币紧信用</v>
      </c>
      <c r="G110" s="1" t="str">
        <f>VLOOKUP(A110,'信贷库存框架1-票据+贷款余额'!A:L,12,0)</f>
        <v>被动补库存</v>
      </c>
      <c r="H110" s="1" t="str">
        <f>IFERROR(VLOOKUP(A110,'财政货币框架1&amp;2底稿'!A:N,14,0),H111)</f>
        <v>双宽</v>
      </c>
      <c r="I110" s="1" t="str">
        <f>IFERROR(VLOOKUP(A110,美林时钟!A:W,23,0),I111)</f>
        <v>滞涨</v>
      </c>
      <c r="J110" s="1" t="str">
        <f>VLOOKUP(A110,库存与产能周期2!A:Q,17,0)</f>
        <v>产能周期上行,主动去库存</v>
      </c>
      <c r="K110" s="1">
        <f>IFERROR((COUNTIFS($D112:$D171,"牛市",F112:F171,F110)-COUNTIFS($D112:$D171,"熊市",F112:F171,F110))/COUNTIFS(F112:F171,F110),K111)</f>
        <v>0.8</v>
      </c>
      <c r="L110" s="1">
        <f>IFERROR((COUNTIFS($D112:$D171,"牛市",G112:G171,G110)-COUNTIFS($D112:$D171,"熊市",G112:G171,G110))/COUNTIFS(G112:G171,G110),L111)</f>
        <v>0.5</v>
      </c>
      <c r="N110" s="1">
        <f>IFERROR((COUNTIFS($D112:$D171,"牛市",I112:I171,I110)-COUNTIFS($D112:$D171,"熊市",I112:I171,I110))/COUNTIFS(I112:I171,I110),N111)</f>
        <v>0.25</v>
      </c>
      <c r="O110" s="1">
        <f>IFERROR((COUNTIFS($D112:$D171,"牛市",J112:J171,J110)-COUNTIFS($D112:$D171,"熊市",J112:J171,J110))/COUNTIFS(J112:J171,J110),O111)</f>
        <v>0.16666666666666666</v>
      </c>
      <c r="P110" s="1">
        <f>IFERROR((COUNTIFS($E112:$E171,"牛市",F112:F171,F110)-COUNTIFS($E112:$E171,"熊市",F112:F171,F110))/COUNTIFS(F112:F171,F110),P111)</f>
        <v>0.2</v>
      </c>
      <c r="Q110" s="1">
        <f>IFERROR((COUNTIFS($E112:$E171,"牛市",G112:G171,G110)-COUNTIFS($E112:$E171,"熊市",G112:G171,G110))/COUNTIFS(G112:G171,G110),Q111)</f>
        <v>0.16666666666666666</v>
      </c>
      <c r="S110" s="1">
        <f>IFERROR((COUNTIFS($E112:$E171,"牛市",I112:I171,I110)-COUNTIFS($E112:$E171,"熊市",I112:I171,I110))/COUNTIFS(I112:I171,I110),S111)</f>
        <v>0</v>
      </c>
      <c r="T110" s="1">
        <f>IFERROR((COUNTIFS($E112:$E171,"牛市",J112:J171,J110)-COUNTIFS($E112:$E171,"熊市",J112:J171,J110))/COUNTIFS(J112:J171,J110),T111)</f>
        <v>-0.16666666666666666</v>
      </c>
    </row>
    <row r="111" spans="1:20" x14ac:dyDescent="0.35">
      <c r="A111" s="12">
        <v>43190</v>
      </c>
      <c r="B111" s="13">
        <v>-9.9360761447768994E-2</v>
      </c>
      <c r="C111" s="87">
        <v>-7.9377807486630996</v>
      </c>
      <c r="D111" s="1" t="str">
        <f t="shared" si="32"/>
        <v>震荡</v>
      </c>
      <c r="E111" s="1" t="str">
        <f t="shared" si="33"/>
        <v>牛市</v>
      </c>
      <c r="F111" s="1" t="str">
        <f>VLOOKUP(A111,'货币信用框架5-货币政策目标+信用脉冲'!A:L,12,0)</f>
        <v>紧货币紧信用</v>
      </c>
      <c r="G111" s="1" t="str">
        <f>VLOOKUP(A111,'信贷库存框架1-票据+贷款余额'!A:L,12,0)</f>
        <v>被动补库存</v>
      </c>
      <c r="H111" s="1" t="str">
        <f>IFERROR(VLOOKUP(A111,'财政货币框架1&amp;2底稿'!A:N,14,0),H112)</f>
        <v>双宽</v>
      </c>
      <c r="I111" s="1" t="str">
        <f>IFERROR(VLOOKUP(A111,美林时钟!A:W,23,0),I112)</f>
        <v>衰退</v>
      </c>
      <c r="J111" s="1" t="str">
        <f>VLOOKUP(A111,库存与产能周期2!A:Q,17,0)</f>
        <v>产能周期上行,主动去库存</v>
      </c>
      <c r="K111" s="1">
        <f>IFERROR((COUNTIFS($D113:$D172,"牛市",F113:F172,F111)-COUNTIFS($D113:$D172,"熊市",F113:F172,F111))/COUNTIFS(F113:F172,F111),K112)</f>
        <v>0.13043478260869565</v>
      </c>
      <c r="L111" s="1">
        <f>IFERROR((COUNTIFS($D113:$D172,"牛市",G113:G172,G111)-COUNTIFS($D113:$D172,"熊市",G113:G172,G111))/COUNTIFS(G113:G172,G111),L112)</f>
        <v>0.63636363636363635</v>
      </c>
      <c r="N111" s="1">
        <f>IFERROR((COUNTIFS($D113:$D172,"牛市",I113:I172,I111)-COUNTIFS($D113:$D172,"熊市",I113:I172,I111))/COUNTIFS(I113:I172,I111),N112)</f>
        <v>0.25</v>
      </c>
      <c r="O111" s="1">
        <f>IFERROR((COUNTIFS($D113:$D172,"牛市",J113:J172,J111)-COUNTIFS($D113:$D172,"熊市",J113:J172,J111))/COUNTIFS(J113:J172,J111),O112)</f>
        <v>0.4</v>
      </c>
      <c r="P111" s="1">
        <f>IFERROR((COUNTIFS($E113:$E172,"牛市",F113:F172,F111)-COUNTIFS($E113:$E172,"熊市",F113:F172,F111))/COUNTIFS(F113:F172,F111),P112)</f>
        <v>-0.52173913043478259</v>
      </c>
      <c r="Q111" s="1">
        <f>IFERROR((COUNTIFS($E113:$E172,"牛市",G113:G172,G111)-COUNTIFS($E113:$E172,"熊市",G113:G172,G111))/COUNTIFS(G113:G172,G111),Q112)</f>
        <v>9.0909090909090912E-2</v>
      </c>
      <c r="S111" s="1">
        <f>IFERROR((COUNTIFS($E113:$E172,"牛市",I113:I172,I111)-COUNTIFS($E113:$E172,"熊市",I113:I172,I111))/COUNTIFS(I113:I172,I111),S112)</f>
        <v>0</v>
      </c>
      <c r="T111" s="1">
        <f>IFERROR((COUNTIFS($E113:$E172,"牛市",J113:J172,J111)-COUNTIFS($E113:$E172,"熊市",J113:J172,J111))/COUNTIFS(J113:J172,J111),T112)</f>
        <v>-0.4</v>
      </c>
    </row>
    <row r="112" spans="1:20" x14ac:dyDescent="0.35">
      <c r="A112" s="12">
        <v>43159</v>
      </c>
      <c r="B112" s="13">
        <v>-4.8505678434330299</v>
      </c>
      <c r="C112" s="87">
        <v>-6.4876737967915004</v>
      </c>
      <c r="D112" s="1" t="str">
        <f t="shared" si="32"/>
        <v>熊市</v>
      </c>
      <c r="E112" s="1" t="str">
        <f t="shared" si="33"/>
        <v>牛市</v>
      </c>
      <c r="F112" s="1" t="str">
        <f>VLOOKUP(A112,'货币信用框架5-货币政策目标+信用脉冲'!A:L,12,0)</f>
        <v>紧货币紧信用</v>
      </c>
      <c r="G112" s="1" t="str">
        <f>VLOOKUP(A112,'信贷库存框架1-票据+贷款余额'!A:L,12,0)</f>
        <v>被动补库存</v>
      </c>
      <c r="H112" s="1" t="str">
        <f>IFERROR(VLOOKUP(A112,'财政货币框架1&amp;2底稿'!A:N,14,0),H113)</f>
        <v>双紧</v>
      </c>
      <c r="I112" s="1" t="str">
        <f>IFERROR(VLOOKUP(A112,美林时钟!A:W,23,0),I113)</f>
        <v>复苏</v>
      </c>
      <c r="J112" s="1" t="str">
        <f>VLOOKUP(A112,库存与产能周期2!A:Q,17,0)</f>
        <v>产能周期上行,主动去库存</v>
      </c>
      <c r="K112" s="1">
        <f>IFERROR((COUNTIFS($D114:$D173,"牛市",F114:F173,F112)-COUNTIFS($D114:$D173,"熊市",F114:F173,F112))/COUNTIFS(F114:F173,F112),K113)</f>
        <v>9.0909090909090912E-2</v>
      </c>
      <c r="L112" s="1">
        <f>IFERROR((COUNTIFS($D114:$D173,"牛市",G114:G173,G112)-COUNTIFS($D114:$D173,"熊市",G114:G173,G112))/COUNTIFS(G114:G173,G112),L113)</f>
        <v>0.6</v>
      </c>
      <c r="N112" s="1">
        <f>IFERROR((COUNTIFS($D114:$D173,"牛市",I114:I173,I112)-COUNTIFS($D114:$D173,"熊市",I114:I173,I112))/COUNTIFS(I114:I173,I112),N113)</f>
        <v>0</v>
      </c>
      <c r="O112" s="1">
        <f>IFERROR((COUNTIFS($D114:$D173,"牛市",J114:J173,J112)-COUNTIFS($D114:$D173,"熊市",J114:J173,J112))/COUNTIFS(J114:J173,J112),O113)</f>
        <v>0.25</v>
      </c>
      <c r="P112" s="1">
        <f>IFERROR((COUNTIFS($E114:$E173,"牛市",F114:F173,F112)-COUNTIFS($E114:$E173,"熊市",F114:F173,F112))/COUNTIFS(F114:F173,F112),P113)</f>
        <v>-0.5</v>
      </c>
      <c r="Q112" s="1">
        <f>IFERROR((COUNTIFS($E114:$E173,"牛市",G114:G173,G112)-COUNTIFS($E114:$E173,"熊市",G114:G173,G112))/COUNTIFS(G114:G173,G112),Q113)</f>
        <v>0.2</v>
      </c>
      <c r="S112" s="1">
        <f>IFERROR((COUNTIFS($E114:$E173,"牛市",I114:I173,I112)-COUNTIFS($E114:$E173,"熊市",I114:I173,I112))/COUNTIFS(I114:I173,I112),S113)</f>
        <v>-9.0909090909090912E-2</v>
      </c>
      <c r="T112" s="1">
        <f>IFERROR((COUNTIFS($E114:$E173,"牛市",J114:J173,J112)-COUNTIFS($E114:$E173,"熊市",J114:J173,J112))/COUNTIFS(J114:J173,J112),T113)</f>
        <v>-0.25</v>
      </c>
    </row>
    <row r="113" spans="1:20" x14ac:dyDescent="0.35">
      <c r="A113" s="12">
        <v>43131</v>
      </c>
      <c r="B113" s="13">
        <v>1.7953015111120469</v>
      </c>
      <c r="C113" s="87">
        <v>4.2572134387352003</v>
      </c>
      <c r="D113" s="1" t="str">
        <f t="shared" si="32"/>
        <v>牛市</v>
      </c>
      <c r="E113" s="1" t="str">
        <f t="shared" si="33"/>
        <v>熊市</v>
      </c>
      <c r="F113" s="1" t="str">
        <f>VLOOKUP(A113,'货币信用框架5-货币政策目标+信用脉冲'!A:L,12,0)</f>
        <v>紧货币紧信用</v>
      </c>
      <c r="G113" s="1" t="str">
        <f>VLOOKUP(A113,'信贷库存框架1-票据+贷款余额'!A:L,12,0)</f>
        <v>被动补库存</v>
      </c>
      <c r="H113" s="1" t="str">
        <f>IFERROR(VLOOKUP(A113,'财政货币框架1&amp;2底稿'!A:N,14,0),H114)</f>
        <v>双紧</v>
      </c>
      <c r="I113" s="1" t="str">
        <f>IFERROR(VLOOKUP(A113,美林时钟!A:W,23,0),I114)</f>
        <v>复苏</v>
      </c>
      <c r="J113" s="1" t="str">
        <f>VLOOKUP(A113,库存与产能周期2!A:Q,17,0)</f>
        <v>产能周期上行,主动去库存</v>
      </c>
      <c r="K113" s="1">
        <f>IFERROR((COUNTIFS($D115:$D174,"牛市",F115:F174,F113)-COUNTIFS($D115:$D174,"熊市",F115:F174,F113))/COUNTIFS(F115:F174,F113),K114)</f>
        <v>9.5238095238095233E-2</v>
      </c>
      <c r="L113" s="1">
        <f>IFERROR((COUNTIFS($D115:$D174,"牛市",G115:G174,G113)-COUNTIFS($D115:$D174,"熊市",G115:G174,G113))/COUNTIFS(G115:G174,G113),L114)</f>
        <v>0.66666666666666663</v>
      </c>
      <c r="N113" s="1">
        <f>IFERROR((COUNTIFS($D115:$D174,"牛市",I115:I174,I113)-COUNTIFS($D115:$D174,"熊市",I115:I174,I113))/COUNTIFS(I115:I174,I113),N114)</f>
        <v>0</v>
      </c>
      <c r="O113" s="1">
        <f>IFERROR((COUNTIFS($D115:$D174,"牛市",J115:J174,J113)-COUNTIFS($D115:$D174,"熊市",J115:J174,J113))/COUNTIFS(J115:J174,J113),O114)</f>
        <v>0.33333333333333331</v>
      </c>
      <c r="P113" s="1">
        <f>IFERROR((COUNTIFS($E115:$E174,"牛市",F115:F174,F113)-COUNTIFS($E115:$E174,"熊市",F115:F174,F113))/COUNTIFS(F115:F174,F113),P114)</f>
        <v>-0.5714285714285714</v>
      </c>
      <c r="Q113" s="1">
        <f>IFERROR((COUNTIFS($E115:$E174,"牛市",G115:G174,G113)-COUNTIFS($E115:$E174,"熊市",G115:G174,G113))/COUNTIFS(G115:G174,G113),Q114)</f>
        <v>0.1111111111111111</v>
      </c>
      <c r="S113" s="1">
        <f>IFERROR((COUNTIFS($E115:$E174,"牛市",I115:I174,I113)-COUNTIFS($E115:$E174,"熊市",I115:I174,I113))/COUNTIFS(I115:I174,I113),S114)</f>
        <v>-0.2</v>
      </c>
      <c r="T113" s="1">
        <f>IFERROR((COUNTIFS($E115:$E174,"牛市",J115:J174,J113)-COUNTIFS($E115:$E174,"熊市",J115:J174,J113))/COUNTIFS(J115:J174,J113),T114)</f>
        <v>-0.66666666666666663</v>
      </c>
    </row>
    <row r="114" spans="1:20" x14ac:dyDescent="0.35">
      <c r="A114" s="12">
        <v>43100</v>
      </c>
      <c r="B114" s="13">
        <v>-0.26932464469894701</v>
      </c>
      <c r="C114" s="87">
        <v>-2.5008498023715999</v>
      </c>
      <c r="D114" s="1" t="str">
        <f t="shared" si="32"/>
        <v>震荡</v>
      </c>
      <c r="E114" s="1" t="str">
        <f t="shared" si="33"/>
        <v>牛市</v>
      </c>
      <c r="F114" s="1" t="str">
        <f>VLOOKUP(A114,'货币信用框架5-货币政策目标+信用脉冲'!A:L,12,0)</f>
        <v>紧货币紧信用</v>
      </c>
      <c r="G114" s="1" t="str">
        <f>VLOOKUP(A114,'信贷库存框架1-票据+贷款余额'!A:L,12,0)</f>
        <v>被动补库存</v>
      </c>
      <c r="H114" s="1" t="str">
        <f>IFERROR(VLOOKUP(A114,'财政货币框架1&amp;2底稿'!A:N,14,0),H115)</f>
        <v>双紧</v>
      </c>
      <c r="I114" s="1" t="str">
        <f>IFERROR(VLOOKUP(A114,美林时钟!A:W,23,0),I115)</f>
        <v>复苏</v>
      </c>
      <c r="J114" s="1" t="str">
        <f>VLOOKUP(A114,库存与产能周期2!A:Q,17,0)</f>
        <v>产能周期上行,主动去库存</v>
      </c>
      <c r="K114" s="1">
        <f>IFERROR((COUNTIFS($D116:$D175,"牛市",F116:F175,F114)-COUNTIFS($D116:$D175,"熊市",F116:F175,F114))/COUNTIFS(F116:F175,F114),K115)</f>
        <v>0.15</v>
      </c>
      <c r="L114" s="1">
        <f>IFERROR((COUNTIFS($D116:$D175,"牛市",G116:G175,G114)-COUNTIFS($D116:$D175,"熊市",G116:G175,G114))/COUNTIFS(G116:G175,G114),L115)</f>
        <v>0.875</v>
      </c>
      <c r="N114" s="1">
        <f>IFERROR((COUNTIFS($D116:$D175,"牛市",I116:I175,I114)-COUNTIFS($D116:$D175,"熊市",I116:I175,I114))/COUNTIFS(I116:I175,I114),N115)</f>
        <v>0.1111111111111111</v>
      </c>
      <c r="O114" s="1">
        <f>IFERROR((COUNTIFS($D116:$D175,"牛市",J116:J175,J114)-COUNTIFS($D116:$D175,"熊市",J116:J175,J114))/COUNTIFS(J116:J175,J114),O115)</f>
        <v>1</v>
      </c>
      <c r="P114" s="1">
        <f>IFERROR((COUNTIFS($E116:$E175,"牛市",F116:F175,F114)-COUNTIFS($E116:$E175,"熊市",F116:F175,F114))/COUNTIFS(F116:F175,F114),P115)</f>
        <v>-0.55000000000000004</v>
      </c>
      <c r="Q114" s="1">
        <f>IFERROR((COUNTIFS($E116:$E175,"牛市",G116:G175,G114)-COUNTIFS($E116:$E175,"熊市",G116:G175,G114))/COUNTIFS(G116:G175,G114),Q115)</f>
        <v>0.25</v>
      </c>
      <c r="S114" s="1">
        <f>IFERROR((COUNTIFS($E116:$E175,"牛市",I116:I175,I114)-COUNTIFS($E116:$E175,"熊市",I116:I175,I114))/COUNTIFS(I116:I175,I114),S115)</f>
        <v>-0.1111111111111111</v>
      </c>
      <c r="T114" s="1">
        <f>IFERROR((COUNTIFS($E116:$E175,"牛市",J116:J175,J114)-COUNTIFS($E116:$E175,"熊市",J116:J175,J114))/COUNTIFS(J116:J175,J114),T115)</f>
        <v>-0.5</v>
      </c>
    </row>
    <row r="115" spans="1:20" x14ac:dyDescent="0.35">
      <c r="A115" s="12">
        <v>43069</v>
      </c>
      <c r="B115" s="13">
        <v>-2.9514746234314191</v>
      </c>
      <c r="C115" s="87">
        <v>18.1713101604279</v>
      </c>
      <c r="D115" s="1" t="str">
        <f t="shared" si="32"/>
        <v>熊市</v>
      </c>
      <c r="E115" s="1" t="str">
        <f t="shared" si="33"/>
        <v>熊市</v>
      </c>
      <c r="F115" s="1" t="str">
        <f>VLOOKUP(A115,'货币信用框架5-货币政策目标+信用脉冲'!A:L,12,0)</f>
        <v>紧货币紧信用</v>
      </c>
      <c r="G115" s="1" t="str">
        <f>VLOOKUP(A115,'信贷库存框架1-票据+贷款余额'!A:L,12,0)</f>
        <v>被动补库存</v>
      </c>
      <c r="H115" s="1" t="str">
        <f>IFERROR(VLOOKUP(A115,'财政货币框架1&amp;2底稿'!A:N,14,0),H116)</f>
        <v>双紧</v>
      </c>
      <c r="I115" s="1" t="str">
        <f>IFERROR(VLOOKUP(A115,美林时钟!A:W,23,0),I116)</f>
        <v>复苏</v>
      </c>
      <c r="J115" s="1" t="str">
        <f>VLOOKUP(A115,库存与产能周期2!A:Q,17,0)</f>
        <v>产能周期上行,主动去库存</v>
      </c>
      <c r="K115" s="1">
        <f>IFERROR((COUNTIFS($D117:$D176,"牛市",F117:F176,F115)-COUNTIFS($D117:$D176,"熊市",F117:F176,F115))/COUNTIFS(F117:F176,F115),K116)</f>
        <v>0.10526315789473684</v>
      </c>
      <c r="L115" s="1">
        <f>IFERROR((COUNTIFS($D117:$D176,"牛市",G117:G176,G115)-COUNTIFS($D117:$D176,"熊市",G117:G176,G115))/COUNTIFS(G117:G176,G115),L116)</f>
        <v>0.8571428571428571</v>
      </c>
      <c r="N115" s="1">
        <f>IFERROR((COUNTIFS($D117:$D176,"牛市",I117:I176,I115)-COUNTIFS($D117:$D176,"熊市",I117:I176,I115))/COUNTIFS(I117:I176,I115),N116)</f>
        <v>0</v>
      </c>
      <c r="O115" s="1">
        <f>IFERROR((COUNTIFS($D117:$D176,"牛市",J117:J176,J115)-COUNTIFS($D117:$D176,"熊市",J117:J176,J115))/COUNTIFS(J117:J176,J115),O116)</f>
        <v>1</v>
      </c>
      <c r="P115" s="1">
        <f>IFERROR((COUNTIFS($E117:$E176,"牛市",F117:F176,F115)-COUNTIFS($E117:$E176,"熊市",F117:F176,F115))/COUNTIFS(F117:F176,F115),P116)</f>
        <v>-0.52631578947368418</v>
      </c>
      <c r="Q115" s="1">
        <f>IFERROR((COUNTIFS($E117:$E176,"牛市",G117:G176,G115)-COUNTIFS($E117:$E176,"熊市",G117:G176,G115))/COUNTIFS(G117:G176,G115),Q116)</f>
        <v>0.42857142857142855</v>
      </c>
      <c r="S115" s="1">
        <f>IFERROR((COUNTIFS($E117:$E176,"牛市",I117:I176,I115)-COUNTIFS($E117:$E176,"熊市",I117:I176,I115))/COUNTIFS(I117:I176,I115),S116)</f>
        <v>0</v>
      </c>
      <c r="T115" s="1">
        <f>IFERROR((COUNTIFS($E117:$E176,"牛市",J117:J176,J115)-COUNTIFS($E117:$E176,"熊市",J117:J176,J115))/COUNTIFS(J117:J176,J115),T116)</f>
        <v>0</v>
      </c>
    </row>
    <row r="116" spans="1:20" x14ac:dyDescent="0.35">
      <c r="A116" s="12">
        <v>43039</v>
      </c>
      <c r="B116" s="13">
        <v>1.1056714719000751</v>
      </c>
      <c r="C116" s="87">
        <v>11.6595989304812</v>
      </c>
      <c r="D116" s="1" t="str">
        <f t="shared" si="32"/>
        <v>牛市</v>
      </c>
      <c r="E116" s="1" t="str">
        <f t="shared" si="33"/>
        <v>熊市</v>
      </c>
      <c r="F116" s="1" t="str">
        <f>VLOOKUP(A116,'货币信用框架5-货币政策目标+信用脉冲'!A:L,12,0)</f>
        <v>紧货币紧信用</v>
      </c>
      <c r="G116" s="1" t="str">
        <f>VLOOKUP(A116,'信贷库存框架1-票据+贷款余额'!A:L,12,0)</f>
        <v>被动补库存</v>
      </c>
      <c r="H116" s="1" t="str">
        <f>IFERROR(VLOOKUP(A116,'财政货币框架1&amp;2底稿'!A:N,14,0),H117)</f>
        <v>双紧</v>
      </c>
      <c r="I116" s="1" t="str">
        <f>IFERROR(VLOOKUP(A116,美林时钟!A:W,23,0),I117)</f>
        <v>复苏</v>
      </c>
      <c r="J116" s="1" t="str">
        <f>VLOOKUP(A116,库存与产能周期2!A:Q,17,0)</f>
        <v>产能周期上行,主动去库存</v>
      </c>
      <c r="K116" s="1">
        <f>IFERROR((COUNTIFS($D118:$D177,"牛市",F118:F177,F116)-COUNTIFS($D118:$D177,"熊市",F118:F177,F116))/COUNTIFS(F118:F177,F116),K117)</f>
        <v>5.5555555555555552E-2</v>
      </c>
      <c r="L116" s="1">
        <f>IFERROR((COUNTIFS($D118:$D177,"牛市",G118:G177,G116)-COUNTIFS($D118:$D177,"熊市",G118:G177,G116))/COUNTIFS(G118:G177,G116),L117)</f>
        <v>0.8571428571428571</v>
      </c>
      <c r="N116" s="1">
        <f>IFERROR((COUNTIFS($D118:$D177,"牛市",I118:I177,I116)-COUNTIFS($D118:$D177,"熊市",I118:I177,I116))/COUNTIFS(I118:I177,I116),N117)</f>
        <v>0</v>
      </c>
      <c r="O116" s="1">
        <f>IFERROR((COUNTIFS($D118:$D177,"牛市",J118:J177,J116)-COUNTIFS($D118:$D177,"熊市",J118:J177,J116))/COUNTIFS(J118:J177,J116),O117)</f>
        <v>0</v>
      </c>
      <c r="P116" s="1">
        <f>IFERROR((COUNTIFS($E118:$E177,"牛市",F118:F177,F116)-COUNTIFS($E118:$E177,"熊市",F118:F177,F116))/COUNTIFS(F118:F177,F116),P117)</f>
        <v>-0.55555555555555558</v>
      </c>
      <c r="Q116" s="1">
        <f>IFERROR((COUNTIFS($E118:$E177,"牛市",G118:G177,G116)-COUNTIFS($E118:$E177,"熊市",G118:G177,G116))/COUNTIFS(G118:G177,G116),Q117)</f>
        <v>0.42857142857142855</v>
      </c>
      <c r="S116" s="1">
        <f>IFERROR((COUNTIFS($E118:$E177,"牛市",I118:I177,I116)-COUNTIFS($E118:$E177,"熊市",I118:I177,I116))/COUNTIFS(I118:I177,I116),S117)</f>
        <v>-0.125</v>
      </c>
      <c r="T116" s="1">
        <f>IFERROR((COUNTIFS($E118:$E177,"牛市",J118:J177,J116)-COUNTIFS($E118:$E177,"熊市",J118:J177,J116))/COUNTIFS(J118:J177,J116),T117)</f>
        <v>-0.4</v>
      </c>
    </row>
    <row r="117" spans="1:20" x14ac:dyDescent="0.35">
      <c r="A117" s="12">
        <v>43008</v>
      </c>
      <c r="B117" s="13">
        <v>1.2790661771848739</v>
      </c>
      <c r="C117" s="87">
        <v>-0.2704940711462</v>
      </c>
      <c r="D117" s="1" t="str">
        <f t="shared" si="32"/>
        <v>牛市</v>
      </c>
      <c r="E117" s="1" t="str">
        <f t="shared" si="33"/>
        <v>震荡</v>
      </c>
      <c r="F117" s="1" t="str">
        <f>VLOOKUP(A117,'货币信用框架5-货币政策目标+信用脉冲'!A:L,12,0)</f>
        <v>紧货币紧信用</v>
      </c>
      <c r="G117" s="1" t="str">
        <f>VLOOKUP(A117,'信贷库存框架1-票据+贷款余额'!A:L,12,0)</f>
        <v>主动去库存</v>
      </c>
      <c r="H117" s="1" t="str">
        <f>IFERROR(VLOOKUP(A117,'财政货币框架1&amp;2底稿'!A:N,14,0),H118)</f>
        <v>双紧</v>
      </c>
      <c r="I117" s="1" t="str">
        <f>IFERROR(VLOOKUP(A117,美林时钟!A:W,23,0),I118)</f>
        <v>复苏</v>
      </c>
      <c r="J117" s="1" t="str">
        <f>VLOOKUP(A117,库存与产能周期2!A:Q,17,0)</f>
        <v>产能周期上行,主动去库存</v>
      </c>
      <c r="K117" s="1">
        <f>IFERROR((COUNTIFS($D119:$D178,"牛市",F119:F178,F117)-COUNTIFS($D119:$D178,"熊市",F119:F178,F117))/COUNTIFS(F119:F178,F117),K118)</f>
        <v>0</v>
      </c>
      <c r="L117" s="1">
        <f>IFERROR((COUNTIFS($D119:$D178,"牛市",G119:G178,G117)-COUNTIFS($D119:$D178,"熊市",G119:G178,G117))/COUNTIFS(G119:G178,G117),L118)</f>
        <v>4.5454545454545456E-2</v>
      </c>
      <c r="N117" s="1">
        <f>IFERROR((COUNTIFS($D119:$D178,"牛市",I119:I178,I117)-COUNTIFS($D119:$D178,"熊市",I119:I178,I117))/COUNTIFS(I119:I178,I117),N118)</f>
        <v>0</v>
      </c>
      <c r="O117" s="1">
        <f>IFERROR((COUNTIFS($D119:$D178,"牛市",J119:J178,J117)-COUNTIFS($D119:$D178,"熊市",J119:J178,J117))/COUNTIFS(J119:J178,J117),O118)</f>
        <v>0</v>
      </c>
      <c r="P117" s="1">
        <f>IFERROR((COUNTIFS($E119:$E178,"牛市",F119:F178,F117)-COUNTIFS($E119:$E178,"熊市",F119:F178,F117))/COUNTIFS(F119:F178,F117),P118)</f>
        <v>-0.52941176470588236</v>
      </c>
      <c r="Q117" s="1">
        <f>IFERROR((COUNTIFS($E119:$E178,"牛市",G119:G178,G117)-COUNTIFS($E119:$E178,"熊市",G119:G178,G117))/COUNTIFS(G119:G178,G117),Q118)</f>
        <v>-0.20454545454545456</v>
      </c>
      <c r="S117" s="1">
        <f>IFERROR((COUNTIFS($E119:$E178,"牛市",I119:I178,I117)-COUNTIFS($E119:$E178,"熊市",I119:I178,I117))/COUNTIFS(I119:I178,I117),S118)</f>
        <v>-0.125</v>
      </c>
      <c r="T117" s="1">
        <f>IFERROR((COUNTIFS($E119:$E178,"牛市",J119:J178,J117)-COUNTIFS($E119:$E178,"熊市",J119:J178,J117))/COUNTIFS(J119:J178,J117),T118)</f>
        <v>-0.4</v>
      </c>
    </row>
    <row r="118" spans="1:20" x14ac:dyDescent="0.35">
      <c r="A118" s="12">
        <v>42978</v>
      </c>
      <c r="B118" s="13">
        <v>3.0501730376899538</v>
      </c>
      <c r="C118" s="87">
        <v>3.7357971014492999</v>
      </c>
      <c r="D118" s="1" t="str">
        <f t="shared" si="32"/>
        <v>牛市</v>
      </c>
      <c r="E118" s="1" t="str">
        <f t="shared" si="33"/>
        <v>熊市</v>
      </c>
      <c r="F118" s="1" t="str">
        <f>VLOOKUP(A118,'货币信用框架5-货币政策目标+信用脉冲'!A:L,12,0)</f>
        <v>紧货币紧信用</v>
      </c>
      <c r="G118" s="1" t="str">
        <f>VLOOKUP(A118,'信贷库存框架1-票据+贷款余额'!A:L,12,0)</f>
        <v>主动去库存</v>
      </c>
      <c r="H118" s="1" t="str">
        <f>IFERROR(VLOOKUP(A118,'财政货币框架1&amp;2底稿'!A:N,14,0),H119)</f>
        <v>双紧</v>
      </c>
      <c r="I118" s="1" t="str">
        <f>IFERROR(VLOOKUP(A118,美林时钟!A:W,23,0),I119)</f>
        <v>衰退</v>
      </c>
      <c r="J118" s="1" t="str">
        <f>VLOOKUP(A118,库存与产能周期2!A:Q,17,0)</f>
        <v>产能周期上行,被动去库存</v>
      </c>
      <c r="K118" s="1">
        <f>IFERROR((COUNTIFS($D120:$D179,"牛市",F120:F179,F118)-COUNTIFS($D120:$D179,"熊市",F120:F179,F118))/COUNTIFS(F120:F179,F118),K119)</f>
        <v>-6.25E-2</v>
      </c>
      <c r="L118" s="1">
        <f>IFERROR((COUNTIFS($D120:$D179,"牛市",G120:G179,G118)-COUNTIFS($D120:$D179,"熊市",G120:G179,G118))/COUNTIFS(G120:G179,G118),L119)</f>
        <v>2.3255813953488372E-2</v>
      </c>
      <c r="N118" s="1">
        <f>IFERROR((COUNTIFS($D120:$D179,"牛市",I120:I179,I118)-COUNTIFS($D120:$D179,"熊市",I120:I179,I118))/COUNTIFS(I120:I179,I118),N119)</f>
        <v>0.05</v>
      </c>
      <c r="O118" s="1">
        <f>IFERROR((COUNTIFS($D120:$D179,"牛市",J120:J179,J118)-COUNTIFS($D120:$D179,"熊市",J120:J179,J118))/COUNTIFS(J120:J179,J118),O119)</f>
        <v>0</v>
      </c>
      <c r="P118" s="1">
        <f>IFERROR((COUNTIFS($E120:$E179,"牛市",F120:F179,F118)-COUNTIFS($E120:$E179,"熊市",F120:F179,F118))/COUNTIFS(F120:F179,F118),P119)</f>
        <v>-0.5625</v>
      </c>
      <c r="Q118" s="1">
        <f>IFERROR((COUNTIFS($E120:$E179,"牛市",G120:G179,G118)-COUNTIFS($E120:$E179,"熊市",G120:G179,G118))/COUNTIFS(G120:G179,G118),Q119)</f>
        <v>-0.20930232558139536</v>
      </c>
      <c r="S118" s="1">
        <f>IFERROR((COUNTIFS($E120:$E179,"牛市",I120:I179,I118)-COUNTIFS($E120:$E179,"熊市",I120:I179,I118))/COUNTIFS(I120:I179,I118),S119)</f>
        <v>0.05</v>
      </c>
      <c r="T118" s="1">
        <f>IFERROR((COUNTIFS($E120:$E179,"牛市",J120:J179,J118)-COUNTIFS($E120:$E179,"熊市",J120:J179,J118))/COUNTIFS(J120:J179,J118),T119)</f>
        <v>-0.4</v>
      </c>
    </row>
    <row r="119" spans="1:20" x14ac:dyDescent="0.35">
      <c r="A119" s="12">
        <v>42947</v>
      </c>
      <c r="B119" s="13">
        <v>1.613822414068381</v>
      </c>
      <c r="C119" s="87">
        <v>1.7051515151515</v>
      </c>
      <c r="D119" s="1" t="str">
        <f t="shared" si="32"/>
        <v>牛市</v>
      </c>
      <c r="E119" s="1" t="str">
        <f t="shared" si="33"/>
        <v>震荡</v>
      </c>
      <c r="F119" s="1" t="str">
        <f>VLOOKUP(A119,'货币信用框架5-货币政策目标+信用脉冲'!A:L,12,0)</f>
        <v>紧货币紧信用</v>
      </c>
      <c r="G119" s="1" t="str">
        <f>VLOOKUP(A119,'信贷库存框架1-票据+贷款余额'!A:L,12,0)</f>
        <v>主动去库存</v>
      </c>
      <c r="H119" s="1" t="str">
        <f>IFERROR(VLOOKUP(A119,'财政货币框架1&amp;2底稿'!A:N,14,0),H120)</f>
        <v>双紧</v>
      </c>
      <c r="I119" s="1" t="str">
        <f>IFERROR(VLOOKUP(A119,美林时钟!A:W,23,0),I120)</f>
        <v>衰退</v>
      </c>
      <c r="J119" s="1" t="str">
        <f>VLOOKUP(A119,库存与产能周期2!A:Q,17,0)</f>
        <v>产能周期上行,被动去库存</v>
      </c>
      <c r="K119" s="1">
        <f>IFERROR((COUNTIFS($D121:$D180,"牛市",F121:F180,F119)-COUNTIFS($D121:$D180,"熊市",F121:F180,F119))/COUNTIFS(F121:F180,F119),K120)</f>
        <v>-0.13333333333333333</v>
      </c>
      <c r="L119" s="1">
        <f>IFERROR((COUNTIFS($D121:$D180,"牛市",G121:G180,G119)-COUNTIFS($D121:$D180,"熊市",G121:G180,G119))/COUNTIFS(G121:G180,G119),L120)</f>
        <v>0</v>
      </c>
      <c r="N119" s="1">
        <f>IFERROR((COUNTIFS($D121:$D180,"牛市",I121:I180,I119)-COUNTIFS($D121:$D180,"熊市",I121:I180,I119))/COUNTIFS(I121:I180,I119),N120)</f>
        <v>-0.05</v>
      </c>
      <c r="O119" s="1">
        <f>IFERROR((COUNTIFS($D121:$D180,"牛市",J121:J180,J119)-COUNTIFS($D121:$D180,"熊市",J121:J180,J119))/COUNTIFS(J121:J180,J119),O120)</f>
        <v>-0.25</v>
      </c>
      <c r="P119" s="1">
        <f>IFERROR((COUNTIFS($E121:$E180,"牛市",F121:F180,F119)-COUNTIFS($E121:$E180,"熊市",F121:F180,F119))/COUNTIFS(F121:F180,F119),P120)</f>
        <v>-0.66666666666666663</v>
      </c>
      <c r="Q119" s="1">
        <f>IFERROR((COUNTIFS($E121:$E180,"牛市",G121:G180,G119)-COUNTIFS($E121:$E180,"熊市",G121:G180,G119))/COUNTIFS(G121:G180,G119),Q120)</f>
        <v>-0.23809523809523808</v>
      </c>
      <c r="S119" s="1">
        <f>IFERROR((COUNTIFS($E121:$E180,"牛市",I121:I180,I119)-COUNTIFS($E121:$E180,"熊市",I121:I180,I119))/COUNTIFS(I121:I180,I119),S120)</f>
        <v>0.05</v>
      </c>
      <c r="T119" s="1">
        <f>IFERROR((COUNTIFS($E121:$E180,"牛市",J121:J180,J119)-COUNTIFS($E121:$E180,"熊市",J121:J180,J119))/COUNTIFS(J121:J180,J119),T120)</f>
        <v>-0.75</v>
      </c>
    </row>
    <row r="120" spans="1:20" x14ac:dyDescent="0.35">
      <c r="A120" s="12">
        <v>42916</v>
      </c>
      <c r="B120" s="13">
        <v>4.8025213692304476</v>
      </c>
      <c r="C120" s="87">
        <v>-4.8308658008657996</v>
      </c>
      <c r="D120" s="1" t="str">
        <f t="shared" si="32"/>
        <v>牛市</v>
      </c>
      <c r="E120" s="1" t="str">
        <f t="shared" si="33"/>
        <v>牛市</v>
      </c>
      <c r="F120" s="1" t="str">
        <f>VLOOKUP(A120,'货币信用框架5-货币政策目标+信用脉冲'!A:L,12,0)</f>
        <v>紧货币紧信用</v>
      </c>
      <c r="G120" s="1" t="str">
        <f>VLOOKUP(A120,'信贷库存框架1-票据+贷款余额'!A:L,12,0)</f>
        <v>主动去库存</v>
      </c>
      <c r="H120" s="1" t="str">
        <f>IFERROR(VLOOKUP(A120,'财政货币框架1&amp;2底稿'!A:N,14,0),H121)</f>
        <v>紧货币宽财政</v>
      </c>
      <c r="I120" s="1" t="str">
        <f>IFERROR(VLOOKUP(A120,美林时钟!A:W,23,0),I121)</f>
        <v>衰退</v>
      </c>
      <c r="J120" s="1" t="str">
        <f>VLOOKUP(A120,库存与产能周期2!A:Q,17,0)</f>
        <v>产能周期上行,被动去库存</v>
      </c>
      <c r="K120" s="1">
        <f>IFERROR((COUNTIFS($D122:$D181,"牛市",F122:F181,F120)-COUNTIFS($D122:$D181,"熊市",F122:F181,F120))/COUNTIFS(F122:F181,F120),K121)</f>
        <v>-7.1428571428571425E-2</v>
      </c>
      <c r="L120" s="1">
        <f>IFERROR((COUNTIFS($D122:$D181,"牛市",G122:G181,G120)-COUNTIFS($D122:$D181,"熊市",G122:G181,G120))/COUNTIFS(G122:G181,G120),L121)</f>
        <v>2.4390243902439025E-2</v>
      </c>
      <c r="N120" s="1">
        <f>IFERROR((COUNTIFS($D122:$D181,"牛市",I122:I181,I120)-COUNTIFS($D122:$D181,"熊市",I122:I181,I120))/COUNTIFS(I122:I181,I120),N121)</f>
        <v>0</v>
      </c>
      <c r="O120" s="1">
        <f>IFERROR((COUNTIFS($D122:$D181,"牛市",J122:J181,J120)-COUNTIFS($D122:$D181,"熊市",J122:J181,J120))/COUNTIFS(J122:J181,J120),O121)</f>
        <v>0</v>
      </c>
      <c r="P120" s="1">
        <f>IFERROR((COUNTIFS($E122:$E181,"牛市",F122:F181,F120)-COUNTIFS($E122:$E181,"熊市",F122:F181,F120))/COUNTIFS(F122:F181,F120),P121)</f>
        <v>-0.6428571428571429</v>
      </c>
      <c r="Q120" s="1">
        <f>IFERROR((COUNTIFS($E122:$E181,"牛市",G122:G181,G120)-COUNTIFS($E122:$E181,"熊市",G122:G181,G120))/COUNTIFS(G122:G181,G120),Q121)</f>
        <v>-0.21951219512195122</v>
      </c>
      <c r="S120" s="1">
        <f>IFERROR((COUNTIFS($E122:$E181,"牛市",I122:I181,I120)-COUNTIFS($E122:$E181,"熊市",I122:I181,I120))/COUNTIFS(I122:I181,I120),S121)</f>
        <v>0.15</v>
      </c>
      <c r="T120" s="1">
        <f>IFERROR((COUNTIFS($E122:$E181,"牛市",J122:J181,J120)-COUNTIFS($E122:$E181,"熊市",J122:J181,J120))/COUNTIFS(J122:J181,J120),T121)</f>
        <v>-0.66666666666666663</v>
      </c>
    </row>
    <row r="121" spans="1:20" x14ac:dyDescent="0.35">
      <c r="A121" s="12">
        <v>42886</v>
      </c>
      <c r="B121" s="13">
        <v>-2.8386492641341601</v>
      </c>
      <c r="C121" s="87">
        <v>23.520626566415999</v>
      </c>
      <c r="D121" s="1" t="str">
        <f t="shared" si="32"/>
        <v>熊市</v>
      </c>
      <c r="E121" s="1" t="str">
        <f t="shared" si="33"/>
        <v>熊市</v>
      </c>
      <c r="F121" s="1" t="str">
        <f>VLOOKUP(A121,'货币信用框架5-货币政策目标+信用脉冲'!A:L,12,0)</f>
        <v>紧货币紧信用</v>
      </c>
      <c r="G121" s="1" t="str">
        <f>VLOOKUP(A121,'信贷库存框架1-票据+贷款余额'!A:L,12,0)</f>
        <v>主动去库存</v>
      </c>
      <c r="H121" s="1" t="str">
        <f>IFERROR(VLOOKUP(A121,'财政货币框架1&amp;2底稿'!A:N,14,0),H122)</f>
        <v>紧货币宽财政</v>
      </c>
      <c r="I121" s="1" t="str">
        <f>IFERROR(VLOOKUP(A121,美林时钟!A:W,23,0),I122)</f>
        <v>衰退</v>
      </c>
      <c r="J121" s="1" t="str">
        <f>VLOOKUP(A121,库存与产能周期2!A:Q,17,0)</f>
        <v>产能周期上行,被动去库存</v>
      </c>
      <c r="K121" s="1">
        <f>IFERROR((COUNTIFS($D123:$D182,"牛市",F123:F182,F121)-COUNTIFS($D123:$D182,"熊市",F123:F182,F121))/COUNTIFS(F123:F182,F121),K122)</f>
        <v>0</v>
      </c>
      <c r="L121" s="1">
        <f>IFERROR((COUNTIFS($D123:$D182,"牛市",G123:G182,G121)-COUNTIFS($D123:$D182,"熊市",G123:G182,G121))/COUNTIFS(G123:G182,G121),L122)</f>
        <v>0.05</v>
      </c>
      <c r="N121" s="1">
        <f>IFERROR((COUNTIFS($D123:$D182,"牛市",I123:I182,I121)-COUNTIFS($D123:$D182,"熊市",I123:I182,I121))/COUNTIFS(I123:I182,I121),N122)</f>
        <v>0.1</v>
      </c>
      <c r="O121" s="1">
        <f>IFERROR((COUNTIFS($D123:$D182,"牛市",J123:J182,J121)-COUNTIFS($D123:$D182,"熊市",J123:J182,J121))/COUNTIFS(J123:J182,J121),O122)</f>
        <v>0</v>
      </c>
      <c r="P121" s="1">
        <f>IFERROR((COUNTIFS($E123:$E182,"牛市",F123:F182,F121)-COUNTIFS($E123:$E182,"熊市",F123:F182,F121))/COUNTIFS(F123:F182,F121),P122)</f>
        <v>-0.61538461538461542</v>
      </c>
      <c r="Q121" s="1">
        <f>IFERROR((COUNTIFS($E123:$E182,"牛市",G123:G182,G121)-COUNTIFS($E123:$E182,"熊市",G123:G182,G121))/COUNTIFS(G123:G182,G121),Q122)</f>
        <v>-0.2</v>
      </c>
      <c r="S121" s="1">
        <f>IFERROR((COUNTIFS($E123:$E182,"牛市",I123:I182,I121)-COUNTIFS($E123:$E182,"熊市",I123:I182,I121))/COUNTIFS(I123:I182,I121),S122)</f>
        <v>0.2</v>
      </c>
      <c r="T121" s="1">
        <f>IFERROR((COUNTIFS($E123:$E182,"牛市",J123:J182,J121)-COUNTIFS($E123:$E182,"熊市",J123:J182,J121))/COUNTIFS(J123:J182,J121),T122)</f>
        <v>-0.66666666666666663</v>
      </c>
    </row>
    <row r="122" spans="1:20" x14ac:dyDescent="0.35">
      <c r="A122" s="12">
        <v>42855</v>
      </c>
      <c r="B122" s="13">
        <v>-2.9368766318630382</v>
      </c>
      <c r="C122" s="87">
        <v>5.4232036613272996</v>
      </c>
      <c r="D122" s="1" t="str">
        <f t="shared" si="32"/>
        <v>熊市</v>
      </c>
      <c r="E122" s="1" t="str">
        <f t="shared" si="33"/>
        <v>熊市</v>
      </c>
      <c r="F122" s="1" t="str">
        <f>VLOOKUP(A122,'货币信用框架5-货币政策目标+信用脉冲'!A:L,12,0)</f>
        <v>紧货币紧信用</v>
      </c>
      <c r="G122" s="1" t="str">
        <f>VLOOKUP(A122,'信贷库存框架1-票据+贷款余额'!A:L,12,0)</f>
        <v>主动去库存</v>
      </c>
      <c r="H122" s="1" t="str">
        <f>IFERROR(VLOOKUP(A122,'财政货币框架1&amp;2底稿'!A:N,14,0),H123)</f>
        <v>紧货币宽财政</v>
      </c>
      <c r="I122" s="1" t="str">
        <f>IFERROR(VLOOKUP(A122,美林时钟!A:W,23,0),I123)</f>
        <v>衰退</v>
      </c>
      <c r="J122" s="1" t="str">
        <f>VLOOKUP(A122,库存与产能周期2!A:Q,17,0)</f>
        <v>产能周期上行,主动补库存</v>
      </c>
      <c r="K122" s="1">
        <f>IFERROR((COUNTIFS($D124:$D183,"牛市",F124:F183,F122)-COUNTIFS($D124:$D183,"熊市",F124:F183,F122))/COUNTIFS(F124:F183,F122),K123)</f>
        <v>0</v>
      </c>
      <c r="L122" s="1">
        <f>IFERROR((COUNTIFS($D124:$D183,"牛市",G124:G183,G122)-COUNTIFS($D124:$D183,"熊市",G124:G183,G122))/COUNTIFS(G124:G183,G122),L123)</f>
        <v>5.128205128205128E-2</v>
      </c>
      <c r="N122" s="1">
        <f>IFERROR((COUNTIFS($D124:$D183,"牛市",I124:I183,I122)-COUNTIFS($D124:$D183,"熊市",I124:I183,I122))/COUNTIFS(I124:I183,I122),N123)</f>
        <v>4.7619047619047616E-2</v>
      </c>
      <c r="O122" s="1">
        <f>IFERROR((COUNTIFS($D124:$D183,"牛市",J124:J183,J122)-COUNTIFS($D124:$D183,"熊市",J124:J183,J122))/COUNTIFS(J124:J183,J122),O123)</f>
        <v>0.33333333333333331</v>
      </c>
      <c r="P122" s="1">
        <f>IFERROR((COUNTIFS($E124:$E183,"牛市",F124:F183,F122)-COUNTIFS($E124:$E183,"熊市",F124:F183,F122))/COUNTIFS(F124:F183,F122),P123)</f>
        <v>-0.75</v>
      </c>
      <c r="Q122" s="1">
        <f>IFERROR((COUNTIFS($E124:$E183,"牛市",G124:G183,G122)-COUNTIFS($E124:$E183,"熊市",G124:G183,G122))/COUNTIFS(G124:G183,G122),Q123)</f>
        <v>-0.23076923076923078</v>
      </c>
      <c r="S122" s="1">
        <f>IFERROR((COUNTIFS($E124:$E183,"牛市",I124:I183,I122)-COUNTIFS($E124:$E183,"熊市",I124:I183,I122))/COUNTIFS(I124:I183,I122),S123)</f>
        <v>0.14285714285714285</v>
      </c>
      <c r="T122" s="1">
        <f>IFERROR((COUNTIFS($E124:$E183,"牛市",J124:J183,J122)-COUNTIFS($E124:$E183,"熊市",J124:J183,J122))/COUNTIFS(J124:J183,J122),T123)</f>
        <v>-0.22222222222222221</v>
      </c>
    </row>
    <row r="123" spans="1:20" x14ac:dyDescent="0.35">
      <c r="A123" s="12">
        <v>42825</v>
      </c>
      <c r="B123" s="13">
        <v>-0.58223235856809996</v>
      </c>
      <c r="C123" s="87">
        <v>-4.2321510297482998</v>
      </c>
      <c r="D123" s="1" t="str">
        <f t="shared" si="32"/>
        <v>震荡</v>
      </c>
      <c r="E123" s="1" t="str">
        <f t="shared" si="33"/>
        <v>牛市</v>
      </c>
      <c r="F123" s="1" t="str">
        <f>VLOOKUP(A123,'货币信用框架5-货币政策目标+信用脉冲'!A:L,12,0)</f>
        <v>紧货币紧信用</v>
      </c>
      <c r="G123" s="1" t="str">
        <f>VLOOKUP(A123,'信贷库存框架1-票据+贷款余额'!A:L,12,0)</f>
        <v>主动去库存</v>
      </c>
      <c r="H123" s="1" t="str">
        <f>IFERROR(VLOOKUP(A123,'财政货币框架1&amp;2底稿'!A:N,14,0),H124)</f>
        <v>紧货币宽财政</v>
      </c>
      <c r="I123" s="1" t="str">
        <f>IFERROR(VLOOKUP(A123,美林时钟!A:W,23,0),I124)</f>
        <v>过热</v>
      </c>
      <c r="J123" s="1" t="str">
        <f>VLOOKUP(A123,库存与产能周期2!A:Q,17,0)</f>
        <v>产能周期上行,主动补库存</v>
      </c>
      <c r="K123" s="1">
        <f>IFERROR((COUNTIFS($D125:$D184,"牛市",F125:F184,F123)-COUNTIFS($D125:$D184,"熊市",F125:F184,F123))/COUNTIFS(F125:F184,F123),K124)</f>
        <v>-9.0909090909090912E-2</v>
      </c>
      <c r="L123" s="1">
        <f>IFERROR((COUNTIFS($D125:$D184,"牛市",G125:G184,G123)-COUNTIFS($D125:$D184,"熊市",G125:G184,G123))/COUNTIFS(G125:G184,G123),L124)</f>
        <v>2.6315789473684209E-2</v>
      </c>
      <c r="N123" s="1">
        <f>IFERROR((COUNTIFS($D125:$D184,"牛市",I125:I184,I123)-COUNTIFS($D125:$D184,"熊市",I125:I184,I123))/COUNTIFS(I125:I184,I123),N124)</f>
        <v>0.31818181818181818</v>
      </c>
      <c r="O123" s="1">
        <f>IFERROR((COUNTIFS($D125:$D184,"牛市",J125:J184,J123)-COUNTIFS($D125:$D184,"熊市",J125:J184,J123))/COUNTIFS(J125:J184,J123),O124)</f>
        <v>0.25</v>
      </c>
      <c r="P123" s="1">
        <f>IFERROR((COUNTIFS($E125:$E184,"牛市",F125:F184,F123)-COUNTIFS($E125:$E184,"熊市",F125:F184,F123))/COUNTIFS(F125:F184,F123),P124)</f>
        <v>-0.72727272727272729</v>
      </c>
      <c r="Q123" s="1">
        <f>IFERROR((COUNTIFS($E125:$E184,"牛市",G125:G184,G123)-COUNTIFS($E125:$E184,"熊市",G125:G184,G123))/COUNTIFS(G125:G184,G123),Q124)</f>
        <v>-0.21052631578947367</v>
      </c>
      <c r="S123" s="1">
        <f>IFERROR((COUNTIFS($E125:$E184,"牛市",I125:I184,I123)-COUNTIFS($E125:$E184,"熊市",I125:I184,I123))/COUNTIFS(I125:I184,I123),S124)</f>
        <v>-0.27272727272727271</v>
      </c>
      <c r="T123" s="1">
        <f>IFERROR((COUNTIFS($E125:$E184,"牛市",J125:J184,J123)-COUNTIFS($E125:$E184,"熊市",J125:J184,J123))/COUNTIFS(J125:J184,J123),T124)</f>
        <v>-0.125</v>
      </c>
    </row>
    <row r="124" spans="1:20" x14ac:dyDescent="0.35">
      <c r="A124" s="12">
        <v>42794</v>
      </c>
      <c r="B124" s="13">
        <v>3.1579353308203442</v>
      </c>
      <c r="C124" s="87">
        <v>13.9478947368421</v>
      </c>
      <c r="D124" s="1" t="str">
        <f t="shared" si="32"/>
        <v>牛市</v>
      </c>
      <c r="E124" s="1" t="str">
        <f t="shared" si="33"/>
        <v>熊市</v>
      </c>
      <c r="F124" s="1" t="str">
        <f>VLOOKUP(A124,'货币信用框架5-货币政策目标+信用脉冲'!A:L,12,0)</f>
        <v>紧货币紧信用</v>
      </c>
      <c r="G124" s="1" t="str">
        <f>VLOOKUP(A124,'信贷库存框架1-票据+贷款余额'!A:L,12,0)</f>
        <v>主动去库存</v>
      </c>
      <c r="H124" s="1" t="str">
        <f>IFERROR(VLOOKUP(A124,'财政货币框架1&amp;2底稿'!A:N,14,0),H125)</f>
        <v>双紧</v>
      </c>
      <c r="I124" s="1" t="str">
        <f>IFERROR(VLOOKUP(A124,美林时钟!A:W,23,0),I125)</f>
        <v>过热</v>
      </c>
      <c r="J124" s="1" t="str">
        <f>VLOOKUP(A124,库存与产能周期2!A:Q,17,0)</f>
        <v>产能周期上行,主动补库存</v>
      </c>
      <c r="K124" s="1">
        <f>IFERROR((COUNTIFS($D126:$D185,"牛市",F126:F185,F124)-COUNTIFS($D126:$D185,"熊市",F126:F185,F124))/COUNTIFS(F126:F185,F124),K125)</f>
        <v>-0.1</v>
      </c>
      <c r="L124" s="1">
        <f>IFERROR((COUNTIFS($D126:$D185,"牛市",G126:G185,G124)-COUNTIFS($D126:$D185,"熊市",G126:G185,G124))/COUNTIFS(G126:G185,G124),L125)</f>
        <v>2.7027027027027029E-2</v>
      </c>
      <c r="N124" s="1">
        <f>IFERROR((COUNTIFS($D126:$D185,"牛市",I126:I185,I124)-COUNTIFS($D126:$D185,"熊市",I126:I185,I124))/COUNTIFS(I126:I185,I124),N125)</f>
        <v>0.33333333333333331</v>
      </c>
      <c r="O124" s="1">
        <f>IFERROR((COUNTIFS($D126:$D185,"牛市",J126:J185,J124)-COUNTIFS($D126:$D185,"熊市",J126:J185,J124))/COUNTIFS(J126:J185,J124),O125)</f>
        <v>0.2857142857142857</v>
      </c>
      <c r="P124" s="1">
        <f>IFERROR((COUNTIFS($E126:$E185,"牛市",F126:F185,F124)-COUNTIFS($E126:$E185,"熊市",F126:F185,F124))/COUNTIFS(F126:F185,F124),P125)</f>
        <v>-0.7</v>
      </c>
      <c r="Q124" s="1">
        <f>IFERROR((COUNTIFS($E126:$E185,"牛市",G126:G185,G124)-COUNTIFS($E126:$E185,"熊市",G126:G185,G124))/COUNTIFS(G126:G185,G124),Q125)</f>
        <v>-0.1891891891891892</v>
      </c>
      <c r="S124" s="1">
        <f>IFERROR((COUNTIFS($E126:$E185,"牛市",I126:I185,I124)-COUNTIFS($E126:$E185,"熊市",I126:I185,I124))/COUNTIFS(I126:I185,I124),S125)</f>
        <v>-0.23809523809523808</v>
      </c>
      <c r="T124" s="1">
        <f>IFERROR((COUNTIFS($E126:$E185,"牛市",J126:J185,J124)-COUNTIFS($E126:$E185,"熊市",J126:J185,J124))/COUNTIFS(J126:J185,J124),T125)</f>
        <v>0</v>
      </c>
    </row>
    <row r="125" spans="1:20" x14ac:dyDescent="0.35">
      <c r="A125" s="12">
        <v>42766</v>
      </c>
      <c r="B125" s="13">
        <v>-0.25309818548894603</v>
      </c>
      <c r="C125" s="87">
        <v>8.3772997711669994</v>
      </c>
      <c r="D125" s="1" t="str">
        <f t="shared" si="32"/>
        <v>震荡</v>
      </c>
      <c r="E125" s="1" t="str">
        <f t="shared" si="33"/>
        <v>熊市</v>
      </c>
      <c r="F125" s="1" t="str">
        <f>VLOOKUP(A125,'货币信用框架5-货币政策目标+信用脉冲'!A:L,12,0)</f>
        <v>紧货币紧信用</v>
      </c>
      <c r="G125" s="1" t="str">
        <f>VLOOKUP(A125,'信贷库存框架1-票据+贷款余额'!A:L,12,0)</f>
        <v>主动去库存</v>
      </c>
      <c r="H125" s="1" t="str">
        <f>IFERROR(VLOOKUP(A125,'财政货币框架1&amp;2底稿'!A:N,14,0),H126)</f>
        <v>双紧</v>
      </c>
      <c r="I125" s="1" t="str">
        <f>IFERROR(VLOOKUP(A125,美林时钟!A:W,23,0),I126)</f>
        <v>过热</v>
      </c>
      <c r="J125" s="1" t="str">
        <f>VLOOKUP(A125,库存与产能周期2!A:Q,17,0)</f>
        <v>产能周期上行,主动补库存</v>
      </c>
      <c r="K125" s="1">
        <f>IFERROR((COUNTIFS($D127:$D186,"牛市",F127:F186,F125)-COUNTIFS($D127:$D186,"熊市",F127:F186,F125))/COUNTIFS(F127:F186,F125),K126)</f>
        <v>-0.1</v>
      </c>
      <c r="L125" s="1">
        <f>IFERROR((COUNTIFS($D127:$D186,"牛市",G127:G186,G125)-COUNTIFS($D127:$D186,"熊市",G127:G186,G125))/COUNTIFS(G127:G186,G125),L126)</f>
        <v>5.5555555555555552E-2</v>
      </c>
      <c r="N125" s="1">
        <f>IFERROR((COUNTIFS($D127:$D186,"牛市",I127:I186,I125)-COUNTIFS($D127:$D186,"熊市",I127:I186,I125))/COUNTIFS(I127:I186,I125),N126)</f>
        <v>0.4</v>
      </c>
      <c r="O125" s="1">
        <f>IFERROR((COUNTIFS($D127:$D186,"牛市",J127:J186,J125)-COUNTIFS($D127:$D186,"熊市",J127:J186,J125))/COUNTIFS(J127:J186,J125),O126)</f>
        <v>0.5</v>
      </c>
      <c r="P125" s="1">
        <f>IFERROR((COUNTIFS($E127:$E186,"牛市",F127:F186,F125)-COUNTIFS($E127:$E186,"熊市",F127:F186,F125))/COUNTIFS(F127:F186,F125),P126)</f>
        <v>-0.7</v>
      </c>
      <c r="Q125" s="1">
        <f>IFERROR((COUNTIFS($E127:$E186,"牛市",G127:G186,G125)-COUNTIFS($E127:$E186,"熊市",G127:G186,G125))/COUNTIFS(G127:G186,G125),Q126)</f>
        <v>-0.16666666666666666</v>
      </c>
      <c r="S125" s="1">
        <f>IFERROR((COUNTIFS($E127:$E186,"牛市",I127:I186,I125)-COUNTIFS($E127:$E186,"熊市",I127:I186,I125))/COUNTIFS(I127:I186,I125),S126)</f>
        <v>-0.2</v>
      </c>
      <c r="T125" s="1">
        <f>IFERROR((COUNTIFS($E127:$E186,"牛市",J127:J186,J125)-COUNTIFS($E127:$E186,"熊市",J127:J186,J125))/COUNTIFS(J127:J186,J125),T126)</f>
        <v>0.16666666666666666</v>
      </c>
    </row>
    <row r="126" spans="1:20" x14ac:dyDescent="0.35">
      <c r="A126" s="12">
        <v>42735</v>
      </c>
      <c r="B126" s="13">
        <v>-5.3595768901968741</v>
      </c>
      <c r="C126" s="87">
        <v>32.0721739130435</v>
      </c>
      <c r="D126" s="1" t="str">
        <f t="shared" si="32"/>
        <v>熊市</v>
      </c>
      <c r="E126" s="1" t="str">
        <f t="shared" si="33"/>
        <v>熊市</v>
      </c>
      <c r="F126" s="1" t="str">
        <f>VLOOKUP(A126,'货币信用框架5-货币政策目标+信用脉冲'!A:L,12,0)</f>
        <v>宽货币紧信用</v>
      </c>
      <c r="G126" s="1" t="str">
        <f>VLOOKUP(A126,'信贷库存框架1-票据+贷款余额'!A:L,12,0)</f>
        <v>主动去库存</v>
      </c>
      <c r="H126" s="1" t="str">
        <f>IFERROR(VLOOKUP(A126,'财政货币框架1&amp;2底稿'!A:N,14,0),H127)</f>
        <v>双紧</v>
      </c>
      <c r="I126" s="1" t="str">
        <f>IFERROR(VLOOKUP(A126,美林时钟!A:W,23,0),I127)</f>
        <v>过热</v>
      </c>
      <c r="J126" s="1" t="str">
        <f>VLOOKUP(A126,库存与产能周期2!A:Q,17,0)</f>
        <v>产能周期上行,主动补库存</v>
      </c>
      <c r="K126" s="1">
        <f>IFERROR((COUNTIFS($D128:$D187,"牛市",F128:F187,F126)-COUNTIFS($D128:$D187,"熊市",F128:F187,F126))/COUNTIFS(F128:F187,F126),K127)</f>
        <v>0.61904761904761907</v>
      </c>
      <c r="L126" s="1">
        <f>IFERROR((COUNTIFS($D128:$D187,"牛市",G128:G187,G126)-COUNTIFS($D128:$D187,"熊市",G128:G187,G126))/COUNTIFS(G128:G187,G126),L127)</f>
        <v>2.8571428571428571E-2</v>
      </c>
      <c r="N126" s="1">
        <f>IFERROR((COUNTIFS($D128:$D187,"牛市",I128:I187,I126)-COUNTIFS($D128:$D187,"熊市",I128:I187,I126))/COUNTIFS(I128:I187,I126),N127)</f>
        <v>0.36842105263157893</v>
      </c>
      <c r="O126" s="1">
        <f>IFERROR((COUNTIFS($D128:$D187,"牛市",J128:J187,J126)-COUNTIFS($D128:$D187,"熊市",J128:J187,J126))/COUNTIFS(J128:J187,J126),O127)</f>
        <v>0.4</v>
      </c>
      <c r="P126" s="1">
        <f>IFERROR((COUNTIFS($E128:$E187,"牛市",F128:F187,F126)-COUNTIFS($E128:$E187,"熊市",F128:F187,F126))/COUNTIFS(F128:F187,F126),P127)</f>
        <v>0.2857142857142857</v>
      </c>
      <c r="Q126" s="1">
        <f>IFERROR((COUNTIFS($E128:$E187,"牛市",G128:G187,G126)-COUNTIFS($E128:$E187,"熊市",G128:G187,G126))/COUNTIFS(G128:G187,G126),Q127)</f>
        <v>-0.14285714285714285</v>
      </c>
      <c r="S126" s="1">
        <f>IFERROR((COUNTIFS($E128:$E187,"牛市",I128:I187,I126)-COUNTIFS($E128:$E187,"熊市",I128:I187,I126))/COUNTIFS(I128:I187,I126),S127)</f>
        <v>-0.15789473684210525</v>
      </c>
      <c r="T126" s="1">
        <f>IFERROR((COUNTIFS($E128:$E187,"牛市",J128:J187,J126)-COUNTIFS($E128:$E187,"熊市",J128:J187,J126))/COUNTIFS(J128:J187,J126),T127)</f>
        <v>0.4</v>
      </c>
    </row>
    <row r="127" spans="1:20" x14ac:dyDescent="0.35">
      <c r="A127" s="12">
        <v>42704</v>
      </c>
      <c r="B127" s="13">
        <v>3.9409315125718249</v>
      </c>
      <c r="C127" s="87">
        <v>13.758333333333301</v>
      </c>
      <c r="D127" s="1" t="str">
        <f t="shared" si="32"/>
        <v>牛市</v>
      </c>
      <c r="E127" s="1" t="str">
        <f t="shared" si="33"/>
        <v>熊市</v>
      </c>
      <c r="F127" s="1" t="str">
        <f>VLOOKUP(A127,'货币信用框架5-货币政策目标+信用脉冲'!A:L,12,0)</f>
        <v>宽货币宽信用</v>
      </c>
      <c r="G127" s="1" t="str">
        <f>VLOOKUP(A127,'信贷库存框架1-票据+贷款余额'!A:L,12,0)</f>
        <v>主动去库存</v>
      </c>
      <c r="H127" s="1" t="str">
        <f>IFERROR(VLOOKUP(A127,'财政货币框架1&amp;2底稿'!A:N,14,0),H128)</f>
        <v>双紧</v>
      </c>
      <c r="I127" s="1" t="str">
        <f>IFERROR(VLOOKUP(A127,美林时钟!A:W,23,0),I128)</f>
        <v>过热</v>
      </c>
      <c r="J127" s="1" t="str">
        <f>VLOOKUP(A127,库存与产能周期2!A:Q,17,0)</f>
        <v>产能周期上行,主动补库存</v>
      </c>
      <c r="K127" s="1">
        <f>IFERROR((COUNTIFS($D129:$D188,"牛市",F129:F188,F127)-COUNTIFS($D129:$D188,"熊市",F129:F188,F127))/COUNTIFS(F129:F188,F127),K128)</f>
        <v>-0.17647058823529413</v>
      </c>
      <c r="L127" s="1">
        <f>IFERROR((COUNTIFS($D129:$D188,"牛市",G129:G188,G127)-COUNTIFS($D129:$D188,"熊市",G129:G188,G127))/COUNTIFS(G129:G188,G127),L128)</f>
        <v>0</v>
      </c>
      <c r="N127" s="1">
        <f>IFERROR((COUNTIFS($D129:$D188,"牛市",I129:I188,I127)-COUNTIFS($D129:$D188,"熊市",I129:I188,I127))/COUNTIFS(I129:I188,I127),N128)</f>
        <v>0.33333333333333331</v>
      </c>
      <c r="O127" s="1">
        <f>IFERROR((COUNTIFS($D129:$D188,"牛市",J129:J188,J127)-COUNTIFS($D129:$D188,"熊市",J129:J188,J127))/COUNTIFS(J129:J188,J127),O128)</f>
        <v>0.25</v>
      </c>
      <c r="P127" s="1">
        <f>IFERROR((COUNTIFS($E129:$E188,"牛市",F129:F188,F127)-COUNTIFS($E129:$E188,"熊市",F129:F188,F127))/COUNTIFS(F129:F188,F127),P128)</f>
        <v>0.17647058823529413</v>
      </c>
      <c r="Q127" s="1">
        <f>IFERROR((COUNTIFS($E129:$E188,"牛市",G129:G188,G127)-COUNTIFS($E129:$E188,"熊市",G129:G188,G127))/COUNTIFS(G129:G188,G127),Q128)</f>
        <v>-0.17647058823529413</v>
      </c>
      <c r="S127" s="1">
        <f>IFERROR((COUNTIFS($E129:$E188,"牛市",I129:I188,I127)-COUNTIFS($E129:$E188,"熊市",I129:I188,I127))/COUNTIFS(I129:I188,I127),S128)</f>
        <v>-0.22222222222222221</v>
      </c>
      <c r="T127" s="1">
        <f>IFERROR((COUNTIFS($E129:$E188,"牛市",J129:J188,J127)-COUNTIFS($E129:$E188,"熊市",J129:J188,J127))/COUNTIFS(J129:J188,J127),T128)</f>
        <v>0.25</v>
      </c>
    </row>
    <row r="128" spans="1:20" x14ac:dyDescent="0.35">
      <c r="A128" s="12">
        <v>42674</v>
      </c>
      <c r="B128" s="13">
        <v>3.1544288452572871</v>
      </c>
      <c r="C128" s="87">
        <v>-6.0654761904761996</v>
      </c>
      <c r="D128" s="1" t="str">
        <f t="shared" si="32"/>
        <v>牛市</v>
      </c>
      <c r="E128" s="1" t="str">
        <f t="shared" si="33"/>
        <v>牛市</v>
      </c>
      <c r="F128" s="1" t="str">
        <f>VLOOKUP(A128,'货币信用框架5-货币政策目标+信用脉冲'!A:L,12,0)</f>
        <v>宽货币宽信用</v>
      </c>
      <c r="G128" s="1" t="str">
        <f>VLOOKUP(A128,'信贷库存框架1-票据+贷款余额'!A:L,12,0)</f>
        <v>主动去库存</v>
      </c>
      <c r="H128" s="1" t="str">
        <f>IFERROR(VLOOKUP(A128,'财政货币框架1&amp;2底稿'!A:N,14,0),H129)</f>
        <v>双紧</v>
      </c>
      <c r="I128" s="1" t="str">
        <f>IFERROR(VLOOKUP(A128,美林时钟!A:W,23,0),I129)</f>
        <v>过热</v>
      </c>
      <c r="J128" s="1" t="str">
        <f>VLOOKUP(A128,库存与产能周期2!A:Q,17,0)</f>
        <v>产能周期上行,主动补库存</v>
      </c>
      <c r="K128" s="1">
        <f>IFERROR((COUNTIFS($D130:$D189,"牛市",F130:F189,F128)-COUNTIFS($D130:$D189,"熊市",F130:F189,F128))/COUNTIFS(F130:F189,F128),K129)</f>
        <v>-0.125</v>
      </c>
      <c r="L128" s="1">
        <f>IFERROR((COUNTIFS($D130:$D189,"牛市",G130:G189,G128)-COUNTIFS($D130:$D189,"熊市",G130:G189,G128))/COUNTIFS(G130:G189,G128),L129)</f>
        <v>3.0303030303030304E-2</v>
      </c>
      <c r="N128" s="1">
        <f>IFERROR((COUNTIFS($D130:$D189,"牛市",I130:I189,I128)-COUNTIFS($D130:$D189,"熊市",I130:I189,I128))/COUNTIFS(I130:I189,I128),N129)</f>
        <v>0.41176470588235292</v>
      </c>
      <c r="O128" s="1">
        <f>IFERROR((COUNTIFS($D130:$D189,"牛市",J130:J189,J128)-COUNTIFS($D130:$D189,"熊市",J130:J189,J128))/COUNTIFS(J130:J189,J128),O129)</f>
        <v>0.66666666666666663</v>
      </c>
      <c r="P128" s="1">
        <f>IFERROR((COUNTIFS($E130:$E189,"牛市",F130:F189,F128)-COUNTIFS($E130:$E189,"熊市",F130:F189,F128))/COUNTIFS(F130:F189,F128),P129)</f>
        <v>0.25</v>
      </c>
      <c r="Q128" s="1">
        <f>IFERROR((COUNTIFS($E130:$E189,"牛市",G130:G189,G128)-COUNTIFS($E130:$E189,"熊市",G130:G189,G128))/COUNTIFS(G130:G189,G128),Q129)</f>
        <v>-0.15151515151515152</v>
      </c>
      <c r="S128" s="1">
        <f>IFERROR((COUNTIFS($E130:$E189,"牛市",I130:I189,I128)-COUNTIFS($E130:$E189,"熊市",I130:I189,I128))/COUNTIFS(I130:I189,I128),S129)</f>
        <v>-0.17647058823529413</v>
      </c>
      <c r="T128" s="1">
        <f>IFERROR((COUNTIFS($E130:$E189,"牛市",J130:J189,J128)-COUNTIFS($E130:$E189,"熊市",J130:J189,J128))/COUNTIFS(J130:J189,J128),T129)</f>
        <v>0.66666666666666663</v>
      </c>
    </row>
    <row r="129" spans="1:20" x14ac:dyDescent="0.35">
      <c r="A129" s="12">
        <v>42643</v>
      </c>
      <c r="B129" s="13">
        <v>-1.7347421308850679</v>
      </c>
      <c r="C129" s="87">
        <v>3.3245341614906998</v>
      </c>
      <c r="D129" s="1" t="str">
        <f t="shared" si="32"/>
        <v>熊市</v>
      </c>
      <c r="E129" s="1" t="str">
        <f t="shared" si="33"/>
        <v>熊市</v>
      </c>
      <c r="F129" s="1" t="str">
        <f>VLOOKUP(A129,'货币信用框架5-货币政策目标+信用脉冲'!A:L,12,0)</f>
        <v>宽货币宽信用</v>
      </c>
      <c r="G129" s="1" t="str">
        <f>VLOOKUP(A129,'信贷库存框架1-票据+贷款余额'!A:L,12,0)</f>
        <v>主动去库存</v>
      </c>
      <c r="I129" s="1" t="str">
        <f>IFERROR(VLOOKUP(A129,美林时钟!A:W,23,0),I130)</f>
        <v>过热</v>
      </c>
      <c r="J129" s="1" t="str">
        <f>VLOOKUP(A129,库存与产能周期2!A:Q,17,0)</f>
        <v>产能周期上行,主动补库存</v>
      </c>
      <c r="K129" s="1">
        <f>IFERROR((COUNTIFS($D131:$D190,"牛市",F131:F190,F129)-COUNTIFS($D131:$D190,"熊市",F131:F190,F129))/COUNTIFS(F131:F190,F129),K130)</f>
        <v>-0.2</v>
      </c>
      <c r="L129" s="1">
        <f>IFERROR((COUNTIFS($D131:$D190,"牛市",G131:G190,G129)-COUNTIFS($D131:$D190,"熊市",G131:G190,G129))/COUNTIFS(G131:G190,G129),L130)</f>
        <v>0</v>
      </c>
      <c r="N129" s="1">
        <f>IFERROR((COUNTIFS($D131:$D190,"牛市",I131:I190,I129)-COUNTIFS($D131:$D190,"熊市",I131:I190,I129))/COUNTIFS(I131:I190,I129),N130)</f>
        <v>0.375</v>
      </c>
      <c r="O129" s="1">
        <f>IFERROR((COUNTIFS($D131:$D190,"牛市",J131:J190,J129)-COUNTIFS($D131:$D190,"熊市",J131:J190,J129))/COUNTIFS(J131:J190,J129),O130)</f>
        <v>0.5</v>
      </c>
      <c r="P129" s="1">
        <f>IFERROR((COUNTIFS($E131:$E190,"牛市",F131:F190,F129)-COUNTIFS($E131:$E190,"熊市",F131:F190,F129))/COUNTIFS(F131:F190,F129),P130)</f>
        <v>0.2</v>
      </c>
      <c r="Q129" s="1">
        <f>IFERROR((COUNTIFS($E131:$E190,"牛市",G131:G190,G129)-COUNTIFS($E131:$E190,"熊市",G131:G190,G129))/COUNTIFS(G131:G190,G129),Q130)</f>
        <v>-0.1875</v>
      </c>
      <c r="S129" s="1">
        <f>IFERROR((COUNTIFS($E131:$E190,"牛市",I131:I190,I129)-COUNTIFS($E131:$E190,"熊市",I131:I190,I129))/COUNTIFS(I131:I190,I129),S130)</f>
        <v>-0.25</v>
      </c>
      <c r="T129" s="1">
        <f>IFERROR((COUNTIFS($E131:$E190,"牛市",J131:J190,J129)-COUNTIFS($E131:$E190,"熊市",J131:J190,J129))/COUNTIFS(J131:J190,J129),T130)</f>
        <v>0.5</v>
      </c>
    </row>
    <row r="130" spans="1:20" x14ac:dyDescent="0.35">
      <c r="A130" s="12">
        <v>42613</v>
      </c>
      <c r="B130" s="13">
        <v>4.725805742378304</v>
      </c>
      <c r="C130" s="87">
        <v>-9.6735817805382993</v>
      </c>
      <c r="D130" s="1" t="str">
        <f t="shared" si="32"/>
        <v>牛市</v>
      </c>
      <c r="E130" s="1" t="str">
        <f t="shared" si="33"/>
        <v>牛市</v>
      </c>
      <c r="F130" s="1" t="str">
        <f>VLOOKUP(A130,'货币信用框架5-货币政策目标+信用脉冲'!A:L,12,0)</f>
        <v>宽货币宽信用</v>
      </c>
      <c r="G130" s="1" t="str">
        <f>VLOOKUP(A130,'信贷库存框架1-票据+贷款余额'!A:L,12,0)</f>
        <v>主动去库存</v>
      </c>
      <c r="I130" s="1" t="str">
        <f>IFERROR(VLOOKUP(A130,美林时钟!A:W,23,0),I131)</f>
        <v>过热</v>
      </c>
      <c r="J130" s="1" t="str">
        <f>VLOOKUP(A130,库存与产能周期2!A:Q,17,0)</f>
        <v>产能周期上行,主动补库存</v>
      </c>
      <c r="K130" s="1">
        <f>IFERROR((COUNTIFS($D132:$D191,"牛市",F132:F191,F130)-COUNTIFS($D132:$D191,"熊市",F132:F191,F130))/COUNTIFS(F132:F191,F130),K131)</f>
        <v>-0.21428571428571427</v>
      </c>
      <c r="L130" s="1">
        <f>IFERROR((COUNTIFS($D132:$D191,"牛市",G132:G191,G130)-COUNTIFS($D132:$D191,"熊市",G132:G191,G130))/COUNTIFS(G132:G191,G130),L131)</f>
        <v>0</v>
      </c>
      <c r="N130" s="1">
        <f>IFERROR((COUNTIFS($D132:$D191,"牛市",I132:I191,I130)-COUNTIFS($D132:$D191,"熊市",I132:I191,I130))/COUNTIFS(I132:I191,I130),N131)</f>
        <v>0.4</v>
      </c>
      <c r="O130" s="1">
        <f>IFERROR((COUNTIFS($D132:$D191,"牛市",J132:J191,J130)-COUNTIFS($D132:$D191,"熊市",J132:J191,J130))/COUNTIFS(J132:J191,J130),O131)</f>
        <v>1</v>
      </c>
      <c r="P130" s="1">
        <f>IFERROR((COUNTIFS($E132:$E191,"牛市",F132:F191,F130)-COUNTIFS($E132:$E191,"熊市",F132:F191,F130))/COUNTIFS(F132:F191,F130),P131)</f>
        <v>0.14285714285714285</v>
      </c>
      <c r="Q130" s="1">
        <f>IFERROR((COUNTIFS($E132:$E191,"牛市",G132:G191,G130)-COUNTIFS($E132:$E191,"熊市",G132:G191,G130))/COUNTIFS(G132:G191,G130),Q131)</f>
        <v>-0.22580645161290322</v>
      </c>
      <c r="S130" s="1">
        <f>IFERROR((COUNTIFS($E132:$E191,"牛市",I132:I191,I130)-COUNTIFS($E132:$E191,"熊市",I132:I191,I130))/COUNTIFS(I132:I191,I130),S131)</f>
        <v>-0.33333333333333331</v>
      </c>
      <c r="T130" s="1">
        <f>IFERROR((COUNTIFS($E132:$E191,"牛市",J132:J191,J130)-COUNTIFS($E132:$E191,"熊市",J132:J191,J130))/COUNTIFS(J132:J191,J130),T131)</f>
        <v>0</v>
      </c>
    </row>
    <row r="131" spans="1:20" x14ac:dyDescent="0.35">
      <c r="A131" s="12">
        <v>42582</v>
      </c>
      <c r="B131" s="13">
        <v>0.52687785035064605</v>
      </c>
      <c r="C131" s="87">
        <v>-13.285714285714301</v>
      </c>
      <c r="D131" s="1" t="str">
        <f t="shared" si="32"/>
        <v>震荡</v>
      </c>
      <c r="E131" s="1" t="str">
        <f t="shared" si="33"/>
        <v>牛市</v>
      </c>
      <c r="F131" s="1" t="str">
        <f>VLOOKUP(A131,'货币信用框架5-货币政策目标+信用脉冲'!A:L,12,0)</f>
        <v>宽货币宽信用</v>
      </c>
      <c r="G131" s="1" t="str">
        <f>VLOOKUP(A131,'信贷库存框架1-票据+贷款余额'!A:L,12,0)</f>
        <v>主动去库存</v>
      </c>
      <c r="I131" s="1" t="str">
        <f>IFERROR(VLOOKUP(A131,美林时钟!A:W,23,0),I132)</f>
        <v>过热</v>
      </c>
      <c r="J131" s="1" t="str">
        <f>VLOOKUP(A131,库存与产能周期2!A:Q,17,0)</f>
        <v>产能周期上行,主动补库存</v>
      </c>
      <c r="K131" s="1">
        <f>IFERROR((COUNTIFS($D133:$D192,"牛市",F133:F192,F131)-COUNTIFS($D133:$D192,"熊市",F133:F192,F131))/COUNTIFS(F133:F192,F131),K132)</f>
        <v>-0.30769230769230771</v>
      </c>
      <c r="L131" s="1">
        <f>IFERROR((COUNTIFS($D133:$D192,"牛市",G133:G192,G131)-COUNTIFS($D133:$D192,"熊市",G133:G192,G131))/COUNTIFS(G133:G192,G131),L132)</f>
        <v>-3.3333333333333333E-2</v>
      </c>
      <c r="N131" s="1">
        <f>IFERROR((COUNTIFS($D133:$D192,"牛市",I133:I192,I131)-COUNTIFS($D133:$D192,"熊市",I133:I192,I131))/COUNTIFS(I133:I192,I131),N132)</f>
        <v>0.4</v>
      </c>
      <c r="O131" s="1">
        <f>IFERROR((COUNTIFS($D133:$D192,"牛市",J133:J192,J131)-COUNTIFS($D133:$D192,"熊市",J133:J192,J131))/COUNTIFS(J133:J192,J131),O132)</f>
        <v>1</v>
      </c>
      <c r="P131" s="1">
        <f>IFERROR((COUNTIFS($E133:$E192,"牛市",F133:F192,F131)-COUNTIFS($E133:$E192,"熊市",F133:F192,F131))/COUNTIFS(F133:F192,F131),P132)</f>
        <v>0.15384615384615385</v>
      </c>
      <c r="Q131" s="1">
        <f>IFERROR((COUNTIFS($E133:$E192,"牛市",G133:G192,G131)-COUNTIFS($E133:$E192,"熊市",G133:G192,G131))/COUNTIFS(G133:G192,G131),Q132)</f>
        <v>-0.23333333333333334</v>
      </c>
      <c r="S131" s="1">
        <f>IFERROR((COUNTIFS($E133:$E192,"牛市",I133:I192,I131)-COUNTIFS($E133:$E192,"熊市",I133:I192,I131))/COUNTIFS(I133:I192,I131),S132)</f>
        <v>-0.4</v>
      </c>
      <c r="T131" s="1">
        <f>IFERROR((COUNTIFS($E133:$E192,"牛市",J133:J192,J131)-COUNTIFS($E133:$E192,"熊市",J133:J192,J131))/COUNTIFS(J133:J192,J131),T132)</f>
        <v>0</v>
      </c>
    </row>
    <row r="132" spans="1:20" x14ac:dyDescent="0.35">
      <c r="A132" s="12">
        <v>42551</v>
      </c>
      <c r="B132" s="13">
        <v>3.4699851044972099</v>
      </c>
      <c r="C132" s="87">
        <v>1.8847619047619</v>
      </c>
      <c r="D132" s="1" t="str">
        <f t="shared" si="32"/>
        <v>牛市</v>
      </c>
      <c r="E132" s="1" t="str">
        <f t="shared" si="33"/>
        <v>震荡</v>
      </c>
      <c r="F132" s="1" t="str">
        <f>VLOOKUP(A132,'货币信用框架5-货币政策目标+信用脉冲'!A:L,12,0)</f>
        <v>宽货币宽信用</v>
      </c>
      <c r="G132" s="1" t="str">
        <f>VLOOKUP(A132,'信贷库存框架1-票据+贷款余额'!A:L,12,0)</f>
        <v>主动去库存</v>
      </c>
      <c r="I132" s="1" t="str">
        <f>IFERROR(VLOOKUP(A132,美林时钟!A:W,23,0),I133)</f>
        <v>过热</v>
      </c>
      <c r="J132" s="1" t="str">
        <f>VLOOKUP(A132,库存与产能周期2!A:Q,17,0)</f>
        <v>产能周期上行,主动补库存</v>
      </c>
      <c r="K132" s="1">
        <f>IFERROR((COUNTIFS($D134:$D193,"牛市",F134:F193,F132)-COUNTIFS($D134:$D193,"熊市",F134:F193,F132))/COUNTIFS(F134:F193,F132),K133)</f>
        <v>-0.33333333333333331</v>
      </c>
      <c r="L132" s="1">
        <f>IFERROR((COUNTIFS($D134:$D193,"牛市",G134:G193,G132)-COUNTIFS($D134:$D193,"熊市",G134:G193,G132))/COUNTIFS(G134:G193,G132),L133)</f>
        <v>-3.4482758620689655E-2</v>
      </c>
      <c r="N132" s="1">
        <f>IFERROR((COUNTIFS($D134:$D193,"牛市",I134:I193,I132)-COUNTIFS($D134:$D193,"熊市",I134:I193,I132))/COUNTIFS(I134:I193,I132),N133)</f>
        <v>0.33333333333333331</v>
      </c>
      <c r="O132" s="1">
        <f>IFERROR((COUNTIFS($D134:$D193,"牛市",J134:J193,J132)-COUNTIFS($D134:$D193,"熊市",J134:J193,J132))/COUNTIFS(J134:J193,J132),O133)</f>
        <v>1</v>
      </c>
      <c r="P132" s="1">
        <f>IFERROR((COUNTIFS($E134:$E193,"牛市",F134:F193,F132)-COUNTIFS($E134:$E193,"熊市",F134:F193,F132))/COUNTIFS(F134:F193,F132),P133)</f>
        <v>0.25</v>
      </c>
      <c r="Q132" s="1">
        <f>IFERROR((COUNTIFS($E134:$E193,"牛市",G134:G193,G132)-COUNTIFS($E134:$E193,"熊市",G134:G193,G132))/COUNTIFS(G134:G193,G132),Q133)</f>
        <v>-0.20689655172413793</v>
      </c>
      <c r="S132" s="1">
        <f>IFERROR((COUNTIFS($E134:$E193,"牛市",I134:I193,I132)-COUNTIFS($E134:$E193,"熊市",I134:I193,I132))/COUNTIFS(I134:I193,I132),S133)</f>
        <v>-0.26666666666666666</v>
      </c>
      <c r="T132" s="1">
        <f>IFERROR((COUNTIFS($E134:$E193,"牛市",J134:J193,J132)-COUNTIFS($E134:$E193,"熊市",J134:J193,J132))/COUNTIFS(J134:J193,J132),T133)</f>
        <v>0</v>
      </c>
    </row>
    <row r="133" spans="1:20" x14ac:dyDescent="0.35">
      <c r="A133" s="12">
        <v>42521</v>
      </c>
      <c r="B133" s="13">
        <v>-0.46341606450495998</v>
      </c>
      <c r="C133" s="87">
        <v>2.1371428571429001</v>
      </c>
      <c r="D133" s="1" t="str">
        <f t="shared" si="32"/>
        <v>震荡</v>
      </c>
      <c r="E133" s="1" t="str">
        <f t="shared" si="33"/>
        <v>熊市</v>
      </c>
      <c r="F133" s="1" t="str">
        <f>VLOOKUP(A133,'货币信用框架5-货币政策目标+信用脉冲'!A:L,12,0)</f>
        <v>宽货币宽信用</v>
      </c>
      <c r="G133" s="1" t="str">
        <f>VLOOKUP(A133,'信贷库存框架1-票据+贷款余额'!A:L,12,0)</f>
        <v>主动去库存</v>
      </c>
      <c r="I133" s="1" t="str">
        <f>IFERROR(VLOOKUP(A133,美林时钟!A:W,23,0),I134)</f>
        <v>过热</v>
      </c>
      <c r="J133" s="1" t="str">
        <f>VLOOKUP(A133,库存与产能周期2!A:Q,17,0)</f>
        <v>产能周期上行,被动去库存</v>
      </c>
      <c r="K133" s="1">
        <f>IFERROR((COUNTIFS($D135:$D194,"牛市",F135:F194,F133)-COUNTIFS($D135:$D194,"熊市",F135:F194,F133))/COUNTIFS(F135:F194,F133),K134)</f>
        <v>-0.27272727272727271</v>
      </c>
      <c r="L133" s="1">
        <f>IFERROR((COUNTIFS($D135:$D194,"牛市",G135:G194,G133)-COUNTIFS($D135:$D194,"熊市",G135:G194,G133))/COUNTIFS(G135:G194,G133),L134)</f>
        <v>0</v>
      </c>
      <c r="N133" s="1">
        <f>IFERROR((COUNTIFS($D135:$D194,"牛市",I135:I194,I133)-COUNTIFS($D135:$D194,"熊市",I135:I194,I133))/COUNTIFS(I135:I194,I133),N134)</f>
        <v>0.33333333333333331</v>
      </c>
      <c r="O133" s="1">
        <f>IFERROR((COUNTIFS($D135:$D194,"牛市",J135:J194,J133)-COUNTIFS($D135:$D194,"熊市",J135:J194,J133))/COUNTIFS(J135:J194,J133),O134)</f>
        <v>1</v>
      </c>
      <c r="P133" s="1">
        <f>IFERROR((COUNTIFS($E135:$E194,"牛市",F135:F194,F133)-COUNTIFS($E135:$E194,"熊市",F135:F194,F133))/COUNTIFS(F135:F194,F133),P134)</f>
        <v>0.36363636363636365</v>
      </c>
      <c r="Q133" s="1">
        <f>IFERROR((COUNTIFS($E135:$E194,"牛市",G135:G194,G133)-COUNTIFS($E135:$E194,"熊市",G135:G194,G133))/COUNTIFS(G135:G194,G133),Q134)</f>
        <v>-0.17857142857142858</v>
      </c>
      <c r="S133" s="1">
        <f>IFERROR((COUNTIFS($E135:$E194,"牛市",I135:I194,I133)-COUNTIFS($E135:$E194,"熊市",I135:I194,I133))/COUNTIFS(I135:I194,I133),S134)</f>
        <v>-0.2</v>
      </c>
      <c r="T133" s="1">
        <f>IFERROR((COUNTIFS($E135:$E194,"牛市",J135:J194,J133)-COUNTIFS($E135:$E194,"熊市",J135:J194,J133))/COUNTIFS(J135:J194,J133),T134)</f>
        <v>0</v>
      </c>
    </row>
    <row r="134" spans="1:20" x14ac:dyDescent="0.35">
      <c r="A134" s="12">
        <v>42490</v>
      </c>
      <c r="B134" s="13">
        <v>-1.860109341971695</v>
      </c>
      <c r="C134" s="87">
        <v>5.0826086956522003</v>
      </c>
      <c r="D134" s="1" t="str">
        <f t="shared" si="32"/>
        <v>熊市</v>
      </c>
      <c r="E134" s="1" t="str">
        <f t="shared" si="33"/>
        <v>熊市</v>
      </c>
      <c r="F134" s="1" t="str">
        <f>VLOOKUP(A134,'货币信用框架5-货币政策目标+信用脉冲'!A:L,12,0)</f>
        <v>宽货币宽信用</v>
      </c>
      <c r="G134" s="1" t="str">
        <f>VLOOKUP(A134,'信贷库存框架1-票据+贷款余额'!A:L,12,0)</f>
        <v>主动去库存</v>
      </c>
      <c r="I134" s="1" t="str">
        <f>IFERROR(VLOOKUP(A134,美林时钟!A:W,23,0),I135)</f>
        <v>过热</v>
      </c>
      <c r="J134" s="1" t="str">
        <f>VLOOKUP(A134,库存与产能周期2!A:Q,17,0)</f>
        <v>产能周期上行,被动去库存</v>
      </c>
      <c r="K134" s="1">
        <f>IFERROR((COUNTIFS($D136:$D195,"牛市",F136:F195,F134)-COUNTIFS($D136:$D195,"熊市",F136:F195,F134))/COUNTIFS(F136:F195,F134),K135)</f>
        <v>-0.4</v>
      </c>
      <c r="L134" s="1">
        <f>IFERROR((COUNTIFS($D136:$D195,"牛市",G136:G195,G134)-COUNTIFS($D136:$D195,"熊市",G136:G195,G134))/COUNTIFS(G136:G195,G134),L135)</f>
        <v>-3.7037037037037035E-2</v>
      </c>
      <c r="N134" s="1">
        <f>IFERROR((COUNTIFS($D136:$D195,"牛市",I136:I195,I134)-COUNTIFS($D136:$D195,"熊市",I136:I195,I134))/COUNTIFS(I136:I195,I134),N135)</f>
        <v>0.26666666666666666</v>
      </c>
      <c r="O134" s="1">
        <f>IFERROR((COUNTIFS($D136:$D195,"牛市",J136:J195,J134)-COUNTIFS($D136:$D195,"熊市",J136:J195,J134))/COUNTIFS(J136:J195,J134),O135)</f>
        <v>0.18181818181818182</v>
      </c>
      <c r="P134" s="1">
        <f>IFERROR((COUNTIFS($E136:$E195,"牛市",F136:F195,F134)-COUNTIFS($E136:$E195,"熊市",F136:F195,F134))/COUNTIFS(F136:F195,F134),P135)</f>
        <v>0.4</v>
      </c>
      <c r="Q134" s="1">
        <f>IFERROR((COUNTIFS($E136:$E195,"牛市",G136:G195,G134)-COUNTIFS($E136:$E195,"熊市",G136:G195,G134))/COUNTIFS(G136:G195,G134),Q135)</f>
        <v>-0.18518518518518517</v>
      </c>
      <c r="S134" s="1">
        <f>IFERROR((COUNTIFS($E136:$E195,"牛市",I136:I195,I134)-COUNTIFS($E136:$E195,"熊市",I136:I195,I134))/COUNTIFS(I136:I195,I134),S135)</f>
        <v>-0.13333333333333333</v>
      </c>
      <c r="T134" s="1">
        <f>IFERROR((COUNTIFS($E136:$E195,"牛市",J136:J195,J134)-COUNTIFS($E136:$E195,"熊市",J136:J195,J134))/COUNTIFS(J136:J195,J134),T135)</f>
        <v>-0.36363636363636365</v>
      </c>
    </row>
    <row r="135" spans="1:20" x14ac:dyDescent="0.35">
      <c r="A135" s="12">
        <v>42460</v>
      </c>
      <c r="B135" s="13">
        <v>16.43022543014564</v>
      </c>
      <c r="C135" s="87">
        <v>0.60183574879220003</v>
      </c>
      <c r="D135" s="1" t="str">
        <f t="shared" si="32"/>
        <v>牛市</v>
      </c>
      <c r="E135" s="1" t="str">
        <f t="shared" si="33"/>
        <v>震荡</v>
      </c>
      <c r="F135" s="1" t="str">
        <f>VLOOKUP(A135,'货币信用框架5-货币政策目标+信用脉冲'!A:L,12,0)</f>
        <v>宽货币宽信用</v>
      </c>
      <c r="G135" s="1" t="str">
        <f>VLOOKUP(A135,'信贷库存框架1-票据+贷款余额'!A:L,12,0)</f>
        <v>主动去库存</v>
      </c>
      <c r="I135" s="1" t="str">
        <f>IFERROR(VLOOKUP(A135,美林时钟!A:W,23,0),I136)</f>
        <v>过热</v>
      </c>
      <c r="J135" s="1" t="str">
        <f>VLOOKUP(A135,库存与产能周期2!A:Q,17,0)</f>
        <v>产能周期上行,被动去库存</v>
      </c>
      <c r="K135" s="1">
        <f>IFERROR((COUNTIFS($D137:$D196,"牛市",F137:F196,F135)-COUNTIFS($D137:$D196,"熊市",F137:F196,F135))/COUNTIFS(F137:F196,F135),K136)</f>
        <v>-0.33333333333333331</v>
      </c>
      <c r="L135" s="1">
        <f>IFERROR((COUNTIFS($D137:$D196,"牛市",G137:G196,G135)-COUNTIFS($D137:$D196,"熊市",G137:G196,G135))/COUNTIFS(G137:G196,G135),L136)</f>
        <v>0</v>
      </c>
      <c r="N135" s="1">
        <f>IFERROR((COUNTIFS($D137:$D196,"牛市",I137:I196,I135)-COUNTIFS($D137:$D196,"熊市",I137:I196,I135))/COUNTIFS(I137:I196,I135),N136)</f>
        <v>0.3125</v>
      </c>
      <c r="O135" s="1">
        <f>IFERROR((COUNTIFS($D137:$D196,"牛市",J137:J196,J135)-COUNTIFS($D137:$D196,"熊市",J137:J196,J135))/COUNTIFS(J137:J196,J135),O136)</f>
        <v>0.18181818181818182</v>
      </c>
      <c r="P135" s="1">
        <f>IFERROR((COUNTIFS($E137:$E196,"牛市",F137:F196,F135)-COUNTIFS($E137:$E196,"熊市",F137:F196,F135))/COUNTIFS(F137:F196,F135),P136)</f>
        <v>0.55555555555555558</v>
      </c>
      <c r="Q135" s="1">
        <f>IFERROR((COUNTIFS($E137:$E196,"牛市",G137:G196,G135)-COUNTIFS($E137:$E196,"熊市",G137:G196,G135))/COUNTIFS(G137:G196,G135),Q136)</f>
        <v>-0.15384615384615385</v>
      </c>
      <c r="S135" s="1">
        <f>IFERROR((COUNTIFS($E137:$E196,"牛市",I137:I196,I135)-COUNTIFS($E137:$E196,"熊市",I137:I196,I135))/COUNTIFS(I137:I196,I135),S136)</f>
        <v>-0.1875</v>
      </c>
      <c r="T135" s="1">
        <f>IFERROR((COUNTIFS($E137:$E196,"牛市",J137:J196,J135)-COUNTIFS($E137:$E196,"熊市",J137:J196,J135))/COUNTIFS(J137:J196,J135),T136)</f>
        <v>-0.36363636363636365</v>
      </c>
    </row>
    <row r="136" spans="1:20" x14ac:dyDescent="0.35">
      <c r="A136" s="12">
        <v>42429</v>
      </c>
      <c r="B136" s="13">
        <v>-2.6861913048833408</v>
      </c>
      <c r="C136" s="87">
        <v>2.6220555555556002</v>
      </c>
      <c r="D136" s="1" t="str">
        <f t="shared" si="32"/>
        <v>熊市</v>
      </c>
      <c r="E136" s="1" t="str">
        <f t="shared" si="33"/>
        <v>熊市</v>
      </c>
      <c r="F136" s="1" t="str">
        <f>VLOOKUP(A136,'货币信用框架5-货币政策目标+信用脉冲'!A:L,12,0)</f>
        <v>宽货币宽信用</v>
      </c>
      <c r="G136" s="1" t="str">
        <f>VLOOKUP(A136,'信贷库存框架1-票据+贷款余额'!A:L,12,0)</f>
        <v>主动去库存</v>
      </c>
      <c r="I136" s="1" t="str">
        <f>IFERROR(VLOOKUP(A136,美林时钟!A:W,23,0),I137)</f>
        <v>滞涨</v>
      </c>
      <c r="J136" s="1" t="str">
        <f>VLOOKUP(A136,库存与产能周期2!A:Q,17,0)</f>
        <v>产能周期下行,被动去库存</v>
      </c>
      <c r="K136" s="1">
        <f>IFERROR((COUNTIFS($D138:$D197,"牛市",F138:F197,F136)-COUNTIFS($D138:$D197,"熊市",F138:F197,F136))/COUNTIFS(F138:F197,F136),K137)</f>
        <v>-0.25</v>
      </c>
      <c r="L136" s="1">
        <f>IFERROR((COUNTIFS($D138:$D197,"牛市",G138:G197,G136)-COUNTIFS($D138:$D197,"熊市",G138:G197,G136))/COUNTIFS(G138:G197,G136),L137)</f>
        <v>0.04</v>
      </c>
      <c r="N136" s="1">
        <f>IFERROR((COUNTIFS($D138:$D197,"牛市",I138:I197,I136)-COUNTIFS($D138:$D197,"熊市",I138:I197,I136))/COUNTIFS(I138:I197,I136),N137)</f>
        <v>0.42857142857142855</v>
      </c>
      <c r="O136" s="1">
        <f>IFERROR((COUNTIFS($D138:$D197,"牛市",J138:J197,J136)-COUNTIFS($D138:$D197,"熊市",J138:J197,J136))/COUNTIFS(J138:J197,J136),O137)</f>
        <v>0.18181818181818182</v>
      </c>
      <c r="P136" s="1">
        <f>IFERROR((COUNTIFS($E138:$E197,"牛市",F138:F197,F136)-COUNTIFS($E138:$E197,"熊市",F138:F197,F136))/COUNTIFS(F138:F197,F136),P137)</f>
        <v>0.5</v>
      </c>
      <c r="Q136" s="1">
        <f>IFERROR((COUNTIFS($E138:$E197,"牛市",G138:G197,G136)-COUNTIFS($E138:$E197,"熊市",G138:G197,G136))/COUNTIFS(G138:G197,G136),Q137)</f>
        <v>-0.2</v>
      </c>
      <c r="S136" s="1">
        <f>IFERROR((COUNTIFS($E138:$E197,"牛市",I138:I197,I136)-COUNTIFS($E138:$E197,"熊市",I138:I197,I136))/COUNTIFS(I138:I197,I136),S137)</f>
        <v>-0.14285714285714285</v>
      </c>
      <c r="T136" s="1">
        <f>IFERROR((COUNTIFS($E138:$E197,"牛市",J138:J197,J136)-COUNTIFS($E138:$E197,"熊市",J138:J197,J136))/COUNTIFS(J138:J197,J136),T137)</f>
        <v>-0.36363636363636365</v>
      </c>
    </row>
    <row r="137" spans="1:20" x14ac:dyDescent="0.35">
      <c r="A137" s="12">
        <v>42400</v>
      </c>
      <c r="B137" s="13">
        <v>-27.557180861300829</v>
      </c>
      <c r="C137" s="87">
        <v>-11.5460652173913</v>
      </c>
      <c r="D137" s="1" t="str">
        <f t="shared" si="32"/>
        <v>熊市</v>
      </c>
      <c r="E137" s="1" t="str">
        <f t="shared" si="33"/>
        <v>牛市</v>
      </c>
      <c r="F137" s="1" t="str">
        <f>VLOOKUP(A137,'货币信用框架5-货币政策目标+信用脉冲'!A:L,12,0)</f>
        <v>宽货币宽信用</v>
      </c>
      <c r="G137" s="1" t="str">
        <f>VLOOKUP(A137,'信贷库存框架1-票据+贷款余额'!A:L,12,0)</f>
        <v>主动去库存</v>
      </c>
      <c r="I137" s="1" t="str">
        <f>IFERROR(VLOOKUP(A137,美林时钟!A:W,23,0),I138)</f>
        <v>滞涨</v>
      </c>
      <c r="J137" s="1" t="str">
        <f>VLOOKUP(A137,库存与产能周期2!A:Q,17,0)</f>
        <v>产能周期下行,主动去库存</v>
      </c>
      <c r="K137" s="1">
        <f>IFERROR((COUNTIFS($D139:$D198,"牛市",F139:F198,F137)-COUNTIFS($D139:$D198,"熊市",F139:F198,F137))/COUNTIFS(F139:F198,F137),K138)</f>
        <v>-0.42857142857142855</v>
      </c>
      <c r="L137" s="1">
        <f>IFERROR((COUNTIFS($D139:$D198,"牛市",G139:G198,G137)-COUNTIFS($D139:$D198,"熊市",G139:G198,G137))/COUNTIFS(G139:G198,G137),L138)</f>
        <v>0</v>
      </c>
      <c r="N137" s="1">
        <f>IFERROR((COUNTIFS($D139:$D198,"牛市",I139:I198,I137)-COUNTIFS($D139:$D198,"熊市",I139:I198,I137))/COUNTIFS(I139:I198,I137),N138)</f>
        <v>0.33333333333333331</v>
      </c>
      <c r="O137" s="1">
        <f>IFERROR((COUNTIFS($D139:$D198,"牛市",J139:J198,J137)-COUNTIFS($D139:$D198,"熊市",J139:J198,J137))/COUNTIFS(J139:J198,J137),O138)</f>
        <v>0.17857142857142858</v>
      </c>
      <c r="P137" s="1">
        <f>IFERROR((COUNTIFS($E139:$E198,"牛市",F139:F198,F137)-COUNTIFS($E139:$E198,"熊市",F139:F198,F137))/COUNTIFS(F139:F198,F137),P138)</f>
        <v>0.42857142857142855</v>
      </c>
      <c r="Q137" s="1">
        <f>IFERROR((COUNTIFS($E139:$E198,"牛市",G139:G198,G137)-COUNTIFS($E139:$E198,"熊市",G139:G198,G137))/COUNTIFS(G139:G198,G137),Q138)</f>
        <v>-0.25</v>
      </c>
      <c r="S137" s="1">
        <f>IFERROR((COUNTIFS($E139:$E198,"牛市",I139:I198,I137)-COUNTIFS($E139:$E198,"熊市",I139:I198,I137))/COUNTIFS(I139:I198,I137),S138)</f>
        <v>-0.33333333333333331</v>
      </c>
      <c r="T137" s="1">
        <f>IFERROR((COUNTIFS($E139:$E198,"牛市",J139:J198,J137)-COUNTIFS($E139:$E198,"熊市",J139:J198,J137))/COUNTIFS(J139:J198,J137),T138)</f>
        <v>0.2857142857142857</v>
      </c>
    </row>
    <row r="138" spans="1:20" x14ac:dyDescent="0.35">
      <c r="A138" s="12">
        <v>42369</v>
      </c>
      <c r="B138" s="13">
        <v>5.3346948619639996</v>
      </c>
      <c r="C138" s="87">
        <v>-17.751863354037301</v>
      </c>
      <c r="D138" s="1" t="str">
        <f t="shared" si="32"/>
        <v>牛市</v>
      </c>
      <c r="E138" s="1" t="str">
        <f t="shared" si="33"/>
        <v>牛市</v>
      </c>
      <c r="F138" s="1" t="str">
        <f>VLOOKUP(A138,'货币信用框架5-货币政策目标+信用脉冲'!A:L,12,0)</f>
        <v>宽货币宽信用</v>
      </c>
      <c r="G138" s="1" t="str">
        <f>VLOOKUP(A138,'信贷库存框架1-票据+贷款余额'!A:L,12,0)</f>
        <v>主动去库存</v>
      </c>
      <c r="I138" s="1" t="str">
        <f>IFERROR(VLOOKUP(A138,美林时钟!A:W,23,0),I139)</f>
        <v>滞涨</v>
      </c>
      <c r="J138" s="1" t="str">
        <f>VLOOKUP(A138,库存与产能周期2!A:Q,17,0)</f>
        <v>产能周期下行,主动去库存</v>
      </c>
      <c r="K138" s="1">
        <f>IFERROR((COUNTIFS($D140:$D199,"牛市",F140:F199,F138)-COUNTIFS($D140:$D199,"熊市",F140:F199,F138))/COUNTIFS(F140:F199,F138),K139)</f>
        <v>-0.66666666666666663</v>
      </c>
      <c r="L138" s="1">
        <f>IFERROR((COUNTIFS($D140:$D199,"牛市",G140:G199,G138)-COUNTIFS($D140:$D199,"熊市",G140:G199,G138))/COUNTIFS(G140:G199,G138),L139)</f>
        <v>-4.3478260869565216E-2</v>
      </c>
      <c r="N138" s="1">
        <f>IFERROR((COUNTIFS($D140:$D199,"牛市",I140:I199,I138)-COUNTIFS($D140:$D199,"熊市",I140:I199,I138))/COUNTIFS(I140:I199,I138),N139)</f>
        <v>0.2</v>
      </c>
      <c r="O138" s="1">
        <f>IFERROR((COUNTIFS($D140:$D199,"牛市",J140:J199,J138)-COUNTIFS($D140:$D199,"熊市",J140:J199,J138))/COUNTIFS(J140:J199,J138),O139)</f>
        <v>0.14814814814814814</v>
      </c>
      <c r="P138" s="1">
        <f>IFERROR((COUNTIFS($E140:$E199,"牛市",F140:F199,F138)-COUNTIFS($E140:$E199,"熊市",F140:F199,F138))/COUNTIFS(F140:F199,F138),P139)</f>
        <v>0.66666666666666663</v>
      </c>
      <c r="Q138" s="1">
        <f>IFERROR((COUNTIFS($E140:$E199,"牛市",G140:G199,G138)-COUNTIFS($E140:$E199,"熊市",G140:G199,G138))/COUNTIFS(G140:G199,G138),Q139)</f>
        <v>-0.21739130434782608</v>
      </c>
      <c r="S138" s="1">
        <f>IFERROR((COUNTIFS($E140:$E199,"牛市",I140:I199,I138)-COUNTIFS($E140:$E199,"熊市",I140:I199,I138))/COUNTIFS(I140:I199,I138),S139)</f>
        <v>-0.2</v>
      </c>
      <c r="T138" s="1">
        <f>IFERROR((COUNTIFS($E140:$E199,"牛市",J140:J199,J138)-COUNTIFS($E140:$E199,"熊市",J140:J199,J138))/COUNTIFS(J140:J199,J138),T139)</f>
        <v>0.33333333333333331</v>
      </c>
    </row>
    <row r="139" spans="1:20" x14ac:dyDescent="0.35">
      <c r="A139" s="12">
        <v>42338</v>
      </c>
      <c r="B139" s="13">
        <v>6.2075221779242158</v>
      </c>
      <c r="C139" s="87">
        <v>3.3803174603174999</v>
      </c>
      <c r="D139" s="1" t="str">
        <f t="shared" si="32"/>
        <v>牛市</v>
      </c>
      <c r="E139" s="1" t="str">
        <f t="shared" si="33"/>
        <v>熊市</v>
      </c>
      <c r="F139" s="1" t="str">
        <f>VLOOKUP(A139,'货币信用框架5-货币政策目标+信用脉冲'!A:L,12,0)</f>
        <v>宽货币宽信用</v>
      </c>
      <c r="G139" s="1" t="str">
        <f>VLOOKUP(A139,'信贷库存框架1-票据+贷款余额'!A:L,12,0)</f>
        <v>主动去库存</v>
      </c>
      <c r="I139" s="1" t="str">
        <f>IFERROR(VLOOKUP(A139,美林时钟!A:W,23,0),I140)</f>
        <v>滞涨</v>
      </c>
      <c r="J139" s="1" t="str">
        <f>VLOOKUP(A139,库存与产能周期2!A:Q,17,0)</f>
        <v>产能周期下行,主动去库存</v>
      </c>
      <c r="K139" s="1">
        <f>IFERROR((COUNTIFS($D141:$D200,"牛市",F141:F200,F139)-COUNTIFS($D141:$D200,"熊市",F141:F200,F139))/COUNTIFS(F141:F200,F139),K140)</f>
        <v>-1</v>
      </c>
      <c r="L139" s="1">
        <f>IFERROR((COUNTIFS($D141:$D200,"牛市",G141:G200,G139)-COUNTIFS($D141:$D200,"熊市",G141:G200,G139))/COUNTIFS(G141:G200,G139),L140)</f>
        <v>-9.0909090909090912E-2</v>
      </c>
      <c r="N139" s="1">
        <f>IFERROR((COUNTIFS($D141:$D200,"牛市",I141:I200,I139)-COUNTIFS($D141:$D200,"熊市",I141:I200,I139))/COUNTIFS(I141:I200,I139),N140)</f>
        <v>0.2</v>
      </c>
      <c r="O139" s="1">
        <f>IFERROR((COUNTIFS($D141:$D200,"牛市",J141:J200,J139)-COUNTIFS($D141:$D200,"熊市",J141:J200,J139))/COUNTIFS(J141:J200,J139),O140)</f>
        <v>0.11538461538461539</v>
      </c>
      <c r="P139" s="1">
        <f>IFERROR((COUNTIFS($E141:$E200,"牛市",F141:F200,F139)-COUNTIFS($E141:$E200,"熊市",F141:F200,F139))/COUNTIFS(F141:F200,F139),P140)</f>
        <v>0.6</v>
      </c>
      <c r="Q139" s="1">
        <f>IFERROR((COUNTIFS($E141:$E200,"牛市",G141:G200,G139)-COUNTIFS($E141:$E200,"熊市",G141:G200,G139))/COUNTIFS(G141:G200,G139),Q140)</f>
        <v>-0.27272727272727271</v>
      </c>
      <c r="S139" s="1">
        <f>IFERROR((COUNTIFS($E141:$E200,"牛市",I141:I200,I139)-COUNTIFS($E141:$E200,"熊市",I141:I200,I139))/COUNTIFS(I141:I200,I139),S140)</f>
        <v>-0.6</v>
      </c>
      <c r="T139" s="1">
        <f>IFERROR((COUNTIFS($E141:$E200,"牛市",J141:J200,J139)-COUNTIFS($E141:$E200,"熊市",J141:J200,J139))/COUNTIFS(J141:J200,J139),T140)</f>
        <v>0.30769230769230771</v>
      </c>
    </row>
    <row r="140" spans="1:20" x14ac:dyDescent="0.35">
      <c r="A140" s="12">
        <v>42308</v>
      </c>
      <c r="B140" s="13">
        <v>17.101640519707018</v>
      </c>
      <c r="C140" s="87">
        <v>-23.252222222222201</v>
      </c>
      <c r="D140" s="1" t="str">
        <f t="shared" si="32"/>
        <v>牛市</v>
      </c>
      <c r="E140" s="1" t="str">
        <f t="shared" si="33"/>
        <v>牛市</v>
      </c>
      <c r="F140" s="1" t="str">
        <f>VLOOKUP(A140,'货币信用框架5-货币政策目标+信用脉冲'!A:L,12,0)</f>
        <v>宽货币宽信用</v>
      </c>
      <c r="G140" s="1" t="str">
        <f>VLOOKUP(A140,'信贷库存框架1-票据+贷款余额'!A:L,12,0)</f>
        <v>主动去库存</v>
      </c>
      <c r="I140" s="1" t="str">
        <f>IFERROR(VLOOKUP(A140,美林时钟!A:W,23,0),I141)</f>
        <v>滞涨</v>
      </c>
      <c r="J140" s="1" t="str">
        <f>VLOOKUP(A140,库存与产能周期2!A:Q,17,0)</f>
        <v>产能周期下行,主动去库存</v>
      </c>
      <c r="K140" s="1">
        <f>IFERROR((COUNTIFS($D142:$D201,"牛市",F142:F201,F140)-COUNTIFS($D142:$D201,"熊市",F142:F201,F140))/COUNTIFS(F142:F201,F140),K141)</f>
        <v>-1</v>
      </c>
      <c r="L140" s="1">
        <f>IFERROR((COUNTIFS($D142:$D201,"牛市",G142:G201,G140)-COUNTIFS($D142:$D201,"熊市",G142:G201,G140))/COUNTIFS(G142:G201,G140),L141)</f>
        <v>-4.7619047619047616E-2</v>
      </c>
      <c r="N140" s="1">
        <f>IFERROR((COUNTIFS($D142:$D201,"牛市",I142:I201,I140)-COUNTIFS($D142:$D201,"熊市",I142:I201,I140))/COUNTIFS(I142:I201,I140),N141)</f>
        <v>0.6</v>
      </c>
      <c r="O140" s="1">
        <f>IFERROR((COUNTIFS($D142:$D201,"牛市",J142:J201,J140)-COUNTIFS($D142:$D201,"熊市",J142:J201,J140))/COUNTIFS(J142:J201,J140),O141)</f>
        <v>0.16</v>
      </c>
      <c r="P140" s="1">
        <f>IFERROR((COUNTIFS($E142:$E201,"牛市",F142:F201,F140)-COUNTIFS($E142:$E201,"熊市",F142:F201,F140))/COUNTIFS(F142:F201,F140),P141)</f>
        <v>0.5</v>
      </c>
      <c r="Q140" s="1">
        <f>IFERROR((COUNTIFS($E142:$E201,"牛市",G142:G201,G140)-COUNTIFS($E142:$E201,"熊市",G142:G201,G140))/COUNTIFS(G142:G201,G140),Q141)</f>
        <v>-0.33333333333333331</v>
      </c>
      <c r="S140" s="1">
        <f>IFERROR((COUNTIFS($E142:$E201,"牛市",I142:I201,I140)-COUNTIFS($E142:$E201,"熊市",I142:I201,I140))/COUNTIFS(I142:I201,I140),S141)</f>
        <v>-1</v>
      </c>
      <c r="T140" s="1">
        <f>IFERROR((COUNTIFS($E142:$E201,"牛市",J142:J201,J140)-COUNTIFS($E142:$E201,"熊市",J142:J201,J140))/COUNTIFS(J142:J201,J140),T141)</f>
        <v>0.28000000000000003</v>
      </c>
    </row>
    <row r="141" spans="1:20" x14ac:dyDescent="0.35">
      <c r="A141" s="12">
        <v>42277</v>
      </c>
      <c r="B141" s="13">
        <v>-5.9193731722912561</v>
      </c>
      <c r="C141" s="87">
        <v>-15.6028571428572</v>
      </c>
      <c r="D141" s="1" t="str">
        <f t="shared" si="32"/>
        <v>熊市</v>
      </c>
      <c r="E141" s="1" t="str">
        <f t="shared" si="33"/>
        <v>牛市</v>
      </c>
      <c r="F141" s="1" t="str">
        <f>VLOOKUP(A141,'货币信用框架5-货币政策目标+信用脉冲'!A:L,12,0)</f>
        <v>宽货币宽信用</v>
      </c>
      <c r="G141" s="1" t="str">
        <f>VLOOKUP(A141,'信贷库存框架1-票据+贷款余额'!A:L,12,0)</f>
        <v>主动去库存</v>
      </c>
      <c r="I141" s="1" t="str">
        <f>IFERROR(VLOOKUP(A141,美林时钟!A:W,23,0),I142)</f>
        <v>滞涨</v>
      </c>
      <c r="J141" s="1" t="str">
        <f>VLOOKUP(A141,库存与产能周期2!A:Q,17,0)</f>
        <v>产能周期下行,主动去库存</v>
      </c>
    </row>
    <row r="142" spans="1:20" x14ac:dyDescent="0.35">
      <c r="A142" s="12">
        <v>42247</v>
      </c>
      <c r="B142" s="13">
        <v>-15.34644855348151</v>
      </c>
      <c r="C142" s="87">
        <v>-2.5812008281573</v>
      </c>
      <c r="D142" s="1" t="str">
        <f t="shared" si="32"/>
        <v>熊市</v>
      </c>
      <c r="E142" s="1" t="str">
        <f t="shared" si="33"/>
        <v>牛市</v>
      </c>
      <c r="F142" s="1" t="str">
        <f>VLOOKUP(A142,'货币信用框架5-货币政策目标+信用脉冲'!A:L,12,0)</f>
        <v>宽货币宽信用</v>
      </c>
      <c r="G142" s="1" t="str">
        <f>VLOOKUP(A142,'信贷库存框架1-票据+贷款余额'!A:L,12,0)</f>
        <v>主动去库存</v>
      </c>
      <c r="I142" s="1" t="str">
        <f>IFERROR(VLOOKUP(A142,美林时钟!A:W,23,0),I143)</f>
        <v>衰退</v>
      </c>
      <c r="J142" s="1" t="str">
        <f>VLOOKUP(A142,库存与产能周期2!A:Q,17,0)</f>
        <v>产能周期下行,主动去库存</v>
      </c>
    </row>
    <row r="143" spans="1:20" x14ac:dyDescent="0.35">
      <c r="A143" s="12">
        <v>42216</v>
      </c>
      <c r="B143" s="13">
        <v>-15.77186539178458</v>
      </c>
      <c r="C143" s="87">
        <v>-10.450227743271199</v>
      </c>
      <c r="D143" s="1" t="str">
        <f t="shared" si="32"/>
        <v>熊市</v>
      </c>
      <c r="E143" s="1" t="str">
        <f t="shared" si="33"/>
        <v>牛市</v>
      </c>
      <c r="F143" s="1" t="str">
        <f>VLOOKUP(A143,'货币信用框架5-货币政策目标+信用脉冲'!A:L,12,0)</f>
        <v>宽货币宽信用</v>
      </c>
      <c r="G143" s="1" t="str">
        <f>VLOOKUP(A143,'信贷库存框架1-票据+贷款余额'!A:L,12,0)</f>
        <v>主动去库存</v>
      </c>
      <c r="I143" s="1" t="str">
        <f>IFERROR(VLOOKUP(A143,美林时钟!A:W,23,0),I144)</f>
        <v>衰退</v>
      </c>
      <c r="J143" s="1" t="str">
        <f>VLOOKUP(A143,库存与产能周期2!A:Q,17,0)</f>
        <v>产能周期下行,主动去库存</v>
      </c>
    </row>
    <row r="144" spans="1:20" x14ac:dyDescent="0.35">
      <c r="A144" s="12">
        <v>42185</v>
      </c>
      <c r="B144" s="13">
        <v>-10.52091608688832</v>
      </c>
      <c r="C144" s="87">
        <v>16.505619047619</v>
      </c>
      <c r="D144" s="1" t="str">
        <f t="shared" si="32"/>
        <v>熊市</v>
      </c>
      <c r="E144" s="1" t="str">
        <f t="shared" si="33"/>
        <v>熊市</v>
      </c>
      <c r="F144" s="1" t="str">
        <f>VLOOKUP(A144,'货币信用框架5-货币政策目标+信用脉冲'!A:L,12,0)</f>
        <v>宽货币宽信用</v>
      </c>
      <c r="G144" s="1" t="str">
        <f>VLOOKUP(A144,'信贷库存框架1-票据+贷款余额'!A:L,12,0)</f>
        <v>主动补库存</v>
      </c>
      <c r="I144" s="1" t="str">
        <f>IFERROR(VLOOKUP(A144,美林时钟!A:W,23,0),I145)</f>
        <v>复苏</v>
      </c>
      <c r="J144" s="1" t="str">
        <f>VLOOKUP(A144,库存与产能周期2!A:Q,17,0)</f>
        <v>产能周期下行,主动去库存</v>
      </c>
    </row>
    <row r="145" spans="1:10" x14ac:dyDescent="0.35">
      <c r="A145" s="12">
        <v>42155</v>
      </c>
      <c r="B145" s="13">
        <v>15.04493796444957</v>
      </c>
      <c r="C145" s="87">
        <v>-9.0775238095238002</v>
      </c>
      <c r="D145" s="1" t="str">
        <f t="shared" si="32"/>
        <v>牛市</v>
      </c>
      <c r="E145" s="1" t="str">
        <f t="shared" si="33"/>
        <v>牛市</v>
      </c>
      <c r="F145" s="1" t="str">
        <f>VLOOKUP(A145,'货币信用框架5-货币政策目标+信用脉冲'!A:L,12,0)</f>
        <v>宽货币紧信用</v>
      </c>
      <c r="G145" s="1" t="str">
        <f>VLOOKUP(A145,'信贷库存框架1-票据+贷款余额'!A:L,12,0)</f>
        <v>主动补库存</v>
      </c>
      <c r="I145" s="1" t="str">
        <f>IFERROR(VLOOKUP(A145,美林时钟!A:W,23,0),I146)</f>
        <v>复苏</v>
      </c>
      <c r="J145" s="1" t="str">
        <f>VLOOKUP(A145,库存与产能周期2!A:Q,17,0)</f>
        <v>产能周期下行,主动去库存</v>
      </c>
    </row>
    <row r="146" spans="1:10" x14ac:dyDescent="0.35">
      <c r="A146" s="12">
        <v>42124</v>
      </c>
      <c r="B146" s="13">
        <v>18.96374696552606</v>
      </c>
      <c r="C146" s="87">
        <v>2.8731601731601999</v>
      </c>
      <c r="D146" s="1" t="str">
        <f t="shared" si="32"/>
        <v>牛市</v>
      </c>
      <c r="E146" s="1" t="str">
        <f t="shared" si="33"/>
        <v>熊市</v>
      </c>
      <c r="F146" s="1" t="str">
        <f>VLOOKUP(A146,'货币信用框架5-货币政策目标+信用脉冲'!A:L,12,0)</f>
        <v>宽货币紧信用</v>
      </c>
      <c r="G146" s="1" t="str">
        <f>VLOOKUP(A146,'信贷库存框架1-票据+贷款余额'!A:L,12,0)</f>
        <v>主动补库存</v>
      </c>
      <c r="I146" s="1" t="str">
        <f>IFERROR(VLOOKUP(A146,美林时钟!A:W,23,0),I147)</f>
        <v>复苏</v>
      </c>
      <c r="J146" s="1" t="str">
        <f>VLOOKUP(A146,库存与产能周期2!A:Q,17,0)</f>
        <v>产能周期下行,主动去库存</v>
      </c>
    </row>
    <row r="147" spans="1:10" x14ac:dyDescent="0.35">
      <c r="A147" s="12">
        <v>42094</v>
      </c>
      <c r="B147" s="13">
        <v>18.781488155255509</v>
      </c>
      <c r="C147" s="87">
        <v>10.471069518716501</v>
      </c>
      <c r="D147" s="1" t="str">
        <f t="shared" si="32"/>
        <v>牛市</v>
      </c>
      <c r="E147" s="1" t="str">
        <f t="shared" si="33"/>
        <v>熊市</v>
      </c>
      <c r="F147" s="1" t="str">
        <f>VLOOKUP(A147,'货币信用框架5-货币政策目标+信用脉冲'!A:L,12,0)</f>
        <v>宽货币紧信用</v>
      </c>
      <c r="G147" s="1" t="str">
        <f>VLOOKUP(A147,'信贷库存框架1-票据+贷款余额'!A:L,12,0)</f>
        <v>主动补库存</v>
      </c>
      <c r="I147" s="1" t="str">
        <f>IFERROR(VLOOKUP(A147,美林时钟!A:W,23,0),I148)</f>
        <v>衰退</v>
      </c>
      <c r="J147" s="1" t="str">
        <f>VLOOKUP(A147,库存与产能周期2!A:Q,17,0)</f>
        <v>产能周期下行,主动去库存</v>
      </c>
    </row>
    <row r="148" spans="1:10" x14ac:dyDescent="0.35">
      <c r="A148" s="12">
        <v>42063</v>
      </c>
      <c r="B148" s="13">
        <v>6.2532348262002788</v>
      </c>
      <c r="C148" s="87">
        <v>-14.3280392156862</v>
      </c>
      <c r="D148" s="1" t="str">
        <f t="shared" si="32"/>
        <v>牛市</v>
      </c>
      <c r="E148" s="1" t="str">
        <f t="shared" si="33"/>
        <v>牛市</v>
      </c>
      <c r="F148" s="1" t="str">
        <f>VLOOKUP(A148,'货币信用框架5-货币政策目标+信用脉冲'!A:L,12,0)</f>
        <v>宽货币紧信用</v>
      </c>
      <c r="G148" s="1" t="str">
        <f>VLOOKUP(A148,'信贷库存框架1-票据+贷款余额'!A:L,12,0)</f>
        <v>主动补库存</v>
      </c>
      <c r="I148" s="1" t="str">
        <f>IFERROR(VLOOKUP(A148,美林时钟!A:W,23,0),I149)</f>
        <v>衰退</v>
      </c>
      <c r="J148" s="1" t="str">
        <f>VLOOKUP(A148,库存与产能周期2!A:Q,17,0)</f>
        <v>产能周期下行,主动去库存</v>
      </c>
    </row>
    <row r="149" spans="1:10" x14ac:dyDescent="0.35">
      <c r="A149" s="12">
        <v>42035</v>
      </c>
      <c r="B149" s="13">
        <v>1.966177581590661</v>
      </c>
      <c r="C149" s="87">
        <v>-14.5844927536232</v>
      </c>
      <c r="D149" s="1" t="str">
        <f t="shared" si="32"/>
        <v>牛市</v>
      </c>
      <c r="E149" s="1" t="str">
        <f t="shared" si="33"/>
        <v>牛市</v>
      </c>
      <c r="F149" s="1" t="str">
        <f>VLOOKUP(A149,'货币信用框架5-货币政策目标+信用脉冲'!A:L,12,0)</f>
        <v>宽货币紧信用</v>
      </c>
      <c r="G149" s="1" t="str">
        <f>VLOOKUP(A149,'信贷库存框架1-票据+贷款余额'!A:L,12,0)</f>
        <v>主动补库存</v>
      </c>
      <c r="I149" s="1" t="str">
        <f>IFERROR(VLOOKUP(A149,美林时钟!A:W,23,0),I150)</f>
        <v>衰退</v>
      </c>
      <c r="J149" s="1" t="str">
        <f>VLOOKUP(A149,库存与产能周期2!A:Q,17,0)</f>
        <v>产能周期下行,主动去库存</v>
      </c>
    </row>
    <row r="150" spans="1:10" x14ac:dyDescent="0.35">
      <c r="A150" s="12">
        <v>42004</v>
      </c>
      <c r="B150" s="13">
        <v>11.23774981655095</v>
      </c>
      <c r="C150" s="87">
        <v>9.7558260869564997</v>
      </c>
      <c r="D150" s="1" t="str">
        <f t="shared" si="32"/>
        <v>牛市</v>
      </c>
      <c r="E150" s="1" t="str">
        <f t="shared" si="33"/>
        <v>熊市</v>
      </c>
      <c r="F150" s="1" t="str">
        <f>VLOOKUP(A150,'货币信用框架5-货币政策目标+信用脉冲'!A:L,12,0)</f>
        <v>宽货币紧信用</v>
      </c>
      <c r="G150" s="1" t="str">
        <f>VLOOKUP(A150,'信贷库存框架1-票据+贷款余额'!A:L,12,0)</f>
        <v>主动补库存</v>
      </c>
      <c r="I150" s="1" t="str">
        <f>IFERROR(VLOOKUP(A150,美林时钟!A:W,23,0),I151)</f>
        <v>衰退</v>
      </c>
      <c r="J150" s="1" t="str">
        <f>VLOOKUP(A150,库存与产能周期2!A:Q,17,0)</f>
        <v>产能周期下行,主动去库存</v>
      </c>
    </row>
    <row r="151" spans="1:10" x14ac:dyDescent="0.35">
      <c r="A151" s="12">
        <v>41973</v>
      </c>
      <c r="B151" s="13">
        <v>9.0157128204432109</v>
      </c>
      <c r="C151" s="87">
        <v>-25.628</v>
      </c>
      <c r="D151" s="1" t="str">
        <f t="shared" si="32"/>
        <v>牛市</v>
      </c>
      <c r="E151" s="1" t="str">
        <f t="shared" si="33"/>
        <v>牛市</v>
      </c>
      <c r="F151" s="1" t="str">
        <f>VLOOKUP(A151,'货币信用框架5-货币政策目标+信用脉冲'!A:L,12,0)</f>
        <v>宽货币紧信用</v>
      </c>
      <c r="G151" s="1" t="str">
        <f>VLOOKUP(A151,'信贷库存框架1-票据+贷款余额'!A:L,12,0)</f>
        <v>主动补库存</v>
      </c>
      <c r="I151" s="1" t="str">
        <f>IFERROR(VLOOKUP(A151,美林时钟!A:W,23,0),I152)</f>
        <v>衰退</v>
      </c>
      <c r="J151" s="1" t="str">
        <f>VLOOKUP(A151,库存与产能周期2!A:Q,17,0)</f>
        <v>产能周期下行,主动去库存</v>
      </c>
    </row>
    <row r="152" spans="1:10" x14ac:dyDescent="0.35">
      <c r="A152" s="12">
        <v>41943</v>
      </c>
      <c r="B152" s="13">
        <v>2.0739901964825531</v>
      </c>
      <c r="C152" s="87">
        <v>-31.466818181818201</v>
      </c>
      <c r="D152" s="1" t="str">
        <f t="shared" si="32"/>
        <v>牛市</v>
      </c>
      <c r="E152" s="1" t="str">
        <f t="shared" si="33"/>
        <v>牛市</v>
      </c>
      <c r="F152" s="1" t="str">
        <f>VLOOKUP(A152,'货币信用框架5-货币政策目标+信用脉冲'!A:L,12,0)</f>
        <v>宽货币紧信用</v>
      </c>
      <c r="G152" s="1" t="str">
        <f>VLOOKUP(A152,'信贷库存框架1-票据+贷款余额'!A:L,12,0)</f>
        <v>被动补库存</v>
      </c>
      <c r="I152" s="1" t="str">
        <f>IFERROR(VLOOKUP(A152,美林时钟!A:W,23,0),I153)</f>
        <v>衰退</v>
      </c>
      <c r="J152" s="1" t="str">
        <f>VLOOKUP(A152,库存与产能周期2!A:Q,17,0)</f>
        <v>产能周期下行,主动去库存</v>
      </c>
    </row>
    <row r="153" spans="1:10" x14ac:dyDescent="0.35">
      <c r="A153" s="12">
        <v>41912</v>
      </c>
      <c r="B153" s="13">
        <v>9.6784693902478072</v>
      </c>
      <c r="C153" s="87">
        <v>-9.0484199134199006</v>
      </c>
      <c r="D153" s="1" t="str">
        <f t="shared" si="32"/>
        <v>牛市</v>
      </c>
      <c r="E153" s="1" t="str">
        <f t="shared" si="33"/>
        <v>牛市</v>
      </c>
      <c r="F153" s="1" t="str">
        <f>VLOOKUP(A153,'货币信用框架5-货币政策目标+信用脉冲'!A:L,12,0)</f>
        <v>宽货币紧信用</v>
      </c>
      <c r="G153" s="1" t="str">
        <f>VLOOKUP(A153,'信贷库存框架1-票据+贷款余额'!A:L,12,0)</f>
        <v>被动补库存</v>
      </c>
      <c r="I153" s="1" t="str">
        <f>IFERROR(VLOOKUP(A153,美林时钟!A:W,23,0),I154)</f>
        <v>衰退</v>
      </c>
      <c r="J153" s="1" t="str">
        <f>VLOOKUP(A153,库存与产能周期2!A:Q,17,0)</f>
        <v>产能周期下行,主动去库存</v>
      </c>
    </row>
    <row r="154" spans="1:10" x14ac:dyDescent="0.35">
      <c r="A154" s="12">
        <v>41882</v>
      </c>
      <c r="B154" s="13">
        <v>2.8302960759482589</v>
      </c>
      <c r="C154" s="87">
        <v>3.9569772256729001</v>
      </c>
      <c r="D154" s="1" t="str">
        <f t="shared" si="32"/>
        <v>牛市</v>
      </c>
      <c r="E154" s="1" t="str">
        <f t="shared" si="33"/>
        <v>熊市</v>
      </c>
      <c r="F154" s="1" t="str">
        <f>VLOOKUP(A154,'货币信用框架5-货币政策目标+信用脉冲'!A:L,12,0)</f>
        <v>宽货币紧信用</v>
      </c>
      <c r="G154" s="1" t="str">
        <f>VLOOKUP(A154,'信贷库存框架1-票据+贷款余额'!A:L,12,0)</f>
        <v>被动补库存</v>
      </c>
      <c r="I154" s="1" t="str">
        <f>IFERROR(VLOOKUP(A154,美林时钟!A:W,23,0),I155)</f>
        <v>衰退</v>
      </c>
      <c r="J154" s="1" t="str">
        <f>VLOOKUP(A154,库存与产能周期2!A:Q,17,0)</f>
        <v>产能周期下行,主动去库存</v>
      </c>
    </row>
    <row r="155" spans="1:10" x14ac:dyDescent="0.35">
      <c r="A155" s="12">
        <v>41851</v>
      </c>
      <c r="B155" s="13">
        <v>8.5715214004806413</v>
      </c>
      <c r="C155" s="87">
        <v>15.4597608695652</v>
      </c>
      <c r="D155" s="1" t="str">
        <f t="shared" si="32"/>
        <v>牛市</v>
      </c>
      <c r="E155" s="1" t="str">
        <f t="shared" si="33"/>
        <v>熊市</v>
      </c>
      <c r="F155" s="1" t="str">
        <f>VLOOKUP(A155,'货币信用框架5-货币政策目标+信用脉冲'!A:L,12,0)</f>
        <v>宽货币紧信用</v>
      </c>
      <c r="G155" s="1" t="str">
        <f>VLOOKUP(A155,'信贷库存框架1-票据+贷款余额'!A:L,12,0)</f>
        <v>被动补库存</v>
      </c>
      <c r="I155" s="1" t="str">
        <f>IFERROR(VLOOKUP(A155,美林时钟!A:W,23,0),I156)</f>
        <v>滞涨</v>
      </c>
      <c r="J155" s="1" t="str">
        <f>VLOOKUP(A155,库存与产能周期2!A:Q,17,0)</f>
        <v>产能周期下行,被动补库存</v>
      </c>
    </row>
    <row r="156" spans="1:10" x14ac:dyDescent="0.35">
      <c r="A156" s="12">
        <v>41820</v>
      </c>
      <c r="B156" s="13">
        <v>3.079712584468012</v>
      </c>
      <c r="C156" s="87">
        <v>-13.0643571428571</v>
      </c>
      <c r="D156" s="1" t="str">
        <f t="shared" si="32"/>
        <v>牛市</v>
      </c>
      <c r="E156" s="1" t="str">
        <f t="shared" si="33"/>
        <v>牛市</v>
      </c>
      <c r="F156" s="1" t="str">
        <f>VLOOKUP(A156,'货币信用框架5-货币政策目标+信用脉冲'!A:L,12,0)</f>
        <v>宽货币紧信用</v>
      </c>
      <c r="G156" s="1" t="str">
        <f>VLOOKUP(A156,'信贷库存框架1-票据+贷款余额'!A:L,12,0)</f>
        <v>被动补库存</v>
      </c>
      <c r="I156" s="1" t="str">
        <f>IFERROR(VLOOKUP(A156,美林时钟!A:W,23,0),I157)</f>
        <v>过热</v>
      </c>
      <c r="J156" s="1" t="str">
        <f>VLOOKUP(A156,库存与产能周期2!A:Q,17,0)</f>
        <v>产能周期下行,主动补库存</v>
      </c>
    </row>
    <row r="157" spans="1:10" x14ac:dyDescent="0.35">
      <c r="A157" s="12">
        <v>41790</v>
      </c>
      <c r="B157" s="13">
        <v>1.492692557126873</v>
      </c>
      <c r="C157" s="87">
        <v>-20.32</v>
      </c>
      <c r="D157" s="1" t="str">
        <f t="shared" si="32"/>
        <v>牛市</v>
      </c>
      <c r="E157" s="1" t="str">
        <f t="shared" si="33"/>
        <v>牛市</v>
      </c>
      <c r="F157" s="1" t="str">
        <f>VLOOKUP(A157,'货币信用框架5-货币政策目标+信用脉冲'!A:L,12,0)</f>
        <v>宽货币紧信用</v>
      </c>
      <c r="G157" s="1" t="str">
        <f>VLOOKUP(A157,'信贷库存框架1-票据+贷款余额'!A:L,12,0)</f>
        <v>被动补库存</v>
      </c>
      <c r="I157" s="1" t="str">
        <f>IFERROR(VLOOKUP(A157,美林时钟!A:W,23,0),I158)</f>
        <v>过热</v>
      </c>
      <c r="J157" s="1" t="str">
        <f>VLOOKUP(A157,库存与产能周期2!A:Q,17,0)</f>
        <v>产能周期下行,主动补库存</v>
      </c>
    </row>
    <row r="158" spans="1:10" x14ac:dyDescent="0.35">
      <c r="A158" s="12">
        <v>41759</v>
      </c>
      <c r="B158" s="13">
        <v>-0.76764701517843503</v>
      </c>
      <c r="C158" s="87">
        <v>-11.854761904761901</v>
      </c>
      <c r="D158" s="1" t="str">
        <f t="shared" ref="D158:D221" si="34">IF(B158&gt;=1,"牛市",IF(B158&lt;=-1,"熊市","震荡"))</f>
        <v>震荡</v>
      </c>
      <c r="E158" s="1" t="str">
        <f t="shared" ref="E158:E221" si="35">IF(C158&lt;=-2,"牛市",IF(C158&gt;=2,"熊市","震荡"))</f>
        <v>牛市</v>
      </c>
      <c r="F158" s="1" t="str">
        <f>VLOOKUP(A158,'货币信用框架5-货币政策目标+信用脉冲'!A:L,12,0)</f>
        <v>宽货币紧信用</v>
      </c>
      <c r="G158" s="1" t="str">
        <f>VLOOKUP(A158,'信贷库存框架1-票据+贷款余额'!A:L,12,0)</f>
        <v>被动补库存</v>
      </c>
      <c r="I158" s="1" t="str">
        <f>IFERROR(VLOOKUP(A158,美林时钟!A:W,23,0),I159)</f>
        <v>过热</v>
      </c>
      <c r="J158" s="1" t="str">
        <f>VLOOKUP(A158,库存与产能周期2!A:Q,17,0)</f>
        <v>产能周期下行,主动补库存</v>
      </c>
    </row>
    <row r="159" spans="1:10" x14ac:dyDescent="0.35">
      <c r="A159" s="12">
        <v>41729</v>
      </c>
      <c r="B159" s="13">
        <v>-2.7917406664213411</v>
      </c>
      <c r="C159" s="87">
        <v>2.2511484593837001</v>
      </c>
      <c r="D159" s="1" t="str">
        <f t="shared" si="34"/>
        <v>熊市</v>
      </c>
      <c r="E159" s="1" t="str">
        <f t="shared" si="35"/>
        <v>熊市</v>
      </c>
      <c r="F159" s="1" t="str">
        <f>VLOOKUP(A159,'货币信用框架5-货币政策目标+信用脉冲'!A:L,12,0)</f>
        <v>紧货币紧信用</v>
      </c>
      <c r="G159" s="1" t="str">
        <f>VLOOKUP(A159,'信贷库存框架1-票据+贷款余额'!A:L,12,0)</f>
        <v>主动去库存</v>
      </c>
      <c r="I159" s="1" t="str">
        <f>IFERROR(VLOOKUP(A159,美林时钟!A:W,23,0),I160)</f>
        <v>复苏</v>
      </c>
      <c r="J159" s="1" t="str">
        <f>VLOOKUP(A159,库存与产能周期2!A:Q,17,0)</f>
        <v>产能周期下行,主动补库存</v>
      </c>
    </row>
    <row r="160" spans="1:10" x14ac:dyDescent="0.35">
      <c r="A160" s="12">
        <v>41698</v>
      </c>
      <c r="B160" s="13">
        <v>0.86772018646912796</v>
      </c>
      <c r="C160" s="87">
        <v>-8.0112566844920003</v>
      </c>
      <c r="D160" s="1" t="str">
        <f t="shared" si="34"/>
        <v>震荡</v>
      </c>
      <c r="E160" s="1" t="str">
        <f t="shared" si="35"/>
        <v>牛市</v>
      </c>
      <c r="F160" s="1" t="str">
        <f>VLOOKUP(A160,'货币信用框架5-货币政策目标+信用脉冲'!A:L,12,0)</f>
        <v>紧货币紧信用</v>
      </c>
      <c r="G160" s="1" t="str">
        <f>VLOOKUP(A160,'信贷库存框架1-票据+贷款余额'!A:L,12,0)</f>
        <v>主动去库存</v>
      </c>
      <c r="I160" s="1" t="str">
        <f>IFERROR(VLOOKUP(A160,美林时钟!A:W,23,0),I161)</f>
        <v>衰退</v>
      </c>
      <c r="J160" s="1" t="str">
        <f>VLOOKUP(A160,库存与产能周期2!A:Q,17,0)</f>
        <v>产能周期下行,主动补库存</v>
      </c>
    </row>
    <row r="161" spans="1:10" x14ac:dyDescent="0.35">
      <c r="A161" s="12">
        <v>41670</v>
      </c>
      <c r="B161" s="13">
        <v>-1.197924065255608</v>
      </c>
      <c r="C161" s="87">
        <v>1.3213636363637</v>
      </c>
      <c r="D161" s="1" t="str">
        <f t="shared" si="34"/>
        <v>熊市</v>
      </c>
      <c r="E161" s="1" t="str">
        <f t="shared" si="35"/>
        <v>震荡</v>
      </c>
      <c r="F161" s="1" t="str">
        <f>VLOOKUP(A161,'货币信用框架5-货币政策目标+信用脉冲'!A:L,12,0)</f>
        <v>紧货币紧信用</v>
      </c>
      <c r="G161" s="1" t="str">
        <f>VLOOKUP(A161,'信贷库存框架1-票据+贷款余额'!A:L,12,0)</f>
        <v>主动去库存</v>
      </c>
      <c r="I161" s="1" t="str">
        <f>IFERROR(VLOOKUP(A161,美林时钟!A:W,23,0),I162)</f>
        <v>衰退</v>
      </c>
      <c r="J161" s="1" t="str">
        <f>VLOOKUP(A161,库存与产能周期2!A:Q,17,0)</f>
        <v>产能周期下行,主动补库存</v>
      </c>
    </row>
    <row r="162" spans="1:10" x14ac:dyDescent="0.35">
      <c r="A162" s="12">
        <v>41639</v>
      </c>
      <c r="B162" s="13">
        <v>-3.9460120334387301</v>
      </c>
      <c r="C162" s="87">
        <v>8.5901731601730997</v>
      </c>
      <c r="D162" s="1" t="str">
        <f t="shared" si="34"/>
        <v>熊市</v>
      </c>
      <c r="E162" s="1" t="str">
        <f t="shared" si="35"/>
        <v>熊市</v>
      </c>
      <c r="F162" s="1" t="str">
        <f>VLOOKUP(A162,'货币信用框架5-货币政策目标+信用脉冲'!A:L,12,0)</f>
        <v>紧货币紧信用</v>
      </c>
      <c r="G162" s="1" t="str">
        <f>VLOOKUP(A162,'信贷库存框架1-票据+贷款余额'!A:L,12,0)</f>
        <v>主动去库存</v>
      </c>
      <c r="I162" s="1" t="str">
        <f>IFERROR(VLOOKUP(A162,美林时钟!A:W,23,0),I163)</f>
        <v>衰退</v>
      </c>
      <c r="J162" s="1" t="str">
        <f>VLOOKUP(A162,库存与产能周期2!A:Q,17,0)</f>
        <v>产能周期下行,主动补库存</v>
      </c>
    </row>
    <row r="163" spans="1:10" x14ac:dyDescent="0.35">
      <c r="A163" s="12">
        <v>41608</v>
      </c>
      <c r="B163" s="13">
        <v>5.245033397032361</v>
      </c>
      <c r="C163" s="87">
        <v>34.996190476190499</v>
      </c>
      <c r="D163" s="1" t="str">
        <f t="shared" si="34"/>
        <v>牛市</v>
      </c>
      <c r="E163" s="1" t="str">
        <f t="shared" si="35"/>
        <v>熊市</v>
      </c>
      <c r="F163" s="1" t="str">
        <f>VLOOKUP(A163,'货币信用框架5-货币政策目标+信用脉冲'!A:L,12,0)</f>
        <v>紧货币紧信用</v>
      </c>
      <c r="G163" s="1" t="str">
        <f>VLOOKUP(A163,'信贷库存框架1-票据+贷款余额'!A:L,12,0)</f>
        <v>主动去库存</v>
      </c>
      <c r="I163" s="1" t="str">
        <f>IFERROR(VLOOKUP(A163,美林时钟!A:W,23,0),I164)</f>
        <v>衰退</v>
      </c>
      <c r="J163" s="1" t="str">
        <f>VLOOKUP(A163,库存与产能周期2!A:Q,17,0)</f>
        <v>产能周期下行,主动补库存</v>
      </c>
    </row>
    <row r="164" spans="1:10" x14ac:dyDescent="0.35">
      <c r="A164" s="12">
        <v>41578</v>
      </c>
      <c r="B164" s="13">
        <v>-2.8042317796420488</v>
      </c>
      <c r="C164" s="87">
        <v>6.48</v>
      </c>
      <c r="D164" s="1" t="str">
        <f t="shared" si="34"/>
        <v>熊市</v>
      </c>
      <c r="E164" s="1" t="str">
        <f t="shared" si="35"/>
        <v>熊市</v>
      </c>
      <c r="F164" s="1" t="str">
        <f>VLOOKUP(A164,'货币信用框架5-货币政策目标+信用脉冲'!A:L,12,0)</f>
        <v>紧货币紧信用</v>
      </c>
      <c r="G164" s="1" t="str">
        <f>VLOOKUP(A164,'信贷库存框架1-票据+贷款余额'!A:L,12,0)</f>
        <v>主动去库存</v>
      </c>
      <c r="I164" s="1" t="str">
        <f>IFERROR(VLOOKUP(A164,美林时钟!A:W,23,0),I165)</f>
        <v>衰退</v>
      </c>
      <c r="J164" s="1" t="str">
        <f>VLOOKUP(A164,库存与产能周期2!A:Q,17,0)</f>
        <v>产能周期下行,主动补库存</v>
      </c>
    </row>
    <row r="165" spans="1:10" x14ac:dyDescent="0.35">
      <c r="A165" s="12">
        <v>41547</v>
      </c>
      <c r="B165" s="13">
        <v>5.4048369096063507</v>
      </c>
      <c r="C165" s="87">
        <v>13.5490909090909</v>
      </c>
      <c r="D165" s="1" t="str">
        <f t="shared" si="34"/>
        <v>牛市</v>
      </c>
      <c r="E165" s="1" t="str">
        <f t="shared" si="35"/>
        <v>熊市</v>
      </c>
      <c r="F165" s="1" t="str">
        <f>VLOOKUP(A165,'货币信用框架5-货币政策目标+信用脉冲'!A:L,12,0)</f>
        <v>紧货币紧信用</v>
      </c>
      <c r="G165" s="1" t="str">
        <f>VLOOKUP(A165,'信贷库存框架1-票据+贷款余额'!A:L,12,0)</f>
        <v>主动去库存</v>
      </c>
      <c r="I165" s="1" t="str">
        <f>IFERROR(VLOOKUP(A165,美林时钟!A:W,23,0),I166)</f>
        <v>滞涨</v>
      </c>
      <c r="J165" s="1" t="str">
        <f>VLOOKUP(A165,库存与产能周期2!A:Q,17,0)</f>
        <v>产能周期下行,主动补库存</v>
      </c>
    </row>
    <row r="166" spans="1:10" x14ac:dyDescent="0.35">
      <c r="A166" s="12">
        <v>41517</v>
      </c>
      <c r="B166" s="13">
        <v>6.6020783024532488</v>
      </c>
      <c r="C166" s="87">
        <v>27.858735177865601</v>
      </c>
      <c r="D166" s="1" t="str">
        <f t="shared" si="34"/>
        <v>牛市</v>
      </c>
      <c r="E166" s="1" t="str">
        <f t="shared" si="35"/>
        <v>熊市</v>
      </c>
      <c r="F166" s="1" t="str">
        <f>VLOOKUP(A166,'货币信用框架5-货币政策目标+信用脉冲'!A:L,12,0)</f>
        <v>紧货币紧信用</v>
      </c>
      <c r="G166" s="1" t="str">
        <f>VLOOKUP(A166,'信贷库存框架1-票据+贷款余额'!A:L,12,0)</f>
        <v>主动去库存</v>
      </c>
      <c r="I166" s="1" t="str">
        <f>IFERROR(VLOOKUP(A166,美林时钟!A:W,23,0),I167)</f>
        <v>过热</v>
      </c>
      <c r="J166" s="1" t="str">
        <f>VLOOKUP(A166,库存与产能周期2!A:Q,17,0)</f>
        <v>产能周期下行,主动补库存</v>
      </c>
    </row>
    <row r="167" spans="1:10" x14ac:dyDescent="0.35">
      <c r="A167" s="12">
        <v>41486</v>
      </c>
      <c r="B167" s="13">
        <v>3.7627719258704171</v>
      </c>
      <c r="C167" s="87">
        <v>11.9869107551488</v>
      </c>
      <c r="D167" s="1" t="str">
        <f t="shared" si="34"/>
        <v>牛市</v>
      </c>
      <c r="E167" s="1" t="str">
        <f t="shared" si="35"/>
        <v>熊市</v>
      </c>
      <c r="F167" s="1" t="str">
        <f>VLOOKUP(A167,'货币信用框架5-货币政策目标+信用脉冲'!A:L,12,0)</f>
        <v>紧货币紧信用</v>
      </c>
      <c r="G167" s="1" t="str">
        <f>VLOOKUP(A167,'信贷库存框架1-票据+贷款余额'!A:L,12,0)</f>
        <v>主动去库存</v>
      </c>
      <c r="I167" s="1" t="str">
        <f>IFERROR(VLOOKUP(A167,美林时钟!A:W,23,0),I168)</f>
        <v>过热</v>
      </c>
      <c r="J167" s="1" t="str">
        <f>VLOOKUP(A167,库存与产能周期2!A:Q,17,0)</f>
        <v>产能周期下行,被动去库存</v>
      </c>
    </row>
    <row r="168" spans="1:10" x14ac:dyDescent="0.35">
      <c r="A168" s="12">
        <v>41455</v>
      </c>
      <c r="B168" s="13">
        <v>-14.997738136432121</v>
      </c>
      <c r="C168" s="87">
        <v>9.0111722488038009</v>
      </c>
      <c r="D168" s="1" t="str">
        <f t="shared" si="34"/>
        <v>熊市</v>
      </c>
      <c r="E168" s="1" t="str">
        <f t="shared" si="35"/>
        <v>熊市</v>
      </c>
      <c r="F168" s="1" t="str">
        <f>VLOOKUP(A168,'货币信用框架5-货币政策目标+信用脉冲'!A:L,12,0)</f>
        <v>紧货币紧信用</v>
      </c>
      <c r="G168" s="1" t="str">
        <f>VLOOKUP(A168,'信贷库存框架1-票据+贷款余额'!A:L,12,0)</f>
        <v>主动去库存</v>
      </c>
      <c r="I168" s="1" t="str">
        <f>IFERROR(VLOOKUP(A168,美林时钟!A:W,23,0),I169)</f>
        <v>过热</v>
      </c>
      <c r="J168" s="1" t="str">
        <f>VLOOKUP(A168,库存与产能周期2!A:Q,17,0)</f>
        <v>产能周期下行,被动去库存</v>
      </c>
    </row>
    <row r="169" spans="1:10" x14ac:dyDescent="0.35">
      <c r="A169" s="12">
        <v>41425</v>
      </c>
      <c r="B169" s="13">
        <v>9.7979906200596911</v>
      </c>
      <c r="C169" s="87">
        <v>-3.573051948052</v>
      </c>
      <c r="D169" s="1" t="str">
        <f t="shared" si="34"/>
        <v>牛市</v>
      </c>
      <c r="E169" s="1" t="str">
        <f t="shared" si="35"/>
        <v>牛市</v>
      </c>
      <c r="F169" s="1" t="str">
        <f>VLOOKUP(A169,'货币信用框架5-货币政策目标+信用脉冲'!A:L,12,0)</f>
        <v>紧货币宽信用</v>
      </c>
      <c r="G169" s="1" t="str">
        <f>VLOOKUP(A169,'信贷库存框架1-票据+贷款余额'!A:L,12,0)</f>
        <v>主动去库存</v>
      </c>
      <c r="I169" s="1" t="str">
        <f>IFERROR(VLOOKUP(A169,美林时钟!A:W,23,0),I170)</f>
        <v>复苏</v>
      </c>
      <c r="J169" s="1" t="str">
        <f>VLOOKUP(A169,库存与产能周期2!A:Q,17,0)</f>
        <v>产能周期下行,被动去库存</v>
      </c>
    </row>
    <row r="170" spans="1:10" x14ac:dyDescent="0.35">
      <c r="A170" s="12">
        <v>41394</v>
      </c>
      <c r="B170" s="13">
        <v>-2.0890106033861628</v>
      </c>
      <c r="C170" s="87">
        <v>-11.8695238095238</v>
      </c>
      <c r="D170" s="1" t="str">
        <f t="shared" si="34"/>
        <v>熊市</v>
      </c>
      <c r="E170" s="1" t="str">
        <f t="shared" si="35"/>
        <v>牛市</v>
      </c>
      <c r="F170" s="1" t="str">
        <f>VLOOKUP(A170,'货币信用框架5-货币政策目标+信用脉冲'!A:L,12,0)</f>
        <v>紧货币宽信用</v>
      </c>
      <c r="G170" s="1" t="str">
        <f>VLOOKUP(A170,'信贷库存框架1-票据+贷款余额'!A:L,12,0)</f>
        <v>主动去库存</v>
      </c>
      <c r="I170" s="1" t="str">
        <f>IFERROR(VLOOKUP(A170,美林时钟!A:W,23,0),I171)</f>
        <v>复苏</v>
      </c>
      <c r="J170" s="1" t="str">
        <f>VLOOKUP(A170,库存与产能周期2!A:Q,17,0)</f>
        <v>产能周期下行,被动去库存</v>
      </c>
    </row>
    <row r="171" spans="1:10" x14ac:dyDescent="0.35">
      <c r="A171" s="12">
        <v>41364</v>
      </c>
      <c r="B171" s="13">
        <v>-5.3591550873242388</v>
      </c>
      <c r="C171" s="87">
        <v>-0.85509803921570005</v>
      </c>
      <c r="D171" s="1" t="str">
        <f t="shared" si="34"/>
        <v>熊市</v>
      </c>
      <c r="E171" s="1" t="str">
        <f t="shared" si="35"/>
        <v>震荡</v>
      </c>
      <c r="F171" s="1" t="str">
        <f>VLOOKUP(A171,'货币信用框架5-货币政策目标+信用脉冲'!A:L,12,0)</f>
        <v>紧货币宽信用</v>
      </c>
      <c r="G171" s="1" t="str">
        <f>VLOOKUP(A171,'信贷库存框架1-票据+贷款余额'!A:L,12,0)</f>
        <v>主动去库存</v>
      </c>
      <c r="I171" s="1" t="str">
        <f>IFERROR(VLOOKUP(A171,美林时钟!A:W,23,0),I172)</f>
        <v>复苏</v>
      </c>
      <c r="J171" s="1" t="str">
        <f>VLOOKUP(A171,库存与产能周期2!A:Q,17,0)</f>
        <v>产能周期下行,被动去库存</v>
      </c>
    </row>
    <row r="172" spans="1:10" x14ac:dyDescent="0.35">
      <c r="A172" s="12">
        <v>41333</v>
      </c>
      <c r="B172" s="13">
        <v>1.26804026638818</v>
      </c>
      <c r="C172" s="87">
        <v>-0.60732620320849995</v>
      </c>
      <c r="D172" s="1" t="str">
        <f t="shared" si="34"/>
        <v>牛市</v>
      </c>
      <c r="E172" s="1" t="str">
        <f t="shared" si="35"/>
        <v>震荡</v>
      </c>
      <c r="F172" s="1" t="str">
        <f>VLOOKUP(A172,'货币信用框架5-货币政策目标+信用脉冲'!A:L,12,0)</f>
        <v>紧货币宽信用</v>
      </c>
      <c r="G172" s="1" t="str">
        <f>VLOOKUP(A172,'信贷库存框架1-票据+贷款余额'!A:L,12,0)</f>
        <v>主动去库存</v>
      </c>
      <c r="I172" s="1" t="str">
        <f>IFERROR(VLOOKUP(A172,美林时钟!A:W,23,0),I173)</f>
        <v>过热</v>
      </c>
      <c r="J172" s="1" t="str">
        <f>VLOOKUP(A172,库存与产能周期2!A:Q,17,0)</f>
        <v>产能周期下行,被动去库存</v>
      </c>
    </row>
    <row r="173" spans="1:10" x14ac:dyDescent="0.35">
      <c r="A173" s="12">
        <v>41305</v>
      </c>
      <c r="B173" s="13">
        <v>5.0916680160486498</v>
      </c>
      <c r="C173" s="87">
        <v>1.6471861471861</v>
      </c>
      <c r="D173" s="1" t="str">
        <f t="shared" si="34"/>
        <v>牛市</v>
      </c>
      <c r="E173" s="1" t="str">
        <f t="shared" si="35"/>
        <v>震荡</v>
      </c>
      <c r="F173" s="1" t="str">
        <f>VLOOKUP(A173,'货币信用框架5-货币政策目标+信用脉冲'!A:L,12,0)</f>
        <v>紧货币宽信用</v>
      </c>
      <c r="G173" s="1" t="str">
        <f>VLOOKUP(A173,'信贷库存框架1-票据+贷款余额'!A:L,12,0)</f>
        <v>主动去库存</v>
      </c>
      <c r="I173" s="1" t="str">
        <f>IFERROR(VLOOKUP(A173,美林时钟!A:W,23,0),I174)</f>
        <v>过热</v>
      </c>
      <c r="J173" s="1" t="str">
        <f>VLOOKUP(A173,库存与产能周期2!A:Q,17,0)</f>
        <v>产能周期下行,被动去库存</v>
      </c>
    </row>
    <row r="174" spans="1:10" x14ac:dyDescent="0.35">
      <c r="A174" s="12">
        <v>41274</v>
      </c>
      <c r="B174" s="13">
        <v>15.042379459157379</v>
      </c>
      <c r="C174" s="87">
        <v>2.9205411255412002</v>
      </c>
      <c r="D174" s="1" t="str">
        <f t="shared" si="34"/>
        <v>牛市</v>
      </c>
      <c r="E174" s="1" t="str">
        <f t="shared" si="35"/>
        <v>熊市</v>
      </c>
      <c r="F174" s="1" t="str">
        <f>VLOOKUP(A174,'货币信用框架5-货币政策目标+信用脉冲'!A:L,12,0)</f>
        <v>紧货币宽信用</v>
      </c>
      <c r="G174" s="1" t="str">
        <f>VLOOKUP(A174,'信贷库存框架1-票据+贷款余额'!A:L,12,0)</f>
        <v>主动去库存</v>
      </c>
      <c r="I174" s="1" t="str">
        <f>IFERROR(VLOOKUP(A174,美林时钟!A:W,23,0),I175)</f>
        <v>过热</v>
      </c>
      <c r="J174" s="1" t="str">
        <f>VLOOKUP(A174,库存与产能周期2!A:Q,17,0)</f>
        <v>产能周期下行,被动去库存</v>
      </c>
    </row>
    <row r="175" spans="1:10" x14ac:dyDescent="0.35">
      <c r="A175" s="12">
        <v>41243</v>
      </c>
      <c r="B175" s="13">
        <v>-5.9600393183521332</v>
      </c>
      <c r="C175" s="87">
        <v>2.3058080808080001</v>
      </c>
      <c r="D175" s="1" t="str">
        <f t="shared" si="34"/>
        <v>熊市</v>
      </c>
      <c r="E175" s="1" t="str">
        <f t="shared" si="35"/>
        <v>熊市</v>
      </c>
      <c r="F175" s="1" t="str">
        <f>VLOOKUP(A175,'货币信用框架5-货币政策目标+信用脉冲'!A:L,12,0)</f>
        <v>紧货币宽信用</v>
      </c>
      <c r="G175" s="1" t="str">
        <f>VLOOKUP(A175,'信贷库存框架1-票据+贷款余额'!A:L,12,0)</f>
        <v>主动去库存</v>
      </c>
      <c r="I175" s="1" t="str">
        <f>IFERROR(VLOOKUP(A175,美林时钟!A:W,23,0),I176)</f>
        <v>过热</v>
      </c>
      <c r="J175" s="1" t="str">
        <f>VLOOKUP(A175,库存与产能周期2!A:Q,17,0)</f>
        <v>产能周期下行,被动去库存</v>
      </c>
    </row>
    <row r="176" spans="1:10" x14ac:dyDescent="0.35">
      <c r="A176" s="12">
        <v>41213</v>
      </c>
      <c r="B176" s="13">
        <v>-0.91418432193174504</v>
      </c>
      <c r="C176" s="87">
        <v>5.6088888888888997</v>
      </c>
      <c r="D176" s="1" t="str">
        <f t="shared" si="34"/>
        <v>震荡</v>
      </c>
      <c r="E176" s="1" t="str">
        <f t="shared" si="35"/>
        <v>熊市</v>
      </c>
      <c r="F176" s="1" t="str">
        <f>VLOOKUP(A176,'货币信用框架5-货币政策目标+信用脉冲'!A:L,12,0)</f>
        <v>紧货币宽信用</v>
      </c>
      <c r="G176" s="1" t="str">
        <f>VLOOKUP(A176,'信贷库存框架1-票据+贷款余额'!A:L,12,0)</f>
        <v>主动去库存</v>
      </c>
      <c r="I176" s="1" t="str">
        <f>IFERROR(VLOOKUP(A176,美林时钟!A:W,23,0),I177)</f>
        <v>过热</v>
      </c>
      <c r="J176" s="1" t="str">
        <f>VLOOKUP(A176,库存与产能周期2!A:Q,17,0)</f>
        <v>产能周期下行,被动去库存</v>
      </c>
    </row>
    <row r="177" spans="1:10" x14ac:dyDescent="0.35">
      <c r="A177" s="12">
        <v>41182</v>
      </c>
      <c r="B177" s="13">
        <v>2.390298400987775</v>
      </c>
      <c r="C177" s="87">
        <v>13.009275362318901</v>
      </c>
      <c r="D177" s="1" t="str">
        <f t="shared" si="34"/>
        <v>牛市</v>
      </c>
      <c r="E177" s="1" t="str">
        <f t="shared" si="35"/>
        <v>熊市</v>
      </c>
      <c r="F177" s="1" t="str">
        <f>VLOOKUP(A177,'货币信用框架5-货币政策目标+信用脉冲'!A:L,12,0)</f>
        <v>紧货币宽信用</v>
      </c>
      <c r="G177" s="1" t="str">
        <f>VLOOKUP(A177,'信贷库存框架1-票据+贷款余额'!A:L,12,0)</f>
        <v>主动去库存</v>
      </c>
      <c r="I177" s="1" t="str">
        <f>IFERROR(VLOOKUP(A177,美林时钟!A:W,23,0),I178)</f>
        <v>复苏</v>
      </c>
      <c r="J177" s="1" t="str">
        <f>VLOOKUP(A177,库存与产能周期2!A:Q,17,0)</f>
        <v>产能周期下行,被动去库存</v>
      </c>
    </row>
    <row r="178" spans="1:10" x14ac:dyDescent="0.35">
      <c r="A178" s="12">
        <v>41152</v>
      </c>
      <c r="B178" s="13">
        <v>-2.4177296966059001</v>
      </c>
      <c r="C178" s="87">
        <v>5.5573913043478003</v>
      </c>
      <c r="D178" s="1" t="str">
        <f t="shared" si="34"/>
        <v>熊市</v>
      </c>
      <c r="E178" s="1" t="str">
        <f t="shared" si="35"/>
        <v>熊市</v>
      </c>
      <c r="F178" s="1" t="str">
        <f>VLOOKUP(A178,'货币信用框架5-货币政策目标+信用脉冲'!A:L,12,0)</f>
        <v>紧货币宽信用</v>
      </c>
      <c r="G178" s="1" t="str">
        <f>VLOOKUP(A178,'信贷库存框架1-票据+贷款余额'!A:L,12,0)</f>
        <v>主动补库存</v>
      </c>
      <c r="I178" s="1" t="str">
        <f>IFERROR(VLOOKUP(A178,美林时钟!A:W,23,0),I179)</f>
        <v>衰退</v>
      </c>
      <c r="J178" s="1" t="str">
        <f>VLOOKUP(A178,库存与产能周期2!A:Q,17,0)</f>
        <v>产能周期下行,主动去库存</v>
      </c>
    </row>
    <row r="179" spans="1:10" x14ac:dyDescent="0.35">
      <c r="A179" s="12">
        <v>41121</v>
      </c>
      <c r="B179" s="13">
        <v>-5.5393318802712788</v>
      </c>
      <c r="C179" s="87">
        <v>-8.3915000000000006</v>
      </c>
      <c r="D179" s="1" t="str">
        <f t="shared" si="34"/>
        <v>熊市</v>
      </c>
      <c r="E179" s="1" t="str">
        <f t="shared" si="35"/>
        <v>牛市</v>
      </c>
      <c r="F179" s="1" t="str">
        <f>VLOOKUP(A179,'货币信用框架5-货币政策目标+信用脉冲'!A:L,12,0)</f>
        <v>紧货币宽信用</v>
      </c>
      <c r="G179" s="1" t="str">
        <f>VLOOKUP(A179,'信贷库存框架1-票据+贷款余额'!A:L,12,0)</f>
        <v>主动补库存</v>
      </c>
      <c r="I179" s="1" t="str">
        <f>IFERROR(VLOOKUP(A179,美林时钟!A:W,23,0),I180)</f>
        <v>衰退</v>
      </c>
      <c r="J179" s="1" t="str">
        <f>VLOOKUP(A179,库存与产能周期2!A:Q,17,0)</f>
        <v>产能周期下行,主动去库存</v>
      </c>
    </row>
    <row r="180" spans="1:10" x14ac:dyDescent="0.35">
      <c r="A180" s="12">
        <v>41090</v>
      </c>
      <c r="B180" s="13">
        <v>-5.0787622195509101</v>
      </c>
      <c r="C180" s="87">
        <v>-6.7366818181817996</v>
      </c>
      <c r="D180" s="1" t="str">
        <f t="shared" si="34"/>
        <v>熊市</v>
      </c>
      <c r="E180" s="1" t="str">
        <f t="shared" si="35"/>
        <v>牛市</v>
      </c>
      <c r="F180" s="1" t="str">
        <f>VLOOKUP(A180,'货币信用框架5-货币政策目标+信用脉冲'!A:L,12,0)</f>
        <v>宽货币宽信用</v>
      </c>
      <c r="G180" s="1" t="str">
        <f>VLOOKUP(A180,'信贷库存框架1-票据+贷款余额'!A:L,12,0)</f>
        <v>主动补库存</v>
      </c>
      <c r="I180" s="1" t="str">
        <f>IFERROR(VLOOKUP(A180,美林时钟!A:W,23,0),I181)</f>
        <v>衰退</v>
      </c>
      <c r="J180" s="1" t="str">
        <f>VLOOKUP(A180,库存与产能周期2!A:Q,17,0)</f>
        <v>产能周期下行,主动去库存</v>
      </c>
    </row>
    <row r="181" spans="1:10" x14ac:dyDescent="0.35">
      <c r="A181" s="12">
        <v>41060</v>
      </c>
      <c r="B181" s="13">
        <v>-4.2343992804932E-2</v>
      </c>
      <c r="C181" s="87">
        <v>-9.9560287081339993</v>
      </c>
      <c r="D181" s="1" t="str">
        <f t="shared" si="34"/>
        <v>震荡</v>
      </c>
      <c r="E181" s="1" t="str">
        <f t="shared" si="35"/>
        <v>牛市</v>
      </c>
      <c r="F181" s="1" t="str">
        <f>VLOOKUP(A181,'货币信用框架5-货币政策目标+信用脉冲'!A:L,12,0)</f>
        <v>宽货币紧信用</v>
      </c>
      <c r="G181" s="1" t="str">
        <f>VLOOKUP(A181,'信贷库存框架1-票据+贷款余额'!A:L,12,0)</f>
        <v>主动补库存</v>
      </c>
      <c r="I181" s="1" t="str">
        <f>IFERROR(VLOOKUP(A181,美林时钟!A:W,23,0),I182)</f>
        <v>衰退</v>
      </c>
      <c r="J181" s="1" t="str">
        <f>VLOOKUP(A181,库存与产能周期2!A:Q,17,0)</f>
        <v>产能周期下行,主动去库存</v>
      </c>
    </row>
    <row r="182" spans="1:10" x14ac:dyDescent="0.35">
      <c r="A182" s="12">
        <v>41029</v>
      </c>
      <c r="B182" s="13">
        <v>5.9095212802808117</v>
      </c>
      <c r="C182" s="87">
        <v>-0.52970251716250005</v>
      </c>
      <c r="D182" s="1" t="str">
        <f t="shared" si="34"/>
        <v>牛市</v>
      </c>
      <c r="E182" s="1" t="str">
        <f t="shared" si="35"/>
        <v>震荡</v>
      </c>
      <c r="F182" s="1" t="str">
        <f>VLOOKUP(A182,'货币信用框架5-货币政策目标+信用脉冲'!A:L,12,0)</f>
        <v>宽货币紧信用</v>
      </c>
      <c r="G182" s="1" t="str">
        <f>VLOOKUP(A182,'信贷库存框架1-票据+贷款余额'!A:L,12,0)</f>
        <v>主动补库存</v>
      </c>
      <c r="I182" s="1" t="str">
        <f>IFERROR(VLOOKUP(A182,美林时钟!A:W,23,0),I183)</f>
        <v>衰退</v>
      </c>
      <c r="J182" s="1" t="str">
        <f>VLOOKUP(A182,库存与产能周期2!A:Q,17,0)</f>
        <v>产能周期下行,主动去库存</v>
      </c>
    </row>
    <row r="183" spans="1:10" x14ac:dyDescent="0.35">
      <c r="A183" s="12">
        <v>40999</v>
      </c>
      <c r="B183" s="13">
        <v>-6.8880762914331379</v>
      </c>
      <c r="C183" s="87">
        <v>2.9405797101450002</v>
      </c>
      <c r="D183" s="1" t="str">
        <f t="shared" si="34"/>
        <v>熊市</v>
      </c>
      <c r="E183" s="1" t="str">
        <f t="shared" si="35"/>
        <v>熊市</v>
      </c>
      <c r="F183" s="1" t="str">
        <f>VLOOKUP(A183,'货币信用框架5-货币政策目标+信用脉冲'!A:L,12,0)</f>
        <v>宽货币紧信用</v>
      </c>
      <c r="G183" s="1" t="str">
        <f>VLOOKUP(A183,'信贷库存框架1-票据+贷款余额'!A:L,12,0)</f>
        <v>主动补库存</v>
      </c>
      <c r="I183" s="1" t="str">
        <f>IFERROR(VLOOKUP(A183,美林时钟!A:W,23,0),I184)</f>
        <v>衰退</v>
      </c>
      <c r="J183" s="1" t="str">
        <f>VLOOKUP(A183,库存与产能周期2!A:Q,17,0)</f>
        <v>产能周期下行,主动去库存</v>
      </c>
    </row>
    <row r="184" spans="1:10" x14ac:dyDescent="0.35">
      <c r="A184" s="12">
        <v>40968</v>
      </c>
      <c r="B184" s="13">
        <v>7.1089637588007557</v>
      </c>
      <c r="C184" s="87">
        <v>10.776862745098001</v>
      </c>
      <c r="D184" s="1" t="str">
        <f t="shared" si="34"/>
        <v>牛市</v>
      </c>
      <c r="E184" s="1" t="str">
        <f t="shared" si="35"/>
        <v>熊市</v>
      </c>
      <c r="F184" s="1" t="str">
        <f>VLOOKUP(A184,'货币信用框架5-货币政策目标+信用脉冲'!A:L,12,0)</f>
        <v>宽货币紧信用</v>
      </c>
      <c r="G184" s="1" t="str">
        <f>VLOOKUP(A184,'信贷库存框架1-票据+贷款余额'!A:L,12,0)</f>
        <v>主动补库存</v>
      </c>
      <c r="I184" s="1" t="str">
        <f>IFERROR(VLOOKUP(A184,美林时钟!A:W,23,0),I185)</f>
        <v>衰退</v>
      </c>
      <c r="J184" s="1" t="str">
        <f>VLOOKUP(A184,库存与产能周期2!A:Q,17,0)</f>
        <v>产能周期下行,主动去库存</v>
      </c>
    </row>
    <row r="185" spans="1:10" x14ac:dyDescent="0.35">
      <c r="A185" s="12">
        <v>40939</v>
      </c>
      <c r="B185" s="13">
        <v>3.2413778166379692</v>
      </c>
      <c r="C185" s="87">
        <v>-6.8839641943733998</v>
      </c>
      <c r="D185" s="1" t="str">
        <f t="shared" si="34"/>
        <v>牛市</v>
      </c>
      <c r="E185" s="1" t="str">
        <f t="shared" si="35"/>
        <v>牛市</v>
      </c>
      <c r="F185" s="1" t="str">
        <f>VLOOKUP(A185,'货币信用框架5-货币政策目标+信用脉冲'!A:L,12,0)</f>
        <v>宽货币紧信用</v>
      </c>
      <c r="G185" s="1" t="str">
        <f>VLOOKUP(A185,'信贷库存框架1-票据+贷款余额'!A:L,12,0)</f>
        <v>主动补库存</v>
      </c>
      <c r="I185" s="1" t="str">
        <f>IFERROR(VLOOKUP(A185,美林时钟!A:W,23,0),I186)</f>
        <v>衰退</v>
      </c>
      <c r="J185" s="1" t="str">
        <f>VLOOKUP(A185,库存与产能周期2!A:Q,17,0)</f>
        <v>产能周期下行,主动去库存</v>
      </c>
    </row>
    <row r="186" spans="1:10" x14ac:dyDescent="0.35">
      <c r="A186" s="12">
        <v>40908</v>
      </c>
      <c r="B186" s="13">
        <v>-7.2623860987349298</v>
      </c>
      <c r="C186" s="87">
        <v>-17.729565217391301</v>
      </c>
      <c r="D186" s="1" t="str">
        <f t="shared" si="34"/>
        <v>熊市</v>
      </c>
      <c r="E186" s="1" t="str">
        <f t="shared" si="35"/>
        <v>牛市</v>
      </c>
      <c r="F186" s="1" t="str">
        <f>VLOOKUP(A186,'货币信用框架5-货币政策目标+信用脉冲'!A:L,12,0)</f>
        <v>宽货币紧信用</v>
      </c>
      <c r="G186" s="1" t="str">
        <f>VLOOKUP(A186,'信贷库存框架1-票据+贷款余额'!A:L,12,0)</f>
        <v>被动补库存</v>
      </c>
      <c r="I186" s="1" t="str">
        <f>IFERROR(VLOOKUP(A186,美林时钟!A:W,23,0),I187)</f>
        <v>衰退</v>
      </c>
      <c r="J186" s="1" t="str">
        <f>VLOOKUP(A186,库存与产能周期2!A:Q,17,0)</f>
        <v>产能周期下行,主动去库存</v>
      </c>
    </row>
    <row r="187" spans="1:10" x14ac:dyDescent="0.35">
      <c r="A187" s="12">
        <v>40877</v>
      </c>
      <c r="B187" s="13">
        <v>-5.050242012244353</v>
      </c>
      <c r="C187" s="87">
        <v>-13.0077777777778</v>
      </c>
      <c r="D187" s="1" t="str">
        <f t="shared" si="34"/>
        <v>熊市</v>
      </c>
      <c r="E187" s="1" t="str">
        <f t="shared" si="35"/>
        <v>牛市</v>
      </c>
      <c r="F187" s="1" t="str">
        <f>VLOOKUP(A187,'货币信用框架5-货币政策目标+信用脉冲'!A:L,12,0)</f>
        <v>宽货币紧信用</v>
      </c>
      <c r="G187" s="1" t="str">
        <f>VLOOKUP(A187,'信贷库存框架1-票据+贷款余额'!A:L,12,0)</f>
        <v>被动补库存</v>
      </c>
      <c r="I187" s="1" t="str">
        <f>IFERROR(VLOOKUP(A187,美林时钟!A:W,23,0),I188)</f>
        <v>衰退</v>
      </c>
      <c r="J187" s="1" t="str">
        <f>VLOOKUP(A187,库存与产能周期2!A:Q,17,0)</f>
        <v>产能周期下行,主动去库存</v>
      </c>
    </row>
    <row r="188" spans="1:10" x14ac:dyDescent="0.35">
      <c r="A188" s="12">
        <v>40847</v>
      </c>
      <c r="B188" s="13">
        <v>4.3136687758885541</v>
      </c>
      <c r="C188" s="87">
        <v>-23.5226984126984</v>
      </c>
      <c r="D188" s="1" t="str">
        <f t="shared" si="34"/>
        <v>牛市</v>
      </c>
      <c r="E188" s="1" t="str">
        <f t="shared" si="35"/>
        <v>牛市</v>
      </c>
      <c r="F188" s="1" t="str">
        <f>VLOOKUP(A188,'货币信用框架5-货币政策目标+信用脉冲'!A:L,12,0)</f>
        <v>紧货币紧信用</v>
      </c>
      <c r="G188" s="1" t="str">
        <f>VLOOKUP(A188,'信贷库存框架1-票据+贷款余额'!A:L,12,0)</f>
        <v>被动补库存</v>
      </c>
      <c r="I188" s="1" t="str">
        <f>IFERROR(VLOOKUP(A188,美林时钟!A:W,23,0),I189)</f>
        <v>衰退</v>
      </c>
      <c r="J188" s="1" t="str">
        <f>VLOOKUP(A188,库存与产能周期2!A:Q,17,0)</f>
        <v>产能周期下行,主动去库存</v>
      </c>
    </row>
    <row r="189" spans="1:10" x14ac:dyDescent="0.35">
      <c r="A189" s="12">
        <v>40816</v>
      </c>
      <c r="B189" s="13">
        <v>-8.8790554461960749</v>
      </c>
      <c r="C189" s="87">
        <v>1.5048240165632001</v>
      </c>
      <c r="D189" s="1" t="str">
        <f t="shared" si="34"/>
        <v>熊市</v>
      </c>
      <c r="E189" s="1" t="str">
        <f t="shared" si="35"/>
        <v>震荡</v>
      </c>
      <c r="F189" s="1" t="str">
        <f>VLOOKUP(A189,'货币信用框架5-货币政策目标+信用脉冲'!A:L,12,0)</f>
        <v>紧货币紧信用</v>
      </c>
      <c r="G189" s="1" t="str">
        <f>VLOOKUP(A189,'信贷库存框架1-票据+贷款余额'!A:L,12,0)</f>
        <v>被动补库存</v>
      </c>
      <c r="I189" s="1" t="str">
        <f>IFERROR(VLOOKUP(A189,美林时钟!A:W,23,0),I190)</f>
        <v>衰退</v>
      </c>
      <c r="J189" s="1" t="str">
        <f>VLOOKUP(A189,库存与产能周期2!A:Q,17,0)</f>
        <v>产能周期下行,主动去库存</v>
      </c>
    </row>
    <row r="190" spans="1:10" x14ac:dyDescent="0.35">
      <c r="A190" s="12">
        <v>40786</v>
      </c>
      <c r="B190" s="13">
        <v>-4.5905219015482999</v>
      </c>
      <c r="C190" s="87">
        <v>2.6656521739130001</v>
      </c>
      <c r="D190" s="1" t="str">
        <f t="shared" si="34"/>
        <v>熊市</v>
      </c>
      <c r="E190" s="1" t="str">
        <f t="shared" si="35"/>
        <v>熊市</v>
      </c>
      <c r="F190" s="1" t="str">
        <f>VLOOKUP(A190,'货币信用框架5-货币政策目标+信用脉冲'!A:L,12,0)</f>
        <v>紧货币紧信用</v>
      </c>
      <c r="G190" s="1" t="str">
        <f>VLOOKUP(A190,'信贷库存框架1-票据+贷款余额'!A:L,12,0)</f>
        <v>被动补库存</v>
      </c>
      <c r="I190" s="1" t="str">
        <f>IFERROR(VLOOKUP(A190,美林时钟!A:W,23,0),I191)</f>
        <v>衰退</v>
      </c>
      <c r="J190" s="1" t="str">
        <f>VLOOKUP(A190,库存与产能周期2!A:Q,17,0)</f>
        <v>产能周期下行,被动补库存</v>
      </c>
    </row>
    <row r="191" spans="1:10" x14ac:dyDescent="0.35">
      <c r="A191" s="12">
        <v>40755</v>
      </c>
      <c r="B191" s="13">
        <v>-1.0225879085944509</v>
      </c>
      <c r="C191" s="87">
        <v>6.9547619047618996</v>
      </c>
      <c r="D191" s="1" t="str">
        <f t="shared" si="34"/>
        <v>熊市</v>
      </c>
      <c r="E191" s="1" t="str">
        <f t="shared" si="35"/>
        <v>熊市</v>
      </c>
      <c r="F191" s="1" t="str">
        <f>VLOOKUP(A191,'货币信用框架5-货币政策目标+信用脉冲'!A:L,12,0)</f>
        <v>紧货币紧信用</v>
      </c>
      <c r="G191" s="1" t="str">
        <f>VLOOKUP(A191,'信贷库存框架1-票据+贷款余额'!A:L,12,0)</f>
        <v>被动补库存</v>
      </c>
      <c r="I191" s="1" t="str">
        <f>IFERROR(VLOOKUP(A191,美林时钟!A:W,23,0),I192)</f>
        <v>滞涨</v>
      </c>
      <c r="J191" s="1" t="str">
        <f>VLOOKUP(A191,库存与产能周期2!A:Q,17,0)</f>
        <v>产能周期下行,被动补库存</v>
      </c>
    </row>
    <row r="192" spans="1:10" x14ac:dyDescent="0.35">
      <c r="A192" s="12">
        <v>40724</v>
      </c>
      <c r="B192" s="13">
        <v>2.4037830723389071</v>
      </c>
      <c r="C192" s="87">
        <v>6.2547619047619003</v>
      </c>
      <c r="D192" s="1" t="str">
        <f t="shared" si="34"/>
        <v>牛市</v>
      </c>
      <c r="E192" s="1" t="str">
        <f t="shared" si="35"/>
        <v>熊市</v>
      </c>
      <c r="F192" s="1" t="str">
        <f>VLOOKUP(A192,'货币信用框架5-货币政策目标+信用脉冲'!A:L,12,0)</f>
        <v>紧货币紧信用</v>
      </c>
      <c r="G192" s="1" t="str">
        <f>VLOOKUP(A192,'信贷库存框架1-票据+贷款余额'!A:L,12,0)</f>
        <v>被动补库存</v>
      </c>
      <c r="I192" s="1" t="str">
        <f>IFERROR(VLOOKUP(A192,美林时钟!A:W,23,0),I193)</f>
        <v>过热</v>
      </c>
      <c r="J192" s="1" t="str">
        <f>VLOOKUP(A192,库存与产能周期2!A:Q,17,0)</f>
        <v>产能周期下行,被动补库存</v>
      </c>
    </row>
    <row r="193" spans="1:10" x14ac:dyDescent="0.35">
      <c r="A193" s="12">
        <v>40694</v>
      </c>
      <c r="B193" s="13">
        <v>-5.9862132546239959</v>
      </c>
      <c r="C193" s="87">
        <v>-5.1445238095238004</v>
      </c>
      <c r="D193" s="1" t="str">
        <f t="shared" si="34"/>
        <v>熊市</v>
      </c>
      <c r="E193" s="1" t="str">
        <f t="shared" si="35"/>
        <v>牛市</v>
      </c>
      <c r="F193" s="1" t="str">
        <f>VLOOKUP(A193,'货币信用框架5-货币政策目标+信用脉冲'!A:L,12,0)</f>
        <v>紧货币紧信用</v>
      </c>
      <c r="G193" s="1" t="str">
        <f>VLOOKUP(A193,'信贷库存框架1-票据+贷款余额'!A:L,12,0)</f>
        <v>被动补库存</v>
      </c>
      <c r="I193" s="1" t="str">
        <f>IFERROR(VLOOKUP(A193,美林时钟!A:W,23,0),I194)</f>
        <v>过热</v>
      </c>
      <c r="J193" s="1" t="str">
        <f>VLOOKUP(A193,库存与产能周期2!A:Q,17,0)</f>
        <v>产能周期下行,被动补库存</v>
      </c>
    </row>
    <row r="194" spans="1:10" x14ac:dyDescent="0.35">
      <c r="A194" s="12">
        <v>40663</v>
      </c>
      <c r="B194" s="13">
        <v>-1.3641957482069329</v>
      </c>
      <c r="C194" s="87">
        <v>-0.71152173913039996</v>
      </c>
      <c r="D194" s="1" t="str">
        <f t="shared" si="34"/>
        <v>熊市</v>
      </c>
      <c r="E194" s="1" t="str">
        <f t="shared" si="35"/>
        <v>震荡</v>
      </c>
      <c r="F194" s="1" t="str">
        <f>VLOOKUP(A194,'货币信用框架5-货币政策目标+信用脉冲'!A:L,12,0)</f>
        <v>紧货币紧信用</v>
      </c>
      <c r="G194" s="1" t="str">
        <f>VLOOKUP(A194,'信贷库存框架1-票据+贷款余额'!A:L,12,0)</f>
        <v>被动补库存</v>
      </c>
      <c r="I194" s="1" t="str">
        <f>IFERROR(VLOOKUP(A194,美林时钟!A:W,23,0),I195)</f>
        <v>过热</v>
      </c>
      <c r="J194" s="1" t="str">
        <f>VLOOKUP(A194,库存与产能周期2!A:Q,17,0)</f>
        <v>产能周期下行,被动补库存</v>
      </c>
    </row>
    <row r="195" spans="1:10" x14ac:dyDescent="0.35">
      <c r="A195" s="12">
        <v>40633</v>
      </c>
      <c r="B195" s="13">
        <v>0.19017037510877199</v>
      </c>
      <c r="C195" s="87">
        <v>-13.8797282608696</v>
      </c>
      <c r="D195" s="1" t="str">
        <f t="shared" si="34"/>
        <v>震荡</v>
      </c>
      <c r="E195" s="1" t="str">
        <f t="shared" si="35"/>
        <v>牛市</v>
      </c>
      <c r="F195" s="1" t="str">
        <f>VLOOKUP(A195,'货币信用框架5-货币政策目标+信用脉冲'!A:L,12,0)</f>
        <v>紧货币紧信用</v>
      </c>
      <c r="G195" s="1" t="str">
        <f>VLOOKUP(A195,'信贷库存框架1-票据+贷款余额'!A:L,12,0)</f>
        <v>被动补库存</v>
      </c>
      <c r="I195" s="1" t="str">
        <f>IFERROR(VLOOKUP(A195,美林时钟!A:W,23,0),I196)</f>
        <v>过热</v>
      </c>
      <c r="J195" s="1" t="str">
        <f>VLOOKUP(A195,库存与产能周期2!A:Q,17,0)</f>
        <v>产能周期下行,被动补库存</v>
      </c>
    </row>
    <row r="196" spans="1:10" x14ac:dyDescent="0.35">
      <c r="A196" s="12">
        <v>40602</v>
      </c>
      <c r="B196" s="13">
        <v>5.3113636155169379</v>
      </c>
      <c r="C196" s="87">
        <v>10.1495833333333</v>
      </c>
      <c r="D196" s="1" t="str">
        <f t="shared" si="34"/>
        <v>牛市</v>
      </c>
      <c r="E196" s="1" t="str">
        <f t="shared" si="35"/>
        <v>熊市</v>
      </c>
      <c r="F196" s="1" t="str">
        <f>VLOOKUP(A196,'货币信用框架5-货币政策目标+信用脉冲'!A:L,12,0)</f>
        <v>紧货币紧信用</v>
      </c>
      <c r="G196" s="1" t="str">
        <f>VLOOKUP(A196,'信贷库存框架1-票据+贷款余额'!A:L,12,0)</f>
        <v>被动补库存</v>
      </c>
      <c r="I196" s="1" t="str">
        <f>IFERROR(VLOOKUP(A196,美林时钟!A:W,23,0),I197)</f>
        <v>过热</v>
      </c>
      <c r="J196" s="1" t="str">
        <f>VLOOKUP(A196,库存与产能周期2!A:Q,17,0)</f>
        <v>产能周期下行,被动补库存</v>
      </c>
    </row>
    <row r="197" spans="1:10" x14ac:dyDescent="0.35">
      <c r="A197" s="12">
        <v>40574</v>
      </c>
      <c r="B197" s="13">
        <v>-2.0329280515564072</v>
      </c>
      <c r="C197" s="87">
        <v>8.3888405797101999</v>
      </c>
      <c r="D197" s="1" t="str">
        <f t="shared" si="34"/>
        <v>熊市</v>
      </c>
      <c r="E197" s="1" t="str">
        <f t="shared" si="35"/>
        <v>熊市</v>
      </c>
      <c r="F197" s="1" t="str">
        <f>VLOOKUP(A197,'货币信用框架5-货币政策目标+信用脉冲'!A:L,12,0)</f>
        <v>紧货币紧信用</v>
      </c>
      <c r="G197" s="1" t="str">
        <f>VLOOKUP(A197,'信贷库存框架1-票据+贷款余额'!A:L,12,0)</f>
        <v>被动补库存</v>
      </c>
      <c r="I197" s="1" t="str">
        <f>IFERROR(VLOOKUP(A197,美林时钟!A:W,23,0),I198)</f>
        <v>过热</v>
      </c>
      <c r="J197" s="1" t="str">
        <f>VLOOKUP(A197,库存与产能周期2!A:Q,17,0)</f>
        <v>产能周期下行,被动补库存</v>
      </c>
    </row>
    <row r="198" spans="1:10" x14ac:dyDescent="0.35">
      <c r="A198" s="12">
        <v>40543</v>
      </c>
      <c r="B198" s="13">
        <v>-0.88950301865811998</v>
      </c>
      <c r="C198" s="87">
        <v>-4.0130830039526</v>
      </c>
      <c r="D198" s="1" t="str">
        <f t="shared" si="34"/>
        <v>震荡</v>
      </c>
      <c r="E198" s="1" t="str">
        <f t="shared" si="35"/>
        <v>牛市</v>
      </c>
      <c r="F198" s="1" t="str">
        <f>VLOOKUP(A198,'货币信用框架5-货币政策目标+信用脉冲'!A:L,12,0)</f>
        <v>紧货币紧信用</v>
      </c>
      <c r="G198" s="1" t="str">
        <f>VLOOKUP(A198,'信贷库存框架1-票据+贷款余额'!A:L,12,0)</f>
        <v>主动补库存</v>
      </c>
      <c r="I198" s="1" t="str">
        <f>IFERROR(VLOOKUP(A198,美林时钟!A:W,23,0),I199)</f>
        <v>过热</v>
      </c>
      <c r="J198" s="1" t="str">
        <f>VLOOKUP(A198,库存与产能周期2!A:Q,17,0)</f>
        <v>产能周期下行,被动补库存</v>
      </c>
    </row>
    <row r="199" spans="1:10" x14ac:dyDescent="0.35">
      <c r="A199" s="12">
        <v>40512</v>
      </c>
      <c r="B199" s="13">
        <v>-4.2456609191278147</v>
      </c>
      <c r="C199" s="87">
        <v>36.662673796791502</v>
      </c>
      <c r="D199" s="1" t="str">
        <f t="shared" si="34"/>
        <v>熊市</v>
      </c>
      <c r="E199" s="1" t="str">
        <f t="shared" si="35"/>
        <v>熊市</v>
      </c>
      <c r="F199" s="1" t="str">
        <f>VLOOKUP(A199,'货币信用框架5-货币政策目标+信用脉冲'!A:L,12,0)</f>
        <v>紧货币紧信用</v>
      </c>
      <c r="G199" s="1" t="str">
        <f>VLOOKUP(A199,'信贷库存框架1-票据+贷款余额'!A:L,12,0)</f>
        <v>主动补库存</v>
      </c>
      <c r="I199" s="1" t="str">
        <f>IFERROR(VLOOKUP(A199,美林时钟!A:W,23,0),I200)</f>
        <v>过热</v>
      </c>
      <c r="J199" s="1" t="str">
        <f>VLOOKUP(A199,库存与产能周期2!A:Q,17,0)</f>
        <v>产能周期上行,被动补库存</v>
      </c>
    </row>
    <row r="200" spans="1:10" x14ac:dyDescent="0.35">
      <c r="A200" s="12">
        <v>40482</v>
      </c>
      <c r="B200" s="13">
        <v>12.009215124344189</v>
      </c>
      <c r="C200" s="87">
        <v>21.6250534759358</v>
      </c>
      <c r="D200" s="1" t="str">
        <f t="shared" si="34"/>
        <v>牛市</v>
      </c>
      <c r="E200" s="1" t="str">
        <f t="shared" si="35"/>
        <v>熊市</v>
      </c>
      <c r="F200" s="1" t="str">
        <f>VLOOKUP(A200,'货币信用框架5-货币政策目标+信用脉冲'!A:L,12,0)</f>
        <v>紧货币紧信用</v>
      </c>
      <c r="G200" s="1" t="str">
        <f>VLOOKUP(A200,'信贷库存框架1-票据+贷款余额'!A:L,12,0)</f>
        <v>主动补库存</v>
      </c>
      <c r="I200" s="1" t="str">
        <f>IFERROR(VLOOKUP(A200,美林时钟!A:W,23,0),I201)</f>
        <v>滞涨</v>
      </c>
      <c r="J200" s="1" t="str">
        <f>VLOOKUP(A200,库存与产能周期2!A:Q,17,0)</f>
        <v>产能周期上行,被动补库存</v>
      </c>
    </row>
    <row r="201" spans="1:10" x14ac:dyDescent="0.35">
      <c r="A201" s="12">
        <v>40451</v>
      </c>
      <c r="B201" s="13">
        <v>1.064926308036618</v>
      </c>
      <c r="C201" s="87">
        <v>5.1231818181818003</v>
      </c>
      <c r="D201" s="1" t="str">
        <f t="shared" si="34"/>
        <v>牛市</v>
      </c>
      <c r="E201" s="1" t="str">
        <f t="shared" si="35"/>
        <v>熊市</v>
      </c>
      <c r="F201" s="1" t="str">
        <f>VLOOKUP(A201,'货币信用框架5-货币政策目标+信用脉冲'!A:L,12,0)</f>
        <v>紧货币紧信用</v>
      </c>
      <c r="G201" s="1" t="str">
        <f>VLOOKUP(A201,'信贷库存框架1-票据+贷款余额'!A:L,12,0)</f>
        <v>主动补库存</v>
      </c>
      <c r="I201" s="1" t="str">
        <f>IFERROR(VLOOKUP(A201,美林时钟!A:W,23,0),I202)</f>
        <v>滞涨</v>
      </c>
      <c r="J201" s="1" t="str">
        <f>VLOOKUP(A201,库存与产能周期2!A:Q,17,0)</f>
        <v>产能周期上行,被动补库存</v>
      </c>
    </row>
    <row r="202" spans="1:10" x14ac:dyDescent="0.35">
      <c r="A202" s="12">
        <v>40421</v>
      </c>
      <c r="B202" s="13">
        <v>2.5407969860142732</v>
      </c>
      <c r="C202" s="87">
        <v>2.11</v>
      </c>
      <c r="D202" s="1" t="str">
        <f t="shared" si="34"/>
        <v>牛市</v>
      </c>
      <c r="E202" s="1" t="str">
        <f t="shared" si="35"/>
        <v>熊市</v>
      </c>
    </row>
    <row r="203" spans="1:10" x14ac:dyDescent="0.35">
      <c r="A203" s="12">
        <v>40390</v>
      </c>
      <c r="B203" s="13">
        <v>11.866384340456669</v>
      </c>
      <c r="C203" s="87">
        <v>-8.2090476190476007</v>
      </c>
      <c r="D203" s="1" t="str">
        <f t="shared" si="34"/>
        <v>牛市</v>
      </c>
      <c r="E203" s="1" t="str">
        <f t="shared" si="35"/>
        <v>牛市</v>
      </c>
    </row>
    <row r="204" spans="1:10" x14ac:dyDescent="0.35">
      <c r="A204" s="12">
        <v>40359</v>
      </c>
      <c r="B204" s="13">
        <v>-7.6506119310571838</v>
      </c>
      <c r="C204" s="87">
        <v>5.8210476190475999</v>
      </c>
      <c r="D204" s="1" t="str">
        <f t="shared" si="34"/>
        <v>熊市</v>
      </c>
      <c r="E204" s="1" t="str">
        <f t="shared" si="35"/>
        <v>熊市</v>
      </c>
    </row>
    <row r="205" spans="1:10" x14ac:dyDescent="0.35">
      <c r="A205" s="12">
        <v>40329</v>
      </c>
      <c r="B205" s="13">
        <v>-8.3030861037104398</v>
      </c>
      <c r="C205" s="87">
        <v>-19.166285714285699</v>
      </c>
      <c r="D205" s="1" t="str">
        <f t="shared" si="34"/>
        <v>熊市</v>
      </c>
      <c r="E205" s="1" t="str">
        <f t="shared" si="35"/>
        <v>牛市</v>
      </c>
    </row>
    <row r="206" spans="1:10" x14ac:dyDescent="0.35">
      <c r="A206" s="12">
        <v>40298</v>
      </c>
      <c r="B206" s="13">
        <v>-7.6926722890442809</v>
      </c>
      <c r="C206" s="87">
        <v>4.5855900621118</v>
      </c>
      <c r="D206" s="1" t="str">
        <f t="shared" si="34"/>
        <v>熊市</v>
      </c>
      <c r="E206" s="1" t="str">
        <f t="shared" si="35"/>
        <v>熊市</v>
      </c>
    </row>
    <row r="207" spans="1:10" x14ac:dyDescent="0.35">
      <c r="A207" s="12">
        <v>40268</v>
      </c>
      <c r="B207" s="13">
        <v>2.5550184672956551</v>
      </c>
      <c r="C207" s="87">
        <v>-6.8665984654732002</v>
      </c>
      <c r="D207" s="1" t="str">
        <f t="shared" si="34"/>
        <v>牛市</v>
      </c>
      <c r="E207" s="1" t="str">
        <f t="shared" si="35"/>
        <v>牛市</v>
      </c>
    </row>
    <row r="208" spans="1:10" x14ac:dyDescent="0.35">
      <c r="A208" s="12">
        <v>40237</v>
      </c>
      <c r="B208" s="13">
        <v>3.0999694842707819</v>
      </c>
      <c r="C208" s="87">
        <v>-16.9182058823529</v>
      </c>
      <c r="D208" s="1" t="str">
        <f t="shared" si="34"/>
        <v>牛市</v>
      </c>
      <c r="E208" s="1" t="str">
        <f t="shared" si="35"/>
        <v>牛市</v>
      </c>
    </row>
    <row r="209" spans="1:5" x14ac:dyDescent="0.35">
      <c r="A209" s="12">
        <v>40209</v>
      </c>
      <c r="B209" s="13">
        <v>-8.5718015819445963</v>
      </c>
      <c r="C209" s="87">
        <v>1.4182826086957001</v>
      </c>
      <c r="D209" s="1" t="str">
        <f t="shared" si="34"/>
        <v>熊市</v>
      </c>
      <c r="E209" s="1" t="str">
        <f t="shared" si="35"/>
        <v>震荡</v>
      </c>
    </row>
    <row r="210" spans="1:5" x14ac:dyDescent="0.35">
      <c r="A210" s="12">
        <v>40178</v>
      </c>
      <c r="B210" s="13">
        <v>2.9649181150660331</v>
      </c>
      <c r="C210" s="87">
        <v>-4.9476397515528001</v>
      </c>
      <c r="D210" s="1" t="str">
        <f t="shared" si="34"/>
        <v>牛市</v>
      </c>
      <c r="E210" s="1" t="str">
        <f t="shared" si="35"/>
        <v>牛市</v>
      </c>
    </row>
    <row r="211" spans="1:5" x14ac:dyDescent="0.35">
      <c r="A211" s="12">
        <v>40147</v>
      </c>
      <c r="B211" s="13">
        <v>8.4831374991479436</v>
      </c>
      <c r="C211" s="87">
        <v>1.6581512605041999</v>
      </c>
      <c r="D211" s="1" t="str">
        <f t="shared" si="34"/>
        <v>牛市</v>
      </c>
      <c r="E211" s="1" t="str">
        <f t="shared" si="35"/>
        <v>震荡</v>
      </c>
    </row>
    <row r="212" spans="1:5" x14ac:dyDescent="0.35">
      <c r="A212" s="12">
        <v>40117</v>
      </c>
      <c r="B212" s="13">
        <v>9.361587919299609</v>
      </c>
      <c r="C212" s="87">
        <v>18.289923273657202</v>
      </c>
      <c r="D212" s="1" t="str">
        <f t="shared" si="34"/>
        <v>牛市</v>
      </c>
      <c r="E212" s="1" t="str">
        <f t="shared" si="35"/>
        <v>熊市</v>
      </c>
    </row>
    <row r="213" spans="1:5" x14ac:dyDescent="0.35">
      <c r="A213" s="12">
        <v>40086</v>
      </c>
      <c r="B213" s="13">
        <v>5.0738071703708263</v>
      </c>
      <c r="C213" s="87">
        <v>-2.9375983436853002</v>
      </c>
      <c r="D213" s="1" t="str">
        <f t="shared" si="34"/>
        <v>牛市</v>
      </c>
      <c r="E213" s="1" t="str">
        <f t="shared" si="35"/>
        <v>牛市</v>
      </c>
    </row>
    <row r="214" spans="1:5" x14ac:dyDescent="0.35">
      <c r="A214" s="12">
        <v>40056</v>
      </c>
      <c r="B214" s="13">
        <v>-21.213033418416511</v>
      </c>
      <c r="C214" s="87">
        <v>12.448033126294</v>
      </c>
      <c r="D214" s="1" t="str">
        <f t="shared" si="34"/>
        <v>熊市</v>
      </c>
      <c r="E214" s="1" t="str">
        <f t="shared" si="35"/>
        <v>熊市</v>
      </c>
    </row>
    <row r="215" spans="1:5" x14ac:dyDescent="0.35">
      <c r="A215" s="12">
        <v>40025</v>
      </c>
      <c r="B215" s="13">
        <v>16.251667871823951</v>
      </c>
      <c r="C215" s="87">
        <v>21.5202569169961</v>
      </c>
      <c r="D215" s="1" t="str">
        <f t="shared" si="34"/>
        <v>牛市</v>
      </c>
      <c r="E215" s="1" t="str">
        <f t="shared" si="35"/>
        <v>熊市</v>
      </c>
    </row>
    <row r="216" spans="1:5" x14ac:dyDescent="0.35">
      <c r="A216" s="12">
        <v>39994</v>
      </c>
      <c r="B216" s="13">
        <v>11.57404538211598</v>
      </c>
      <c r="C216" s="87">
        <v>11.4898803827751</v>
      </c>
      <c r="D216" s="1" t="str">
        <f t="shared" si="34"/>
        <v>牛市</v>
      </c>
      <c r="E216" s="1" t="str">
        <f t="shared" si="35"/>
        <v>熊市</v>
      </c>
    </row>
    <row r="217" spans="1:5" x14ac:dyDescent="0.35">
      <c r="A217" s="12">
        <v>39964</v>
      </c>
      <c r="B217" s="13">
        <v>5.4172014571134746</v>
      </c>
      <c r="C217" s="87">
        <v>-11.4857894736842</v>
      </c>
      <c r="D217" s="1" t="str">
        <f t="shared" si="34"/>
        <v>牛市</v>
      </c>
      <c r="E217" s="1" t="str">
        <f t="shared" si="35"/>
        <v>牛市</v>
      </c>
    </row>
    <row r="218" spans="1:5" x14ac:dyDescent="0.35">
      <c r="A218" s="12">
        <v>39933</v>
      </c>
      <c r="B218" s="13">
        <v>4.9179933081584073</v>
      </c>
      <c r="C218" s="87">
        <v>1.8</v>
      </c>
      <c r="D218" s="1" t="str">
        <f t="shared" si="34"/>
        <v>牛市</v>
      </c>
      <c r="E218" s="1" t="str">
        <f t="shared" si="35"/>
        <v>震荡</v>
      </c>
    </row>
    <row r="219" spans="1:5" x14ac:dyDescent="0.35">
      <c r="A219" s="12">
        <v>39903</v>
      </c>
      <c r="B219" s="13">
        <v>18.38774091015075</v>
      </c>
      <c r="C219" s="87">
        <v>-3.7919047619047999</v>
      </c>
      <c r="D219" s="1" t="str">
        <f t="shared" si="34"/>
        <v>牛市</v>
      </c>
      <c r="E219" s="1" t="str">
        <f t="shared" si="35"/>
        <v>牛市</v>
      </c>
    </row>
    <row r="220" spans="1:5" x14ac:dyDescent="0.35">
      <c r="A220" s="12">
        <v>39872</v>
      </c>
      <c r="B220" s="13">
        <v>5.7331828074874007</v>
      </c>
      <c r="C220" s="87">
        <v>31.152492997198902</v>
      </c>
      <c r="D220" s="1" t="str">
        <f t="shared" si="34"/>
        <v>牛市</v>
      </c>
      <c r="E220" s="1" t="str">
        <f t="shared" si="35"/>
        <v>熊市</v>
      </c>
    </row>
    <row r="221" spans="1:5" x14ac:dyDescent="0.35">
      <c r="A221" s="12">
        <v>39844</v>
      </c>
      <c r="B221" s="13">
        <v>13.14412357343096</v>
      </c>
      <c r="C221" s="87">
        <v>2.4159335038363001</v>
      </c>
      <c r="D221" s="1" t="str">
        <f t="shared" si="34"/>
        <v>牛市</v>
      </c>
      <c r="E221" s="1" t="str">
        <f t="shared" si="35"/>
        <v>熊市</v>
      </c>
    </row>
    <row r="222" spans="1:5" x14ac:dyDescent="0.35">
      <c r="A222" s="12">
        <v>39813</v>
      </c>
      <c r="B222" s="13">
        <v>1.4628722997557519</v>
      </c>
      <c r="C222" s="87">
        <v>-15.1730217391304</v>
      </c>
      <c r="D222" s="1" t="str">
        <f t="shared" ref="D222:D285" si="36">IF(B222&gt;=1,"牛市",IF(B222&lt;=-1,"熊市","震荡"))</f>
        <v>牛市</v>
      </c>
      <c r="E222" s="1" t="str">
        <f t="shared" ref="E222:E285" si="37">IF(C222&lt;=-2,"牛市",IF(C222&gt;=2,"熊市","震荡"))</f>
        <v>牛市</v>
      </c>
    </row>
    <row r="223" spans="1:5" x14ac:dyDescent="0.35">
      <c r="A223" s="12">
        <v>39782</v>
      </c>
      <c r="B223" s="13">
        <v>12.63705375756617</v>
      </c>
      <c r="C223" s="87">
        <v>-18.836500000000001</v>
      </c>
      <c r="D223" s="1" t="str">
        <f t="shared" si="36"/>
        <v>牛市</v>
      </c>
      <c r="E223" s="1" t="str">
        <f t="shared" si="37"/>
        <v>牛市</v>
      </c>
    </row>
    <row r="224" spans="1:5" x14ac:dyDescent="0.35">
      <c r="A224" s="12">
        <v>39752</v>
      </c>
      <c r="B224" s="13">
        <v>-25.748628997696581</v>
      </c>
      <c r="C224" s="87">
        <v>-72.582714285714303</v>
      </c>
      <c r="D224" s="1" t="str">
        <f t="shared" si="36"/>
        <v>熊市</v>
      </c>
      <c r="E224" s="1" t="str">
        <f t="shared" si="37"/>
        <v>牛市</v>
      </c>
    </row>
    <row r="225" spans="1:5" x14ac:dyDescent="0.35">
      <c r="A225" s="12">
        <v>39721</v>
      </c>
      <c r="B225" s="13">
        <v>-6.61651660953875</v>
      </c>
      <c r="C225" s="87">
        <v>-49.573809523809501</v>
      </c>
      <c r="D225" s="1" t="str">
        <f t="shared" si="36"/>
        <v>熊市</v>
      </c>
      <c r="E225" s="1" t="str">
        <f t="shared" si="37"/>
        <v>牛市</v>
      </c>
    </row>
    <row r="226" spans="1:5" x14ac:dyDescent="0.35">
      <c r="A226" s="12">
        <v>39691</v>
      </c>
      <c r="B226" s="13">
        <v>-17.10106888997937</v>
      </c>
      <c r="C226" s="87">
        <v>-4.7817805383023</v>
      </c>
      <c r="D226" s="1" t="str">
        <f t="shared" si="36"/>
        <v>熊市</v>
      </c>
      <c r="E226" s="1" t="str">
        <f t="shared" si="37"/>
        <v>牛市</v>
      </c>
    </row>
    <row r="227" spans="1:5" x14ac:dyDescent="0.35">
      <c r="A227" s="12">
        <v>39660</v>
      </c>
      <c r="B227" s="13">
        <v>3.0455231961990541</v>
      </c>
      <c r="C227" s="87">
        <v>12.900804347826099</v>
      </c>
      <c r="D227" s="1" t="str">
        <f t="shared" si="36"/>
        <v>牛市</v>
      </c>
      <c r="E227" s="1" t="str">
        <f t="shared" si="37"/>
        <v>熊市</v>
      </c>
    </row>
    <row r="228" spans="1:5" x14ac:dyDescent="0.35">
      <c r="A228" s="12">
        <v>39629</v>
      </c>
      <c r="B228" s="13">
        <v>-22.414807405538092</v>
      </c>
      <c r="C228" s="87">
        <v>19.106214285714302</v>
      </c>
      <c r="D228" s="1" t="str">
        <f t="shared" si="36"/>
        <v>熊市</v>
      </c>
      <c r="E228" s="1" t="str">
        <f t="shared" si="37"/>
        <v>熊市</v>
      </c>
    </row>
    <row r="229" spans="1:5" x14ac:dyDescent="0.35">
      <c r="A229" s="12">
        <v>39599</v>
      </c>
      <c r="B229" s="13">
        <v>-7.5468323049154806</v>
      </c>
      <c r="C229" s="87">
        <v>10.163809523809499</v>
      </c>
      <c r="D229" s="1" t="str">
        <f t="shared" si="36"/>
        <v>熊市</v>
      </c>
      <c r="E229" s="1" t="str">
        <f t="shared" si="37"/>
        <v>熊市</v>
      </c>
    </row>
    <row r="230" spans="1:5" x14ac:dyDescent="0.35">
      <c r="A230" s="12">
        <v>39568</v>
      </c>
      <c r="B230" s="13">
        <v>2.6680251701053099</v>
      </c>
      <c r="C230" s="87">
        <v>-7.2123809523808999</v>
      </c>
      <c r="D230" s="1" t="str">
        <f t="shared" si="36"/>
        <v>牛市</v>
      </c>
      <c r="E230" s="1" t="str">
        <f t="shared" si="37"/>
        <v>牛市</v>
      </c>
    </row>
    <row r="231" spans="1:5" x14ac:dyDescent="0.35">
      <c r="A231" s="12">
        <v>39538</v>
      </c>
      <c r="B231" s="13">
        <v>-19.11566884014794</v>
      </c>
      <c r="C231" s="87">
        <v>-4.0371428571429</v>
      </c>
      <c r="D231" s="1" t="str">
        <f t="shared" si="36"/>
        <v>熊市</v>
      </c>
      <c r="E231" s="1" t="str">
        <f t="shared" si="37"/>
        <v>牛市</v>
      </c>
    </row>
    <row r="232" spans="1:5" x14ac:dyDescent="0.35">
      <c r="A232" s="12">
        <v>39507</v>
      </c>
      <c r="B232" s="13">
        <v>3.424329356043355</v>
      </c>
      <c r="C232" s="87">
        <v>-19.639545454545502</v>
      </c>
      <c r="D232" s="1" t="str">
        <f t="shared" si="36"/>
        <v>牛市</v>
      </c>
      <c r="E232" s="1" t="str">
        <f t="shared" si="37"/>
        <v>牛市</v>
      </c>
    </row>
    <row r="233" spans="1:5" x14ac:dyDescent="0.35">
      <c r="A233" s="12">
        <v>39478</v>
      </c>
      <c r="B233" s="13">
        <v>-11.08793550407114</v>
      </c>
      <c r="C233" s="87">
        <v>-11.505692640692599</v>
      </c>
      <c r="D233" s="1" t="str">
        <f t="shared" si="36"/>
        <v>熊市</v>
      </c>
      <c r="E233" s="1" t="str">
        <f t="shared" si="37"/>
        <v>牛市</v>
      </c>
    </row>
    <row r="234" spans="1:5" x14ac:dyDescent="0.35">
      <c r="A234" s="12">
        <v>39447</v>
      </c>
      <c r="B234" s="13">
        <v>14.859034207454521</v>
      </c>
      <c r="C234" s="87">
        <v>-8.1483982683982994</v>
      </c>
      <c r="D234" s="1" t="str">
        <f t="shared" si="36"/>
        <v>牛市</v>
      </c>
      <c r="E234" s="1" t="str">
        <f t="shared" si="37"/>
        <v>牛市</v>
      </c>
    </row>
    <row r="235" spans="1:5" x14ac:dyDescent="0.35">
      <c r="A235" s="12">
        <v>39416</v>
      </c>
      <c r="B235" s="13">
        <v>-14.53131517454452</v>
      </c>
      <c r="C235" s="87">
        <v>11.0147474747475</v>
      </c>
      <c r="D235" s="1" t="str">
        <f t="shared" si="36"/>
        <v>熊市</v>
      </c>
      <c r="E235" s="1" t="str">
        <f t="shared" si="37"/>
        <v>熊市</v>
      </c>
    </row>
    <row r="236" spans="1:5" x14ac:dyDescent="0.35">
      <c r="A236" s="12">
        <v>39386</v>
      </c>
      <c r="B236" s="13">
        <v>-1.4492371373879771</v>
      </c>
      <c r="C236" s="87">
        <v>3.3447979797979999</v>
      </c>
      <c r="D236" s="1" t="str">
        <f t="shared" si="36"/>
        <v>熊市</v>
      </c>
      <c r="E236" s="1" t="str">
        <f t="shared" si="37"/>
        <v>熊市</v>
      </c>
    </row>
    <row r="237" spans="1:5" x14ac:dyDescent="0.35">
      <c r="A237" s="12">
        <v>39355</v>
      </c>
      <c r="B237" s="13">
        <v>4.8266799083907337</v>
      </c>
      <c r="C237" s="87">
        <v>11.5749604743083</v>
      </c>
      <c r="D237" s="1" t="str">
        <f t="shared" si="36"/>
        <v>牛市</v>
      </c>
      <c r="E237" s="1" t="str">
        <f t="shared" si="37"/>
        <v>熊市</v>
      </c>
    </row>
    <row r="238" spans="1:5" x14ac:dyDescent="0.35">
      <c r="A238" s="12">
        <v>39325</v>
      </c>
      <c r="B238" s="13">
        <v>15.61178914084773</v>
      </c>
      <c r="C238" s="87">
        <v>-14.1585968379447</v>
      </c>
      <c r="D238" s="1" t="str">
        <f t="shared" si="36"/>
        <v>牛市</v>
      </c>
      <c r="E238" s="1" t="str">
        <f t="shared" si="37"/>
        <v>牛市</v>
      </c>
    </row>
    <row r="239" spans="1:5" x14ac:dyDescent="0.35">
      <c r="A239" s="12">
        <v>39294</v>
      </c>
      <c r="B239" s="13">
        <v>19.487496614026711</v>
      </c>
      <c r="C239" s="87">
        <v>13.2805844155844</v>
      </c>
      <c r="D239" s="1" t="str">
        <f t="shared" si="36"/>
        <v>牛市</v>
      </c>
      <c r="E239" s="1" t="str">
        <f t="shared" si="37"/>
        <v>熊市</v>
      </c>
    </row>
    <row r="240" spans="1:5" x14ac:dyDescent="0.35">
      <c r="A240" s="12">
        <v>39263</v>
      </c>
      <c r="B240" s="13">
        <v>-8.7839079269089098</v>
      </c>
      <c r="C240" s="87">
        <v>41.175476190476203</v>
      </c>
      <c r="D240" s="1" t="str">
        <f t="shared" si="36"/>
        <v>熊市</v>
      </c>
      <c r="E240" s="1" t="str">
        <f t="shared" si="37"/>
        <v>熊市</v>
      </c>
    </row>
    <row r="241" spans="1:5" x14ac:dyDescent="0.35">
      <c r="A241" s="12">
        <v>39233</v>
      </c>
      <c r="B241" s="13">
        <v>10.03251689576971</v>
      </c>
      <c r="C241" s="87">
        <v>35.2181884057971</v>
      </c>
      <c r="D241" s="1" t="str">
        <f t="shared" si="36"/>
        <v>牛市</v>
      </c>
      <c r="E241" s="1" t="str">
        <f t="shared" si="37"/>
        <v>熊市</v>
      </c>
    </row>
    <row r="242" spans="1:5" x14ac:dyDescent="0.35">
      <c r="A242" s="12">
        <v>39202</v>
      </c>
      <c r="B242" s="13">
        <v>29.154446009859861</v>
      </c>
      <c r="C242" s="87">
        <v>23.1630237154151</v>
      </c>
      <c r="D242" s="1" t="str">
        <f t="shared" si="36"/>
        <v>牛市</v>
      </c>
      <c r="E242" s="1" t="str">
        <f t="shared" si="37"/>
        <v>熊市</v>
      </c>
    </row>
    <row r="243" spans="1:5" x14ac:dyDescent="0.35">
      <c r="A243" s="12">
        <v>39172</v>
      </c>
      <c r="B243" s="13">
        <v>12.00026397433925</v>
      </c>
      <c r="C243" s="87">
        <v>19.148101604278001</v>
      </c>
      <c r="D243" s="1" t="str">
        <f t="shared" si="36"/>
        <v>牛市</v>
      </c>
      <c r="E243" s="1" t="str">
        <f t="shared" si="37"/>
        <v>熊市</v>
      </c>
    </row>
    <row r="244" spans="1:5" x14ac:dyDescent="0.35">
      <c r="A244" s="12">
        <v>39141</v>
      </c>
      <c r="B244" s="13">
        <v>10.35012291086144</v>
      </c>
      <c r="C244" s="87">
        <v>8.0488529411765004</v>
      </c>
      <c r="D244" s="1" t="str">
        <f t="shared" si="36"/>
        <v>牛市</v>
      </c>
      <c r="E244" s="1" t="str">
        <f t="shared" si="37"/>
        <v>熊市</v>
      </c>
    </row>
    <row r="245" spans="1:5" x14ac:dyDescent="0.35">
      <c r="A245" s="12">
        <v>39113</v>
      </c>
      <c r="B245" s="13">
        <v>18.606424013833081</v>
      </c>
      <c r="C245" s="87">
        <v>0.47089130434780002</v>
      </c>
      <c r="D245" s="1" t="str">
        <f t="shared" si="36"/>
        <v>牛市</v>
      </c>
      <c r="E245" s="1" t="str">
        <f t="shared" si="37"/>
        <v>震荡</v>
      </c>
    </row>
    <row r="246" spans="1:5" x14ac:dyDescent="0.35">
      <c r="A246" s="12">
        <v>39082</v>
      </c>
      <c r="B246" s="13">
        <v>13.990770711636641</v>
      </c>
      <c r="C246" s="87">
        <v>3.8830632411066999</v>
      </c>
      <c r="D246" s="1" t="str">
        <f t="shared" si="36"/>
        <v>牛市</v>
      </c>
      <c r="E246" s="1" t="str">
        <f t="shared" si="37"/>
        <v>熊市</v>
      </c>
    </row>
    <row r="247" spans="1:5" x14ac:dyDescent="0.35">
      <c r="A247" s="12">
        <v>39051</v>
      </c>
      <c r="B247" s="13">
        <v>11.987553533202361</v>
      </c>
      <c r="C247" s="87">
        <v>2.7212121212121998</v>
      </c>
      <c r="D247" s="1" t="str">
        <f t="shared" si="36"/>
        <v>牛市</v>
      </c>
      <c r="E247" s="1" t="str">
        <f t="shared" si="37"/>
        <v>熊市</v>
      </c>
    </row>
    <row r="248" spans="1:5" x14ac:dyDescent="0.35">
      <c r="A248" s="12">
        <v>39021</v>
      </c>
      <c r="B248" s="13">
        <v>2.2219003338026919</v>
      </c>
      <c r="C248" s="87">
        <v>-16.8825757575758</v>
      </c>
      <c r="D248" s="1" t="str">
        <f t="shared" si="36"/>
        <v>牛市</v>
      </c>
      <c r="E248" s="1" t="str">
        <f t="shared" si="37"/>
        <v>牛市</v>
      </c>
    </row>
    <row r="249" spans="1:5" x14ac:dyDescent="0.35">
      <c r="A249" s="12">
        <v>38990</v>
      </c>
      <c r="B249" s="13">
        <v>4.7396317461610602</v>
      </c>
      <c r="C249" s="87">
        <v>-11.965177865612601</v>
      </c>
      <c r="D249" s="1" t="str">
        <f t="shared" si="36"/>
        <v>牛市</v>
      </c>
      <c r="E249" s="1" t="str">
        <f t="shared" si="37"/>
        <v>牛市</v>
      </c>
    </row>
    <row r="250" spans="1:5" x14ac:dyDescent="0.35">
      <c r="A250" s="12">
        <v>38960</v>
      </c>
      <c r="B250" s="13">
        <v>3.7282663042330091</v>
      </c>
      <c r="C250" s="87">
        <v>3.8808488612835998</v>
      </c>
      <c r="D250" s="1" t="str">
        <f t="shared" si="36"/>
        <v>牛市</v>
      </c>
      <c r="E250" s="1" t="str">
        <f t="shared" si="37"/>
        <v>熊市</v>
      </c>
    </row>
    <row r="251" spans="1:5" x14ac:dyDescent="0.35">
      <c r="A251" s="12">
        <v>38929</v>
      </c>
      <c r="B251" s="13">
        <v>-5.3855439124323947</v>
      </c>
      <c r="C251" s="87">
        <v>11.388874458874501</v>
      </c>
      <c r="D251" s="1" t="str">
        <f t="shared" si="36"/>
        <v>熊市</v>
      </c>
      <c r="E251" s="1" t="str">
        <f t="shared" si="37"/>
        <v>熊市</v>
      </c>
    </row>
    <row r="252" spans="1:5" x14ac:dyDescent="0.35">
      <c r="A252" s="12">
        <v>38898</v>
      </c>
      <c r="B252" s="13">
        <v>3.7753559040965681</v>
      </c>
      <c r="C252" s="87">
        <v>8.4419191919191992</v>
      </c>
      <c r="D252" s="1" t="str">
        <f t="shared" si="36"/>
        <v>牛市</v>
      </c>
      <c r="E252" s="1" t="str">
        <f t="shared" si="37"/>
        <v>熊市</v>
      </c>
    </row>
    <row r="253" spans="1:5" x14ac:dyDescent="0.35">
      <c r="A253" s="12">
        <v>38868</v>
      </c>
      <c r="B253" s="13">
        <v>19.749219184930151</v>
      </c>
      <c r="C253" s="87">
        <v>2.8644444444444002</v>
      </c>
      <c r="D253" s="1" t="str">
        <f t="shared" si="36"/>
        <v>牛市</v>
      </c>
      <c r="E253" s="1" t="str">
        <f t="shared" si="37"/>
        <v>熊市</v>
      </c>
    </row>
    <row r="254" spans="1:5" x14ac:dyDescent="0.35">
      <c r="A254" s="12">
        <v>38837</v>
      </c>
      <c r="B254" s="13">
        <v>11.04557049832149</v>
      </c>
      <c r="C254" s="87">
        <v>7.0278260869564999</v>
      </c>
      <c r="D254" s="1" t="str">
        <f t="shared" si="36"/>
        <v>牛市</v>
      </c>
      <c r="E254" s="1" t="str">
        <f t="shared" si="37"/>
        <v>熊市</v>
      </c>
    </row>
    <row r="255" spans="1:5" x14ac:dyDescent="0.35">
      <c r="A255" s="12">
        <v>38807</v>
      </c>
      <c r="B255" s="13">
        <v>2.0414763784119132</v>
      </c>
      <c r="C255" s="87">
        <v>-1.7578260869564999</v>
      </c>
      <c r="D255" s="1" t="str">
        <f t="shared" si="36"/>
        <v>牛市</v>
      </c>
      <c r="E255" s="1" t="str">
        <f t="shared" si="37"/>
        <v>震荡</v>
      </c>
    </row>
    <row r="256" spans="1:5" x14ac:dyDescent="0.35">
      <c r="A256" s="12">
        <v>38776</v>
      </c>
      <c r="B256" s="13">
        <v>3.1450484320926519</v>
      </c>
      <c r="C256" s="87">
        <v>-9.2668421052631995</v>
      </c>
      <c r="D256" s="1" t="str">
        <f t="shared" si="36"/>
        <v>牛市</v>
      </c>
      <c r="E256" s="1" t="str">
        <f t="shared" si="37"/>
        <v>牛市</v>
      </c>
    </row>
    <row r="257" spans="1:5" x14ac:dyDescent="0.35">
      <c r="A257" s="12">
        <v>38748</v>
      </c>
      <c r="B257" s="13">
        <v>8.7632366884648025</v>
      </c>
      <c r="C257" s="87">
        <v>-20.6931578947368</v>
      </c>
      <c r="D257" s="1" t="str">
        <f t="shared" si="36"/>
        <v>牛市</v>
      </c>
      <c r="E257" s="1" t="str">
        <f t="shared" si="37"/>
        <v>牛市</v>
      </c>
    </row>
    <row r="258" spans="1:5" x14ac:dyDescent="0.35">
      <c r="A258" s="12">
        <v>38717</v>
      </c>
      <c r="B258" s="13">
        <v>4.5096546190432827</v>
      </c>
      <c r="C258" s="87">
        <v>-3.4313636363636002</v>
      </c>
      <c r="D258" s="1" t="str">
        <f t="shared" si="36"/>
        <v>牛市</v>
      </c>
      <c r="E258" s="1" t="str">
        <f t="shared" si="37"/>
        <v>牛市</v>
      </c>
    </row>
    <row r="259" spans="1:5" x14ac:dyDescent="0.35">
      <c r="A259" s="12">
        <v>38686</v>
      </c>
      <c r="B259" s="13">
        <v>0.207151416187878</v>
      </c>
      <c r="C259" s="87">
        <v>28.004696969696901</v>
      </c>
      <c r="D259" s="1" t="str">
        <f t="shared" si="36"/>
        <v>震荡</v>
      </c>
      <c r="E259" s="1" t="str">
        <f t="shared" si="37"/>
        <v>熊市</v>
      </c>
    </row>
    <row r="260" spans="1:5" x14ac:dyDescent="0.35">
      <c r="A260" s="12">
        <v>38656</v>
      </c>
      <c r="B260" s="13">
        <v>-5.5253453268511787</v>
      </c>
      <c r="C260" s="87">
        <v>-35.828333333333298</v>
      </c>
      <c r="D260" s="1" t="str">
        <f t="shared" si="36"/>
        <v>熊市</v>
      </c>
      <c r="E260" s="1" t="str">
        <f t="shared" si="37"/>
        <v>牛市</v>
      </c>
    </row>
    <row r="261" spans="1:5" x14ac:dyDescent="0.35">
      <c r="A261" s="12">
        <v>38625</v>
      </c>
      <c r="B261" s="13">
        <v>0.449658121806356</v>
      </c>
      <c r="C261" s="87">
        <v>2.3032608695652002</v>
      </c>
      <c r="D261" s="1" t="str">
        <f t="shared" si="36"/>
        <v>震荡</v>
      </c>
      <c r="E261" s="1" t="str">
        <f t="shared" si="37"/>
        <v>熊市</v>
      </c>
    </row>
    <row r="262" spans="1:5" x14ac:dyDescent="0.35">
      <c r="A262" s="12">
        <v>38595</v>
      </c>
      <c r="B262" s="13">
        <v>9.8016584931009927</v>
      </c>
      <c r="C262" s="87">
        <v>-7.6387370600414002</v>
      </c>
      <c r="D262" s="1" t="str">
        <f t="shared" si="36"/>
        <v>牛市</v>
      </c>
      <c r="E262" s="1" t="str">
        <f t="shared" si="37"/>
        <v>牛市</v>
      </c>
    </row>
    <row r="263" spans="1:5" x14ac:dyDescent="0.35">
      <c r="A263" s="12">
        <v>38564</v>
      </c>
      <c r="B263" s="13">
        <v>-2.4235108241786039</v>
      </c>
      <c r="C263" s="87">
        <v>-25.5195238095238</v>
      </c>
      <c r="D263" s="1" t="str">
        <f t="shared" si="36"/>
        <v>熊市</v>
      </c>
      <c r="E263" s="1" t="str">
        <f t="shared" si="37"/>
        <v>牛市</v>
      </c>
    </row>
    <row r="264" spans="1:5" x14ac:dyDescent="0.35">
      <c r="A264" s="12">
        <v>38533</v>
      </c>
      <c r="B264" s="13">
        <v>1.0757244092617519</v>
      </c>
      <c r="C264" s="87">
        <v>-20.870555555555601</v>
      </c>
      <c r="D264" s="1" t="str">
        <f t="shared" si="36"/>
        <v>牛市</v>
      </c>
      <c r="E264" s="1" t="str">
        <f t="shared" si="37"/>
        <v>牛市</v>
      </c>
    </row>
    <row r="265" spans="1:5" x14ac:dyDescent="0.35">
      <c r="A265" s="12">
        <v>38503</v>
      </c>
      <c r="B265" s="13">
        <v>-6.6532597396532021</v>
      </c>
      <c r="C265" s="87">
        <v>-20.399444444444399</v>
      </c>
      <c r="D265" s="1" t="str">
        <f t="shared" si="36"/>
        <v>熊市</v>
      </c>
      <c r="E265" s="1" t="str">
        <f t="shared" si="37"/>
        <v>牛市</v>
      </c>
    </row>
    <row r="266" spans="1:5" x14ac:dyDescent="0.35">
      <c r="A266" s="12">
        <v>38472</v>
      </c>
      <c r="B266" s="13">
        <v>-3.5041496266320982</v>
      </c>
      <c r="C266" s="87">
        <v>-46.693913043478297</v>
      </c>
      <c r="D266" s="1" t="str">
        <f t="shared" si="36"/>
        <v>熊市</v>
      </c>
      <c r="E266" s="1" t="str">
        <f t="shared" si="37"/>
        <v>牛市</v>
      </c>
    </row>
    <row r="267" spans="1:5" x14ac:dyDescent="0.35">
      <c r="A267" s="12">
        <v>38442</v>
      </c>
      <c r="B267" s="13">
        <v>-11.033767738899741</v>
      </c>
      <c r="C267" s="87">
        <v>-29.136086956521702</v>
      </c>
      <c r="D267" s="1" t="str">
        <f t="shared" si="36"/>
        <v>熊市</v>
      </c>
      <c r="E267" s="1" t="str">
        <f t="shared" si="37"/>
        <v>牛市</v>
      </c>
    </row>
    <row r="268" spans="1:5" x14ac:dyDescent="0.35">
      <c r="A268" s="12">
        <v>38411</v>
      </c>
      <c r="B268" s="13">
        <v>9.8261264751749113</v>
      </c>
      <c r="C268" s="87">
        <v>-22.86</v>
      </c>
      <c r="D268" s="1" t="str">
        <f t="shared" si="36"/>
        <v>牛市</v>
      </c>
      <c r="E268" s="1" t="str">
        <f t="shared" si="37"/>
        <v>牛市</v>
      </c>
    </row>
    <row r="269" spans="1:5" x14ac:dyDescent="0.35">
      <c r="A269" s="12">
        <v>38383</v>
      </c>
      <c r="B269" s="13">
        <v>-6.5926808522967137</v>
      </c>
      <c r="C269" s="87">
        <v>-14.762173913043499</v>
      </c>
      <c r="D269" s="1" t="str">
        <f t="shared" si="36"/>
        <v>熊市</v>
      </c>
      <c r="E269" s="1" t="str">
        <f t="shared" si="37"/>
        <v>牛市</v>
      </c>
    </row>
    <row r="270" spans="1:5" x14ac:dyDescent="0.35">
      <c r="A270" s="12">
        <v>38352</v>
      </c>
      <c r="B270" s="13">
        <v>-7.0597806957649007</v>
      </c>
      <c r="C270" s="87">
        <v>-4.4555533596838002</v>
      </c>
      <c r="D270" s="1" t="str">
        <f t="shared" si="36"/>
        <v>熊市</v>
      </c>
      <c r="E270" s="1" t="str">
        <f t="shared" si="37"/>
        <v>牛市</v>
      </c>
    </row>
    <row r="271" spans="1:5" x14ac:dyDescent="0.35">
      <c r="A271" s="12">
        <v>38321</v>
      </c>
      <c r="B271" s="13">
        <v>2.7561575216792051</v>
      </c>
      <c r="C271" s="87">
        <v>21.7471717171717</v>
      </c>
      <c r="D271" s="1" t="str">
        <f t="shared" si="36"/>
        <v>牛市</v>
      </c>
      <c r="E271" s="1" t="str">
        <f t="shared" si="37"/>
        <v>熊市</v>
      </c>
    </row>
    <row r="272" spans="1:5" x14ac:dyDescent="0.35">
      <c r="A272" s="12">
        <v>38291</v>
      </c>
      <c r="B272" s="13">
        <v>-5.7268996407965496</v>
      </c>
      <c r="C272" s="87">
        <v>-14.425808080808</v>
      </c>
      <c r="D272" s="1" t="str">
        <f t="shared" si="36"/>
        <v>熊市</v>
      </c>
      <c r="E272" s="1" t="str">
        <f t="shared" si="37"/>
        <v>牛市</v>
      </c>
    </row>
    <row r="273" spans="1:5" x14ac:dyDescent="0.35">
      <c r="A273" s="12">
        <v>38260</v>
      </c>
      <c r="B273" s="13">
        <v>5.1577329134208467</v>
      </c>
      <c r="C273" s="87">
        <v>33.138636363636301</v>
      </c>
      <c r="D273" s="1" t="str">
        <f t="shared" si="36"/>
        <v>牛市</v>
      </c>
      <c r="E273" s="1" t="str">
        <f t="shared" si="37"/>
        <v>熊市</v>
      </c>
    </row>
    <row r="274" spans="1:5" x14ac:dyDescent="0.35">
      <c r="A274" s="12">
        <v>38230</v>
      </c>
      <c r="B274" s="13">
        <v>-4.8801460015897291</v>
      </c>
      <c r="C274" s="87">
        <v>18.4709090909091</v>
      </c>
      <c r="D274" s="1" t="str">
        <f t="shared" si="36"/>
        <v>熊市</v>
      </c>
      <c r="E274" s="1" t="str">
        <f t="shared" si="37"/>
        <v>熊市</v>
      </c>
    </row>
    <row r="275" spans="1:5" x14ac:dyDescent="0.35">
      <c r="A275" s="12">
        <v>38199</v>
      </c>
      <c r="B275" s="13">
        <v>-0.892143775975068</v>
      </c>
      <c r="C275" s="87">
        <v>33.507272727272699</v>
      </c>
      <c r="D275" s="1" t="str">
        <f t="shared" si="36"/>
        <v>震荡</v>
      </c>
      <c r="E275" s="1" t="str">
        <f t="shared" si="37"/>
        <v>熊市</v>
      </c>
    </row>
    <row r="276" spans="1:5" x14ac:dyDescent="0.35">
      <c r="A276" s="12">
        <v>38168</v>
      </c>
      <c r="B276" s="13">
        <v>-11.53417616134977</v>
      </c>
      <c r="C276" s="87">
        <v>1.4556565656566001</v>
      </c>
      <c r="D276" s="1" t="str">
        <f t="shared" si="36"/>
        <v>熊市</v>
      </c>
      <c r="E276" s="1" t="str">
        <f t="shared" si="37"/>
        <v>震荡</v>
      </c>
    </row>
    <row r="277" spans="1:5" x14ac:dyDescent="0.35">
      <c r="A277" s="12">
        <v>38138</v>
      </c>
      <c r="B277" s="13">
        <v>-2.3972091718631372</v>
      </c>
      <c r="C277" s="87">
        <v>13.4581746031746</v>
      </c>
      <c r="D277" s="1" t="str">
        <f t="shared" si="36"/>
        <v>熊市</v>
      </c>
      <c r="E277" s="1" t="str">
        <f t="shared" si="37"/>
        <v>熊市</v>
      </c>
    </row>
    <row r="278" spans="1:5" x14ac:dyDescent="0.35">
      <c r="A278" s="12">
        <v>38107</v>
      </c>
      <c r="B278" s="13">
        <v>-9.6376260460906806</v>
      </c>
      <c r="C278" s="87">
        <v>28.7648447204969</v>
      </c>
      <c r="D278" s="1" t="str">
        <f t="shared" si="36"/>
        <v>熊市</v>
      </c>
      <c r="E278" s="1" t="str">
        <f t="shared" si="37"/>
        <v>熊市</v>
      </c>
    </row>
    <row r="279" spans="1:5" x14ac:dyDescent="0.35">
      <c r="A279" s="12">
        <v>38077</v>
      </c>
      <c r="B279" s="13">
        <v>3.26168046538168</v>
      </c>
      <c r="C279" s="87">
        <v>5.1428695652174001</v>
      </c>
      <c r="D279" s="1" t="str">
        <f t="shared" si="36"/>
        <v>牛市</v>
      </c>
      <c r="E279" s="1" t="str">
        <f t="shared" si="37"/>
        <v>熊市</v>
      </c>
    </row>
    <row r="280" spans="1:5" x14ac:dyDescent="0.35">
      <c r="A280" s="12">
        <v>38046</v>
      </c>
      <c r="B280" s="13">
        <v>7.6793349435083362</v>
      </c>
      <c r="C280" s="87">
        <v>4.2802222222221999</v>
      </c>
      <c r="D280" s="1" t="str">
        <f t="shared" si="36"/>
        <v>牛市</v>
      </c>
      <c r="E280" s="1" t="str">
        <f t="shared" si="37"/>
        <v>熊市</v>
      </c>
    </row>
    <row r="281" spans="1:5" x14ac:dyDescent="0.35">
      <c r="A281" s="12">
        <v>38017</v>
      </c>
      <c r="B281" s="13">
        <v>7.685796910634096</v>
      </c>
      <c r="C281" s="87">
        <v>0.52516908212559998</v>
      </c>
      <c r="D281" s="1" t="str">
        <f t="shared" si="36"/>
        <v>牛市</v>
      </c>
      <c r="E281" s="1" t="str">
        <f t="shared" si="37"/>
        <v>震荡</v>
      </c>
    </row>
    <row r="282" spans="1:5" x14ac:dyDescent="0.35">
      <c r="A282" s="12">
        <v>37986</v>
      </c>
      <c r="B282" s="13">
        <v>2.9608280666766231</v>
      </c>
      <c r="C282" s="87">
        <v>18.756292906178501</v>
      </c>
      <c r="D282" s="1" t="str">
        <f t="shared" si="36"/>
        <v>牛市</v>
      </c>
      <c r="E282" s="1" t="str">
        <f t="shared" si="37"/>
        <v>熊市</v>
      </c>
    </row>
    <row r="283" spans="1:5" x14ac:dyDescent="0.35">
      <c r="A283" s="12">
        <v>37955</v>
      </c>
      <c r="B283" s="13">
        <v>2.1279522571891718</v>
      </c>
      <c r="C283" s="87">
        <v>23.803538011695899</v>
      </c>
      <c r="D283" s="1" t="str">
        <f t="shared" si="36"/>
        <v>牛市</v>
      </c>
      <c r="E283" s="1" t="str">
        <f t="shared" si="37"/>
        <v>熊市</v>
      </c>
    </row>
    <row r="284" spans="1:5" x14ac:dyDescent="0.35">
      <c r="A284" s="12">
        <v>37925</v>
      </c>
      <c r="B284" s="13">
        <v>-4.1759294063772421</v>
      </c>
      <c r="C284" s="87">
        <v>31.0486111111111</v>
      </c>
      <c r="D284" s="1" t="str">
        <f t="shared" si="36"/>
        <v>熊市</v>
      </c>
      <c r="E284" s="1" t="str">
        <f t="shared" si="37"/>
        <v>熊市</v>
      </c>
    </row>
    <row r="285" spans="1:5" x14ac:dyDescent="0.35">
      <c r="A285" s="12">
        <v>37894</v>
      </c>
      <c r="B285" s="13">
        <v>-4.4038155819377449</v>
      </c>
      <c r="C285" s="87">
        <v>15.2230555555556</v>
      </c>
      <c r="D285" s="1" t="str">
        <f t="shared" si="36"/>
        <v>熊市</v>
      </c>
      <c r="E285" s="1" t="str">
        <f t="shared" si="37"/>
        <v>熊市</v>
      </c>
    </row>
    <row r="286" spans="1:5" x14ac:dyDescent="0.35">
      <c r="A286" s="12">
        <v>37864</v>
      </c>
      <c r="B286" s="13">
        <v>-3.01931391309797</v>
      </c>
      <c r="C286" s="87">
        <v>-5.9014975845411</v>
      </c>
      <c r="D286" s="1" t="str">
        <f t="shared" ref="D286:D349" si="38">IF(B286&gt;=1,"牛市",IF(B286&lt;=-1,"熊市","震荡"))</f>
        <v>熊市</v>
      </c>
      <c r="E286" s="1" t="str">
        <f t="shared" ref="E286:E349" si="39">IF(C286&lt;=-2,"牛市",IF(C286&gt;=2,"熊市","震荡"))</f>
        <v>牛市</v>
      </c>
    </row>
    <row r="287" spans="1:5" x14ac:dyDescent="0.35">
      <c r="A287" s="12">
        <v>37833</v>
      </c>
      <c r="B287" s="13">
        <v>-1.6446175095763691</v>
      </c>
      <c r="C287" s="87">
        <v>4.7281086956521996</v>
      </c>
      <c r="D287" s="1" t="str">
        <f t="shared" si="38"/>
        <v>熊市</v>
      </c>
      <c r="E287" s="1" t="str">
        <f t="shared" si="39"/>
        <v>熊市</v>
      </c>
    </row>
    <row r="288" spans="1:5" x14ac:dyDescent="0.35">
      <c r="A288" s="12">
        <v>37802</v>
      </c>
      <c r="B288" s="13">
        <v>-6.7399573814398099</v>
      </c>
      <c r="C288" s="87">
        <v>6.6055526315788997</v>
      </c>
      <c r="D288" s="1" t="str">
        <f t="shared" si="38"/>
        <v>熊市</v>
      </c>
      <c r="E288" s="1" t="str">
        <f t="shared" si="39"/>
        <v>熊市</v>
      </c>
    </row>
    <row r="289" spans="1:5" x14ac:dyDescent="0.35">
      <c r="A289" s="12">
        <v>37772</v>
      </c>
      <c r="B289" s="13">
        <v>4.3940377229108059</v>
      </c>
      <c r="C289" s="87">
        <v>-17.886290726816998</v>
      </c>
      <c r="D289" s="1" t="str">
        <f t="shared" si="38"/>
        <v>牛市</v>
      </c>
      <c r="E289" s="1" t="str">
        <f t="shared" si="39"/>
        <v>牛市</v>
      </c>
    </row>
    <row r="290" spans="1:5" x14ac:dyDescent="0.35">
      <c r="A290" s="12">
        <v>37741</v>
      </c>
      <c r="B290" s="13">
        <v>-1.371381627335946</v>
      </c>
      <c r="C290" s="87">
        <v>-6.6004761904761997</v>
      </c>
      <c r="D290" s="1" t="str">
        <f t="shared" si="38"/>
        <v>熊市</v>
      </c>
      <c r="E290" s="1" t="str">
        <f t="shared" si="39"/>
        <v>牛市</v>
      </c>
    </row>
    <row r="291" spans="1:5" x14ac:dyDescent="0.35">
      <c r="A291" s="12">
        <v>37711</v>
      </c>
      <c r="B291" s="13">
        <v>-1.5079090628798379</v>
      </c>
      <c r="C291" s="87">
        <v>-10.6895798319328</v>
      </c>
      <c r="D291" s="1" t="str">
        <f t="shared" si="38"/>
        <v>熊市</v>
      </c>
      <c r="E291" s="1" t="str">
        <f t="shared" si="39"/>
        <v>牛市</v>
      </c>
    </row>
    <row r="292" spans="1:5" x14ac:dyDescent="0.35">
      <c r="A292" s="12">
        <v>37680</v>
      </c>
      <c r="B292" s="13">
        <v>1.0006099410163181</v>
      </c>
      <c r="C292" s="87">
        <v>5.3148395721926001</v>
      </c>
      <c r="D292" s="1" t="str">
        <f t="shared" si="38"/>
        <v>牛市</v>
      </c>
      <c r="E292" s="1" t="str">
        <f t="shared" si="39"/>
        <v>熊市</v>
      </c>
    </row>
    <row r="293" spans="1:5" x14ac:dyDescent="0.35">
      <c r="A293" s="12">
        <v>37652</v>
      </c>
      <c r="B293" s="13">
        <v>9.9618915147784612</v>
      </c>
      <c r="C293" s="87">
        <v>-12.1745454545455</v>
      </c>
      <c r="D293" s="1" t="str">
        <f t="shared" si="38"/>
        <v>牛市</v>
      </c>
      <c r="E293" s="1" t="str">
        <f t="shared" si="39"/>
        <v>牛市</v>
      </c>
    </row>
    <row r="294" spans="1:5" x14ac:dyDescent="0.35">
      <c r="A294" s="12">
        <v>37621</v>
      </c>
      <c r="B294" s="13">
        <v>-5.4468961187091027</v>
      </c>
      <c r="C294" s="87">
        <v>-4.2764285714285997</v>
      </c>
      <c r="D294" s="1" t="str">
        <f t="shared" si="38"/>
        <v>熊市</v>
      </c>
      <c r="E294" s="1" t="str">
        <f t="shared" si="39"/>
        <v>牛市</v>
      </c>
    </row>
    <row r="295" spans="1:5" x14ac:dyDescent="0.35">
      <c r="A295" s="12">
        <v>37590</v>
      </c>
      <c r="B295" s="13">
        <v>-6.7172030225605104</v>
      </c>
      <c r="C295" s="87">
        <v>22.386428571428599</v>
      </c>
      <c r="D295" s="1" t="str">
        <f t="shared" si="38"/>
        <v>熊市</v>
      </c>
      <c r="E295" s="1" t="str">
        <f t="shared" si="39"/>
        <v>熊市</v>
      </c>
    </row>
    <row r="296" spans="1:5" x14ac:dyDescent="0.35">
      <c r="A296" s="12">
        <v>37560</v>
      </c>
      <c r="B296" s="13">
        <v>-5.1838332449555917</v>
      </c>
      <c r="C296" s="87">
        <v>-9.4819565217391002</v>
      </c>
      <c r="D296" s="1" t="str">
        <f t="shared" si="38"/>
        <v>熊市</v>
      </c>
      <c r="E296" s="1" t="str">
        <f t="shared" si="39"/>
        <v>牛市</v>
      </c>
    </row>
    <row r="297" spans="1:5" x14ac:dyDescent="0.35">
      <c r="A297" s="12">
        <v>37529</v>
      </c>
      <c r="B297" s="13">
        <v>-5.5987590395966977</v>
      </c>
      <c r="C297" s="87">
        <v>5.4045755693580997</v>
      </c>
      <c r="D297" s="1" t="str">
        <f t="shared" si="38"/>
        <v>熊市</v>
      </c>
      <c r="E297" s="1" t="str">
        <f t="shared" si="39"/>
        <v>熊市</v>
      </c>
    </row>
    <row r="298" spans="1:5" x14ac:dyDescent="0.35">
      <c r="A298" s="12">
        <v>37499</v>
      </c>
      <c r="B298" s="13">
        <v>0.73744044288311095</v>
      </c>
      <c r="C298" s="87">
        <v>39.681946169772303</v>
      </c>
      <c r="D298" s="1" t="str">
        <f t="shared" si="38"/>
        <v>震荡</v>
      </c>
      <c r="E298" s="1" t="str">
        <f t="shared" si="39"/>
        <v>熊市</v>
      </c>
    </row>
    <row r="299" spans="1:5" x14ac:dyDescent="0.35">
      <c r="A299" s="12">
        <v>37468</v>
      </c>
      <c r="B299" s="13">
        <v>-4.0648959029585416</v>
      </c>
      <c r="C299" s="87">
        <v>19.611934782608699</v>
      </c>
      <c r="D299" s="1" t="str">
        <f t="shared" si="38"/>
        <v>熊市</v>
      </c>
      <c r="E299" s="1" t="str">
        <f t="shared" si="39"/>
        <v>熊市</v>
      </c>
    </row>
    <row r="300" spans="1:5" x14ac:dyDescent="0.35">
      <c r="A300" s="12">
        <v>37437</v>
      </c>
      <c r="B300" s="13">
        <v>13.31458302719961</v>
      </c>
      <c r="C300" s="87">
        <v>3.6385000000000001</v>
      </c>
      <c r="D300" s="1" t="str">
        <f t="shared" si="38"/>
        <v>牛市</v>
      </c>
      <c r="E300" s="1" t="str">
        <f t="shared" si="39"/>
        <v>熊市</v>
      </c>
    </row>
    <row r="301" spans="1:5" x14ac:dyDescent="0.35">
      <c r="A301" s="12">
        <v>37407</v>
      </c>
      <c r="B301" s="13">
        <v>-8.6060265237574463</v>
      </c>
      <c r="C301" s="87">
        <v>-19.3683333333333</v>
      </c>
      <c r="D301" s="1" t="str">
        <f t="shared" si="38"/>
        <v>熊市</v>
      </c>
      <c r="E301" s="1" t="str">
        <f t="shared" si="39"/>
        <v>牛市</v>
      </c>
    </row>
    <row r="302" spans="1:5" x14ac:dyDescent="0.35">
      <c r="A302" s="12">
        <v>37376</v>
      </c>
      <c r="B302" s="13">
        <v>4.1384082167802969</v>
      </c>
      <c r="C302" s="87">
        <v>-33.023571428571501</v>
      </c>
      <c r="D302" s="1" t="str">
        <f t="shared" si="38"/>
        <v>牛市</v>
      </c>
      <c r="E302" s="1" t="str">
        <f t="shared" si="39"/>
        <v>牛市</v>
      </c>
    </row>
    <row r="303" spans="1:5" x14ac:dyDescent="0.35">
      <c r="A303" s="12">
        <v>37346</v>
      </c>
      <c r="B303" s="13">
        <v>6.8197863275113049</v>
      </c>
      <c r="C303" s="87">
        <v>-17.535742296918698</v>
      </c>
      <c r="D303" s="1" t="str">
        <f t="shared" si="38"/>
        <v>牛市</v>
      </c>
      <c r="E303" s="1" t="str">
        <f t="shared" si="39"/>
        <v>牛市</v>
      </c>
    </row>
    <row r="304" spans="1:5" x14ac:dyDescent="0.35">
      <c r="A304" s="12">
        <v>37315</v>
      </c>
      <c r="B304" s="13">
        <v>2.9822514842246721</v>
      </c>
      <c r="C304" s="87">
        <v>-17.575352941176501</v>
      </c>
      <c r="D304" s="1" t="str">
        <f t="shared" si="38"/>
        <v>牛市</v>
      </c>
      <c r="E304" s="1" t="str">
        <f t="shared" si="39"/>
        <v>牛市</v>
      </c>
    </row>
    <row r="305" spans="1:5" x14ac:dyDescent="0.35">
      <c r="A305" s="12">
        <v>37287</v>
      </c>
      <c r="B305" s="13">
        <v>-11.249145564817709</v>
      </c>
      <c r="C305" s="87">
        <v>0</v>
      </c>
      <c r="D305" s="1" t="str">
        <f t="shared" si="38"/>
        <v>熊市</v>
      </c>
      <c r="E305" s="1" t="str">
        <f t="shared" si="39"/>
        <v>震荡</v>
      </c>
    </row>
    <row r="306" spans="1:5" x14ac:dyDescent="0.35">
      <c r="A306" s="12">
        <v>37256</v>
      </c>
      <c r="B306" s="13">
        <v>-6.5689471532158787</v>
      </c>
      <c r="C306" s="87">
        <v>0</v>
      </c>
      <c r="D306" s="1" t="str">
        <f t="shared" si="38"/>
        <v>熊市</v>
      </c>
      <c r="E306" s="1" t="str">
        <f t="shared" si="39"/>
        <v>震荡</v>
      </c>
    </row>
    <row r="307" spans="1:5" x14ac:dyDescent="0.35">
      <c r="A307" s="12">
        <v>37225</v>
      </c>
      <c r="B307" s="13">
        <v>4.0911632834466651</v>
      </c>
      <c r="C307" s="87">
        <v>0</v>
      </c>
      <c r="D307" s="1" t="str">
        <f t="shared" si="38"/>
        <v>牛市</v>
      </c>
      <c r="E307" s="1" t="str">
        <f t="shared" si="39"/>
        <v>震荡</v>
      </c>
    </row>
    <row r="308" spans="1:5" x14ac:dyDescent="0.35">
      <c r="A308" s="12">
        <v>37195</v>
      </c>
      <c r="B308" s="13">
        <v>-4.8544813820146802</v>
      </c>
      <c r="C308" s="87">
        <v>0</v>
      </c>
      <c r="D308" s="1" t="str">
        <f t="shared" si="38"/>
        <v>熊市</v>
      </c>
      <c r="E308" s="1" t="str">
        <f t="shared" si="39"/>
        <v>震荡</v>
      </c>
    </row>
    <row r="309" spans="1:5" x14ac:dyDescent="0.35">
      <c r="A309" s="12">
        <v>37164</v>
      </c>
      <c r="B309" s="13">
        <v>-5.3243806087296024</v>
      </c>
      <c r="C309" s="87">
        <v>0</v>
      </c>
      <c r="D309" s="1" t="str">
        <f t="shared" si="38"/>
        <v>熊市</v>
      </c>
      <c r="E309" s="1" t="str">
        <f t="shared" si="39"/>
        <v>震荡</v>
      </c>
    </row>
    <row r="310" spans="1:5" x14ac:dyDescent="0.35">
      <c r="A310" s="12">
        <v>37134</v>
      </c>
      <c r="B310" s="13">
        <v>-3.4884314444367308</v>
      </c>
      <c r="C310" s="87">
        <v>0</v>
      </c>
      <c r="D310" s="1" t="str">
        <f t="shared" si="38"/>
        <v>熊市</v>
      </c>
      <c r="E310" s="1" t="str">
        <f t="shared" si="39"/>
        <v>震荡</v>
      </c>
    </row>
    <row r="311" spans="1:5" x14ac:dyDescent="0.35">
      <c r="A311" s="12">
        <v>37103</v>
      </c>
      <c r="B311" s="13">
        <v>-13.54229526601392</v>
      </c>
      <c r="C311" s="87">
        <v>0</v>
      </c>
      <c r="D311" s="1" t="str">
        <f t="shared" si="38"/>
        <v>熊市</v>
      </c>
      <c r="E311" s="1" t="str">
        <f t="shared" si="39"/>
        <v>震荡</v>
      </c>
    </row>
    <row r="312" spans="1:5" x14ac:dyDescent="0.35">
      <c r="A312" s="12">
        <v>37072</v>
      </c>
      <c r="B312" s="13">
        <v>0.59985031258254795</v>
      </c>
      <c r="C312" s="87">
        <v>0</v>
      </c>
      <c r="D312" s="1" t="str">
        <f t="shared" si="38"/>
        <v>震荡</v>
      </c>
      <c r="E312" s="1" t="str">
        <f t="shared" si="39"/>
        <v>震荡</v>
      </c>
    </row>
    <row r="313" spans="1:5" x14ac:dyDescent="0.35">
      <c r="A313" s="12">
        <v>37042</v>
      </c>
      <c r="B313" s="13">
        <v>3.7484421680733511</v>
      </c>
      <c r="C313" s="87">
        <v>0</v>
      </c>
      <c r="D313" s="1" t="str">
        <f t="shared" si="38"/>
        <v>牛市</v>
      </c>
      <c r="E313" s="1" t="str">
        <f t="shared" si="39"/>
        <v>震荡</v>
      </c>
    </row>
    <row r="314" spans="1:5" x14ac:dyDescent="0.35">
      <c r="A314" s="12">
        <v>37011</v>
      </c>
      <c r="B314" s="13">
        <v>-0.45896884094460799</v>
      </c>
      <c r="C314" s="87">
        <v>0</v>
      </c>
      <c r="D314" s="1" t="str">
        <f t="shared" si="38"/>
        <v>震荡</v>
      </c>
      <c r="E314" s="1" t="str">
        <f t="shared" si="39"/>
        <v>震荡</v>
      </c>
    </row>
    <row r="315" spans="1:5" x14ac:dyDescent="0.35">
      <c r="A315" s="12">
        <v>36981</v>
      </c>
      <c r="B315" s="13">
        <v>7.6507750072955902</v>
      </c>
      <c r="C315" s="87">
        <v>0</v>
      </c>
      <c r="D315" s="1" t="str">
        <f t="shared" si="38"/>
        <v>牛市</v>
      </c>
      <c r="E315" s="1" t="str">
        <f t="shared" si="39"/>
        <v>震荡</v>
      </c>
    </row>
    <row r="316" spans="1:5" x14ac:dyDescent="0.35">
      <c r="A316" s="12">
        <v>36950</v>
      </c>
      <c r="B316" s="13">
        <v>-5.9608682761835778</v>
      </c>
      <c r="C316" s="87">
        <v>0</v>
      </c>
      <c r="D316" s="1" t="str">
        <f t="shared" si="38"/>
        <v>熊市</v>
      </c>
      <c r="E316" s="1" t="str">
        <f t="shared" si="39"/>
        <v>震荡</v>
      </c>
    </row>
    <row r="317" spans="1:5" x14ac:dyDescent="0.35">
      <c r="A317" s="12">
        <v>36922</v>
      </c>
      <c r="B317" s="13">
        <v>-1.005323423496119</v>
      </c>
      <c r="C317" s="87">
        <v>0</v>
      </c>
      <c r="D317" s="1" t="str">
        <f t="shared" si="38"/>
        <v>熊市</v>
      </c>
      <c r="E317" s="1" t="str">
        <f t="shared" si="39"/>
        <v>震荡</v>
      </c>
    </row>
    <row r="318" spans="1:5" x14ac:dyDescent="0.35">
      <c r="A318" s="12">
        <v>36891</v>
      </c>
      <c r="B318" s="13">
        <v>-0.184919577261346</v>
      </c>
      <c r="C318" s="87">
        <v>0</v>
      </c>
      <c r="D318" s="1" t="str">
        <f t="shared" si="38"/>
        <v>震荡</v>
      </c>
      <c r="E318" s="1" t="str">
        <f t="shared" si="39"/>
        <v>震荡</v>
      </c>
    </row>
    <row r="319" spans="1:5" x14ac:dyDescent="0.35">
      <c r="A319" s="12">
        <v>36860</v>
      </c>
      <c r="B319" s="13">
        <v>5.3667992843410932</v>
      </c>
      <c r="C319" s="87">
        <v>0</v>
      </c>
      <c r="D319" s="1" t="str">
        <f t="shared" si="38"/>
        <v>牛市</v>
      </c>
      <c r="E319" s="1" t="str">
        <f t="shared" si="39"/>
        <v>震荡</v>
      </c>
    </row>
    <row r="320" spans="1:5" x14ac:dyDescent="0.35">
      <c r="A320" s="12">
        <v>36830</v>
      </c>
      <c r="B320" s="13">
        <v>2.7546565831199721</v>
      </c>
      <c r="C320" s="87">
        <v>0</v>
      </c>
      <c r="D320" s="1" t="str">
        <f t="shared" si="38"/>
        <v>牛市</v>
      </c>
      <c r="E320" s="1" t="str">
        <f t="shared" si="39"/>
        <v>震荡</v>
      </c>
    </row>
    <row r="321" spans="1:5" x14ac:dyDescent="0.35">
      <c r="A321" s="12">
        <v>36799</v>
      </c>
      <c r="B321" s="13">
        <v>-4.5478798302419996</v>
      </c>
      <c r="C321" s="87">
        <v>0</v>
      </c>
      <c r="D321" s="1" t="str">
        <f t="shared" si="38"/>
        <v>熊市</v>
      </c>
      <c r="E321" s="1" t="str">
        <f t="shared" si="39"/>
        <v>震荡</v>
      </c>
    </row>
    <row r="322" spans="1:5" x14ac:dyDescent="0.35">
      <c r="A322" s="12">
        <v>36769</v>
      </c>
      <c r="B322" s="13">
        <v>-0.54867333707937704</v>
      </c>
      <c r="C322" s="87">
        <v>0</v>
      </c>
      <c r="D322" s="1" t="str">
        <f t="shared" si="38"/>
        <v>震荡</v>
      </c>
      <c r="E322" s="1" t="str">
        <f t="shared" si="39"/>
        <v>震荡</v>
      </c>
    </row>
    <row r="323" spans="1:5" x14ac:dyDescent="0.35">
      <c r="A323" s="12">
        <v>36738</v>
      </c>
      <c r="B323" s="13">
        <v>4.228043919577761</v>
      </c>
      <c r="C323" s="87">
        <v>0</v>
      </c>
      <c r="D323" s="1" t="str">
        <f t="shared" si="38"/>
        <v>牛市</v>
      </c>
      <c r="E323" s="1" t="str">
        <f t="shared" si="39"/>
        <v>震荡</v>
      </c>
    </row>
    <row r="324" spans="1:5" x14ac:dyDescent="0.35">
      <c r="A324" s="12">
        <v>36707</v>
      </c>
      <c r="B324" s="13">
        <v>2.6250789356055151</v>
      </c>
      <c r="C324" s="87">
        <v>0</v>
      </c>
      <c r="D324" s="1" t="str">
        <f t="shared" si="38"/>
        <v>牛市</v>
      </c>
      <c r="E324" s="1" t="str">
        <f t="shared" si="39"/>
        <v>震荡</v>
      </c>
    </row>
    <row r="325" spans="1:5" x14ac:dyDescent="0.35">
      <c r="A325" s="12">
        <v>36677</v>
      </c>
      <c r="B325" s="13">
        <v>2.84395124782223</v>
      </c>
      <c r="C325" s="87">
        <v>0</v>
      </c>
      <c r="D325" s="1" t="str">
        <f t="shared" si="38"/>
        <v>牛市</v>
      </c>
      <c r="E325" s="1" t="str">
        <f t="shared" si="39"/>
        <v>震荡</v>
      </c>
    </row>
    <row r="326" spans="1:5" x14ac:dyDescent="0.35">
      <c r="A326" s="12">
        <v>36646</v>
      </c>
      <c r="B326" s="13">
        <v>1.297090147899864</v>
      </c>
      <c r="C326" s="87">
        <v>0</v>
      </c>
      <c r="D326" s="1" t="str">
        <f t="shared" si="38"/>
        <v>牛市</v>
      </c>
      <c r="E326" s="1" t="str">
        <f t="shared" si="39"/>
        <v>震荡</v>
      </c>
    </row>
    <row r="327" spans="1:5" x14ac:dyDescent="0.35">
      <c r="A327" s="12">
        <v>36616</v>
      </c>
      <c r="B327" s="13">
        <v>5.5353635301618187</v>
      </c>
      <c r="C327" s="87">
        <v>0</v>
      </c>
      <c r="D327" s="1" t="str">
        <f t="shared" si="38"/>
        <v>牛市</v>
      </c>
      <c r="E327" s="1" t="str">
        <f t="shared" si="39"/>
        <v>震荡</v>
      </c>
    </row>
    <row r="328" spans="1:5" x14ac:dyDescent="0.35">
      <c r="A328" s="12">
        <v>36585</v>
      </c>
      <c r="B328" s="13">
        <v>12.20791142833661</v>
      </c>
      <c r="C328" s="87">
        <v>0</v>
      </c>
      <c r="D328" s="1" t="str">
        <f t="shared" si="38"/>
        <v>牛市</v>
      </c>
      <c r="E328" s="1" t="str">
        <f t="shared" si="39"/>
        <v>震荡</v>
      </c>
    </row>
    <row r="329" spans="1:5" x14ac:dyDescent="0.35">
      <c r="A329" s="12">
        <v>36556</v>
      </c>
      <c r="B329" s="13">
        <v>16.078659999999999</v>
      </c>
      <c r="C329" s="87">
        <v>0</v>
      </c>
      <c r="D329" s="1" t="str">
        <f t="shared" si="38"/>
        <v>牛市</v>
      </c>
      <c r="E329" s="1" t="str">
        <f t="shared" si="39"/>
        <v>震荡</v>
      </c>
    </row>
    <row r="330" spans="1:5" x14ac:dyDescent="0.35">
      <c r="A330" s="12">
        <v>36525</v>
      </c>
      <c r="B330" s="13">
        <v>-4.9696682187020453</v>
      </c>
      <c r="C330" s="87">
        <v>0</v>
      </c>
      <c r="D330" s="1" t="str">
        <f t="shared" si="38"/>
        <v>熊市</v>
      </c>
      <c r="E330" s="1" t="str">
        <f t="shared" si="39"/>
        <v>震荡</v>
      </c>
    </row>
    <row r="331" spans="1:5" x14ac:dyDescent="0.35">
      <c r="A331" s="12">
        <v>36494</v>
      </c>
      <c r="B331" s="13">
        <v>-4.3578918475282276</v>
      </c>
      <c r="C331" s="87">
        <v>0</v>
      </c>
      <c r="D331" s="1" t="str">
        <f t="shared" si="38"/>
        <v>熊市</v>
      </c>
      <c r="E331" s="1" t="str">
        <f t="shared" si="39"/>
        <v>震荡</v>
      </c>
    </row>
    <row r="332" spans="1:5" x14ac:dyDescent="0.35">
      <c r="A332" s="12">
        <v>36464</v>
      </c>
      <c r="B332" s="13">
        <v>-4.6405691457994092</v>
      </c>
      <c r="C332" s="87">
        <v>0</v>
      </c>
      <c r="D332" s="1" t="str">
        <f t="shared" si="38"/>
        <v>熊市</v>
      </c>
      <c r="E332" s="1" t="str">
        <f t="shared" si="39"/>
        <v>震荡</v>
      </c>
    </row>
    <row r="333" spans="1:5" x14ac:dyDescent="0.35">
      <c r="A333" s="12">
        <v>36433</v>
      </c>
      <c r="B333" s="13">
        <v>-2.579958621704042</v>
      </c>
      <c r="C333" s="87">
        <v>0</v>
      </c>
      <c r="D333" s="1" t="str">
        <f t="shared" si="38"/>
        <v>熊市</v>
      </c>
      <c r="E333" s="1" t="str">
        <f t="shared" si="39"/>
        <v>震荡</v>
      </c>
    </row>
    <row r="334" spans="1:5" x14ac:dyDescent="0.35">
      <c r="A334" s="12">
        <v>36403</v>
      </c>
      <c r="B334" s="13">
        <v>0.77872567242789503</v>
      </c>
      <c r="C334" s="87">
        <v>0</v>
      </c>
      <c r="D334" s="1" t="str">
        <f t="shared" si="38"/>
        <v>震荡</v>
      </c>
      <c r="E334" s="1" t="str">
        <f t="shared" si="39"/>
        <v>震荡</v>
      </c>
    </row>
    <row r="335" spans="1:5" x14ac:dyDescent="0.35">
      <c r="A335" s="12">
        <v>36372</v>
      </c>
      <c r="B335" s="13">
        <v>-6.3070702377352381</v>
      </c>
      <c r="C335" s="87">
        <v>0</v>
      </c>
      <c r="D335" s="1" t="str">
        <f t="shared" si="38"/>
        <v>熊市</v>
      </c>
      <c r="E335" s="1" t="str">
        <f t="shared" si="39"/>
        <v>震荡</v>
      </c>
    </row>
    <row r="336" spans="1:5" x14ac:dyDescent="0.35">
      <c r="A336" s="12">
        <v>36341</v>
      </c>
      <c r="B336" s="13">
        <v>35.858607685578043</v>
      </c>
      <c r="C336" s="87">
        <v>0</v>
      </c>
      <c r="D336" s="1" t="str">
        <f t="shared" si="38"/>
        <v>牛市</v>
      </c>
      <c r="E336" s="1" t="str">
        <f t="shared" si="39"/>
        <v>震荡</v>
      </c>
    </row>
    <row r="337" spans="1:5" x14ac:dyDescent="0.35">
      <c r="A337" s="12">
        <v>36311</v>
      </c>
      <c r="B337" s="13">
        <v>11.34484813853658</v>
      </c>
      <c r="C337" s="87">
        <v>0</v>
      </c>
      <c r="D337" s="1" t="str">
        <f t="shared" si="38"/>
        <v>牛市</v>
      </c>
      <c r="E337" s="1" t="str">
        <f t="shared" si="39"/>
        <v>震荡</v>
      </c>
    </row>
    <row r="338" spans="1:5" x14ac:dyDescent="0.35">
      <c r="A338" s="12">
        <v>36280</v>
      </c>
      <c r="B338" s="13">
        <v>-3.6307479171255079</v>
      </c>
      <c r="C338" s="87">
        <v>0</v>
      </c>
      <c r="D338" s="1" t="str">
        <f t="shared" si="38"/>
        <v>熊市</v>
      </c>
      <c r="E338" s="1" t="str">
        <f t="shared" si="39"/>
        <v>震荡</v>
      </c>
    </row>
    <row r="339" spans="1:5" x14ac:dyDescent="0.35">
      <c r="A339" s="12">
        <v>36250</v>
      </c>
      <c r="B339" s="13">
        <v>6.489843166847221</v>
      </c>
      <c r="C339" s="87">
        <v>0</v>
      </c>
      <c r="D339" s="1" t="str">
        <f t="shared" si="38"/>
        <v>牛市</v>
      </c>
      <c r="E339" s="1" t="str">
        <f t="shared" si="39"/>
        <v>震荡</v>
      </c>
    </row>
    <row r="340" spans="1:5" x14ac:dyDescent="0.35">
      <c r="A340" s="12">
        <v>36219</v>
      </c>
      <c r="B340" s="13">
        <v>-4.2891373820839931</v>
      </c>
      <c r="C340" s="87">
        <v>0</v>
      </c>
      <c r="D340" s="1" t="str">
        <f t="shared" si="38"/>
        <v>熊市</v>
      </c>
      <c r="E340" s="1" t="str">
        <f t="shared" si="39"/>
        <v>震荡</v>
      </c>
    </row>
    <row r="341" spans="1:5" x14ac:dyDescent="0.35">
      <c r="A341" s="12">
        <v>36191</v>
      </c>
      <c r="B341" s="13">
        <v>-0.434033204011882</v>
      </c>
      <c r="C341" s="87">
        <v>0</v>
      </c>
      <c r="D341" s="1" t="str">
        <f t="shared" si="38"/>
        <v>震荡</v>
      </c>
      <c r="E341" s="1" t="str">
        <f t="shared" si="39"/>
        <v>震荡</v>
      </c>
    </row>
    <row r="342" spans="1:5" x14ac:dyDescent="0.35">
      <c r="A342" s="12">
        <v>36160</v>
      </c>
      <c r="B342" s="13">
        <v>-8.4244090572695907</v>
      </c>
      <c r="C342" s="87">
        <v>0</v>
      </c>
      <c r="D342" s="1" t="str">
        <f t="shared" si="38"/>
        <v>熊市</v>
      </c>
      <c r="E342" s="1" t="str">
        <f t="shared" si="39"/>
        <v>震荡</v>
      </c>
    </row>
    <row r="343" spans="1:5" x14ac:dyDescent="0.35">
      <c r="A343" s="12">
        <v>36129</v>
      </c>
      <c r="B343" s="13">
        <v>2.1863355709942369</v>
      </c>
      <c r="C343" s="87">
        <v>0</v>
      </c>
      <c r="D343" s="1" t="str">
        <f t="shared" si="38"/>
        <v>牛市</v>
      </c>
      <c r="E343" s="1" t="str">
        <f t="shared" si="39"/>
        <v>震荡</v>
      </c>
    </row>
    <row r="344" spans="1:5" x14ac:dyDescent="0.35">
      <c r="A344" s="12">
        <v>36099</v>
      </c>
      <c r="B344" s="13">
        <v>-0.96588967097688905</v>
      </c>
      <c r="C344" s="87">
        <v>0</v>
      </c>
      <c r="D344" s="1" t="str">
        <f t="shared" si="38"/>
        <v>震荡</v>
      </c>
      <c r="E344" s="1" t="str">
        <f t="shared" si="39"/>
        <v>震荡</v>
      </c>
    </row>
    <row r="345" spans="1:5" x14ac:dyDescent="0.35">
      <c r="A345" s="12">
        <v>36068</v>
      </c>
      <c r="B345" s="13">
        <v>7.4261280841855104</v>
      </c>
      <c r="C345" s="87">
        <v>0</v>
      </c>
      <c r="D345" s="1" t="str">
        <f t="shared" si="38"/>
        <v>牛市</v>
      </c>
      <c r="E345" s="1" t="str">
        <f t="shared" si="39"/>
        <v>震荡</v>
      </c>
    </row>
    <row r="346" spans="1:5" x14ac:dyDescent="0.35">
      <c r="A346" s="12">
        <v>36038</v>
      </c>
      <c r="B346" s="13">
        <v>-12.07658407727042</v>
      </c>
      <c r="C346" s="87">
        <v>0</v>
      </c>
      <c r="D346" s="1" t="str">
        <f t="shared" si="38"/>
        <v>熊市</v>
      </c>
      <c r="E346" s="1" t="str">
        <f t="shared" si="39"/>
        <v>震荡</v>
      </c>
    </row>
    <row r="347" spans="1:5" x14ac:dyDescent="0.35">
      <c r="A347" s="12">
        <v>36007</v>
      </c>
      <c r="B347" s="13">
        <v>-1.3535360077954219</v>
      </c>
      <c r="C347" s="87">
        <v>0</v>
      </c>
      <c r="D347" s="1" t="str">
        <f t="shared" si="38"/>
        <v>熊市</v>
      </c>
      <c r="E347" s="1" t="str">
        <f t="shared" si="39"/>
        <v>震荡</v>
      </c>
    </row>
    <row r="348" spans="1:5" x14ac:dyDescent="0.35">
      <c r="A348" s="12">
        <v>35976</v>
      </c>
      <c r="B348" s="13">
        <v>-4.9398829781610738</v>
      </c>
      <c r="C348" s="87">
        <v>0</v>
      </c>
      <c r="D348" s="1" t="str">
        <f t="shared" si="38"/>
        <v>熊市</v>
      </c>
      <c r="E348" s="1" t="str">
        <f t="shared" si="39"/>
        <v>震荡</v>
      </c>
    </row>
    <row r="349" spans="1:5" x14ac:dyDescent="0.35">
      <c r="A349" s="12">
        <v>35946</v>
      </c>
      <c r="B349" s="13">
        <v>5.306505443504216</v>
      </c>
      <c r="C349" s="87">
        <v>0</v>
      </c>
      <c r="D349" s="1" t="str">
        <f t="shared" si="38"/>
        <v>牛市</v>
      </c>
      <c r="E349" s="1" t="str">
        <f t="shared" si="39"/>
        <v>震荡</v>
      </c>
    </row>
    <row r="350" spans="1:5" x14ac:dyDescent="0.35">
      <c r="A350" s="12">
        <v>35915</v>
      </c>
      <c r="B350" s="13">
        <v>10.24736527278584</v>
      </c>
      <c r="C350" s="87">
        <v>0</v>
      </c>
      <c r="D350" s="1" t="str">
        <f t="shared" ref="D350:D381" si="40">IF(B350&gt;=1,"牛市",IF(B350&lt;=-1,"熊市","震荡"))</f>
        <v>牛市</v>
      </c>
      <c r="E350" s="1" t="str">
        <f t="shared" ref="E350:E381" si="41">IF(C350&lt;=-2,"牛市",IF(C350&gt;=2,"熊市","震荡"))</f>
        <v>震荡</v>
      </c>
    </row>
    <row r="351" spans="1:5" x14ac:dyDescent="0.35">
      <c r="A351" s="12">
        <v>35885</v>
      </c>
      <c r="B351" s="13">
        <v>2.3194573614972169</v>
      </c>
      <c r="C351" s="87">
        <v>0</v>
      </c>
      <c r="D351" s="1" t="str">
        <f t="shared" si="40"/>
        <v>牛市</v>
      </c>
      <c r="E351" s="1" t="str">
        <f t="shared" si="41"/>
        <v>震荡</v>
      </c>
    </row>
    <row r="352" spans="1:5" x14ac:dyDescent="0.35">
      <c r="A352" s="12">
        <v>35854</v>
      </c>
      <c r="B352" s="13">
        <v>-2.822584790976848</v>
      </c>
      <c r="C352" s="87">
        <v>0</v>
      </c>
      <c r="D352" s="1" t="str">
        <f t="shared" si="40"/>
        <v>熊市</v>
      </c>
      <c r="E352" s="1" t="str">
        <f t="shared" si="41"/>
        <v>震荡</v>
      </c>
    </row>
    <row r="353" spans="1:5" x14ac:dyDescent="0.35">
      <c r="A353" s="12">
        <v>35826</v>
      </c>
      <c r="B353" s="13">
        <v>2.416351813974996</v>
      </c>
      <c r="C353" s="87">
        <v>0</v>
      </c>
      <c r="D353" s="1" t="str">
        <f t="shared" si="40"/>
        <v>牛市</v>
      </c>
      <c r="E353" s="1" t="str">
        <f t="shared" si="41"/>
        <v>震荡</v>
      </c>
    </row>
    <row r="354" spans="1:5" x14ac:dyDescent="0.35">
      <c r="A354" s="12">
        <v>35795</v>
      </c>
      <c r="B354" s="13">
        <v>6.7658924565409571</v>
      </c>
      <c r="C354" s="87">
        <v>0</v>
      </c>
      <c r="D354" s="1" t="str">
        <f t="shared" si="40"/>
        <v>牛市</v>
      </c>
      <c r="E354" s="1" t="str">
        <f t="shared" si="41"/>
        <v>震荡</v>
      </c>
    </row>
    <row r="355" spans="1:5" x14ac:dyDescent="0.35">
      <c r="A355" s="12">
        <v>35764</v>
      </c>
      <c r="B355" s="13">
        <v>-4.7341855529347718</v>
      </c>
      <c r="C355" s="87">
        <v>0</v>
      </c>
      <c r="D355" s="1" t="str">
        <f t="shared" si="40"/>
        <v>熊市</v>
      </c>
      <c r="E355" s="1" t="str">
        <f t="shared" si="41"/>
        <v>震荡</v>
      </c>
    </row>
    <row r="356" spans="1:5" x14ac:dyDescent="0.35">
      <c r="A356" s="12">
        <v>35734</v>
      </c>
      <c r="B356" s="13">
        <v>14.496798377988799</v>
      </c>
      <c r="C356" s="87">
        <v>0</v>
      </c>
      <c r="D356" s="1" t="str">
        <f t="shared" si="40"/>
        <v>牛市</v>
      </c>
      <c r="E356" s="1" t="str">
        <f t="shared" si="41"/>
        <v>震荡</v>
      </c>
    </row>
    <row r="357" spans="1:5" x14ac:dyDescent="0.35">
      <c r="A357" s="12">
        <v>35703</v>
      </c>
      <c r="B357" s="13">
        <v>-10.61560015388485</v>
      </c>
      <c r="C357" s="87">
        <v>0</v>
      </c>
      <c r="D357" s="1" t="str">
        <f t="shared" si="40"/>
        <v>熊市</v>
      </c>
      <c r="E357" s="1" t="str">
        <f t="shared" si="41"/>
        <v>震荡</v>
      </c>
    </row>
    <row r="358" spans="1:5" x14ac:dyDescent="0.35">
      <c r="A358" s="12">
        <v>35673</v>
      </c>
      <c r="B358" s="13">
        <v>-1.5537157706267659</v>
      </c>
      <c r="C358" s="87">
        <v>0</v>
      </c>
      <c r="D358" s="1" t="str">
        <f t="shared" si="40"/>
        <v>熊市</v>
      </c>
      <c r="E358" s="1" t="str">
        <f t="shared" si="41"/>
        <v>震荡</v>
      </c>
    </row>
    <row r="359" spans="1:5" x14ac:dyDescent="0.35">
      <c r="A359" s="12">
        <v>35642</v>
      </c>
      <c r="B359" s="13">
        <v>-6.0521208632433954</v>
      </c>
      <c r="C359" s="87">
        <v>0</v>
      </c>
      <c r="D359" s="1" t="str">
        <f t="shared" si="40"/>
        <v>熊市</v>
      </c>
      <c r="E359" s="1" t="str">
        <f t="shared" si="41"/>
        <v>震荡</v>
      </c>
    </row>
    <row r="360" spans="1:5" x14ac:dyDescent="0.35">
      <c r="A360" s="12">
        <v>35611</v>
      </c>
      <c r="B360" s="13">
        <v>-1.6810777723005581</v>
      </c>
      <c r="C360" s="87">
        <v>0</v>
      </c>
      <c r="D360" s="1" t="str">
        <f t="shared" si="40"/>
        <v>熊市</v>
      </c>
      <c r="E360" s="1" t="str">
        <f t="shared" si="41"/>
        <v>震荡</v>
      </c>
    </row>
    <row r="361" spans="1:5" x14ac:dyDescent="0.35">
      <c r="A361" s="12">
        <v>35581</v>
      </c>
      <c r="B361" s="13">
        <v>-9.2597138453761492</v>
      </c>
      <c r="C361" s="87">
        <v>0</v>
      </c>
      <c r="D361" s="1" t="str">
        <f t="shared" si="40"/>
        <v>熊市</v>
      </c>
      <c r="E361" s="1" t="str">
        <f t="shared" si="41"/>
        <v>震荡</v>
      </c>
    </row>
    <row r="362" spans="1:5" x14ac:dyDescent="0.35">
      <c r="A362" s="12">
        <v>35550</v>
      </c>
      <c r="B362" s="13">
        <v>10.41559226769237</v>
      </c>
      <c r="C362" s="87">
        <v>0</v>
      </c>
      <c r="D362" s="1" t="str">
        <f t="shared" si="40"/>
        <v>牛市</v>
      </c>
      <c r="E362" s="1" t="str">
        <f t="shared" si="41"/>
        <v>震荡</v>
      </c>
    </row>
    <row r="363" spans="1:5" x14ac:dyDescent="0.35">
      <c r="A363" s="12">
        <v>35520</v>
      </c>
      <c r="B363" s="13">
        <v>18.838867786379598</v>
      </c>
      <c r="C363" s="87">
        <v>0</v>
      </c>
      <c r="D363" s="1" t="str">
        <f t="shared" si="40"/>
        <v>牛市</v>
      </c>
      <c r="E363" s="1" t="str">
        <f t="shared" si="41"/>
        <v>震荡</v>
      </c>
    </row>
    <row r="364" spans="1:5" x14ac:dyDescent="0.35">
      <c r="A364" s="12">
        <v>35489</v>
      </c>
      <c r="B364" s="13">
        <v>5.108156739717554</v>
      </c>
      <c r="C364" s="87">
        <v>0</v>
      </c>
      <c r="D364" s="1" t="str">
        <f t="shared" si="40"/>
        <v>牛市</v>
      </c>
      <c r="E364" s="1" t="str">
        <f t="shared" si="41"/>
        <v>震荡</v>
      </c>
    </row>
    <row r="365" spans="1:5" x14ac:dyDescent="0.35">
      <c r="A365" s="12">
        <v>35461</v>
      </c>
      <c r="B365" s="13">
        <v>7.2910247704302664</v>
      </c>
      <c r="C365" s="87">
        <v>0</v>
      </c>
      <c r="D365" s="1" t="str">
        <f t="shared" si="40"/>
        <v>牛市</v>
      </c>
      <c r="E365" s="1" t="str">
        <f t="shared" si="41"/>
        <v>震荡</v>
      </c>
    </row>
    <row r="366" spans="1:5" x14ac:dyDescent="0.35">
      <c r="A366" s="12">
        <v>35430</v>
      </c>
      <c r="B366" s="13">
        <v>-15.90692535333479</v>
      </c>
      <c r="C366" s="87">
        <v>0</v>
      </c>
      <c r="D366" s="1" t="str">
        <f t="shared" si="40"/>
        <v>熊市</v>
      </c>
      <c r="E366" s="1" t="str">
        <f t="shared" si="41"/>
        <v>震荡</v>
      </c>
    </row>
    <row r="367" spans="1:5" x14ac:dyDescent="0.35">
      <c r="A367" s="12">
        <v>35399</v>
      </c>
      <c r="B367" s="13">
        <v>10.88683466306669</v>
      </c>
      <c r="C367" s="87">
        <v>0</v>
      </c>
      <c r="D367" s="1" t="str">
        <f t="shared" si="40"/>
        <v>牛市</v>
      </c>
      <c r="E367" s="1" t="str">
        <f t="shared" si="41"/>
        <v>震荡</v>
      </c>
    </row>
    <row r="368" spans="1:5" x14ac:dyDescent="0.35">
      <c r="A368" s="12">
        <v>35369</v>
      </c>
      <c r="B368" s="13">
        <v>20.211047167306869</v>
      </c>
      <c r="C368" s="87">
        <v>0</v>
      </c>
      <c r="D368" s="1" t="str">
        <f t="shared" si="40"/>
        <v>牛市</v>
      </c>
      <c r="E368" s="1" t="str">
        <f t="shared" si="41"/>
        <v>震荡</v>
      </c>
    </row>
    <row r="369" spans="1:13" x14ac:dyDescent="0.35">
      <c r="A369" s="12">
        <v>35338</v>
      </c>
      <c r="B369" s="13">
        <v>5.7630605342110153</v>
      </c>
      <c r="C369" s="87">
        <v>0</v>
      </c>
      <c r="D369" s="1" t="str">
        <f t="shared" si="40"/>
        <v>牛市</v>
      </c>
      <c r="E369" s="1" t="str">
        <f t="shared" si="41"/>
        <v>震荡</v>
      </c>
    </row>
    <row r="370" spans="1:13" x14ac:dyDescent="0.35">
      <c r="A370" s="12">
        <v>35308</v>
      </c>
      <c r="B370" s="13">
        <v>0.55189619045092098</v>
      </c>
      <c r="C370" s="87">
        <v>0</v>
      </c>
      <c r="D370" s="1" t="str">
        <f t="shared" si="40"/>
        <v>震荡</v>
      </c>
      <c r="E370" s="1" t="str">
        <f t="shared" si="41"/>
        <v>震荡</v>
      </c>
    </row>
    <row r="371" spans="1:13" x14ac:dyDescent="0.35">
      <c r="A371" s="12">
        <v>35277</v>
      </c>
      <c r="B371" s="13">
        <v>16.675299564942389</v>
      </c>
      <c r="C371" s="87">
        <v>0</v>
      </c>
      <c r="D371" s="1" t="str">
        <f t="shared" si="40"/>
        <v>牛市</v>
      </c>
      <c r="E371" s="1" t="str">
        <f t="shared" si="41"/>
        <v>震荡</v>
      </c>
    </row>
    <row r="372" spans="1:13" x14ac:dyDescent="0.35">
      <c r="A372" s="12">
        <v>35246</v>
      </c>
      <c r="B372" s="13">
        <v>20.373800910024841</v>
      </c>
      <c r="C372" s="87">
        <v>0</v>
      </c>
      <c r="D372" s="1" t="str">
        <f t="shared" si="40"/>
        <v>牛市</v>
      </c>
      <c r="E372" s="1" t="str">
        <f t="shared" si="41"/>
        <v>震荡</v>
      </c>
    </row>
    <row r="373" spans="1:13" x14ac:dyDescent="0.35">
      <c r="A373" s="12">
        <v>35216</v>
      </c>
      <c r="B373" s="13">
        <v>-3.993289995157367</v>
      </c>
      <c r="C373" s="87">
        <v>0</v>
      </c>
      <c r="D373" s="1" t="str">
        <f t="shared" si="40"/>
        <v>熊市</v>
      </c>
      <c r="E373" s="1" t="str">
        <f t="shared" si="41"/>
        <v>震荡</v>
      </c>
    </row>
    <row r="374" spans="1:13" x14ac:dyDescent="0.35">
      <c r="A374" s="12">
        <v>35185</v>
      </c>
      <c r="B374" s="13">
        <v>30.627728602396601</v>
      </c>
      <c r="C374" s="87">
        <v>0</v>
      </c>
      <c r="D374" s="1" t="str">
        <f t="shared" si="40"/>
        <v>牛市</v>
      </c>
      <c r="E374" s="1" t="str">
        <f t="shared" si="41"/>
        <v>震荡</v>
      </c>
    </row>
    <row r="375" spans="1:13" x14ac:dyDescent="0.35">
      <c r="A375" s="12">
        <v>35155</v>
      </c>
      <c r="B375" s="13">
        <v>1.0139709103924071</v>
      </c>
      <c r="C375" s="87">
        <v>0</v>
      </c>
      <c r="D375" s="1" t="str">
        <f t="shared" si="40"/>
        <v>牛市</v>
      </c>
      <c r="E375" s="1" t="str">
        <f t="shared" si="41"/>
        <v>震荡</v>
      </c>
    </row>
    <row r="376" spans="1:13" x14ac:dyDescent="0.35">
      <c r="A376" s="12">
        <v>35124</v>
      </c>
      <c r="B376" s="13">
        <v>2.8057452863016081</v>
      </c>
      <c r="C376" s="87">
        <v>0</v>
      </c>
      <c r="D376" s="1" t="str">
        <f t="shared" si="40"/>
        <v>牛市</v>
      </c>
      <c r="E376" s="1" t="str">
        <f t="shared" si="41"/>
        <v>震荡</v>
      </c>
    </row>
    <row r="377" spans="1:13" x14ac:dyDescent="0.35">
      <c r="A377" s="12">
        <v>35095</v>
      </c>
      <c r="B377" s="13">
        <v>-3.3737402839418391</v>
      </c>
      <c r="C377" s="87">
        <v>0</v>
      </c>
      <c r="D377" s="1" t="str">
        <f t="shared" si="40"/>
        <v>熊市</v>
      </c>
      <c r="E377" s="1" t="str">
        <f t="shared" si="41"/>
        <v>震荡</v>
      </c>
    </row>
    <row r="378" spans="1:13" x14ac:dyDescent="0.35">
      <c r="A378" s="12">
        <v>35064</v>
      </c>
      <c r="B378" s="13">
        <v>-13.24037355164177</v>
      </c>
      <c r="C378" s="87">
        <v>0</v>
      </c>
      <c r="D378" s="1" t="str">
        <f t="shared" si="40"/>
        <v>熊市</v>
      </c>
      <c r="E378" s="1" t="str">
        <f t="shared" si="41"/>
        <v>震荡</v>
      </c>
    </row>
    <row r="379" spans="1:13" x14ac:dyDescent="0.35">
      <c r="A379" s="12">
        <v>35033</v>
      </c>
      <c r="B379" s="13">
        <v>-9.9371688251037309</v>
      </c>
      <c r="C379" s="87">
        <v>0</v>
      </c>
      <c r="D379" s="1" t="str">
        <f t="shared" si="40"/>
        <v>熊市</v>
      </c>
      <c r="E379" s="1" t="str">
        <f t="shared" si="41"/>
        <v>震荡</v>
      </c>
    </row>
    <row r="380" spans="1:13" x14ac:dyDescent="0.35">
      <c r="A380" s="12">
        <v>35003</v>
      </c>
      <c r="B380" s="13">
        <v>-0.15117902662419999</v>
      </c>
      <c r="C380" s="87">
        <v>0</v>
      </c>
      <c r="D380" s="1" t="str">
        <f t="shared" si="40"/>
        <v>震荡</v>
      </c>
      <c r="E380" s="1" t="str">
        <f t="shared" si="41"/>
        <v>震荡</v>
      </c>
    </row>
    <row r="381" spans="1:13" x14ac:dyDescent="0.35">
      <c r="A381" s="12">
        <v>34972</v>
      </c>
      <c r="B381" s="13">
        <v>-0.24067925511333099</v>
      </c>
      <c r="C381" s="87">
        <v>0</v>
      </c>
      <c r="D381" s="1" t="str">
        <f t="shared" si="40"/>
        <v>震荡</v>
      </c>
      <c r="E381" s="1" t="str">
        <f t="shared" si="41"/>
        <v>震荡</v>
      </c>
    </row>
    <row r="382" spans="1:13" x14ac:dyDescent="0.35">
      <c r="A382" s="12">
        <v>34942</v>
      </c>
      <c r="B382" s="13">
        <v>5.4072736517145374</v>
      </c>
      <c r="C382" s="87">
        <v>0</v>
      </c>
      <c r="G382" s="88"/>
      <c r="H382" s="89"/>
      <c r="L382" s="88"/>
      <c r="M382" s="89"/>
    </row>
    <row r="383" spans="1:13" x14ac:dyDescent="0.35">
      <c r="A383" s="12">
        <v>34911</v>
      </c>
      <c r="B383" s="13">
        <v>7.5341421192585187</v>
      </c>
      <c r="C383" s="87">
        <v>0</v>
      </c>
      <c r="G383" s="88"/>
      <c r="H383" s="89"/>
      <c r="L383" s="88"/>
      <c r="M383" s="89"/>
    </row>
    <row r="384" spans="1:13" x14ac:dyDescent="0.35">
      <c r="A384" s="12">
        <v>34880</v>
      </c>
      <c r="B384" s="13">
        <v>-8.48036118677493</v>
      </c>
      <c r="C384" s="87">
        <v>0</v>
      </c>
      <c r="G384" s="88"/>
      <c r="H384" s="89"/>
      <c r="L384" s="88"/>
      <c r="M384" s="89"/>
    </row>
    <row r="385" spans="1:13" x14ac:dyDescent="0.35">
      <c r="A385" s="12">
        <v>34850</v>
      </c>
      <c r="B385" s="13">
        <v>19.510359296986231</v>
      </c>
      <c r="C385" s="87">
        <v>0</v>
      </c>
      <c r="G385" s="88"/>
      <c r="H385" s="89"/>
      <c r="L385" s="88"/>
      <c r="M385" s="89"/>
    </row>
    <row r="386" spans="1:13" x14ac:dyDescent="0.35">
      <c r="A386" s="12">
        <v>34819</v>
      </c>
      <c r="B386" s="13">
        <v>-10.05469530795073</v>
      </c>
      <c r="C386" s="87">
        <v>0</v>
      </c>
      <c r="G386" s="88"/>
      <c r="H386" s="89"/>
      <c r="L386" s="88"/>
      <c r="M386" s="89"/>
    </row>
    <row r="387" spans="1:13" x14ac:dyDescent="0.35">
      <c r="A387" s="12">
        <v>34789</v>
      </c>
      <c r="B387" s="13">
        <v>13.8283431344733</v>
      </c>
      <c r="C387" s="87">
        <v>0</v>
      </c>
      <c r="G387" s="88"/>
      <c r="H387" s="89"/>
      <c r="L387" s="88"/>
      <c r="M387" s="89"/>
    </row>
    <row r="388" spans="1:13" x14ac:dyDescent="0.35">
      <c r="A388" s="12">
        <v>34758</v>
      </c>
      <c r="B388" s="13">
        <v>-1.2398152373558819</v>
      </c>
      <c r="C388" s="87">
        <v>0</v>
      </c>
      <c r="G388" s="88"/>
      <c r="H388" s="89"/>
      <c r="L388" s="88"/>
      <c r="M388" s="89"/>
    </row>
    <row r="389" spans="1:13" x14ac:dyDescent="0.35">
      <c r="A389" s="12">
        <v>34730</v>
      </c>
      <c r="B389" s="13">
        <v>-11.847834740425609</v>
      </c>
      <c r="C389" s="87">
        <v>0</v>
      </c>
      <c r="G389" s="88"/>
      <c r="H389" s="89"/>
      <c r="L389" s="88"/>
      <c r="M389" s="89"/>
    </row>
    <row r="390" spans="1:13" x14ac:dyDescent="0.35">
      <c r="A390" s="12">
        <v>34699</v>
      </c>
      <c r="B390" s="13">
        <v>-5.3292510847424301</v>
      </c>
      <c r="C390" s="87">
        <v>0</v>
      </c>
      <c r="G390" s="88"/>
      <c r="H390" s="89"/>
      <c r="L390" s="88"/>
      <c r="M390" s="89"/>
    </row>
    <row r="391" spans="1:13" x14ac:dyDescent="0.35">
      <c r="A391" s="12">
        <v>34668</v>
      </c>
      <c r="B391" s="13">
        <v>3.0753265942822332</v>
      </c>
      <c r="C391" s="87">
        <v>0</v>
      </c>
      <c r="G391" s="88"/>
      <c r="H391" s="89"/>
      <c r="L391" s="88"/>
      <c r="M391" s="89"/>
    </row>
    <row r="392" spans="1:13" x14ac:dyDescent="0.35">
      <c r="A392" s="12">
        <v>34638</v>
      </c>
      <c r="B392" s="13">
        <v>-17.812159148833789</v>
      </c>
      <c r="C392" s="87">
        <v>0</v>
      </c>
      <c r="G392" s="88"/>
      <c r="H392" s="89"/>
      <c r="L392" s="88"/>
      <c r="M392" s="89"/>
    </row>
    <row r="393" spans="1:13" x14ac:dyDescent="0.35">
      <c r="A393" s="12">
        <v>34607</v>
      </c>
      <c r="B393" s="13">
        <v>3.6282588086672098</v>
      </c>
      <c r="C393" s="87">
        <v>0</v>
      </c>
      <c r="G393" s="88"/>
      <c r="H393" s="89"/>
      <c r="L393" s="88"/>
      <c r="M393" s="89"/>
    </row>
    <row r="394" spans="1:13" x14ac:dyDescent="0.35">
      <c r="A394" s="12">
        <v>34577</v>
      </c>
      <c r="B394" s="13">
        <v>114.4012427361051</v>
      </c>
      <c r="C394" s="87">
        <v>0</v>
      </c>
      <c r="G394" s="88"/>
      <c r="H394" s="89"/>
      <c r="L394" s="88"/>
      <c r="M394" s="89"/>
    </row>
    <row r="395" spans="1:13" x14ac:dyDescent="0.35">
      <c r="A395" s="12">
        <v>34546</v>
      </c>
      <c r="B395" s="13">
        <v>-25.913246657249442</v>
      </c>
      <c r="C395" s="87">
        <v>0</v>
      </c>
      <c r="G395" s="88"/>
      <c r="H395" s="89"/>
      <c r="L395" s="88"/>
      <c r="M395" s="89"/>
    </row>
    <row r="396" spans="1:13" x14ac:dyDescent="0.35">
      <c r="A396" s="12">
        <v>34515</v>
      </c>
      <c r="B396" s="13">
        <v>-15.687643793082909</v>
      </c>
      <c r="C396" s="87">
        <v>0</v>
      </c>
      <c r="G396" s="88"/>
      <c r="H396" s="89"/>
      <c r="L396" s="88"/>
      <c r="M396" s="89"/>
    </row>
    <row r="397" spans="1:13" x14ac:dyDescent="0.35">
      <c r="A397" s="12">
        <v>34485</v>
      </c>
      <c r="B397" s="13">
        <v>-2.0786081356052968</v>
      </c>
      <c r="C397" s="87">
        <v>0</v>
      </c>
      <c r="G397" s="88"/>
      <c r="H397" s="89"/>
      <c r="L397" s="88"/>
      <c r="M397" s="89"/>
    </row>
    <row r="398" spans="1:13" x14ac:dyDescent="0.35">
      <c r="A398" s="12">
        <v>34454</v>
      </c>
      <c r="B398" s="13">
        <v>-15.506636719133111</v>
      </c>
      <c r="C398" s="87">
        <v>0</v>
      </c>
      <c r="G398" s="88"/>
      <c r="H398" s="89"/>
      <c r="L398" s="88"/>
      <c r="M398" s="89"/>
    </row>
    <row r="399" spans="1:13" x14ac:dyDescent="0.35">
      <c r="A399" s="12">
        <v>34424</v>
      </c>
      <c r="B399" s="13">
        <v>-9.1996540984549728</v>
      </c>
      <c r="C399" s="87">
        <v>0</v>
      </c>
      <c r="G399" s="88"/>
      <c r="H399" s="89"/>
      <c r="L399" s="88"/>
      <c r="M399" s="89"/>
    </row>
    <row r="400" spans="1:13" x14ac:dyDescent="0.35">
      <c r="A400" s="12">
        <v>34393</v>
      </c>
      <c r="B400" s="13">
        <v>1.962930098246523</v>
      </c>
      <c r="C400" s="87">
        <v>0</v>
      </c>
      <c r="G400" s="88"/>
      <c r="H400" s="89"/>
      <c r="L400" s="88"/>
      <c r="M400" s="89"/>
    </row>
    <row r="401" spans="1:13" x14ac:dyDescent="0.35">
      <c r="A401" s="12">
        <v>34365</v>
      </c>
      <c r="B401" s="13">
        <v>-10.975512151082571</v>
      </c>
      <c r="C401" s="87">
        <v>0</v>
      </c>
      <c r="G401" s="88"/>
      <c r="H401" s="89"/>
      <c r="L401" s="88"/>
      <c r="M401" s="89"/>
    </row>
    <row r="402" spans="1:13" x14ac:dyDescent="0.35">
      <c r="A402" s="12">
        <v>34334</v>
      </c>
      <c r="B402" s="13">
        <v>-8.562387320879763</v>
      </c>
      <c r="C402" s="87">
        <v>0</v>
      </c>
      <c r="G402" s="88"/>
      <c r="H402" s="89"/>
      <c r="L402" s="88"/>
      <c r="M402" s="89"/>
    </row>
    <row r="403" spans="1:13" x14ac:dyDescent="0.35">
      <c r="A403" s="12">
        <v>34303</v>
      </c>
      <c r="B403" s="13">
        <v>16.193124384169689</v>
      </c>
      <c r="C403" s="87">
        <v>0</v>
      </c>
      <c r="G403" s="88"/>
      <c r="H403" s="89"/>
      <c r="L403" s="88"/>
      <c r="M403" s="89"/>
    </row>
    <row r="404" spans="1:13" x14ac:dyDescent="0.35">
      <c r="A404" s="12">
        <v>34273</v>
      </c>
      <c r="B404" s="13">
        <v>-7.6504234147835417</v>
      </c>
      <c r="C404" s="87">
        <v>0</v>
      </c>
      <c r="G404" s="88"/>
      <c r="H404" s="89"/>
      <c r="L404" s="88"/>
      <c r="M404" s="89"/>
    </row>
    <row r="405" spans="1:13" x14ac:dyDescent="0.35">
      <c r="A405" s="12">
        <v>34242</v>
      </c>
      <c r="B405" s="13">
        <v>-2.2868390743299911</v>
      </c>
      <c r="C405" s="87">
        <v>0</v>
      </c>
      <c r="G405" s="88"/>
      <c r="H405" s="89"/>
      <c r="L405" s="88"/>
      <c r="M405" s="89"/>
    </row>
    <row r="406" spans="1:13" x14ac:dyDescent="0.35">
      <c r="A406" s="12">
        <v>34212</v>
      </c>
      <c r="B406" s="13">
        <v>7.4930215016313921</v>
      </c>
      <c r="C406" s="87">
        <v>0</v>
      </c>
      <c r="G406" s="88"/>
      <c r="H406" s="89"/>
      <c r="L406" s="88"/>
      <c r="M406" s="89"/>
    </row>
    <row r="407" spans="1:13" x14ac:dyDescent="0.35">
      <c r="A407" s="12">
        <v>34181</v>
      </c>
      <c r="B407" s="13">
        <v>-9.1798668019547094</v>
      </c>
      <c r="C407" s="87">
        <v>0</v>
      </c>
      <c r="G407" s="88"/>
      <c r="H407" s="89"/>
      <c r="L407" s="88"/>
      <c r="M407" s="89"/>
    </row>
    <row r="408" spans="1:13" x14ac:dyDescent="0.35">
      <c r="A408" s="12">
        <v>34150</v>
      </c>
      <c r="B408" s="13">
        <v>6.9112567681502961</v>
      </c>
      <c r="C408" s="87">
        <v>0</v>
      </c>
      <c r="G408" s="88"/>
      <c r="H408" s="89"/>
      <c r="L408" s="88"/>
      <c r="M408" s="89"/>
    </row>
    <row r="409" spans="1:13" x14ac:dyDescent="0.35">
      <c r="A409" s="12">
        <v>34120</v>
      </c>
      <c r="B409" s="13">
        <v>-26.06167669306835</v>
      </c>
      <c r="C409" s="87">
        <v>0</v>
      </c>
      <c r="G409" s="88"/>
      <c r="H409" s="89"/>
      <c r="L409" s="88"/>
      <c r="M409" s="89"/>
    </row>
    <row r="410" spans="1:13" x14ac:dyDescent="0.35">
      <c r="A410" s="12">
        <v>34089</v>
      </c>
      <c r="B410" s="13">
        <v>31.596922560216068</v>
      </c>
      <c r="C410" s="87">
        <v>0</v>
      </c>
      <c r="G410" s="88"/>
      <c r="H410" s="89"/>
      <c r="L410" s="88"/>
      <c r="M410" s="89"/>
    </row>
    <row r="411" spans="1:13" x14ac:dyDescent="0.35">
      <c r="A411" s="12">
        <v>34059</v>
      </c>
      <c r="B411" s="13">
        <v>-19.624080247239309</v>
      </c>
      <c r="C411" s="87">
        <v>0</v>
      </c>
      <c r="G411" s="88"/>
      <c r="H411" s="89"/>
      <c r="L411" s="88"/>
      <c r="M411" s="89"/>
    </row>
    <row r="412" spans="1:13" x14ac:dyDescent="0.35">
      <c r="A412" s="12">
        <v>34028</v>
      </c>
      <c r="B412" s="13">
        <v>17.714901350713699</v>
      </c>
      <c r="C412" s="87">
        <v>0</v>
      </c>
      <c r="G412" s="88"/>
      <c r="H412" s="89"/>
      <c r="L412" s="88"/>
      <c r="M412" s="89"/>
    </row>
    <row r="413" spans="1:13" x14ac:dyDescent="0.35">
      <c r="A413" s="12">
        <v>34000</v>
      </c>
      <c r="B413" s="13">
        <v>48.766481035789042</v>
      </c>
      <c r="C413" s="87">
        <v>0</v>
      </c>
      <c r="G413" s="88"/>
      <c r="H413" s="89"/>
      <c r="L413" s="88"/>
      <c r="M413" s="89"/>
    </row>
    <row r="414" spans="1:13" x14ac:dyDescent="0.35">
      <c r="A414" s="12">
        <v>33969</v>
      </c>
      <c r="B414" s="13">
        <v>13.7398828120005</v>
      </c>
      <c r="C414" s="87">
        <v>0</v>
      </c>
      <c r="G414" s="88"/>
      <c r="H414" s="89"/>
      <c r="L414" s="88"/>
      <c r="M414" s="89"/>
    </row>
    <row r="415" spans="1:13" x14ac:dyDescent="0.35">
      <c r="A415" s="12">
        <v>33938</v>
      </c>
      <c r="B415" s="13">
        <v>13.99759795548893</v>
      </c>
      <c r="C415" s="87">
        <v>0</v>
      </c>
      <c r="G415" s="88"/>
      <c r="H415" s="89"/>
      <c r="L415" s="88"/>
      <c r="M415" s="89"/>
    </row>
    <row r="416" spans="1:13" x14ac:dyDescent="0.35">
      <c r="A416" s="12">
        <v>33908</v>
      </c>
      <c r="B416" s="13">
        <v>-21.09715365526187</v>
      </c>
      <c r="C416" s="87">
        <v>0</v>
      </c>
      <c r="G416" s="88"/>
      <c r="H416" s="89"/>
      <c r="L416" s="88"/>
      <c r="M416" s="89"/>
    </row>
    <row r="417" spans="1:13" x14ac:dyDescent="0.35">
      <c r="A417" s="12">
        <v>33877</v>
      </c>
      <c r="B417" s="13">
        <v>-5.8829213812441337</v>
      </c>
      <c r="C417" s="87">
        <v>0</v>
      </c>
      <c r="G417" s="88"/>
      <c r="H417" s="89"/>
      <c r="L417" s="88"/>
      <c r="M417" s="89"/>
    </row>
    <row r="418" spans="1:13" x14ac:dyDescent="0.35">
      <c r="A418" s="12">
        <v>33847</v>
      </c>
      <c r="B418" s="13">
        <v>-15.6147253441122</v>
      </c>
      <c r="C418" s="87">
        <v>0</v>
      </c>
      <c r="G418" s="88"/>
      <c r="H418" s="89"/>
      <c r="L418" s="88"/>
      <c r="M418" s="89"/>
    </row>
    <row r="419" spans="1:13" x14ac:dyDescent="0.35">
      <c r="A419" s="12">
        <v>33816</v>
      </c>
      <c r="B419" s="13">
        <v>0.99692033233227995</v>
      </c>
      <c r="C419" s="87">
        <v>0</v>
      </c>
      <c r="G419" s="88"/>
      <c r="H419" s="89"/>
      <c r="L419" s="88"/>
      <c r="M419" s="89"/>
    </row>
    <row r="420" spans="1:13" x14ac:dyDescent="0.35">
      <c r="A420" s="12">
        <v>33785</v>
      </c>
      <c r="B420" s="13">
        <v>-1.9912554928847499</v>
      </c>
      <c r="C420" s="87">
        <v>0</v>
      </c>
      <c r="G420" s="88"/>
      <c r="H420" s="89"/>
      <c r="L420" s="88"/>
      <c r="M420" s="89"/>
    </row>
    <row r="421" spans="1:13" x14ac:dyDescent="0.35">
      <c r="A421" s="12">
        <v>33755</v>
      </c>
      <c r="B421" s="13">
        <v>93.807138970610552</v>
      </c>
      <c r="C421" s="87">
        <v>0</v>
      </c>
      <c r="G421" s="88"/>
      <c r="H421" s="89"/>
      <c r="L421" s="88"/>
      <c r="M421" s="89"/>
    </row>
    <row r="422" spans="1:13" x14ac:dyDescent="0.35">
      <c r="A422" s="12">
        <v>33724</v>
      </c>
      <c r="B422" s="13">
        <v>47.471420719285149</v>
      </c>
      <c r="C422" s="87">
        <v>0</v>
      </c>
      <c r="G422" s="88"/>
      <c r="H422" s="89"/>
      <c r="L422" s="88"/>
      <c r="M422" s="89"/>
    </row>
    <row r="423" spans="1:13" x14ac:dyDescent="0.35">
      <c r="A423" s="12">
        <v>33694</v>
      </c>
      <c r="B423" s="13">
        <v>20.010197126800669</v>
      </c>
      <c r="C423" s="87">
        <v>0</v>
      </c>
      <c r="G423" s="88"/>
      <c r="H423" s="89"/>
      <c r="L423" s="88"/>
      <c r="M423" s="89"/>
    </row>
    <row r="424" spans="1:13" x14ac:dyDescent="0.35">
      <c r="A424" s="12">
        <v>33663</v>
      </c>
      <c r="B424" s="13">
        <v>5.1555568282968567</v>
      </c>
      <c r="C424" s="87">
        <v>0</v>
      </c>
      <c r="G424" s="88"/>
      <c r="H424" s="89"/>
      <c r="L424" s="88"/>
      <c r="M424" s="89"/>
    </row>
    <row r="425" spans="1:13" x14ac:dyDescent="0.35">
      <c r="A425" s="12">
        <v>33634</v>
      </c>
      <c r="B425" s="13">
        <v>4.4954187159770154</v>
      </c>
      <c r="C425" s="87">
        <v>0</v>
      </c>
      <c r="G425" s="88"/>
      <c r="H425" s="89"/>
      <c r="L425" s="88"/>
      <c r="M425" s="89"/>
    </row>
    <row r="426" spans="1:13" x14ac:dyDescent="0.35">
      <c r="A426" s="12">
        <v>33603</v>
      </c>
      <c r="B426" s="13">
        <v>9.2604365524093577</v>
      </c>
      <c r="C426" s="87">
        <v>0</v>
      </c>
      <c r="G426" s="88"/>
      <c r="H426" s="89"/>
      <c r="L426" s="88"/>
      <c r="M426" s="89"/>
    </row>
    <row r="427" spans="1:13" x14ac:dyDescent="0.35">
      <c r="A427" s="12">
        <v>33572</v>
      </c>
      <c r="B427" s="13">
        <v>19.329119013532711</v>
      </c>
      <c r="C427" s="87">
        <v>0</v>
      </c>
      <c r="G427" s="88"/>
      <c r="H427" s="89"/>
      <c r="L427" s="88"/>
      <c r="M427" s="89"/>
    </row>
    <row r="428" spans="1:13" x14ac:dyDescent="0.35">
      <c r="A428" s="12">
        <v>33542</v>
      </c>
      <c r="B428" s="13">
        <v>65.675610649468169</v>
      </c>
      <c r="C428" s="87">
        <v>0</v>
      </c>
      <c r="G428" s="88"/>
      <c r="H428" s="89"/>
      <c r="L428" s="88"/>
      <c r="M428" s="89"/>
    </row>
    <row r="429" spans="1:13" x14ac:dyDescent="0.35">
      <c r="A429" s="12">
        <v>33511</v>
      </c>
      <c r="B429" s="13">
        <v>-6.2325011322177826</v>
      </c>
      <c r="C429" s="87">
        <v>0</v>
      </c>
      <c r="G429" s="88"/>
      <c r="H429" s="89"/>
      <c r="L429" s="88"/>
      <c r="M429" s="89"/>
    </row>
    <row r="430" spans="1:13" x14ac:dyDescent="0.35">
      <c r="A430" s="12">
        <v>33481</v>
      </c>
      <c r="B430" s="13">
        <v>-17.240557723738089</v>
      </c>
      <c r="C430" s="87">
        <v>0</v>
      </c>
      <c r="G430" s="88"/>
      <c r="H430" s="89"/>
      <c r="L430" s="88"/>
      <c r="M430" s="89"/>
    </row>
    <row r="431" spans="1:13" x14ac:dyDescent="0.35">
      <c r="A431" s="12">
        <v>33450</v>
      </c>
      <c r="B431" s="13">
        <v>-5.9067304528178699</v>
      </c>
      <c r="C431" s="87">
        <v>0</v>
      </c>
      <c r="G431" s="88"/>
      <c r="H431" s="89"/>
      <c r="L431" s="88"/>
      <c r="M431" s="89"/>
    </row>
    <row r="432" spans="1:13" x14ac:dyDescent="0.35">
      <c r="A432" s="12">
        <v>33419</v>
      </c>
      <c r="B432" s="13">
        <v>5.5631366253321524</v>
      </c>
      <c r="C432" s="87">
        <v>0</v>
      </c>
      <c r="G432" s="88"/>
      <c r="H432" s="89"/>
      <c r="L432" s="88"/>
      <c r="M432" s="89"/>
    </row>
    <row r="433" spans="1:13" x14ac:dyDescent="0.35">
      <c r="A433" s="12">
        <v>33389</v>
      </c>
      <c r="B433" s="13">
        <v>-4.1964439612309574</v>
      </c>
      <c r="C433" s="87">
        <v>0</v>
      </c>
      <c r="G433" s="88"/>
      <c r="H433" s="89"/>
      <c r="L433" s="88"/>
      <c r="M433" s="89"/>
    </row>
    <row r="434" spans="1:13" x14ac:dyDescent="0.35">
      <c r="A434" s="12">
        <v>33358</v>
      </c>
      <c r="B434" s="13">
        <v>-5.7286992432897268</v>
      </c>
      <c r="C434" s="87">
        <v>0</v>
      </c>
      <c r="G434" s="88"/>
      <c r="H434" s="89"/>
      <c r="L434" s="88"/>
      <c r="M434" s="89"/>
    </row>
    <row r="435" spans="1:13" x14ac:dyDescent="0.35">
      <c r="A435" s="12">
        <v>33328</v>
      </c>
      <c r="B435" s="13">
        <v>-9.6383691485444629</v>
      </c>
      <c r="C435" s="87">
        <v>0</v>
      </c>
      <c r="G435" s="88"/>
      <c r="H435" s="89"/>
      <c r="L435" s="88"/>
      <c r="M435" s="89"/>
    </row>
    <row r="436" spans="1:13" x14ac:dyDescent="0.35">
      <c r="A436" s="12">
        <v>33297</v>
      </c>
      <c r="B436" s="13">
        <v>2.3390379845158371</v>
      </c>
      <c r="C436" s="87">
        <v>0</v>
      </c>
      <c r="G436" s="88"/>
      <c r="H436" s="89"/>
      <c r="L436" s="88"/>
      <c r="M436" s="89"/>
    </row>
    <row r="437" spans="1:13" x14ac:dyDescent="0.35">
      <c r="A437" s="12">
        <v>33269</v>
      </c>
      <c r="B437" s="13">
        <v>1.849351273143379</v>
      </c>
      <c r="C437" s="87">
        <v>0</v>
      </c>
      <c r="G437" s="88"/>
      <c r="H437" s="89"/>
      <c r="L437" s="88"/>
      <c r="M437" s="89"/>
    </row>
    <row r="438" spans="1:13" x14ac:dyDescent="0.35">
      <c r="G438" s="88"/>
      <c r="H438" s="89"/>
      <c r="L438" s="88"/>
      <c r="M438" s="89"/>
    </row>
    <row r="439" spans="1:13" x14ac:dyDescent="0.35">
      <c r="G439" s="88"/>
      <c r="H439" s="89"/>
      <c r="L439" s="88"/>
      <c r="M439" s="89"/>
    </row>
    <row r="440" spans="1:13" x14ac:dyDescent="0.35">
      <c r="G440" s="88"/>
      <c r="H440" s="89"/>
      <c r="L440" s="88"/>
      <c r="M440" s="89"/>
    </row>
    <row r="441" spans="1:13" x14ac:dyDescent="0.35">
      <c r="G441" s="88"/>
      <c r="H441" s="89"/>
      <c r="L441" s="88"/>
      <c r="M441" s="89"/>
    </row>
    <row r="442" spans="1:13" x14ac:dyDescent="0.35">
      <c r="G442" s="88"/>
      <c r="H442" s="89"/>
      <c r="L442" s="88"/>
      <c r="M442" s="89"/>
    </row>
    <row r="443" spans="1:13" x14ac:dyDescent="0.35">
      <c r="G443" s="88"/>
      <c r="H443" s="89"/>
      <c r="L443" s="88"/>
      <c r="M443" s="89"/>
    </row>
    <row r="444" spans="1:13" x14ac:dyDescent="0.35">
      <c r="G444" s="88"/>
      <c r="H444" s="89"/>
      <c r="L444" s="88"/>
      <c r="M444" s="89"/>
    </row>
    <row r="445" spans="1:13" x14ac:dyDescent="0.35">
      <c r="G445" s="88"/>
      <c r="H445" s="89"/>
      <c r="L445" s="88"/>
      <c r="M445" s="89"/>
    </row>
    <row r="446" spans="1:13" x14ac:dyDescent="0.35">
      <c r="G446" s="88"/>
      <c r="H446" s="89"/>
      <c r="L446" s="88"/>
      <c r="M446" s="89"/>
    </row>
    <row r="447" spans="1:13" x14ac:dyDescent="0.35">
      <c r="G447" s="88"/>
      <c r="H447" s="89"/>
      <c r="L447" s="88"/>
      <c r="M447" s="89"/>
    </row>
    <row r="448" spans="1:13" x14ac:dyDescent="0.35">
      <c r="G448" s="88"/>
      <c r="H448" s="89"/>
      <c r="L448" s="88"/>
      <c r="M448" s="89"/>
    </row>
    <row r="449" spans="7:13" x14ac:dyDescent="0.35">
      <c r="G449" s="88"/>
      <c r="H449" s="89"/>
      <c r="L449" s="88"/>
      <c r="M449" s="89"/>
    </row>
    <row r="450" spans="7:13" x14ac:dyDescent="0.35">
      <c r="G450" s="88"/>
      <c r="H450" s="89"/>
      <c r="L450" s="88"/>
      <c r="M450" s="89"/>
    </row>
    <row r="451" spans="7:13" x14ac:dyDescent="0.35">
      <c r="G451" s="88"/>
      <c r="H451" s="89"/>
      <c r="L451" s="88"/>
      <c r="M451" s="89"/>
    </row>
    <row r="452" spans="7:13" x14ac:dyDescent="0.35">
      <c r="G452" s="88"/>
      <c r="H452" s="89"/>
      <c r="L452" s="88"/>
      <c r="M452" s="89"/>
    </row>
    <row r="453" spans="7:13" x14ac:dyDescent="0.35">
      <c r="G453" s="88"/>
      <c r="H453" s="89"/>
      <c r="L453" s="88"/>
      <c r="M453" s="89"/>
    </row>
    <row r="454" spans="7:13" x14ac:dyDescent="0.35">
      <c r="G454" s="88"/>
      <c r="H454" s="89"/>
      <c r="L454" s="88"/>
      <c r="M454" s="89"/>
    </row>
    <row r="455" spans="7:13" x14ac:dyDescent="0.35">
      <c r="G455" s="88"/>
      <c r="H455" s="89"/>
      <c r="L455" s="88"/>
      <c r="M455" s="89"/>
    </row>
    <row r="456" spans="7:13" x14ac:dyDescent="0.35">
      <c r="G456" s="88"/>
      <c r="H456" s="89"/>
      <c r="L456" s="88"/>
      <c r="M456" s="89"/>
    </row>
    <row r="457" spans="7:13" x14ac:dyDescent="0.35">
      <c r="G457" s="88"/>
      <c r="H457" s="89"/>
      <c r="L457" s="88"/>
      <c r="M457" s="89"/>
    </row>
    <row r="458" spans="7:13" x14ac:dyDescent="0.35">
      <c r="G458" s="88"/>
      <c r="H458" s="89"/>
      <c r="L458" s="88"/>
      <c r="M458" s="89"/>
    </row>
    <row r="459" spans="7:13" x14ac:dyDescent="0.35">
      <c r="G459" s="88"/>
      <c r="H459" s="89"/>
      <c r="L459" s="88"/>
      <c r="M459" s="89"/>
    </row>
    <row r="460" spans="7:13" x14ac:dyDescent="0.35">
      <c r="G460" s="88"/>
      <c r="H460" s="89"/>
      <c r="L460" s="88"/>
      <c r="M460" s="89"/>
    </row>
    <row r="461" spans="7:13" x14ac:dyDescent="0.35">
      <c r="G461" s="88"/>
      <c r="H461" s="89"/>
      <c r="L461" s="88"/>
      <c r="M461" s="89"/>
    </row>
    <row r="462" spans="7:13" x14ac:dyDescent="0.35">
      <c r="G462" s="88"/>
      <c r="H462" s="89"/>
      <c r="L462" s="88"/>
      <c r="M462" s="89"/>
    </row>
    <row r="463" spans="7:13" x14ac:dyDescent="0.35">
      <c r="G463" s="88"/>
      <c r="H463" s="89"/>
      <c r="L463" s="88"/>
      <c r="M463" s="89"/>
    </row>
    <row r="464" spans="7:13" x14ac:dyDescent="0.35">
      <c r="G464" s="88"/>
      <c r="H464" s="89"/>
      <c r="L464" s="88"/>
      <c r="M464" s="89"/>
    </row>
    <row r="465" spans="7:13" x14ac:dyDescent="0.35">
      <c r="G465" s="88"/>
      <c r="H465" s="89"/>
      <c r="L465" s="88"/>
      <c r="M465" s="89"/>
    </row>
    <row r="466" spans="7:13" x14ac:dyDescent="0.35">
      <c r="G466" s="88"/>
      <c r="H466" s="89"/>
      <c r="L466" s="88"/>
      <c r="M466" s="89"/>
    </row>
    <row r="467" spans="7:13" x14ac:dyDescent="0.35">
      <c r="G467" s="88"/>
      <c r="H467" s="89"/>
      <c r="L467" s="88"/>
      <c r="M467" s="89"/>
    </row>
    <row r="468" spans="7:13" x14ac:dyDescent="0.35">
      <c r="G468" s="88"/>
      <c r="H468" s="89"/>
      <c r="L468" s="88"/>
      <c r="M468" s="89"/>
    </row>
    <row r="469" spans="7:13" x14ac:dyDescent="0.35">
      <c r="G469" s="88"/>
      <c r="H469" s="89"/>
      <c r="L469" s="88"/>
      <c r="M469" s="89"/>
    </row>
    <row r="470" spans="7:13" x14ac:dyDescent="0.35">
      <c r="G470" s="88"/>
      <c r="H470" s="89"/>
      <c r="L470" s="88"/>
      <c r="M470" s="89"/>
    </row>
    <row r="471" spans="7:13" x14ac:dyDescent="0.35">
      <c r="G471" s="88"/>
      <c r="H471" s="89"/>
      <c r="L471" s="88"/>
      <c r="M471" s="89"/>
    </row>
    <row r="472" spans="7:13" x14ac:dyDescent="0.35">
      <c r="G472" s="88"/>
      <c r="H472" s="89"/>
      <c r="L472" s="88"/>
      <c r="M472" s="89"/>
    </row>
    <row r="473" spans="7:13" x14ac:dyDescent="0.35">
      <c r="G473" s="88"/>
      <c r="H473" s="89"/>
      <c r="L473" s="88"/>
      <c r="M473" s="89"/>
    </row>
    <row r="474" spans="7:13" x14ac:dyDescent="0.35">
      <c r="G474" s="88"/>
      <c r="H474" s="89"/>
      <c r="L474" s="88"/>
      <c r="M474" s="89"/>
    </row>
    <row r="475" spans="7:13" x14ac:dyDescent="0.35">
      <c r="G475" s="88"/>
      <c r="H475" s="89"/>
      <c r="L475" s="88"/>
      <c r="M475" s="89"/>
    </row>
    <row r="476" spans="7:13" x14ac:dyDescent="0.35">
      <c r="G476" s="88"/>
      <c r="H476" s="89"/>
      <c r="L476" s="88"/>
      <c r="M476" s="89"/>
    </row>
    <row r="477" spans="7:13" x14ac:dyDescent="0.35">
      <c r="G477" s="88"/>
      <c r="H477" s="89"/>
      <c r="L477" s="88"/>
      <c r="M477" s="89"/>
    </row>
    <row r="478" spans="7:13" x14ac:dyDescent="0.35">
      <c r="G478" s="88"/>
      <c r="H478" s="89"/>
      <c r="L478" s="88"/>
      <c r="M478" s="89"/>
    </row>
    <row r="479" spans="7:13" x14ac:dyDescent="0.35">
      <c r="G479" s="88"/>
      <c r="H479" s="89"/>
      <c r="L479" s="88"/>
      <c r="M479" s="89"/>
    </row>
    <row r="480" spans="7:13" x14ac:dyDescent="0.35">
      <c r="G480" s="88"/>
      <c r="H480" s="89"/>
      <c r="L480" s="88"/>
      <c r="M480" s="89"/>
    </row>
    <row r="481" spans="7:13" x14ac:dyDescent="0.35">
      <c r="G481" s="88"/>
      <c r="H481" s="89"/>
      <c r="L481" s="88"/>
      <c r="M481" s="89"/>
    </row>
    <row r="482" spans="7:13" x14ac:dyDescent="0.35">
      <c r="G482" s="88"/>
      <c r="H482" s="89"/>
      <c r="L482" s="88"/>
      <c r="M482" s="89"/>
    </row>
    <row r="483" spans="7:13" x14ac:dyDescent="0.35">
      <c r="G483" s="88"/>
      <c r="H483" s="89"/>
      <c r="L483" s="88"/>
      <c r="M483" s="89"/>
    </row>
    <row r="484" spans="7:13" x14ac:dyDescent="0.35">
      <c r="G484" s="88"/>
      <c r="H484" s="89"/>
      <c r="L484" s="88"/>
      <c r="M484" s="89"/>
    </row>
    <row r="485" spans="7:13" x14ac:dyDescent="0.35">
      <c r="G485" s="88"/>
      <c r="H485" s="89"/>
      <c r="L485" s="88"/>
      <c r="M485" s="89"/>
    </row>
    <row r="486" spans="7:13" x14ac:dyDescent="0.35">
      <c r="G486" s="88"/>
      <c r="H486" s="89"/>
      <c r="L486" s="88"/>
      <c r="M486" s="89"/>
    </row>
    <row r="487" spans="7:13" x14ac:dyDescent="0.35">
      <c r="G487" s="88"/>
      <c r="H487" s="89"/>
      <c r="L487" s="88"/>
      <c r="M487" s="89"/>
    </row>
    <row r="488" spans="7:13" x14ac:dyDescent="0.35">
      <c r="G488" s="88"/>
      <c r="H488" s="89"/>
      <c r="L488" s="88"/>
      <c r="M488" s="89"/>
    </row>
    <row r="489" spans="7:13" x14ac:dyDescent="0.35">
      <c r="G489" s="88"/>
      <c r="H489" s="89"/>
      <c r="L489" s="88"/>
      <c r="M489" s="89"/>
    </row>
    <row r="490" spans="7:13" x14ac:dyDescent="0.35">
      <c r="G490" s="88"/>
      <c r="H490" s="89"/>
      <c r="L490" s="88"/>
      <c r="M490" s="89"/>
    </row>
    <row r="491" spans="7:13" x14ac:dyDescent="0.35">
      <c r="G491" s="88"/>
      <c r="H491" s="89"/>
      <c r="L491" s="88"/>
      <c r="M491" s="89"/>
    </row>
    <row r="492" spans="7:13" x14ac:dyDescent="0.35">
      <c r="G492" s="88"/>
      <c r="H492" s="89"/>
      <c r="L492" s="88"/>
      <c r="M492" s="89"/>
    </row>
    <row r="493" spans="7:13" x14ac:dyDescent="0.35">
      <c r="G493" s="88"/>
      <c r="H493" s="89"/>
      <c r="L493" s="88"/>
      <c r="M493" s="89"/>
    </row>
    <row r="494" spans="7:13" x14ac:dyDescent="0.35">
      <c r="G494" s="88"/>
      <c r="H494" s="89"/>
      <c r="L494" s="88"/>
      <c r="M494" s="89"/>
    </row>
    <row r="495" spans="7:13" x14ac:dyDescent="0.35">
      <c r="G495" s="88"/>
      <c r="H495" s="89"/>
      <c r="L495" s="88"/>
      <c r="M495" s="89"/>
    </row>
    <row r="496" spans="7:13" x14ac:dyDescent="0.35">
      <c r="G496" s="88"/>
      <c r="H496" s="89"/>
      <c r="L496" s="88"/>
      <c r="M496" s="89"/>
    </row>
    <row r="497" spans="7:13" x14ac:dyDescent="0.35">
      <c r="G497" s="88"/>
      <c r="H497" s="89"/>
      <c r="L497" s="88"/>
      <c r="M497" s="89"/>
    </row>
    <row r="498" spans="7:13" x14ac:dyDescent="0.35">
      <c r="G498" s="88"/>
      <c r="H498" s="89"/>
      <c r="L498" s="88"/>
      <c r="M498" s="89"/>
    </row>
    <row r="499" spans="7:13" x14ac:dyDescent="0.35">
      <c r="G499" s="88"/>
      <c r="H499" s="89"/>
      <c r="L499" s="88"/>
      <c r="M499" s="89"/>
    </row>
    <row r="500" spans="7:13" x14ac:dyDescent="0.35">
      <c r="G500" s="88"/>
      <c r="H500" s="89"/>
      <c r="L500" s="88"/>
      <c r="M500" s="89"/>
    </row>
    <row r="501" spans="7:13" x14ac:dyDescent="0.35">
      <c r="G501" s="88"/>
      <c r="H501" s="89"/>
      <c r="L501" s="88"/>
      <c r="M501" s="89"/>
    </row>
    <row r="502" spans="7:13" x14ac:dyDescent="0.35">
      <c r="G502" s="88"/>
      <c r="H502" s="89"/>
      <c r="L502" s="88"/>
      <c r="M502" s="89"/>
    </row>
    <row r="503" spans="7:13" x14ac:dyDescent="0.35">
      <c r="G503" s="88"/>
      <c r="H503" s="89"/>
      <c r="L503" s="88"/>
      <c r="M503" s="89"/>
    </row>
    <row r="504" spans="7:13" x14ac:dyDescent="0.35">
      <c r="G504" s="88"/>
      <c r="H504" s="89"/>
      <c r="L504" s="88"/>
      <c r="M504" s="89"/>
    </row>
    <row r="505" spans="7:13" x14ac:dyDescent="0.35">
      <c r="G505" s="88"/>
      <c r="H505" s="89"/>
      <c r="L505" s="88"/>
      <c r="M505" s="89"/>
    </row>
    <row r="506" spans="7:13" x14ac:dyDescent="0.35">
      <c r="G506" s="88"/>
      <c r="H506" s="89"/>
      <c r="L506" s="88"/>
      <c r="M506" s="89"/>
    </row>
    <row r="507" spans="7:13" x14ac:dyDescent="0.35">
      <c r="G507" s="88"/>
      <c r="H507" s="89"/>
      <c r="L507" s="88"/>
      <c r="M507" s="89"/>
    </row>
    <row r="508" spans="7:13" x14ac:dyDescent="0.35">
      <c r="G508" s="88"/>
      <c r="H508" s="89"/>
      <c r="L508" s="88"/>
      <c r="M508" s="89"/>
    </row>
    <row r="509" spans="7:13" x14ac:dyDescent="0.35">
      <c r="G509" s="88"/>
      <c r="H509" s="89"/>
      <c r="L509" s="88"/>
      <c r="M509" s="89"/>
    </row>
    <row r="510" spans="7:13" x14ac:dyDescent="0.35">
      <c r="G510" s="88"/>
      <c r="H510" s="89"/>
      <c r="L510" s="88"/>
      <c r="M510" s="89"/>
    </row>
    <row r="511" spans="7:13" x14ac:dyDescent="0.35">
      <c r="G511" s="88"/>
      <c r="H511" s="89"/>
      <c r="L511" s="88"/>
      <c r="M511" s="89"/>
    </row>
    <row r="512" spans="7:13" x14ac:dyDescent="0.35">
      <c r="G512" s="88"/>
      <c r="H512" s="89"/>
      <c r="L512" s="88"/>
      <c r="M512" s="89"/>
    </row>
    <row r="513" spans="7:13" x14ac:dyDescent="0.35">
      <c r="G513" s="88"/>
      <c r="H513" s="89"/>
      <c r="L513" s="88"/>
      <c r="M513" s="89"/>
    </row>
    <row r="514" spans="7:13" x14ac:dyDescent="0.35">
      <c r="G514" s="88"/>
      <c r="H514" s="89"/>
      <c r="L514" s="88"/>
      <c r="M514" s="89"/>
    </row>
    <row r="515" spans="7:13" x14ac:dyDescent="0.35">
      <c r="G515" s="88"/>
      <c r="H515" s="89"/>
      <c r="L515" s="88"/>
      <c r="M515" s="89"/>
    </row>
    <row r="516" spans="7:13" x14ac:dyDescent="0.35">
      <c r="G516" s="88"/>
      <c r="H516" s="89"/>
      <c r="L516" s="88"/>
      <c r="M516" s="89"/>
    </row>
    <row r="517" spans="7:13" x14ac:dyDescent="0.35">
      <c r="G517" s="88"/>
      <c r="H517" s="89"/>
      <c r="L517" s="88"/>
      <c r="M517" s="89"/>
    </row>
    <row r="518" spans="7:13" x14ac:dyDescent="0.35">
      <c r="G518" s="88"/>
      <c r="H518" s="89"/>
      <c r="L518" s="88"/>
      <c r="M518" s="89"/>
    </row>
    <row r="519" spans="7:13" x14ac:dyDescent="0.35">
      <c r="G519" s="88"/>
      <c r="H519" s="89"/>
      <c r="L519" s="88"/>
      <c r="M519" s="89"/>
    </row>
    <row r="520" spans="7:13" x14ac:dyDescent="0.35">
      <c r="G520" s="88"/>
      <c r="H520" s="89"/>
      <c r="L520" s="88"/>
      <c r="M520" s="89"/>
    </row>
    <row r="521" spans="7:13" x14ac:dyDescent="0.35">
      <c r="G521" s="88"/>
      <c r="H521" s="89"/>
      <c r="L521" s="88"/>
      <c r="M521" s="89"/>
    </row>
    <row r="522" spans="7:13" x14ac:dyDescent="0.35">
      <c r="G522" s="88"/>
      <c r="H522" s="89"/>
      <c r="L522" s="88"/>
      <c r="M522" s="89"/>
    </row>
    <row r="523" spans="7:13" x14ac:dyDescent="0.35">
      <c r="G523" s="88"/>
      <c r="H523" s="89"/>
      <c r="L523" s="88"/>
      <c r="M523" s="89"/>
    </row>
    <row r="524" spans="7:13" x14ac:dyDescent="0.35">
      <c r="G524" s="88"/>
      <c r="H524" s="89"/>
      <c r="L524" s="88"/>
      <c r="M524" s="89"/>
    </row>
    <row r="525" spans="7:13" x14ac:dyDescent="0.35">
      <c r="G525" s="88"/>
      <c r="H525" s="89"/>
      <c r="L525" s="88"/>
      <c r="M525" s="89"/>
    </row>
    <row r="526" spans="7:13" x14ac:dyDescent="0.35">
      <c r="G526" s="88"/>
      <c r="H526" s="89"/>
      <c r="L526" s="88"/>
      <c r="M526" s="89"/>
    </row>
    <row r="527" spans="7:13" x14ac:dyDescent="0.35">
      <c r="G527" s="88"/>
      <c r="H527" s="89"/>
      <c r="L527" s="88"/>
      <c r="M527" s="89"/>
    </row>
    <row r="528" spans="7:13" x14ac:dyDescent="0.35">
      <c r="G528" s="88"/>
      <c r="H528" s="89"/>
      <c r="L528" s="88"/>
      <c r="M528" s="89"/>
    </row>
    <row r="529" spans="7:13" x14ac:dyDescent="0.35">
      <c r="G529" s="88"/>
      <c r="H529" s="89"/>
      <c r="L529" s="88"/>
      <c r="M529" s="89"/>
    </row>
    <row r="530" spans="7:13" x14ac:dyDescent="0.35">
      <c r="G530" s="88"/>
      <c r="H530" s="89"/>
      <c r="L530" s="88"/>
      <c r="M530" s="89"/>
    </row>
    <row r="531" spans="7:13" x14ac:dyDescent="0.35">
      <c r="G531" s="88"/>
      <c r="H531" s="89"/>
      <c r="L531" s="88"/>
      <c r="M531" s="89"/>
    </row>
    <row r="532" spans="7:13" x14ac:dyDescent="0.35">
      <c r="G532" s="88"/>
      <c r="H532" s="89"/>
      <c r="L532" s="88"/>
      <c r="M532" s="89"/>
    </row>
    <row r="533" spans="7:13" x14ac:dyDescent="0.35">
      <c r="G533" s="88"/>
      <c r="H533" s="89"/>
      <c r="L533" s="88"/>
      <c r="M533" s="89"/>
    </row>
    <row r="534" spans="7:13" x14ac:dyDescent="0.35">
      <c r="G534" s="88"/>
      <c r="H534" s="89"/>
      <c r="L534" s="88"/>
      <c r="M534" s="89"/>
    </row>
    <row r="535" spans="7:13" x14ac:dyDescent="0.35">
      <c r="G535" s="88"/>
      <c r="H535" s="89"/>
      <c r="L535" s="88"/>
      <c r="M535" s="89"/>
    </row>
    <row r="536" spans="7:13" x14ac:dyDescent="0.35">
      <c r="G536" s="88"/>
      <c r="H536" s="89"/>
      <c r="L536" s="88"/>
      <c r="M536" s="89"/>
    </row>
    <row r="537" spans="7:13" x14ac:dyDescent="0.35">
      <c r="G537" s="88"/>
      <c r="H537" s="89"/>
      <c r="L537" s="88"/>
      <c r="M537" s="89"/>
    </row>
    <row r="538" spans="7:13" x14ac:dyDescent="0.35">
      <c r="G538" s="88"/>
      <c r="H538" s="89"/>
      <c r="L538" s="88"/>
      <c r="M538" s="89"/>
    </row>
    <row r="539" spans="7:13" x14ac:dyDescent="0.35">
      <c r="G539" s="88"/>
      <c r="H539" s="89"/>
      <c r="L539" s="88"/>
      <c r="M539" s="89"/>
    </row>
    <row r="540" spans="7:13" x14ac:dyDescent="0.35">
      <c r="G540" s="88"/>
      <c r="H540" s="89"/>
      <c r="L540" s="88"/>
      <c r="M540" s="89"/>
    </row>
    <row r="541" spans="7:13" x14ac:dyDescent="0.35">
      <c r="G541" s="88"/>
      <c r="H541" s="89"/>
      <c r="L541" s="88"/>
      <c r="M541" s="89"/>
    </row>
    <row r="542" spans="7:13" x14ac:dyDescent="0.35">
      <c r="G542" s="88"/>
      <c r="H542" s="89"/>
      <c r="L542" s="88"/>
      <c r="M542" s="89"/>
    </row>
    <row r="543" spans="7:13" x14ac:dyDescent="0.35">
      <c r="G543" s="88"/>
      <c r="H543" s="89"/>
      <c r="L543" s="88"/>
      <c r="M543" s="89"/>
    </row>
    <row r="544" spans="7:13" x14ac:dyDescent="0.35">
      <c r="G544" s="88"/>
      <c r="H544" s="89"/>
      <c r="L544" s="88"/>
      <c r="M544" s="89"/>
    </row>
    <row r="545" spans="7:13" x14ac:dyDescent="0.35">
      <c r="G545" s="88"/>
      <c r="H545" s="89"/>
      <c r="L545" s="88"/>
      <c r="M545" s="89"/>
    </row>
    <row r="546" spans="7:13" x14ac:dyDescent="0.35">
      <c r="G546" s="88"/>
      <c r="H546" s="89"/>
      <c r="L546" s="88"/>
      <c r="M546" s="89"/>
    </row>
    <row r="547" spans="7:13" x14ac:dyDescent="0.35">
      <c r="G547" s="88"/>
      <c r="H547" s="89"/>
      <c r="L547" s="88"/>
      <c r="M547" s="89"/>
    </row>
    <row r="548" spans="7:13" x14ac:dyDescent="0.35">
      <c r="G548" s="88"/>
      <c r="H548" s="89"/>
      <c r="L548" s="88"/>
      <c r="M548" s="89"/>
    </row>
    <row r="549" spans="7:13" x14ac:dyDescent="0.35">
      <c r="G549" s="88"/>
      <c r="H549" s="89"/>
      <c r="L549" s="88"/>
      <c r="M549" s="89"/>
    </row>
    <row r="550" spans="7:13" x14ac:dyDescent="0.35">
      <c r="G550" s="88"/>
      <c r="H550" s="89"/>
      <c r="L550" s="88"/>
      <c r="M550" s="89"/>
    </row>
    <row r="551" spans="7:13" x14ac:dyDescent="0.35">
      <c r="G551" s="88"/>
      <c r="H551" s="89"/>
      <c r="L551" s="88"/>
      <c r="M551" s="89"/>
    </row>
    <row r="552" spans="7:13" x14ac:dyDescent="0.35">
      <c r="G552" s="88"/>
      <c r="H552" s="89"/>
      <c r="L552" s="88"/>
      <c r="M552" s="89"/>
    </row>
    <row r="553" spans="7:13" x14ac:dyDescent="0.35">
      <c r="G553" s="88"/>
      <c r="H553" s="89"/>
      <c r="L553" s="88"/>
      <c r="M553" s="89"/>
    </row>
    <row r="554" spans="7:13" x14ac:dyDescent="0.35">
      <c r="G554" s="88"/>
      <c r="H554" s="89"/>
      <c r="L554" s="88"/>
      <c r="M554" s="89"/>
    </row>
    <row r="555" spans="7:13" x14ac:dyDescent="0.35">
      <c r="G555" s="88"/>
      <c r="H555" s="89"/>
      <c r="L555" s="88"/>
      <c r="M555" s="89"/>
    </row>
    <row r="556" spans="7:13" x14ac:dyDescent="0.35">
      <c r="G556" s="88"/>
      <c r="H556" s="89"/>
      <c r="L556" s="88"/>
      <c r="M556" s="89"/>
    </row>
    <row r="557" spans="7:13" x14ac:dyDescent="0.35">
      <c r="G557" s="88"/>
      <c r="H557" s="89"/>
      <c r="L557" s="88"/>
      <c r="M557" s="89"/>
    </row>
    <row r="558" spans="7:13" x14ac:dyDescent="0.35">
      <c r="G558" s="88"/>
      <c r="H558" s="89"/>
      <c r="L558" s="88"/>
      <c r="M558" s="89"/>
    </row>
    <row r="559" spans="7:13" x14ac:dyDescent="0.35">
      <c r="G559" s="88"/>
      <c r="H559" s="89"/>
      <c r="L559" s="88"/>
      <c r="M559" s="89"/>
    </row>
    <row r="560" spans="7:13" x14ac:dyDescent="0.35">
      <c r="G560" s="88"/>
      <c r="H560" s="89"/>
      <c r="L560" s="88"/>
      <c r="M560" s="89"/>
    </row>
    <row r="561" spans="7:13" x14ac:dyDescent="0.35">
      <c r="G561" s="88"/>
      <c r="H561" s="89"/>
      <c r="L561" s="88"/>
      <c r="M561" s="89"/>
    </row>
    <row r="562" spans="7:13" x14ac:dyDescent="0.35">
      <c r="G562" s="88"/>
      <c r="H562" s="89"/>
      <c r="L562" s="88"/>
      <c r="M562" s="89"/>
    </row>
    <row r="563" spans="7:13" x14ac:dyDescent="0.35">
      <c r="G563" s="88"/>
      <c r="H563" s="89"/>
      <c r="L563" s="88"/>
      <c r="M563" s="89"/>
    </row>
    <row r="564" spans="7:13" x14ac:dyDescent="0.35">
      <c r="G564" s="88"/>
      <c r="H564" s="89"/>
      <c r="L564" s="88"/>
      <c r="M564" s="89"/>
    </row>
    <row r="565" spans="7:13" x14ac:dyDescent="0.35">
      <c r="G565" s="88"/>
      <c r="H565" s="89"/>
      <c r="L565" s="88"/>
      <c r="M565" s="89"/>
    </row>
    <row r="566" spans="7:13" x14ac:dyDescent="0.35">
      <c r="G566" s="88"/>
      <c r="H566" s="89"/>
      <c r="L566" s="88"/>
      <c r="M566" s="89"/>
    </row>
    <row r="567" spans="7:13" x14ac:dyDescent="0.35">
      <c r="G567" s="88"/>
      <c r="H567" s="89"/>
      <c r="L567" s="88"/>
      <c r="M567" s="89"/>
    </row>
    <row r="568" spans="7:13" x14ac:dyDescent="0.35">
      <c r="G568" s="88"/>
      <c r="H568" s="89"/>
      <c r="L568" s="88"/>
      <c r="M568" s="89"/>
    </row>
    <row r="569" spans="7:13" x14ac:dyDescent="0.35">
      <c r="G569" s="88"/>
      <c r="H569" s="89"/>
      <c r="L569" s="88"/>
      <c r="M569" s="89"/>
    </row>
    <row r="570" spans="7:13" x14ac:dyDescent="0.35">
      <c r="G570" s="88"/>
      <c r="H570" s="89"/>
      <c r="L570" s="88"/>
      <c r="M570" s="89"/>
    </row>
    <row r="571" spans="7:13" x14ac:dyDescent="0.35">
      <c r="G571" s="88"/>
      <c r="H571" s="89"/>
      <c r="L571" s="88"/>
      <c r="M571" s="89"/>
    </row>
    <row r="572" spans="7:13" x14ac:dyDescent="0.35">
      <c r="G572" s="88"/>
      <c r="H572" s="89"/>
      <c r="L572" s="88"/>
      <c r="M572" s="89"/>
    </row>
    <row r="573" spans="7:13" x14ac:dyDescent="0.35">
      <c r="G573" s="88"/>
      <c r="H573" s="89"/>
      <c r="L573" s="88"/>
      <c r="M573" s="89"/>
    </row>
    <row r="574" spans="7:13" x14ac:dyDescent="0.35">
      <c r="G574" s="88"/>
      <c r="H574" s="89"/>
      <c r="L574" s="88"/>
      <c r="M574" s="89"/>
    </row>
    <row r="575" spans="7:13" x14ac:dyDescent="0.35">
      <c r="G575" s="88"/>
      <c r="H575" s="89"/>
      <c r="L575" s="88"/>
      <c r="M575" s="89"/>
    </row>
    <row r="576" spans="7:13" x14ac:dyDescent="0.35">
      <c r="G576" s="88"/>
      <c r="H576" s="89"/>
      <c r="L576" s="88"/>
      <c r="M576" s="89"/>
    </row>
    <row r="577" spans="7:13" x14ac:dyDescent="0.35">
      <c r="G577" s="88"/>
      <c r="H577" s="89"/>
      <c r="L577" s="88"/>
      <c r="M577" s="89"/>
    </row>
    <row r="578" spans="7:13" x14ac:dyDescent="0.35">
      <c r="G578" s="88"/>
      <c r="H578" s="89"/>
      <c r="L578" s="88"/>
      <c r="M578" s="89"/>
    </row>
    <row r="579" spans="7:13" x14ac:dyDescent="0.35">
      <c r="G579" s="88"/>
      <c r="H579" s="89"/>
      <c r="L579" s="88"/>
      <c r="M579" s="89"/>
    </row>
    <row r="580" spans="7:13" x14ac:dyDescent="0.35">
      <c r="G580" s="88"/>
      <c r="H580" s="89"/>
      <c r="L580" s="88"/>
      <c r="M580" s="89"/>
    </row>
    <row r="581" spans="7:13" x14ac:dyDescent="0.35">
      <c r="G581" s="88"/>
      <c r="H581" s="89"/>
      <c r="L581" s="88"/>
      <c r="M581" s="89"/>
    </row>
    <row r="582" spans="7:13" x14ac:dyDescent="0.35">
      <c r="G582" s="88"/>
      <c r="H582" s="89"/>
      <c r="L582" s="88"/>
      <c r="M582" s="89"/>
    </row>
    <row r="583" spans="7:13" x14ac:dyDescent="0.35">
      <c r="G583" s="88"/>
      <c r="H583" s="89"/>
      <c r="L583" s="88"/>
      <c r="M583" s="89"/>
    </row>
    <row r="584" spans="7:13" x14ac:dyDescent="0.35">
      <c r="G584" s="88"/>
      <c r="H584" s="89"/>
      <c r="L584" s="88"/>
      <c r="M584" s="89"/>
    </row>
    <row r="585" spans="7:13" x14ac:dyDescent="0.35">
      <c r="G585" s="88"/>
      <c r="H585" s="89"/>
      <c r="L585" s="88"/>
      <c r="M585" s="89"/>
    </row>
    <row r="586" spans="7:13" x14ac:dyDescent="0.35">
      <c r="G586" s="88"/>
      <c r="H586" s="89"/>
      <c r="L586" s="88"/>
      <c r="M586" s="89"/>
    </row>
    <row r="587" spans="7:13" x14ac:dyDescent="0.35">
      <c r="G587" s="88"/>
      <c r="H587" s="89"/>
      <c r="L587" s="88"/>
      <c r="M587" s="89"/>
    </row>
    <row r="588" spans="7:13" x14ac:dyDescent="0.35">
      <c r="G588" s="88"/>
      <c r="H588" s="89"/>
      <c r="L588" s="88"/>
      <c r="M588" s="89"/>
    </row>
    <row r="589" spans="7:13" x14ac:dyDescent="0.35">
      <c r="G589" s="88"/>
      <c r="H589" s="89"/>
      <c r="L589" s="88"/>
      <c r="M589" s="89"/>
    </row>
    <row r="590" spans="7:13" x14ac:dyDescent="0.35">
      <c r="G590" s="88"/>
      <c r="H590" s="89"/>
      <c r="L590" s="88"/>
      <c r="M590" s="89"/>
    </row>
    <row r="591" spans="7:13" x14ac:dyDescent="0.35">
      <c r="G591" s="88"/>
      <c r="H591" s="89"/>
      <c r="L591" s="88"/>
      <c r="M591" s="89"/>
    </row>
    <row r="592" spans="7:13" x14ac:dyDescent="0.35">
      <c r="G592" s="88"/>
      <c r="H592" s="89"/>
      <c r="L592" s="88"/>
      <c r="M592" s="89"/>
    </row>
    <row r="593" spans="7:13" x14ac:dyDescent="0.35">
      <c r="G593" s="88"/>
      <c r="H593" s="89"/>
      <c r="L593" s="88"/>
      <c r="M593" s="89"/>
    </row>
    <row r="594" spans="7:13" x14ac:dyDescent="0.35">
      <c r="G594" s="88"/>
      <c r="H594" s="89"/>
      <c r="L594" s="88"/>
      <c r="M594" s="89"/>
    </row>
    <row r="595" spans="7:13" x14ac:dyDescent="0.35">
      <c r="G595" s="88"/>
      <c r="H595" s="89"/>
      <c r="L595" s="88"/>
      <c r="M595" s="89"/>
    </row>
    <row r="596" spans="7:13" x14ac:dyDescent="0.35">
      <c r="G596" s="88"/>
      <c r="H596" s="89"/>
      <c r="L596" s="88"/>
      <c r="M596" s="89"/>
    </row>
    <row r="597" spans="7:13" x14ac:dyDescent="0.35">
      <c r="G597" s="88"/>
      <c r="H597" s="89"/>
      <c r="L597" s="88"/>
      <c r="M597" s="89"/>
    </row>
    <row r="598" spans="7:13" x14ac:dyDescent="0.35">
      <c r="G598" s="88"/>
      <c r="H598" s="89"/>
      <c r="L598" s="88"/>
      <c r="M598" s="89"/>
    </row>
    <row r="599" spans="7:13" x14ac:dyDescent="0.35">
      <c r="G599" s="88"/>
      <c r="H599" s="89"/>
      <c r="L599" s="88"/>
      <c r="M599" s="89"/>
    </row>
    <row r="600" spans="7:13" x14ac:dyDescent="0.35">
      <c r="G600" s="88"/>
      <c r="H600" s="89"/>
      <c r="L600" s="88"/>
      <c r="M600" s="89"/>
    </row>
    <row r="601" spans="7:13" x14ac:dyDescent="0.35">
      <c r="G601" s="88"/>
      <c r="H601" s="89"/>
      <c r="L601" s="88"/>
      <c r="M601" s="89"/>
    </row>
    <row r="602" spans="7:13" x14ac:dyDescent="0.35">
      <c r="G602" s="88"/>
      <c r="H602" s="89"/>
      <c r="L602" s="88"/>
      <c r="M602" s="89"/>
    </row>
    <row r="603" spans="7:13" x14ac:dyDescent="0.35">
      <c r="G603" s="88"/>
      <c r="H603" s="89"/>
      <c r="L603" s="88"/>
      <c r="M603" s="89"/>
    </row>
    <row r="604" spans="7:13" x14ac:dyDescent="0.35">
      <c r="G604" s="88"/>
      <c r="H604" s="89"/>
      <c r="L604" s="88"/>
      <c r="M604" s="89"/>
    </row>
    <row r="605" spans="7:13" x14ac:dyDescent="0.35">
      <c r="G605" s="88"/>
      <c r="H605" s="89"/>
      <c r="L605" s="88"/>
      <c r="M605" s="89"/>
    </row>
    <row r="606" spans="7:13" x14ac:dyDescent="0.35">
      <c r="G606" s="88"/>
      <c r="H606" s="89"/>
      <c r="L606" s="88"/>
      <c r="M606" s="89"/>
    </row>
    <row r="607" spans="7:13" x14ac:dyDescent="0.35">
      <c r="G607" s="88"/>
      <c r="H607" s="89"/>
      <c r="L607" s="88"/>
      <c r="M607" s="89"/>
    </row>
    <row r="608" spans="7:13" x14ac:dyDescent="0.35">
      <c r="G608" s="88"/>
      <c r="H608" s="89"/>
      <c r="L608" s="88"/>
      <c r="M608" s="89"/>
    </row>
    <row r="609" spans="7:13" x14ac:dyDescent="0.35">
      <c r="G609" s="88"/>
      <c r="H609" s="89"/>
      <c r="L609" s="88"/>
      <c r="M609" s="89"/>
    </row>
    <row r="610" spans="7:13" x14ac:dyDescent="0.35">
      <c r="G610" s="88"/>
      <c r="H610" s="89"/>
      <c r="L610" s="88"/>
      <c r="M610" s="89"/>
    </row>
    <row r="611" spans="7:13" x14ac:dyDescent="0.35">
      <c r="G611" s="88"/>
      <c r="H611" s="89"/>
      <c r="L611" s="88"/>
      <c r="M611" s="89"/>
    </row>
    <row r="612" spans="7:13" x14ac:dyDescent="0.35">
      <c r="G612" s="88"/>
      <c r="H612" s="89"/>
      <c r="L612" s="88"/>
      <c r="M612" s="89"/>
    </row>
    <row r="613" spans="7:13" x14ac:dyDescent="0.35">
      <c r="G613" s="88"/>
      <c r="H613" s="89"/>
      <c r="L613" s="88"/>
      <c r="M613" s="89"/>
    </row>
    <row r="614" spans="7:13" x14ac:dyDescent="0.35">
      <c r="G614" s="88"/>
      <c r="H614" s="89"/>
      <c r="L614" s="88"/>
      <c r="M614" s="89"/>
    </row>
    <row r="615" spans="7:13" x14ac:dyDescent="0.35">
      <c r="G615" s="88"/>
      <c r="H615" s="89"/>
      <c r="L615" s="88"/>
      <c r="M615" s="89"/>
    </row>
    <row r="616" spans="7:13" x14ac:dyDescent="0.35">
      <c r="G616" s="88"/>
      <c r="H616" s="89"/>
      <c r="L616" s="88"/>
      <c r="M616" s="89"/>
    </row>
    <row r="617" spans="7:13" x14ac:dyDescent="0.35">
      <c r="G617" s="88"/>
      <c r="H617" s="89"/>
      <c r="L617" s="88"/>
      <c r="M617" s="89"/>
    </row>
    <row r="618" spans="7:13" x14ac:dyDescent="0.35">
      <c r="G618" s="88"/>
      <c r="H618" s="89"/>
      <c r="L618" s="88"/>
      <c r="M618" s="89"/>
    </row>
    <row r="619" spans="7:13" x14ac:dyDescent="0.35">
      <c r="G619" s="88"/>
      <c r="H619" s="89"/>
      <c r="L619" s="88"/>
      <c r="M619" s="89"/>
    </row>
    <row r="620" spans="7:13" x14ac:dyDescent="0.35">
      <c r="G620" s="88"/>
      <c r="H620" s="89"/>
      <c r="L620" s="88"/>
      <c r="M620" s="89"/>
    </row>
    <row r="621" spans="7:13" x14ac:dyDescent="0.35">
      <c r="G621" s="88"/>
      <c r="H621" s="89"/>
      <c r="L621" s="88"/>
      <c r="M621" s="89"/>
    </row>
    <row r="622" spans="7:13" x14ac:dyDescent="0.35">
      <c r="G622" s="88"/>
      <c r="H622" s="89"/>
      <c r="L622" s="88"/>
      <c r="M622" s="89"/>
    </row>
    <row r="623" spans="7:13" x14ac:dyDescent="0.35">
      <c r="G623" s="88"/>
      <c r="H623" s="89"/>
      <c r="L623" s="88"/>
      <c r="M623" s="89"/>
    </row>
    <row r="624" spans="7:13" x14ac:dyDescent="0.35">
      <c r="G624" s="88"/>
      <c r="H624" s="89"/>
      <c r="L624" s="88"/>
      <c r="M624" s="89"/>
    </row>
    <row r="625" spans="7:13" x14ac:dyDescent="0.35">
      <c r="G625" s="88"/>
      <c r="H625" s="89"/>
      <c r="L625" s="88"/>
      <c r="M625" s="89"/>
    </row>
    <row r="626" spans="7:13" x14ac:dyDescent="0.35">
      <c r="G626" s="88"/>
      <c r="H626" s="89"/>
      <c r="L626" s="88"/>
      <c r="M626" s="89"/>
    </row>
    <row r="627" spans="7:13" x14ac:dyDescent="0.35">
      <c r="G627" s="88"/>
      <c r="H627" s="89"/>
      <c r="L627" s="88"/>
      <c r="M627" s="89"/>
    </row>
    <row r="628" spans="7:13" x14ac:dyDescent="0.35">
      <c r="G628" s="88"/>
      <c r="H628" s="89"/>
      <c r="L628" s="88"/>
      <c r="M628" s="89"/>
    </row>
    <row r="629" spans="7:13" x14ac:dyDescent="0.35">
      <c r="G629" s="88"/>
      <c r="H629" s="89"/>
      <c r="L629" s="88"/>
      <c r="M629" s="89"/>
    </row>
    <row r="630" spans="7:13" x14ac:dyDescent="0.35">
      <c r="G630" s="88"/>
      <c r="H630" s="89"/>
      <c r="L630" s="88"/>
      <c r="M630" s="89"/>
    </row>
    <row r="631" spans="7:13" x14ac:dyDescent="0.35">
      <c r="G631" s="88"/>
      <c r="H631" s="89"/>
      <c r="L631" s="88"/>
      <c r="M631" s="89"/>
    </row>
    <row r="632" spans="7:13" x14ac:dyDescent="0.35">
      <c r="G632" s="88"/>
      <c r="H632" s="89"/>
      <c r="L632" s="88"/>
      <c r="M632" s="89"/>
    </row>
    <row r="633" spans="7:13" x14ac:dyDescent="0.35">
      <c r="G633" s="88"/>
      <c r="H633" s="89"/>
      <c r="L633" s="88"/>
      <c r="M633" s="89"/>
    </row>
    <row r="634" spans="7:13" x14ac:dyDescent="0.35">
      <c r="G634" s="88"/>
      <c r="H634" s="89"/>
      <c r="L634" s="88"/>
      <c r="M634" s="89"/>
    </row>
    <row r="635" spans="7:13" x14ac:dyDescent="0.35">
      <c r="G635" s="88"/>
      <c r="H635" s="89"/>
      <c r="L635" s="88"/>
      <c r="M635" s="89"/>
    </row>
    <row r="636" spans="7:13" x14ac:dyDescent="0.35">
      <c r="G636" s="88"/>
      <c r="H636" s="89"/>
      <c r="L636" s="88"/>
      <c r="M636" s="89"/>
    </row>
    <row r="637" spans="7:13" x14ac:dyDescent="0.35">
      <c r="G637" s="88"/>
      <c r="H637" s="89"/>
      <c r="L637" s="88"/>
      <c r="M637" s="89"/>
    </row>
    <row r="638" spans="7:13" x14ac:dyDescent="0.35">
      <c r="G638" s="88"/>
      <c r="H638" s="89"/>
      <c r="L638" s="88"/>
      <c r="M638" s="89"/>
    </row>
    <row r="639" spans="7:13" x14ac:dyDescent="0.35">
      <c r="G639" s="88"/>
      <c r="H639" s="89"/>
      <c r="L639" s="88"/>
      <c r="M639" s="89"/>
    </row>
    <row r="640" spans="7:13" x14ac:dyDescent="0.35">
      <c r="G640" s="88"/>
      <c r="H640" s="89"/>
      <c r="L640" s="88"/>
      <c r="M640" s="89"/>
    </row>
    <row r="641" spans="7:13" x14ac:dyDescent="0.35">
      <c r="G641" s="88"/>
      <c r="H641" s="89"/>
      <c r="L641" s="88"/>
      <c r="M641" s="89"/>
    </row>
    <row r="642" spans="7:13" x14ac:dyDescent="0.35">
      <c r="G642" s="88"/>
      <c r="H642" s="89"/>
      <c r="L642" s="88"/>
      <c r="M642" s="89"/>
    </row>
    <row r="643" spans="7:13" x14ac:dyDescent="0.35">
      <c r="G643" s="88"/>
      <c r="H643" s="89"/>
      <c r="L643" s="88"/>
      <c r="M643" s="89"/>
    </row>
    <row r="644" spans="7:13" x14ac:dyDescent="0.35">
      <c r="G644" s="88"/>
      <c r="H644" s="89"/>
      <c r="L644" s="88"/>
      <c r="M644" s="89"/>
    </row>
    <row r="645" spans="7:13" x14ac:dyDescent="0.35">
      <c r="G645" s="88"/>
      <c r="H645" s="89"/>
      <c r="L645" s="88"/>
      <c r="M645" s="89"/>
    </row>
    <row r="646" spans="7:13" x14ac:dyDescent="0.35">
      <c r="G646" s="88"/>
      <c r="H646" s="89"/>
      <c r="L646" s="88"/>
      <c r="M646" s="89"/>
    </row>
    <row r="647" spans="7:13" x14ac:dyDescent="0.35">
      <c r="G647" s="88"/>
      <c r="H647" s="89"/>
      <c r="L647" s="88"/>
      <c r="M647" s="89"/>
    </row>
    <row r="648" spans="7:13" x14ac:dyDescent="0.35">
      <c r="G648" s="88"/>
      <c r="H648" s="89"/>
      <c r="L648" s="88"/>
      <c r="M648" s="89"/>
    </row>
    <row r="649" spans="7:13" x14ac:dyDescent="0.35">
      <c r="G649" s="88"/>
      <c r="H649" s="89"/>
      <c r="L649" s="88"/>
      <c r="M649" s="89"/>
    </row>
    <row r="650" spans="7:13" x14ac:dyDescent="0.35">
      <c r="G650" s="88"/>
      <c r="H650" s="89"/>
      <c r="L650" s="88"/>
      <c r="M650" s="89"/>
    </row>
    <row r="651" spans="7:13" x14ac:dyDescent="0.35">
      <c r="G651" s="88"/>
      <c r="H651" s="89"/>
      <c r="L651" s="88"/>
      <c r="M651" s="89"/>
    </row>
    <row r="652" spans="7:13" x14ac:dyDescent="0.35">
      <c r="G652" s="88"/>
      <c r="H652" s="89"/>
      <c r="L652" s="88"/>
      <c r="M652" s="89"/>
    </row>
    <row r="653" spans="7:13" x14ac:dyDescent="0.35">
      <c r="G653" s="88"/>
      <c r="H653" s="89"/>
      <c r="L653" s="88"/>
      <c r="M653" s="89"/>
    </row>
    <row r="654" spans="7:13" x14ac:dyDescent="0.35">
      <c r="G654" s="88"/>
      <c r="H654" s="89"/>
      <c r="L654" s="88"/>
      <c r="M654" s="89"/>
    </row>
    <row r="655" spans="7:13" x14ac:dyDescent="0.35">
      <c r="G655" s="88"/>
      <c r="H655" s="89"/>
      <c r="L655" s="88"/>
      <c r="M655" s="89"/>
    </row>
    <row r="656" spans="7:13" x14ac:dyDescent="0.35">
      <c r="G656" s="88"/>
      <c r="H656" s="89"/>
      <c r="L656" s="88"/>
      <c r="M656" s="89"/>
    </row>
    <row r="657" spans="7:13" x14ac:dyDescent="0.35">
      <c r="G657" s="88"/>
      <c r="H657" s="89"/>
      <c r="L657" s="88"/>
      <c r="M657" s="89"/>
    </row>
    <row r="658" spans="7:13" x14ac:dyDescent="0.35">
      <c r="G658" s="88"/>
      <c r="H658" s="89"/>
      <c r="L658" s="88"/>
      <c r="M658" s="89"/>
    </row>
    <row r="659" spans="7:13" x14ac:dyDescent="0.35">
      <c r="G659" s="88"/>
      <c r="H659" s="89"/>
      <c r="L659" s="88"/>
      <c r="M659" s="89"/>
    </row>
    <row r="660" spans="7:13" x14ac:dyDescent="0.35">
      <c r="G660" s="88"/>
      <c r="H660" s="89"/>
      <c r="L660" s="88"/>
      <c r="M660" s="89"/>
    </row>
    <row r="661" spans="7:13" x14ac:dyDescent="0.35">
      <c r="G661" s="88"/>
      <c r="H661" s="89"/>
      <c r="L661" s="88"/>
      <c r="M661" s="89"/>
    </row>
    <row r="662" spans="7:13" x14ac:dyDescent="0.35">
      <c r="G662" s="88"/>
      <c r="H662" s="89"/>
      <c r="L662" s="88"/>
      <c r="M662" s="89"/>
    </row>
    <row r="663" spans="7:13" x14ac:dyDescent="0.35">
      <c r="G663" s="88"/>
      <c r="H663" s="89"/>
      <c r="L663" s="88"/>
      <c r="M663" s="89"/>
    </row>
    <row r="664" spans="7:13" x14ac:dyDescent="0.35">
      <c r="G664" s="88"/>
      <c r="H664" s="89"/>
      <c r="L664" s="88"/>
      <c r="M664" s="89"/>
    </row>
    <row r="665" spans="7:13" x14ac:dyDescent="0.35">
      <c r="G665" s="88"/>
      <c r="H665" s="89"/>
      <c r="L665" s="88"/>
      <c r="M665" s="89"/>
    </row>
    <row r="666" spans="7:13" x14ac:dyDescent="0.35">
      <c r="G666" s="88"/>
      <c r="H666" s="89"/>
      <c r="L666" s="88"/>
      <c r="M666" s="89"/>
    </row>
    <row r="667" spans="7:13" x14ac:dyDescent="0.35">
      <c r="G667" s="88"/>
      <c r="H667" s="89"/>
      <c r="L667" s="88"/>
      <c r="M667" s="89"/>
    </row>
    <row r="668" spans="7:13" x14ac:dyDescent="0.35">
      <c r="G668" s="88"/>
      <c r="H668" s="89"/>
      <c r="L668" s="88"/>
      <c r="M668" s="89"/>
    </row>
    <row r="669" spans="7:13" x14ac:dyDescent="0.35">
      <c r="G669" s="88"/>
      <c r="H669" s="89"/>
      <c r="L669" s="88"/>
      <c r="M669" s="89"/>
    </row>
    <row r="670" spans="7:13" x14ac:dyDescent="0.35">
      <c r="G670" s="88"/>
      <c r="H670" s="89"/>
      <c r="L670" s="88"/>
      <c r="M670" s="89"/>
    </row>
    <row r="671" spans="7:13" x14ac:dyDescent="0.35">
      <c r="G671" s="88"/>
      <c r="H671" s="89"/>
      <c r="L671" s="88"/>
      <c r="M671" s="89"/>
    </row>
    <row r="672" spans="7:13" x14ac:dyDescent="0.35">
      <c r="G672" s="88"/>
      <c r="H672" s="89"/>
      <c r="L672" s="88"/>
      <c r="M672" s="89"/>
    </row>
    <row r="673" spans="7:13" x14ac:dyDescent="0.35">
      <c r="G673" s="88"/>
      <c r="H673" s="89"/>
      <c r="L673" s="88"/>
      <c r="M673" s="89"/>
    </row>
    <row r="674" spans="7:13" x14ac:dyDescent="0.35">
      <c r="G674" s="88"/>
      <c r="H674" s="89"/>
      <c r="L674" s="88"/>
      <c r="M674" s="89"/>
    </row>
    <row r="675" spans="7:13" x14ac:dyDescent="0.35">
      <c r="G675" s="88"/>
      <c r="H675" s="89"/>
      <c r="L675" s="88"/>
      <c r="M675" s="89"/>
    </row>
    <row r="676" spans="7:13" x14ac:dyDescent="0.35">
      <c r="G676" s="88"/>
      <c r="H676" s="89"/>
      <c r="L676" s="88"/>
      <c r="M676" s="89"/>
    </row>
    <row r="677" spans="7:13" x14ac:dyDescent="0.35">
      <c r="G677" s="88"/>
      <c r="H677" s="89"/>
      <c r="L677" s="88"/>
      <c r="M677" s="89"/>
    </row>
    <row r="678" spans="7:13" x14ac:dyDescent="0.35">
      <c r="G678" s="88"/>
      <c r="H678" s="89"/>
      <c r="L678" s="88"/>
      <c r="M678" s="89"/>
    </row>
    <row r="679" spans="7:13" x14ac:dyDescent="0.35">
      <c r="G679" s="88"/>
      <c r="H679" s="89"/>
      <c r="L679" s="88"/>
      <c r="M679" s="89"/>
    </row>
    <row r="680" spans="7:13" x14ac:dyDescent="0.35">
      <c r="G680" s="88"/>
      <c r="H680" s="89"/>
      <c r="L680" s="88"/>
      <c r="M680" s="89"/>
    </row>
    <row r="681" spans="7:13" x14ac:dyDescent="0.35">
      <c r="G681" s="88"/>
      <c r="H681" s="89"/>
      <c r="L681" s="88"/>
      <c r="M681" s="89"/>
    </row>
    <row r="682" spans="7:13" x14ac:dyDescent="0.35">
      <c r="G682" s="88"/>
      <c r="H682" s="89"/>
      <c r="L682" s="88"/>
      <c r="M682" s="89"/>
    </row>
    <row r="683" spans="7:13" x14ac:dyDescent="0.35">
      <c r="G683" s="88"/>
      <c r="H683" s="89"/>
      <c r="L683" s="88"/>
      <c r="M683" s="89"/>
    </row>
    <row r="684" spans="7:13" x14ac:dyDescent="0.35">
      <c r="G684" s="88"/>
      <c r="H684" s="89"/>
      <c r="L684" s="88"/>
      <c r="M684" s="89"/>
    </row>
    <row r="685" spans="7:13" x14ac:dyDescent="0.35">
      <c r="G685" s="88"/>
      <c r="H685" s="89"/>
      <c r="L685" s="88"/>
      <c r="M685" s="89"/>
    </row>
    <row r="686" spans="7:13" x14ac:dyDescent="0.35">
      <c r="G686" s="88"/>
      <c r="H686" s="89"/>
      <c r="L686" s="88"/>
      <c r="M686" s="89"/>
    </row>
    <row r="687" spans="7:13" x14ac:dyDescent="0.35">
      <c r="G687" s="88"/>
      <c r="H687" s="89"/>
      <c r="L687" s="88"/>
      <c r="M687" s="89"/>
    </row>
    <row r="688" spans="7:13" x14ac:dyDescent="0.35">
      <c r="G688" s="88"/>
      <c r="H688" s="89"/>
      <c r="L688" s="88"/>
      <c r="M688" s="89"/>
    </row>
    <row r="689" spans="7:13" x14ac:dyDescent="0.35">
      <c r="G689" s="88"/>
      <c r="H689" s="89"/>
      <c r="L689" s="88"/>
      <c r="M689" s="89"/>
    </row>
    <row r="690" spans="7:13" x14ac:dyDescent="0.35">
      <c r="G690" s="88"/>
      <c r="H690" s="89"/>
      <c r="L690" s="88"/>
      <c r="M690" s="89"/>
    </row>
    <row r="691" spans="7:13" x14ac:dyDescent="0.35">
      <c r="G691" s="88"/>
      <c r="H691" s="89"/>
      <c r="L691" s="88"/>
      <c r="M691" s="89"/>
    </row>
    <row r="692" spans="7:13" x14ac:dyDescent="0.35">
      <c r="G692" s="88"/>
      <c r="H692" s="89"/>
      <c r="L692" s="88"/>
      <c r="M692" s="89"/>
    </row>
    <row r="693" spans="7:13" x14ac:dyDescent="0.35">
      <c r="G693" s="88"/>
      <c r="H693" s="89"/>
      <c r="L693" s="88"/>
      <c r="M693" s="89"/>
    </row>
    <row r="694" spans="7:13" x14ac:dyDescent="0.35">
      <c r="G694" s="88"/>
      <c r="H694" s="89"/>
      <c r="L694" s="88"/>
      <c r="M694" s="89"/>
    </row>
    <row r="695" spans="7:13" x14ac:dyDescent="0.35">
      <c r="G695" s="88"/>
      <c r="H695" s="89"/>
      <c r="L695" s="88"/>
      <c r="M695" s="89"/>
    </row>
    <row r="696" spans="7:13" x14ac:dyDescent="0.35">
      <c r="G696" s="88"/>
      <c r="H696" s="89"/>
      <c r="L696" s="88"/>
      <c r="M696" s="89"/>
    </row>
    <row r="697" spans="7:13" x14ac:dyDescent="0.35">
      <c r="G697" s="88"/>
      <c r="H697" s="89"/>
      <c r="L697" s="88"/>
      <c r="M697" s="89"/>
    </row>
    <row r="698" spans="7:13" x14ac:dyDescent="0.35">
      <c r="G698" s="88"/>
      <c r="H698" s="89"/>
      <c r="L698" s="88"/>
      <c r="M698" s="89"/>
    </row>
    <row r="699" spans="7:13" x14ac:dyDescent="0.35">
      <c r="G699" s="88"/>
      <c r="H699" s="89"/>
      <c r="L699" s="88"/>
      <c r="M699" s="89"/>
    </row>
    <row r="700" spans="7:13" x14ac:dyDescent="0.35">
      <c r="G700" s="88"/>
      <c r="H700" s="89"/>
      <c r="L700" s="88"/>
      <c r="M700" s="89"/>
    </row>
    <row r="701" spans="7:13" x14ac:dyDescent="0.35">
      <c r="G701" s="88"/>
      <c r="H701" s="89"/>
      <c r="L701" s="88"/>
      <c r="M701" s="89"/>
    </row>
    <row r="702" spans="7:13" x14ac:dyDescent="0.35">
      <c r="G702" s="88"/>
      <c r="H702" s="89"/>
      <c r="L702" s="88"/>
      <c r="M702" s="89"/>
    </row>
    <row r="703" spans="7:13" x14ac:dyDescent="0.35">
      <c r="G703" s="88"/>
      <c r="H703" s="89"/>
      <c r="L703" s="88"/>
      <c r="M703" s="89"/>
    </row>
    <row r="704" spans="7:13" x14ac:dyDescent="0.35">
      <c r="G704" s="88"/>
      <c r="H704" s="89"/>
      <c r="L704" s="88"/>
      <c r="M704" s="89"/>
    </row>
    <row r="705" spans="7:13" x14ac:dyDescent="0.35">
      <c r="G705" s="88"/>
      <c r="H705" s="89"/>
      <c r="L705" s="88"/>
      <c r="M705" s="89"/>
    </row>
    <row r="706" spans="7:13" x14ac:dyDescent="0.35">
      <c r="G706" s="88"/>
      <c r="H706" s="89"/>
      <c r="L706" s="88"/>
      <c r="M706" s="89"/>
    </row>
    <row r="707" spans="7:13" x14ac:dyDescent="0.35">
      <c r="G707" s="88"/>
      <c r="H707" s="89"/>
      <c r="L707" s="88"/>
      <c r="M707" s="89"/>
    </row>
    <row r="708" spans="7:13" x14ac:dyDescent="0.35">
      <c r="G708" s="88"/>
      <c r="H708" s="89"/>
      <c r="L708" s="88"/>
      <c r="M708" s="89"/>
    </row>
    <row r="709" spans="7:13" x14ac:dyDescent="0.35">
      <c r="G709" s="88"/>
      <c r="H709" s="89"/>
      <c r="L709" s="88"/>
      <c r="M709" s="89"/>
    </row>
    <row r="710" spans="7:13" x14ac:dyDescent="0.35">
      <c r="G710" s="88"/>
      <c r="H710" s="89"/>
      <c r="L710" s="88"/>
      <c r="M710" s="89"/>
    </row>
    <row r="711" spans="7:13" x14ac:dyDescent="0.35">
      <c r="G711" s="88"/>
      <c r="H711" s="89"/>
      <c r="L711" s="88"/>
      <c r="M711" s="89"/>
    </row>
    <row r="712" spans="7:13" x14ac:dyDescent="0.35">
      <c r="G712" s="88"/>
      <c r="H712" s="89"/>
      <c r="L712" s="88"/>
      <c r="M712" s="89"/>
    </row>
    <row r="713" spans="7:13" x14ac:dyDescent="0.35">
      <c r="G713" s="88"/>
      <c r="H713" s="89"/>
      <c r="L713" s="88"/>
      <c r="M713" s="89"/>
    </row>
    <row r="714" spans="7:13" x14ac:dyDescent="0.35">
      <c r="G714" s="88"/>
      <c r="H714" s="89"/>
      <c r="L714" s="88"/>
      <c r="M714" s="89"/>
    </row>
    <row r="715" spans="7:13" x14ac:dyDescent="0.35">
      <c r="G715" s="88"/>
      <c r="H715" s="89"/>
      <c r="L715" s="88"/>
      <c r="M715" s="89"/>
    </row>
    <row r="716" spans="7:13" x14ac:dyDescent="0.35">
      <c r="G716" s="88"/>
      <c r="H716" s="89"/>
      <c r="L716" s="88"/>
      <c r="M716" s="89"/>
    </row>
    <row r="717" spans="7:13" x14ac:dyDescent="0.35">
      <c r="G717" s="88"/>
      <c r="H717" s="89"/>
      <c r="L717" s="88"/>
      <c r="M717" s="89"/>
    </row>
    <row r="718" spans="7:13" x14ac:dyDescent="0.35">
      <c r="G718" s="88"/>
      <c r="H718" s="89"/>
      <c r="L718" s="88"/>
      <c r="M718" s="89"/>
    </row>
    <row r="719" spans="7:13" x14ac:dyDescent="0.35">
      <c r="G719" s="88"/>
      <c r="H719" s="89"/>
      <c r="L719" s="88"/>
      <c r="M719" s="89"/>
    </row>
    <row r="720" spans="7:13" x14ac:dyDescent="0.35">
      <c r="G720" s="88"/>
      <c r="H720" s="89"/>
      <c r="L720" s="88"/>
      <c r="M720" s="89"/>
    </row>
    <row r="721" spans="7:13" x14ac:dyDescent="0.35">
      <c r="G721" s="88"/>
      <c r="H721" s="89"/>
      <c r="L721" s="88"/>
      <c r="M721" s="89"/>
    </row>
    <row r="722" spans="7:13" x14ac:dyDescent="0.35">
      <c r="G722" s="88"/>
      <c r="H722" s="89"/>
      <c r="L722" s="88"/>
      <c r="M722" s="89"/>
    </row>
    <row r="723" spans="7:13" x14ac:dyDescent="0.35">
      <c r="G723" s="88"/>
      <c r="H723" s="89"/>
      <c r="L723" s="88"/>
      <c r="M723" s="89"/>
    </row>
    <row r="724" spans="7:13" x14ac:dyDescent="0.35">
      <c r="G724" s="88"/>
      <c r="H724" s="89"/>
      <c r="L724" s="88"/>
      <c r="M724" s="89"/>
    </row>
    <row r="725" spans="7:13" x14ac:dyDescent="0.35">
      <c r="G725" s="88"/>
      <c r="H725" s="89"/>
      <c r="L725" s="88"/>
      <c r="M725" s="89"/>
    </row>
    <row r="726" spans="7:13" x14ac:dyDescent="0.35">
      <c r="G726" s="88"/>
      <c r="H726" s="89"/>
      <c r="L726" s="88"/>
      <c r="M726" s="89"/>
    </row>
    <row r="727" spans="7:13" x14ac:dyDescent="0.35">
      <c r="G727" s="88"/>
      <c r="H727" s="89"/>
      <c r="L727" s="88"/>
      <c r="M727" s="89"/>
    </row>
    <row r="728" spans="7:13" x14ac:dyDescent="0.35">
      <c r="G728" s="88"/>
      <c r="H728" s="89"/>
      <c r="L728" s="88"/>
      <c r="M728" s="89"/>
    </row>
    <row r="729" spans="7:13" x14ac:dyDescent="0.35">
      <c r="G729" s="88"/>
      <c r="H729" s="89"/>
      <c r="L729" s="88"/>
      <c r="M729" s="89"/>
    </row>
    <row r="730" spans="7:13" x14ac:dyDescent="0.35">
      <c r="G730" s="88"/>
      <c r="H730" s="89"/>
      <c r="L730" s="88"/>
      <c r="M730" s="89"/>
    </row>
    <row r="731" spans="7:13" x14ac:dyDescent="0.35">
      <c r="G731" s="88"/>
      <c r="H731" s="89"/>
      <c r="L731" s="88"/>
      <c r="M731" s="89"/>
    </row>
    <row r="732" spans="7:13" x14ac:dyDescent="0.35">
      <c r="G732" s="88"/>
      <c r="H732" s="89"/>
      <c r="L732" s="88"/>
      <c r="M732" s="89"/>
    </row>
    <row r="733" spans="7:13" x14ac:dyDescent="0.35">
      <c r="G733" s="88"/>
      <c r="H733" s="89"/>
      <c r="L733" s="88"/>
      <c r="M733" s="89"/>
    </row>
    <row r="734" spans="7:13" x14ac:dyDescent="0.35">
      <c r="G734" s="88"/>
      <c r="H734" s="89"/>
      <c r="L734" s="88"/>
      <c r="M734" s="89"/>
    </row>
    <row r="735" spans="7:13" x14ac:dyDescent="0.35">
      <c r="G735" s="88"/>
      <c r="H735" s="89"/>
      <c r="L735" s="88"/>
      <c r="M735" s="89"/>
    </row>
    <row r="736" spans="7:13" x14ac:dyDescent="0.35">
      <c r="G736" s="88"/>
      <c r="H736" s="89"/>
      <c r="L736" s="88"/>
      <c r="M736" s="89"/>
    </row>
    <row r="737" spans="7:13" x14ac:dyDescent="0.35">
      <c r="G737" s="88"/>
      <c r="H737" s="89"/>
      <c r="L737" s="88"/>
      <c r="M737" s="89"/>
    </row>
    <row r="738" spans="7:13" x14ac:dyDescent="0.35">
      <c r="G738" s="88"/>
      <c r="H738" s="89"/>
      <c r="L738" s="88"/>
      <c r="M738" s="89"/>
    </row>
    <row r="739" spans="7:13" x14ac:dyDescent="0.35">
      <c r="G739" s="88"/>
      <c r="H739" s="89"/>
      <c r="L739" s="88"/>
      <c r="M739" s="89"/>
    </row>
    <row r="740" spans="7:13" x14ac:dyDescent="0.35">
      <c r="G740" s="88"/>
      <c r="H740" s="89"/>
      <c r="L740" s="88"/>
      <c r="M740" s="89"/>
    </row>
    <row r="741" spans="7:13" x14ac:dyDescent="0.35">
      <c r="G741" s="88"/>
      <c r="H741" s="89"/>
      <c r="L741" s="88"/>
      <c r="M741" s="89"/>
    </row>
    <row r="742" spans="7:13" x14ac:dyDescent="0.35">
      <c r="G742" s="88"/>
      <c r="H742" s="89"/>
      <c r="L742" s="88"/>
      <c r="M742" s="89"/>
    </row>
    <row r="743" spans="7:13" x14ac:dyDescent="0.35">
      <c r="G743" s="88"/>
      <c r="H743" s="89"/>
      <c r="L743" s="88"/>
      <c r="M743" s="89"/>
    </row>
    <row r="744" spans="7:13" x14ac:dyDescent="0.35">
      <c r="G744" s="88"/>
      <c r="H744" s="89"/>
      <c r="L744" s="88"/>
      <c r="M744" s="89"/>
    </row>
    <row r="745" spans="7:13" x14ac:dyDescent="0.35">
      <c r="G745" s="88"/>
      <c r="H745" s="89"/>
      <c r="L745" s="88"/>
      <c r="M745" s="89"/>
    </row>
    <row r="746" spans="7:13" x14ac:dyDescent="0.35">
      <c r="G746" s="88"/>
      <c r="H746" s="89"/>
      <c r="L746" s="88"/>
      <c r="M746" s="89"/>
    </row>
    <row r="747" spans="7:13" x14ac:dyDescent="0.35">
      <c r="G747" s="88"/>
      <c r="H747" s="89"/>
      <c r="L747" s="88"/>
      <c r="M747" s="89"/>
    </row>
    <row r="748" spans="7:13" x14ac:dyDescent="0.35">
      <c r="G748" s="88"/>
      <c r="H748" s="89"/>
      <c r="L748" s="88"/>
      <c r="M748" s="89"/>
    </row>
    <row r="749" spans="7:13" x14ac:dyDescent="0.35">
      <c r="G749" s="88"/>
      <c r="H749" s="89"/>
      <c r="L749" s="88"/>
      <c r="M749" s="89"/>
    </row>
    <row r="750" spans="7:13" x14ac:dyDescent="0.35">
      <c r="G750" s="88"/>
      <c r="H750" s="89"/>
      <c r="L750" s="88"/>
      <c r="M750" s="89"/>
    </row>
    <row r="751" spans="7:13" x14ac:dyDescent="0.35">
      <c r="G751" s="88"/>
      <c r="H751" s="89"/>
      <c r="L751" s="88"/>
      <c r="M751" s="89"/>
    </row>
    <row r="752" spans="7:13" x14ac:dyDescent="0.35">
      <c r="G752" s="88"/>
      <c r="H752" s="89"/>
      <c r="L752" s="88"/>
      <c r="M752" s="89"/>
    </row>
    <row r="753" spans="7:13" x14ac:dyDescent="0.35">
      <c r="G753" s="88"/>
      <c r="H753" s="89"/>
      <c r="L753" s="88"/>
      <c r="M753" s="89"/>
    </row>
    <row r="754" spans="7:13" x14ac:dyDescent="0.35">
      <c r="G754" s="88"/>
      <c r="H754" s="89"/>
      <c r="L754" s="88"/>
      <c r="M754" s="89"/>
    </row>
    <row r="755" spans="7:13" x14ac:dyDescent="0.35">
      <c r="G755" s="88"/>
      <c r="H755" s="89"/>
      <c r="L755" s="88"/>
      <c r="M755" s="89"/>
    </row>
    <row r="756" spans="7:13" x14ac:dyDescent="0.35">
      <c r="G756" s="88"/>
      <c r="H756" s="89"/>
      <c r="L756" s="88"/>
      <c r="M756" s="89"/>
    </row>
    <row r="757" spans="7:13" x14ac:dyDescent="0.35">
      <c r="G757" s="88"/>
      <c r="H757" s="89"/>
      <c r="L757" s="88"/>
      <c r="M757" s="89"/>
    </row>
    <row r="758" spans="7:13" x14ac:dyDescent="0.35">
      <c r="G758" s="88"/>
      <c r="H758" s="89"/>
      <c r="L758" s="88"/>
      <c r="M758" s="89"/>
    </row>
    <row r="759" spans="7:13" x14ac:dyDescent="0.35">
      <c r="G759" s="88"/>
      <c r="H759" s="89"/>
      <c r="L759" s="88"/>
      <c r="M759" s="89"/>
    </row>
    <row r="760" spans="7:13" x14ac:dyDescent="0.35">
      <c r="G760" s="88"/>
      <c r="H760" s="89"/>
      <c r="L760" s="88"/>
      <c r="M760" s="89"/>
    </row>
    <row r="761" spans="7:13" x14ac:dyDescent="0.35">
      <c r="G761" s="88"/>
      <c r="H761" s="89"/>
      <c r="L761" s="88"/>
      <c r="M761" s="89"/>
    </row>
    <row r="762" spans="7:13" x14ac:dyDescent="0.35">
      <c r="G762" s="88"/>
      <c r="H762" s="89"/>
      <c r="L762" s="88"/>
      <c r="M762" s="89"/>
    </row>
    <row r="763" spans="7:13" x14ac:dyDescent="0.35">
      <c r="G763" s="88"/>
      <c r="H763" s="89"/>
      <c r="L763" s="88"/>
      <c r="M763" s="89"/>
    </row>
    <row r="764" spans="7:13" x14ac:dyDescent="0.35">
      <c r="G764" s="88"/>
      <c r="H764" s="89"/>
      <c r="L764" s="88"/>
      <c r="M764" s="89"/>
    </row>
    <row r="765" spans="7:13" x14ac:dyDescent="0.35">
      <c r="G765" s="88"/>
      <c r="H765" s="89"/>
      <c r="L765" s="88"/>
      <c r="M765" s="89"/>
    </row>
    <row r="766" spans="7:13" x14ac:dyDescent="0.35">
      <c r="G766" s="88"/>
      <c r="H766" s="89"/>
      <c r="L766" s="88"/>
      <c r="M766" s="89"/>
    </row>
    <row r="767" spans="7:13" x14ac:dyDescent="0.35">
      <c r="G767" s="88"/>
      <c r="H767" s="89"/>
      <c r="L767" s="88"/>
      <c r="M767" s="89"/>
    </row>
    <row r="768" spans="7:13" x14ac:dyDescent="0.35">
      <c r="G768" s="88"/>
      <c r="H768" s="89"/>
      <c r="L768" s="88"/>
      <c r="M768" s="89"/>
    </row>
    <row r="769" spans="7:13" x14ac:dyDescent="0.35">
      <c r="G769" s="88"/>
      <c r="H769" s="89"/>
      <c r="L769" s="88"/>
      <c r="M769" s="89"/>
    </row>
    <row r="770" spans="7:13" x14ac:dyDescent="0.35">
      <c r="G770" s="88"/>
      <c r="H770" s="89"/>
      <c r="L770" s="88"/>
      <c r="M770" s="89"/>
    </row>
    <row r="771" spans="7:13" x14ac:dyDescent="0.35">
      <c r="G771" s="88"/>
      <c r="H771" s="89"/>
      <c r="L771" s="88"/>
      <c r="M771" s="89"/>
    </row>
    <row r="772" spans="7:13" x14ac:dyDescent="0.35">
      <c r="G772" s="88"/>
      <c r="H772" s="89"/>
      <c r="L772" s="88"/>
      <c r="M772" s="89"/>
    </row>
    <row r="773" spans="7:13" x14ac:dyDescent="0.35">
      <c r="G773" s="88"/>
      <c r="H773" s="89"/>
      <c r="L773" s="88"/>
      <c r="M773" s="89"/>
    </row>
    <row r="774" spans="7:13" x14ac:dyDescent="0.35">
      <c r="G774" s="88"/>
      <c r="H774" s="89"/>
      <c r="L774" s="88"/>
      <c r="M774" s="89"/>
    </row>
    <row r="775" spans="7:13" x14ac:dyDescent="0.35">
      <c r="G775" s="88"/>
      <c r="H775" s="89"/>
      <c r="L775" s="88"/>
      <c r="M775" s="89"/>
    </row>
    <row r="776" spans="7:13" x14ac:dyDescent="0.35">
      <c r="G776" s="88"/>
      <c r="H776" s="89"/>
      <c r="L776" s="88"/>
      <c r="M776" s="89"/>
    </row>
    <row r="777" spans="7:13" x14ac:dyDescent="0.35">
      <c r="G777" s="88"/>
      <c r="H777" s="89"/>
      <c r="L777" s="88"/>
      <c r="M777" s="89"/>
    </row>
    <row r="778" spans="7:13" x14ac:dyDescent="0.35">
      <c r="G778" s="88"/>
      <c r="H778" s="89"/>
      <c r="L778" s="88"/>
      <c r="M778" s="89"/>
    </row>
    <row r="779" spans="7:13" x14ac:dyDescent="0.35">
      <c r="G779" s="88"/>
      <c r="H779" s="89"/>
      <c r="L779" s="88"/>
      <c r="M779" s="89"/>
    </row>
    <row r="780" spans="7:13" x14ac:dyDescent="0.35">
      <c r="G780" s="88"/>
      <c r="H780" s="89"/>
      <c r="L780" s="88"/>
      <c r="M780" s="89"/>
    </row>
    <row r="781" spans="7:13" x14ac:dyDescent="0.35">
      <c r="G781" s="88"/>
      <c r="H781" s="89"/>
      <c r="L781" s="88"/>
      <c r="M781" s="89"/>
    </row>
    <row r="782" spans="7:13" x14ac:dyDescent="0.35">
      <c r="G782" s="88"/>
      <c r="H782" s="89"/>
      <c r="L782" s="88"/>
      <c r="M782" s="89"/>
    </row>
    <row r="783" spans="7:13" x14ac:dyDescent="0.35">
      <c r="G783" s="88"/>
      <c r="H783" s="89"/>
      <c r="L783" s="88"/>
      <c r="M783" s="89"/>
    </row>
    <row r="784" spans="7:13" x14ac:dyDescent="0.35">
      <c r="G784" s="88"/>
      <c r="H784" s="89"/>
      <c r="L784" s="88"/>
      <c r="M784" s="89"/>
    </row>
    <row r="785" spans="7:13" x14ac:dyDescent="0.35">
      <c r="G785" s="88"/>
      <c r="H785" s="89"/>
      <c r="L785" s="88"/>
      <c r="M785" s="89"/>
    </row>
    <row r="786" spans="7:13" x14ac:dyDescent="0.35">
      <c r="G786" s="88"/>
      <c r="H786" s="89"/>
      <c r="L786" s="88"/>
      <c r="M786" s="89"/>
    </row>
    <row r="787" spans="7:13" x14ac:dyDescent="0.35">
      <c r="G787" s="88"/>
      <c r="H787" s="89"/>
      <c r="L787" s="88"/>
      <c r="M787" s="89"/>
    </row>
    <row r="788" spans="7:13" x14ac:dyDescent="0.35">
      <c r="G788" s="88"/>
      <c r="H788" s="89"/>
      <c r="L788" s="88"/>
      <c r="M788" s="89"/>
    </row>
    <row r="789" spans="7:13" x14ac:dyDescent="0.35">
      <c r="G789" s="88"/>
      <c r="H789" s="89"/>
      <c r="L789" s="88"/>
      <c r="M789" s="89"/>
    </row>
    <row r="790" spans="7:13" x14ac:dyDescent="0.35">
      <c r="G790" s="88"/>
      <c r="H790" s="89"/>
      <c r="L790" s="88"/>
      <c r="M790" s="89"/>
    </row>
    <row r="791" spans="7:13" x14ac:dyDescent="0.35">
      <c r="G791" s="88"/>
      <c r="H791" s="89"/>
      <c r="L791" s="88"/>
      <c r="M791" s="89"/>
    </row>
    <row r="792" spans="7:13" x14ac:dyDescent="0.35">
      <c r="G792" s="88"/>
      <c r="H792" s="89"/>
      <c r="L792" s="88"/>
      <c r="M792" s="89"/>
    </row>
    <row r="793" spans="7:13" x14ac:dyDescent="0.35">
      <c r="G793" s="88"/>
      <c r="H793" s="89"/>
      <c r="L793" s="88"/>
      <c r="M793" s="89"/>
    </row>
    <row r="794" spans="7:13" x14ac:dyDescent="0.35">
      <c r="G794" s="88"/>
      <c r="H794" s="89"/>
      <c r="L794" s="88"/>
      <c r="M794" s="89"/>
    </row>
    <row r="795" spans="7:13" x14ac:dyDescent="0.35">
      <c r="G795" s="88"/>
      <c r="H795" s="89"/>
      <c r="L795" s="88"/>
      <c r="M795" s="89"/>
    </row>
    <row r="796" spans="7:13" x14ac:dyDescent="0.35">
      <c r="G796" s="88"/>
      <c r="H796" s="89"/>
      <c r="L796" s="88"/>
      <c r="M796" s="89"/>
    </row>
    <row r="797" spans="7:13" x14ac:dyDescent="0.35">
      <c r="G797" s="88"/>
      <c r="H797" s="89"/>
      <c r="L797" s="88"/>
      <c r="M797" s="89"/>
    </row>
    <row r="798" spans="7:13" x14ac:dyDescent="0.35">
      <c r="G798" s="88"/>
      <c r="H798" s="89"/>
      <c r="L798" s="88"/>
      <c r="M798" s="89"/>
    </row>
    <row r="799" spans="7:13" x14ac:dyDescent="0.35">
      <c r="G799" s="88"/>
      <c r="H799" s="89"/>
      <c r="L799" s="88"/>
      <c r="M799" s="89"/>
    </row>
    <row r="800" spans="7:13" x14ac:dyDescent="0.35">
      <c r="G800" s="88"/>
      <c r="H800" s="89"/>
      <c r="L800" s="88"/>
      <c r="M800" s="89"/>
    </row>
    <row r="801" spans="7:13" x14ac:dyDescent="0.35">
      <c r="G801" s="88"/>
      <c r="H801" s="89"/>
      <c r="L801" s="88"/>
      <c r="M801" s="89"/>
    </row>
    <row r="802" spans="7:13" x14ac:dyDescent="0.35">
      <c r="G802" s="88"/>
      <c r="H802" s="89"/>
      <c r="L802" s="88"/>
      <c r="M802" s="89"/>
    </row>
    <row r="803" spans="7:13" x14ac:dyDescent="0.35">
      <c r="G803" s="88"/>
      <c r="H803" s="89"/>
      <c r="L803" s="88"/>
      <c r="M803" s="89"/>
    </row>
    <row r="804" spans="7:13" x14ac:dyDescent="0.35">
      <c r="G804" s="88"/>
      <c r="H804" s="89"/>
      <c r="L804" s="88"/>
      <c r="M804" s="89"/>
    </row>
    <row r="805" spans="7:13" x14ac:dyDescent="0.35">
      <c r="G805" s="88"/>
      <c r="H805" s="89"/>
      <c r="L805" s="88"/>
      <c r="M805" s="89"/>
    </row>
    <row r="806" spans="7:13" x14ac:dyDescent="0.35">
      <c r="G806" s="88"/>
      <c r="H806" s="89"/>
      <c r="L806" s="88"/>
      <c r="M806" s="89"/>
    </row>
    <row r="807" spans="7:13" x14ac:dyDescent="0.35">
      <c r="G807" s="88"/>
      <c r="H807" s="89"/>
      <c r="L807" s="88"/>
      <c r="M807" s="89"/>
    </row>
    <row r="808" spans="7:13" x14ac:dyDescent="0.35">
      <c r="G808" s="88"/>
      <c r="H808" s="89"/>
      <c r="L808" s="88"/>
      <c r="M808" s="89"/>
    </row>
    <row r="809" spans="7:13" x14ac:dyDescent="0.35">
      <c r="G809" s="88"/>
      <c r="H809" s="89"/>
      <c r="L809" s="88"/>
      <c r="M809" s="89"/>
    </row>
    <row r="810" spans="7:13" x14ac:dyDescent="0.35">
      <c r="G810" s="88"/>
      <c r="H810" s="89"/>
      <c r="L810" s="88"/>
      <c r="M810" s="89"/>
    </row>
    <row r="811" spans="7:13" x14ac:dyDescent="0.35">
      <c r="G811" s="88"/>
      <c r="H811" s="89"/>
      <c r="L811" s="88"/>
      <c r="M811" s="89"/>
    </row>
    <row r="812" spans="7:13" x14ac:dyDescent="0.35">
      <c r="G812" s="88"/>
      <c r="H812" s="89"/>
      <c r="L812" s="88"/>
      <c r="M812" s="89"/>
    </row>
    <row r="813" spans="7:13" x14ac:dyDescent="0.35">
      <c r="G813" s="88"/>
      <c r="H813" s="89"/>
      <c r="L813" s="88"/>
      <c r="M813" s="89"/>
    </row>
    <row r="814" spans="7:13" x14ac:dyDescent="0.35">
      <c r="G814" s="88"/>
      <c r="H814" s="89"/>
      <c r="L814" s="88"/>
      <c r="M814" s="89"/>
    </row>
    <row r="815" spans="7:13" x14ac:dyDescent="0.35">
      <c r="G815" s="88"/>
      <c r="H815" s="89"/>
      <c r="L815" s="88"/>
      <c r="M815" s="89"/>
    </row>
    <row r="816" spans="7:13" x14ac:dyDescent="0.35">
      <c r="G816" s="88"/>
      <c r="H816" s="89"/>
      <c r="L816" s="88"/>
      <c r="M816" s="89"/>
    </row>
    <row r="817" spans="7:13" x14ac:dyDescent="0.35">
      <c r="G817" s="88"/>
      <c r="H817" s="89"/>
      <c r="L817" s="88"/>
      <c r="M817" s="89"/>
    </row>
    <row r="818" spans="7:13" x14ac:dyDescent="0.35">
      <c r="G818" s="88"/>
      <c r="H818" s="89"/>
      <c r="L818" s="88"/>
      <c r="M818" s="89"/>
    </row>
    <row r="819" spans="7:13" x14ac:dyDescent="0.35">
      <c r="G819" s="88"/>
      <c r="H819" s="89"/>
      <c r="L819" s="88"/>
      <c r="M819" s="89"/>
    </row>
    <row r="820" spans="7:13" x14ac:dyDescent="0.35">
      <c r="G820" s="88"/>
      <c r="H820" s="89"/>
      <c r="L820" s="88"/>
      <c r="M820" s="89"/>
    </row>
    <row r="821" spans="7:13" x14ac:dyDescent="0.35">
      <c r="G821" s="88"/>
      <c r="H821" s="89"/>
      <c r="L821" s="88"/>
      <c r="M821" s="89"/>
    </row>
    <row r="822" spans="7:13" x14ac:dyDescent="0.35">
      <c r="G822" s="88"/>
      <c r="H822" s="89"/>
      <c r="L822" s="88"/>
      <c r="M822" s="89"/>
    </row>
    <row r="823" spans="7:13" x14ac:dyDescent="0.35">
      <c r="G823" s="88"/>
      <c r="H823" s="89"/>
      <c r="L823" s="88"/>
      <c r="M823" s="89"/>
    </row>
    <row r="824" spans="7:13" x14ac:dyDescent="0.35">
      <c r="G824" s="88"/>
      <c r="H824" s="89"/>
      <c r="L824" s="88"/>
      <c r="M824" s="89"/>
    </row>
    <row r="825" spans="7:13" x14ac:dyDescent="0.35">
      <c r="G825" s="88"/>
      <c r="H825" s="89"/>
      <c r="L825" s="88"/>
      <c r="M825" s="89"/>
    </row>
    <row r="826" spans="7:13" x14ac:dyDescent="0.35">
      <c r="G826" s="88"/>
      <c r="H826" s="89"/>
      <c r="L826" s="88"/>
      <c r="M826" s="89"/>
    </row>
    <row r="827" spans="7:13" x14ac:dyDescent="0.35">
      <c r="G827" s="88"/>
      <c r="H827" s="89"/>
      <c r="L827" s="88"/>
      <c r="M827" s="89"/>
    </row>
    <row r="828" spans="7:13" x14ac:dyDescent="0.35">
      <c r="G828" s="88"/>
      <c r="H828" s="89"/>
      <c r="L828" s="88"/>
      <c r="M828" s="89"/>
    </row>
    <row r="829" spans="7:13" x14ac:dyDescent="0.35">
      <c r="G829" s="88"/>
      <c r="H829" s="89"/>
      <c r="L829" s="88"/>
      <c r="M829" s="89"/>
    </row>
    <row r="830" spans="7:13" x14ac:dyDescent="0.35">
      <c r="G830" s="88"/>
      <c r="H830" s="89"/>
      <c r="L830" s="88"/>
      <c r="M830" s="89"/>
    </row>
    <row r="831" spans="7:13" x14ac:dyDescent="0.35">
      <c r="G831" s="88"/>
      <c r="H831" s="89"/>
      <c r="L831" s="88"/>
      <c r="M831" s="89"/>
    </row>
    <row r="832" spans="7:13" x14ac:dyDescent="0.35">
      <c r="G832" s="88"/>
      <c r="H832" s="89"/>
      <c r="L832" s="88"/>
      <c r="M832" s="89"/>
    </row>
    <row r="833" spans="7:13" x14ac:dyDescent="0.35">
      <c r="G833" s="88"/>
      <c r="H833" s="89"/>
      <c r="L833" s="88"/>
      <c r="M833" s="89"/>
    </row>
    <row r="834" spans="7:13" x14ac:dyDescent="0.35">
      <c r="G834" s="88"/>
      <c r="H834" s="89"/>
      <c r="L834" s="88"/>
      <c r="M834" s="89"/>
    </row>
    <row r="835" spans="7:13" x14ac:dyDescent="0.35">
      <c r="G835" s="88"/>
      <c r="H835" s="89"/>
      <c r="L835" s="88"/>
      <c r="M835" s="89"/>
    </row>
    <row r="836" spans="7:13" x14ac:dyDescent="0.35">
      <c r="G836" s="88"/>
      <c r="H836" s="89"/>
      <c r="L836" s="88"/>
      <c r="M836" s="89"/>
    </row>
    <row r="837" spans="7:13" x14ac:dyDescent="0.35">
      <c r="G837" s="88"/>
      <c r="H837" s="89"/>
      <c r="L837" s="88"/>
      <c r="M837" s="89"/>
    </row>
    <row r="838" spans="7:13" x14ac:dyDescent="0.35">
      <c r="G838" s="88"/>
      <c r="H838" s="89"/>
      <c r="L838" s="88"/>
      <c r="M838" s="89"/>
    </row>
    <row r="839" spans="7:13" x14ac:dyDescent="0.35">
      <c r="G839" s="88"/>
      <c r="H839" s="89"/>
      <c r="L839" s="88"/>
      <c r="M839" s="89"/>
    </row>
    <row r="840" spans="7:13" x14ac:dyDescent="0.35">
      <c r="G840" s="88"/>
      <c r="H840" s="89"/>
      <c r="L840" s="88"/>
      <c r="M840" s="89"/>
    </row>
    <row r="841" spans="7:13" x14ac:dyDescent="0.35">
      <c r="G841" s="88"/>
      <c r="H841" s="89"/>
      <c r="L841" s="88"/>
      <c r="M841" s="89"/>
    </row>
    <row r="842" spans="7:13" x14ac:dyDescent="0.35">
      <c r="G842" s="88"/>
      <c r="H842" s="89"/>
      <c r="L842" s="88"/>
      <c r="M842" s="89"/>
    </row>
    <row r="843" spans="7:13" x14ac:dyDescent="0.35">
      <c r="G843" s="88"/>
      <c r="H843" s="89"/>
      <c r="L843" s="88"/>
      <c r="M843" s="89"/>
    </row>
    <row r="844" spans="7:13" x14ac:dyDescent="0.35">
      <c r="G844" s="88"/>
      <c r="H844" s="89"/>
      <c r="L844" s="88"/>
      <c r="M844" s="89"/>
    </row>
    <row r="845" spans="7:13" x14ac:dyDescent="0.35">
      <c r="G845" s="88"/>
      <c r="H845" s="89"/>
      <c r="L845" s="88"/>
      <c r="M845" s="89"/>
    </row>
    <row r="846" spans="7:13" x14ac:dyDescent="0.35">
      <c r="G846" s="88"/>
      <c r="H846" s="89"/>
      <c r="L846" s="88"/>
      <c r="M846" s="89"/>
    </row>
    <row r="847" spans="7:13" x14ac:dyDescent="0.35">
      <c r="G847" s="88"/>
      <c r="H847" s="89"/>
      <c r="L847" s="88"/>
      <c r="M847" s="89"/>
    </row>
    <row r="848" spans="7:13" x14ac:dyDescent="0.35">
      <c r="G848" s="88"/>
      <c r="H848" s="89"/>
      <c r="L848" s="88"/>
      <c r="M848" s="89"/>
    </row>
    <row r="849" spans="7:13" x14ac:dyDescent="0.35">
      <c r="G849" s="88"/>
      <c r="H849" s="89"/>
      <c r="L849" s="88"/>
      <c r="M849" s="89"/>
    </row>
    <row r="850" spans="7:13" x14ac:dyDescent="0.35">
      <c r="G850" s="88"/>
      <c r="H850" s="89"/>
      <c r="L850" s="88"/>
      <c r="M850" s="89"/>
    </row>
    <row r="851" spans="7:13" x14ac:dyDescent="0.35">
      <c r="G851" s="88"/>
      <c r="H851" s="89"/>
      <c r="L851" s="88"/>
      <c r="M851" s="89"/>
    </row>
    <row r="852" spans="7:13" x14ac:dyDescent="0.35">
      <c r="G852" s="88"/>
      <c r="H852" s="89"/>
      <c r="L852" s="88"/>
      <c r="M852" s="89"/>
    </row>
    <row r="853" spans="7:13" x14ac:dyDescent="0.35">
      <c r="G853" s="88"/>
      <c r="H853" s="89"/>
      <c r="L853" s="88"/>
      <c r="M853" s="89"/>
    </row>
    <row r="854" spans="7:13" x14ac:dyDescent="0.35">
      <c r="G854" s="88"/>
      <c r="H854" s="89"/>
      <c r="L854" s="88"/>
      <c r="M854" s="89"/>
    </row>
    <row r="855" spans="7:13" x14ac:dyDescent="0.35">
      <c r="G855" s="88"/>
      <c r="H855" s="89"/>
      <c r="L855" s="88"/>
      <c r="M855" s="89"/>
    </row>
    <row r="856" spans="7:13" x14ac:dyDescent="0.35">
      <c r="G856" s="88"/>
      <c r="H856" s="89"/>
      <c r="L856" s="88"/>
      <c r="M856" s="89"/>
    </row>
    <row r="857" spans="7:13" x14ac:dyDescent="0.35">
      <c r="G857" s="88"/>
      <c r="H857" s="89"/>
      <c r="L857" s="88"/>
      <c r="M857" s="89"/>
    </row>
    <row r="858" spans="7:13" x14ac:dyDescent="0.35">
      <c r="G858" s="88"/>
      <c r="H858" s="89"/>
      <c r="L858" s="88"/>
      <c r="M858" s="89"/>
    </row>
    <row r="859" spans="7:13" x14ac:dyDescent="0.35">
      <c r="G859" s="88"/>
      <c r="H859" s="89"/>
      <c r="L859" s="88"/>
      <c r="M859" s="89"/>
    </row>
    <row r="860" spans="7:13" x14ac:dyDescent="0.35">
      <c r="G860" s="88"/>
      <c r="H860" s="89"/>
      <c r="L860" s="88"/>
      <c r="M860" s="89"/>
    </row>
    <row r="861" spans="7:13" x14ac:dyDescent="0.35">
      <c r="G861" s="88"/>
      <c r="H861" s="89"/>
      <c r="L861" s="88"/>
      <c r="M861" s="89"/>
    </row>
    <row r="862" spans="7:13" x14ac:dyDescent="0.35">
      <c r="G862" s="88"/>
      <c r="H862" s="89"/>
      <c r="L862" s="88"/>
      <c r="M862" s="89"/>
    </row>
    <row r="863" spans="7:13" x14ac:dyDescent="0.35">
      <c r="G863" s="88"/>
      <c r="H863" s="89"/>
      <c r="L863" s="88"/>
      <c r="M863" s="89"/>
    </row>
    <row r="864" spans="7:13" x14ac:dyDescent="0.35">
      <c r="G864" s="88"/>
      <c r="H864" s="89"/>
      <c r="L864" s="88"/>
      <c r="M864" s="89"/>
    </row>
    <row r="865" spans="7:13" x14ac:dyDescent="0.35">
      <c r="G865" s="88"/>
      <c r="H865" s="89"/>
      <c r="L865" s="88"/>
      <c r="M865" s="89"/>
    </row>
    <row r="866" spans="7:13" x14ac:dyDescent="0.35">
      <c r="G866" s="88"/>
      <c r="H866" s="89"/>
      <c r="L866" s="88"/>
      <c r="M866" s="89"/>
    </row>
    <row r="867" spans="7:13" x14ac:dyDescent="0.35">
      <c r="G867" s="88"/>
      <c r="H867" s="89"/>
      <c r="L867" s="88"/>
      <c r="M867" s="89"/>
    </row>
    <row r="868" spans="7:13" x14ac:dyDescent="0.35">
      <c r="G868" s="88"/>
      <c r="H868" s="89"/>
      <c r="L868" s="88"/>
      <c r="M868" s="89"/>
    </row>
    <row r="869" spans="7:13" x14ac:dyDescent="0.35">
      <c r="G869" s="88"/>
      <c r="H869" s="89"/>
      <c r="L869" s="88"/>
      <c r="M869" s="89"/>
    </row>
    <row r="870" spans="7:13" x14ac:dyDescent="0.35">
      <c r="G870" s="88"/>
      <c r="H870" s="89"/>
      <c r="L870" s="88"/>
      <c r="M870" s="89"/>
    </row>
    <row r="871" spans="7:13" x14ac:dyDescent="0.35">
      <c r="G871" s="88"/>
      <c r="H871" s="89"/>
      <c r="L871" s="88"/>
      <c r="M871" s="89"/>
    </row>
    <row r="872" spans="7:13" x14ac:dyDescent="0.35">
      <c r="G872" s="88"/>
      <c r="H872" s="89"/>
      <c r="L872" s="88"/>
      <c r="M872" s="89"/>
    </row>
    <row r="873" spans="7:13" x14ac:dyDescent="0.35">
      <c r="G873" s="88"/>
      <c r="H873" s="89"/>
      <c r="L873" s="88"/>
      <c r="M873" s="89"/>
    </row>
    <row r="874" spans="7:13" x14ac:dyDescent="0.35">
      <c r="G874" s="88"/>
      <c r="H874" s="89"/>
      <c r="L874" s="88"/>
      <c r="M874" s="89"/>
    </row>
    <row r="875" spans="7:13" x14ac:dyDescent="0.35">
      <c r="G875" s="88"/>
      <c r="H875" s="89"/>
      <c r="L875" s="88"/>
      <c r="M875" s="89"/>
    </row>
    <row r="876" spans="7:13" x14ac:dyDescent="0.35">
      <c r="G876" s="88"/>
      <c r="H876" s="89"/>
      <c r="L876" s="88"/>
      <c r="M876" s="89"/>
    </row>
    <row r="877" spans="7:13" x14ac:dyDescent="0.35">
      <c r="G877" s="88"/>
      <c r="H877" s="89"/>
      <c r="L877" s="88"/>
      <c r="M877" s="89"/>
    </row>
    <row r="878" spans="7:13" x14ac:dyDescent="0.35">
      <c r="G878" s="88"/>
      <c r="H878" s="89"/>
      <c r="L878" s="88"/>
      <c r="M878" s="89"/>
    </row>
    <row r="879" spans="7:13" x14ac:dyDescent="0.35">
      <c r="G879" s="88"/>
      <c r="H879" s="89"/>
      <c r="L879" s="88"/>
      <c r="M879" s="89"/>
    </row>
    <row r="880" spans="7:13" x14ac:dyDescent="0.35">
      <c r="G880" s="88"/>
      <c r="H880" s="89"/>
      <c r="L880" s="88"/>
      <c r="M880" s="89"/>
    </row>
    <row r="881" spans="7:13" x14ac:dyDescent="0.35">
      <c r="G881" s="88"/>
      <c r="H881" s="89"/>
      <c r="L881" s="88"/>
      <c r="M881" s="89"/>
    </row>
    <row r="882" spans="7:13" x14ac:dyDescent="0.35">
      <c r="G882" s="88"/>
      <c r="H882" s="89"/>
      <c r="L882" s="88"/>
      <c r="M882" s="89"/>
    </row>
    <row r="883" spans="7:13" x14ac:dyDescent="0.35">
      <c r="G883" s="88"/>
      <c r="H883" s="89"/>
      <c r="L883" s="88"/>
      <c r="M883" s="89"/>
    </row>
    <row r="884" spans="7:13" x14ac:dyDescent="0.35">
      <c r="G884" s="88"/>
      <c r="H884" s="89"/>
      <c r="L884" s="88"/>
      <c r="M884" s="89"/>
    </row>
    <row r="885" spans="7:13" x14ac:dyDescent="0.35">
      <c r="G885" s="88"/>
      <c r="H885" s="89"/>
      <c r="L885" s="88"/>
      <c r="M885" s="89"/>
    </row>
    <row r="886" spans="7:13" x14ac:dyDescent="0.35">
      <c r="G886" s="88"/>
      <c r="H886" s="89"/>
      <c r="L886" s="88"/>
      <c r="M886" s="89"/>
    </row>
    <row r="887" spans="7:13" x14ac:dyDescent="0.35">
      <c r="G887" s="88"/>
      <c r="H887" s="89"/>
      <c r="L887" s="88"/>
      <c r="M887" s="89"/>
    </row>
    <row r="888" spans="7:13" x14ac:dyDescent="0.35">
      <c r="G888" s="88"/>
      <c r="H888" s="89"/>
      <c r="L888" s="88"/>
      <c r="M888" s="89"/>
    </row>
    <row r="889" spans="7:13" x14ac:dyDescent="0.35">
      <c r="G889" s="88"/>
      <c r="H889" s="89"/>
      <c r="L889" s="88"/>
      <c r="M889" s="89"/>
    </row>
    <row r="890" spans="7:13" x14ac:dyDescent="0.35">
      <c r="G890" s="88"/>
      <c r="H890" s="89"/>
      <c r="L890" s="88"/>
      <c r="M890" s="89"/>
    </row>
    <row r="891" spans="7:13" x14ac:dyDescent="0.35">
      <c r="G891" s="88"/>
      <c r="H891" s="89"/>
      <c r="L891" s="88"/>
      <c r="M891" s="89"/>
    </row>
    <row r="892" spans="7:13" x14ac:dyDescent="0.35">
      <c r="G892" s="88"/>
      <c r="H892" s="89"/>
      <c r="L892" s="88"/>
      <c r="M892" s="89"/>
    </row>
    <row r="893" spans="7:13" x14ac:dyDescent="0.35">
      <c r="G893" s="88"/>
      <c r="H893" s="89"/>
      <c r="L893" s="88"/>
      <c r="M893" s="89"/>
    </row>
    <row r="894" spans="7:13" x14ac:dyDescent="0.35">
      <c r="G894" s="88"/>
      <c r="H894" s="89"/>
      <c r="L894" s="88"/>
      <c r="M894" s="89"/>
    </row>
    <row r="895" spans="7:13" x14ac:dyDescent="0.35">
      <c r="G895" s="88"/>
      <c r="H895" s="89"/>
      <c r="L895" s="88"/>
      <c r="M895" s="89"/>
    </row>
    <row r="896" spans="7:13" x14ac:dyDescent="0.35">
      <c r="G896" s="88"/>
      <c r="H896" s="89"/>
      <c r="L896" s="88"/>
      <c r="M896" s="89"/>
    </row>
    <row r="897" spans="7:13" x14ac:dyDescent="0.35">
      <c r="G897" s="88"/>
      <c r="H897" s="89"/>
      <c r="L897" s="88"/>
      <c r="M897" s="89"/>
    </row>
    <row r="898" spans="7:13" x14ac:dyDescent="0.35">
      <c r="G898" s="88"/>
      <c r="H898" s="89"/>
      <c r="L898" s="88"/>
      <c r="M898" s="89"/>
    </row>
    <row r="899" spans="7:13" x14ac:dyDescent="0.35">
      <c r="G899" s="88"/>
      <c r="H899" s="89"/>
      <c r="L899" s="88"/>
      <c r="M899" s="89"/>
    </row>
    <row r="900" spans="7:13" x14ac:dyDescent="0.35">
      <c r="G900" s="88"/>
      <c r="H900" s="89"/>
      <c r="L900" s="88"/>
      <c r="M900" s="89"/>
    </row>
    <row r="901" spans="7:13" x14ac:dyDescent="0.35">
      <c r="G901" s="88"/>
      <c r="H901" s="89"/>
      <c r="L901" s="88"/>
      <c r="M901" s="89"/>
    </row>
    <row r="902" spans="7:13" x14ac:dyDescent="0.35">
      <c r="G902" s="88"/>
      <c r="H902" s="89"/>
      <c r="L902" s="88"/>
      <c r="M902" s="89"/>
    </row>
    <row r="903" spans="7:13" x14ac:dyDescent="0.35">
      <c r="G903" s="88"/>
      <c r="H903" s="89"/>
      <c r="L903" s="88"/>
      <c r="M903" s="89"/>
    </row>
    <row r="904" spans="7:13" x14ac:dyDescent="0.35">
      <c r="G904" s="88"/>
      <c r="H904" s="89"/>
      <c r="L904" s="88"/>
      <c r="M904" s="89"/>
    </row>
    <row r="905" spans="7:13" x14ac:dyDescent="0.35">
      <c r="G905" s="88"/>
      <c r="H905" s="89"/>
      <c r="L905" s="88"/>
      <c r="M905" s="89"/>
    </row>
    <row r="906" spans="7:13" x14ac:dyDescent="0.35">
      <c r="G906" s="88"/>
      <c r="H906" s="89"/>
      <c r="L906" s="88"/>
      <c r="M906" s="89"/>
    </row>
    <row r="907" spans="7:13" x14ac:dyDescent="0.35">
      <c r="G907" s="88"/>
      <c r="H907" s="89"/>
      <c r="L907" s="88"/>
      <c r="M907" s="89"/>
    </row>
    <row r="908" spans="7:13" x14ac:dyDescent="0.35">
      <c r="G908" s="88"/>
      <c r="H908" s="89"/>
      <c r="L908" s="88"/>
      <c r="M908" s="89"/>
    </row>
    <row r="909" spans="7:13" x14ac:dyDescent="0.35">
      <c r="G909" s="88"/>
      <c r="H909" s="89"/>
      <c r="L909" s="88"/>
      <c r="M909" s="89"/>
    </row>
    <row r="910" spans="7:13" x14ac:dyDescent="0.35">
      <c r="G910" s="88"/>
      <c r="H910" s="89"/>
      <c r="L910" s="88"/>
      <c r="M910" s="89"/>
    </row>
    <row r="911" spans="7:13" x14ac:dyDescent="0.35">
      <c r="G911" s="88"/>
      <c r="H911" s="89"/>
      <c r="L911" s="88"/>
      <c r="M911" s="89"/>
    </row>
    <row r="912" spans="7:13" x14ac:dyDescent="0.35">
      <c r="G912" s="88"/>
      <c r="H912" s="89"/>
      <c r="L912" s="88"/>
      <c r="M912" s="89"/>
    </row>
    <row r="913" spans="7:13" x14ac:dyDescent="0.35">
      <c r="G913" s="88"/>
      <c r="H913" s="89"/>
      <c r="L913" s="88"/>
      <c r="M913" s="89"/>
    </row>
    <row r="914" spans="7:13" x14ac:dyDescent="0.35">
      <c r="G914" s="88"/>
      <c r="H914" s="89"/>
      <c r="L914" s="88"/>
      <c r="M914" s="89"/>
    </row>
    <row r="915" spans="7:13" x14ac:dyDescent="0.35">
      <c r="G915" s="88"/>
      <c r="H915" s="89"/>
      <c r="L915" s="88"/>
      <c r="M915" s="89"/>
    </row>
    <row r="916" spans="7:13" x14ac:dyDescent="0.35">
      <c r="G916" s="88"/>
      <c r="H916" s="89"/>
      <c r="L916" s="88"/>
      <c r="M916" s="89"/>
    </row>
    <row r="917" spans="7:13" x14ac:dyDescent="0.35">
      <c r="G917" s="88"/>
      <c r="H917" s="89"/>
      <c r="L917" s="88"/>
      <c r="M917" s="89"/>
    </row>
    <row r="918" spans="7:13" x14ac:dyDescent="0.35">
      <c r="G918" s="88"/>
      <c r="H918" s="89"/>
      <c r="L918" s="88"/>
      <c r="M918" s="89"/>
    </row>
    <row r="919" spans="7:13" x14ac:dyDescent="0.35">
      <c r="G919" s="88"/>
      <c r="H919" s="89"/>
      <c r="L919" s="88"/>
      <c r="M919" s="89"/>
    </row>
    <row r="920" spans="7:13" x14ac:dyDescent="0.35">
      <c r="G920" s="88"/>
      <c r="H920" s="89"/>
      <c r="L920" s="88"/>
      <c r="M920" s="89"/>
    </row>
    <row r="921" spans="7:13" x14ac:dyDescent="0.35">
      <c r="G921" s="88"/>
      <c r="H921" s="89"/>
      <c r="L921" s="88"/>
      <c r="M921" s="89"/>
    </row>
    <row r="922" spans="7:13" x14ac:dyDescent="0.35">
      <c r="G922" s="88"/>
      <c r="H922" s="89"/>
      <c r="L922" s="88"/>
      <c r="M922" s="89"/>
    </row>
    <row r="923" spans="7:13" x14ac:dyDescent="0.35">
      <c r="G923" s="88"/>
      <c r="H923" s="89"/>
      <c r="L923" s="88"/>
      <c r="M923" s="89"/>
    </row>
    <row r="924" spans="7:13" x14ac:dyDescent="0.35">
      <c r="G924" s="88"/>
      <c r="H924" s="89"/>
      <c r="L924" s="88"/>
      <c r="M924" s="89"/>
    </row>
    <row r="925" spans="7:13" x14ac:dyDescent="0.35">
      <c r="G925" s="88"/>
      <c r="H925" s="89"/>
      <c r="L925" s="88"/>
      <c r="M925" s="89"/>
    </row>
    <row r="926" spans="7:13" x14ac:dyDescent="0.35">
      <c r="G926" s="88"/>
      <c r="H926" s="89"/>
      <c r="L926" s="88"/>
      <c r="M926" s="89"/>
    </row>
    <row r="927" spans="7:13" x14ac:dyDescent="0.35">
      <c r="G927" s="88"/>
      <c r="H927" s="89"/>
      <c r="L927" s="88"/>
      <c r="M927" s="89"/>
    </row>
    <row r="928" spans="7:13" x14ac:dyDescent="0.35">
      <c r="G928" s="88"/>
      <c r="H928" s="89"/>
      <c r="L928" s="88"/>
      <c r="M928" s="89"/>
    </row>
    <row r="929" spans="7:13" x14ac:dyDescent="0.35">
      <c r="G929" s="88"/>
      <c r="H929" s="89"/>
      <c r="L929" s="88"/>
      <c r="M929" s="89"/>
    </row>
    <row r="930" spans="7:13" x14ac:dyDescent="0.35">
      <c r="G930" s="88"/>
      <c r="H930" s="89"/>
      <c r="L930" s="88"/>
      <c r="M930" s="89"/>
    </row>
    <row r="931" spans="7:13" x14ac:dyDescent="0.35">
      <c r="G931" s="88"/>
      <c r="H931" s="89"/>
      <c r="L931" s="88"/>
      <c r="M931" s="89"/>
    </row>
    <row r="932" spans="7:13" x14ac:dyDescent="0.35">
      <c r="G932" s="88"/>
      <c r="H932" s="89"/>
      <c r="L932" s="88"/>
      <c r="M932" s="89"/>
    </row>
    <row r="933" spans="7:13" x14ac:dyDescent="0.35">
      <c r="G933" s="88"/>
      <c r="H933" s="89"/>
      <c r="L933" s="88"/>
      <c r="M933" s="89"/>
    </row>
    <row r="934" spans="7:13" x14ac:dyDescent="0.35">
      <c r="G934" s="88"/>
      <c r="H934" s="89"/>
      <c r="L934" s="88"/>
      <c r="M934" s="89"/>
    </row>
    <row r="935" spans="7:13" x14ac:dyDescent="0.35">
      <c r="G935" s="88"/>
      <c r="H935" s="89"/>
      <c r="L935" s="88"/>
      <c r="M935" s="89"/>
    </row>
    <row r="936" spans="7:13" x14ac:dyDescent="0.35">
      <c r="G936" s="88"/>
      <c r="H936" s="89"/>
      <c r="L936" s="88"/>
      <c r="M936" s="89"/>
    </row>
    <row r="937" spans="7:13" x14ac:dyDescent="0.35">
      <c r="G937" s="88"/>
      <c r="H937" s="89"/>
      <c r="L937" s="88"/>
      <c r="M937" s="89"/>
    </row>
    <row r="938" spans="7:13" x14ac:dyDescent="0.35">
      <c r="G938" s="88"/>
      <c r="H938" s="89"/>
      <c r="L938" s="88"/>
      <c r="M938" s="89"/>
    </row>
    <row r="939" spans="7:13" x14ac:dyDescent="0.35">
      <c r="G939" s="88"/>
      <c r="H939" s="89"/>
      <c r="L939" s="88"/>
      <c r="M939" s="89"/>
    </row>
    <row r="940" spans="7:13" x14ac:dyDescent="0.35">
      <c r="G940" s="88"/>
      <c r="H940" s="89"/>
      <c r="L940" s="88"/>
      <c r="M940" s="89"/>
    </row>
    <row r="941" spans="7:13" x14ac:dyDescent="0.35">
      <c r="G941" s="88"/>
      <c r="H941" s="89"/>
      <c r="L941" s="88"/>
      <c r="M941" s="89"/>
    </row>
    <row r="942" spans="7:13" x14ac:dyDescent="0.35">
      <c r="G942" s="88"/>
      <c r="H942" s="89"/>
      <c r="L942" s="88"/>
      <c r="M942" s="89"/>
    </row>
    <row r="943" spans="7:13" x14ac:dyDescent="0.35">
      <c r="G943" s="88"/>
      <c r="H943" s="89"/>
      <c r="L943" s="88"/>
      <c r="M943" s="89"/>
    </row>
    <row r="944" spans="7:13" x14ac:dyDescent="0.35">
      <c r="G944" s="88"/>
      <c r="H944" s="89"/>
      <c r="L944" s="88"/>
      <c r="M944" s="89"/>
    </row>
    <row r="945" spans="7:13" x14ac:dyDescent="0.35">
      <c r="G945" s="88"/>
      <c r="H945" s="89"/>
      <c r="L945" s="88"/>
      <c r="M945" s="89"/>
    </row>
    <row r="946" spans="7:13" x14ac:dyDescent="0.35">
      <c r="G946" s="88"/>
      <c r="H946" s="89"/>
      <c r="L946" s="88"/>
      <c r="M946" s="89"/>
    </row>
    <row r="947" spans="7:13" x14ac:dyDescent="0.35">
      <c r="G947" s="88"/>
      <c r="H947" s="89"/>
      <c r="L947" s="88"/>
      <c r="M947" s="89"/>
    </row>
    <row r="948" spans="7:13" x14ac:dyDescent="0.35">
      <c r="G948" s="88"/>
      <c r="H948" s="89"/>
      <c r="L948" s="88"/>
      <c r="M948" s="89"/>
    </row>
    <row r="949" spans="7:13" x14ac:dyDescent="0.35">
      <c r="G949" s="88"/>
      <c r="H949" s="89"/>
      <c r="L949" s="88"/>
      <c r="M949" s="89"/>
    </row>
    <row r="950" spans="7:13" x14ac:dyDescent="0.35">
      <c r="G950" s="88"/>
      <c r="H950" s="89"/>
      <c r="L950" s="88"/>
      <c r="M950" s="89"/>
    </row>
    <row r="951" spans="7:13" x14ac:dyDescent="0.35">
      <c r="G951" s="88"/>
      <c r="H951" s="89"/>
      <c r="L951" s="88"/>
      <c r="M951" s="89"/>
    </row>
    <row r="952" spans="7:13" x14ac:dyDescent="0.35">
      <c r="G952" s="88"/>
      <c r="H952" s="89"/>
      <c r="L952" s="88"/>
      <c r="M952" s="89"/>
    </row>
    <row r="953" spans="7:13" x14ac:dyDescent="0.35">
      <c r="G953" s="88"/>
      <c r="H953" s="89"/>
      <c r="L953" s="88"/>
      <c r="M953" s="89"/>
    </row>
    <row r="954" spans="7:13" x14ac:dyDescent="0.35">
      <c r="G954" s="88"/>
      <c r="H954" s="89"/>
      <c r="L954" s="88"/>
      <c r="M954" s="89"/>
    </row>
    <row r="955" spans="7:13" x14ac:dyDescent="0.35">
      <c r="G955" s="88"/>
      <c r="H955" s="89"/>
      <c r="L955" s="88"/>
      <c r="M955" s="89"/>
    </row>
    <row r="956" spans="7:13" x14ac:dyDescent="0.35">
      <c r="G956" s="88"/>
      <c r="H956" s="89"/>
      <c r="L956" s="88"/>
      <c r="M956" s="89"/>
    </row>
    <row r="957" spans="7:13" x14ac:dyDescent="0.35">
      <c r="G957" s="88"/>
      <c r="H957" s="89"/>
      <c r="L957" s="88"/>
      <c r="M957" s="89"/>
    </row>
    <row r="958" spans="7:13" x14ac:dyDescent="0.35">
      <c r="G958" s="88"/>
      <c r="H958" s="89"/>
      <c r="L958" s="88"/>
      <c r="M958" s="89"/>
    </row>
    <row r="959" spans="7:13" x14ac:dyDescent="0.35">
      <c r="G959" s="88"/>
      <c r="H959" s="89"/>
      <c r="L959" s="88"/>
      <c r="M959" s="89"/>
    </row>
    <row r="960" spans="7:13" x14ac:dyDescent="0.35">
      <c r="G960" s="88"/>
      <c r="H960" s="89"/>
      <c r="L960" s="88"/>
      <c r="M960" s="89"/>
    </row>
    <row r="961" spans="7:13" x14ac:dyDescent="0.35">
      <c r="G961" s="88"/>
      <c r="H961" s="89"/>
      <c r="L961" s="88"/>
      <c r="M961" s="89"/>
    </row>
    <row r="962" spans="7:13" x14ac:dyDescent="0.35">
      <c r="G962" s="88"/>
      <c r="H962" s="89"/>
      <c r="L962" s="88"/>
      <c r="M962" s="89"/>
    </row>
    <row r="963" spans="7:13" x14ac:dyDescent="0.35">
      <c r="G963" s="88"/>
      <c r="H963" s="89"/>
      <c r="L963" s="88"/>
      <c r="M963" s="89"/>
    </row>
    <row r="964" spans="7:13" x14ac:dyDescent="0.35">
      <c r="G964" s="88"/>
      <c r="H964" s="89"/>
      <c r="L964" s="88"/>
      <c r="M964" s="89"/>
    </row>
    <row r="965" spans="7:13" x14ac:dyDescent="0.35">
      <c r="G965" s="88"/>
      <c r="H965" s="89"/>
      <c r="L965" s="88"/>
      <c r="M965" s="89"/>
    </row>
    <row r="966" spans="7:13" x14ac:dyDescent="0.35">
      <c r="G966" s="88"/>
      <c r="H966" s="89"/>
      <c r="L966" s="88"/>
      <c r="M966" s="89"/>
    </row>
    <row r="967" spans="7:13" x14ac:dyDescent="0.35">
      <c r="G967" s="88"/>
      <c r="H967" s="89"/>
      <c r="L967" s="88"/>
      <c r="M967" s="89"/>
    </row>
    <row r="968" spans="7:13" x14ac:dyDescent="0.35">
      <c r="G968" s="88"/>
      <c r="H968" s="89"/>
      <c r="L968" s="88"/>
      <c r="M968" s="89"/>
    </row>
    <row r="969" spans="7:13" x14ac:dyDescent="0.35">
      <c r="G969" s="88"/>
      <c r="H969" s="89"/>
      <c r="L969" s="88"/>
      <c r="M969" s="89"/>
    </row>
    <row r="970" spans="7:13" x14ac:dyDescent="0.35">
      <c r="G970" s="88"/>
      <c r="H970" s="89"/>
      <c r="L970" s="88"/>
      <c r="M970" s="89"/>
    </row>
    <row r="971" spans="7:13" x14ac:dyDescent="0.35">
      <c r="G971" s="88"/>
      <c r="H971" s="89"/>
      <c r="L971" s="88"/>
      <c r="M971" s="89"/>
    </row>
    <row r="972" spans="7:13" x14ac:dyDescent="0.35">
      <c r="G972" s="88"/>
      <c r="H972" s="89"/>
      <c r="L972" s="88"/>
      <c r="M972" s="89"/>
    </row>
    <row r="973" spans="7:13" x14ac:dyDescent="0.35">
      <c r="G973" s="88"/>
      <c r="H973" s="89"/>
      <c r="L973" s="88"/>
      <c r="M973" s="89"/>
    </row>
    <row r="974" spans="7:13" x14ac:dyDescent="0.35">
      <c r="G974" s="88"/>
      <c r="H974" s="89"/>
      <c r="L974" s="88"/>
      <c r="M974" s="89"/>
    </row>
    <row r="975" spans="7:13" x14ac:dyDescent="0.35">
      <c r="G975" s="88"/>
      <c r="H975" s="89"/>
      <c r="L975" s="88"/>
      <c r="M975" s="89"/>
    </row>
    <row r="976" spans="7:13" x14ac:dyDescent="0.35">
      <c r="G976" s="88"/>
      <c r="H976" s="89"/>
      <c r="L976" s="88"/>
      <c r="M976" s="89"/>
    </row>
    <row r="977" spans="7:13" x14ac:dyDescent="0.35">
      <c r="G977" s="88"/>
      <c r="H977" s="89"/>
      <c r="L977" s="88"/>
      <c r="M977" s="89"/>
    </row>
    <row r="978" spans="7:13" x14ac:dyDescent="0.35">
      <c r="G978" s="88"/>
      <c r="H978" s="89"/>
      <c r="L978" s="88"/>
      <c r="M978" s="89"/>
    </row>
    <row r="979" spans="7:13" x14ac:dyDescent="0.35">
      <c r="G979" s="88"/>
      <c r="H979" s="89"/>
      <c r="L979" s="88"/>
      <c r="M979" s="89"/>
    </row>
    <row r="980" spans="7:13" x14ac:dyDescent="0.35">
      <c r="G980" s="88"/>
      <c r="H980" s="89"/>
      <c r="L980" s="88"/>
      <c r="M980" s="89"/>
    </row>
    <row r="981" spans="7:13" x14ac:dyDescent="0.35">
      <c r="G981" s="88"/>
      <c r="H981" s="89"/>
      <c r="L981" s="88"/>
      <c r="M981" s="89"/>
    </row>
    <row r="982" spans="7:13" x14ac:dyDescent="0.35">
      <c r="G982" s="88"/>
      <c r="H982" s="89"/>
      <c r="L982" s="88"/>
      <c r="M982" s="89"/>
    </row>
    <row r="983" spans="7:13" x14ac:dyDescent="0.35">
      <c r="G983" s="88"/>
      <c r="H983" s="89"/>
      <c r="L983" s="88"/>
      <c r="M983" s="89"/>
    </row>
    <row r="984" spans="7:13" x14ac:dyDescent="0.35">
      <c r="G984" s="88"/>
      <c r="H984" s="89"/>
      <c r="L984" s="88"/>
      <c r="M984" s="89"/>
    </row>
    <row r="985" spans="7:13" x14ac:dyDescent="0.35">
      <c r="G985" s="88"/>
      <c r="H985" s="89"/>
      <c r="L985" s="88"/>
      <c r="M985" s="89"/>
    </row>
    <row r="986" spans="7:13" x14ac:dyDescent="0.35">
      <c r="G986" s="88"/>
      <c r="H986" s="89"/>
      <c r="L986" s="88"/>
      <c r="M986" s="89"/>
    </row>
    <row r="987" spans="7:13" x14ac:dyDescent="0.35">
      <c r="G987" s="88"/>
      <c r="H987" s="89"/>
      <c r="L987" s="88"/>
      <c r="M987" s="89"/>
    </row>
    <row r="988" spans="7:13" x14ac:dyDescent="0.35">
      <c r="G988" s="88"/>
      <c r="H988" s="89"/>
      <c r="L988" s="88"/>
      <c r="M988" s="89"/>
    </row>
    <row r="989" spans="7:13" x14ac:dyDescent="0.35">
      <c r="G989" s="88"/>
      <c r="H989" s="89"/>
      <c r="L989" s="88"/>
      <c r="M989" s="89"/>
    </row>
    <row r="990" spans="7:13" x14ac:dyDescent="0.35">
      <c r="G990" s="88"/>
      <c r="H990" s="89"/>
      <c r="L990" s="88"/>
      <c r="M990" s="89"/>
    </row>
    <row r="991" spans="7:13" x14ac:dyDescent="0.35">
      <c r="G991" s="88"/>
      <c r="H991" s="89"/>
      <c r="L991" s="88"/>
      <c r="M991" s="89"/>
    </row>
    <row r="992" spans="7:13" x14ac:dyDescent="0.35">
      <c r="G992" s="88"/>
      <c r="H992" s="89"/>
      <c r="L992" s="88"/>
      <c r="M992" s="89"/>
    </row>
    <row r="993" spans="7:13" x14ac:dyDescent="0.35">
      <c r="G993" s="88"/>
      <c r="H993" s="89"/>
      <c r="L993" s="88"/>
      <c r="M993" s="89"/>
    </row>
    <row r="994" spans="7:13" x14ac:dyDescent="0.35">
      <c r="G994" s="88"/>
      <c r="H994" s="89"/>
      <c r="L994" s="88"/>
      <c r="M994" s="89"/>
    </row>
    <row r="995" spans="7:13" x14ac:dyDescent="0.35">
      <c r="G995" s="88"/>
      <c r="H995" s="89"/>
      <c r="L995" s="88"/>
      <c r="M995" s="89"/>
    </row>
    <row r="996" spans="7:13" x14ac:dyDescent="0.35">
      <c r="G996" s="88"/>
      <c r="H996" s="89"/>
      <c r="L996" s="88"/>
      <c r="M996" s="89"/>
    </row>
    <row r="997" spans="7:13" x14ac:dyDescent="0.35">
      <c r="G997" s="88"/>
      <c r="H997" s="89"/>
      <c r="L997" s="88"/>
      <c r="M997" s="89"/>
    </row>
    <row r="998" spans="7:13" x14ac:dyDescent="0.35">
      <c r="G998" s="88"/>
      <c r="H998" s="89"/>
      <c r="L998" s="88"/>
      <c r="M998" s="89"/>
    </row>
    <row r="999" spans="7:13" x14ac:dyDescent="0.35">
      <c r="G999" s="88"/>
      <c r="H999" s="89"/>
      <c r="L999" s="88"/>
      <c r="M999" s="89"/>
    </row>
    <row r="1000" spans="7:13" x14ac:dyDescent="0.35">
      <c r="G1000" s="88"/>
      <c r="H1000" s="89"/>
      <c r="L1000" s="88"/>
      <c r="M1000" s="89"/>
    </row>
    <row r="1001" spans="7:13" x14ac:dyDescent="0.35">
      <c r="G1001" s="88"/>
      <c r="H1001" s="89"/>
      <c r="L1001" s="88"/>
      <c r="M1001" s="89"/>
    </row>
    <row r="1002" spans="7:13" x14ac:dyDescent="0.35">
      <c r="G1002" s="88"/>
      <c r="H1002" s="89"/>
      <c r="L1002" s="88"/>
      <c r="M1002" s="89"/>
    </row>
    <row r="1003" spans="7:13" x14ac:dyDescent="0.35">
      <c r="G1003" s="88"/>
      <c r="H1003" s="89"/>
      <c r="L1003" s="88"/>
      <c r="M1003" s="89"/>
    </row>
    <row r="1004" spans="7:13" x14ac:dyDescent="0.35">
      <c r="G1004" s="88"/>
      <c r="H1004" s="89"/>
      <c r="L1004" s="88"/>
      <c r="M1004" s="89"/>
    </row>
    <row r="1005" spans="7:13" x14ac:dyDescent="0.35">
      <c r="G1005" s="88"/>
      <c r="H1005" s="89"/>
      <c r="L1005" s="88"/>
      <c r="M1005" s="89"/>
    </row>
    <row r="1006" spans="7:13" x14ac:dyDescent="0.35">
      <c r="G1006" s="88"/>
      <c r="H1006" s="89"/>
      <c r="L1006" s="88"/>
      <c r="M1006" s="89"/>
    </row>
    <row r="1007" spans="7:13" x14ac:dyDescent="0.35">
      <c r="G1007" s="88"/>
      <c r="H1007" s="89"/>
      <c r="L1007" s="88"/>
      <c r="M1007" s="89"/>
    </row>
    <row r="1008" spans="7:13" x14ac:dyDescent="0.35">
      <c r="G1008" s="88"/>
      <c r="H1008" s="89"/>
      <c r="L1008" s="88"/>
      <c r="M1008" s="89"/>
    </row>
    <row r="1009" spans="7:13" x14ac:dyDescent="0.35">
      <c r="G1009" s="88"/>
      <c r="H1009" s="89"/>
      <c r="L1009" s="88"/>
      <c r="M1009" s="89"/>
    </row>
    <row r="1010" spans="7:13" x14ac:dyDescent="0.35">
      <c r="G1010" s="88"/>
      <c r="H1010" s="89"/>
      <c r="L1010" s="88"/>
      <c r="M1010" s="89"/>
    </row>
    <row r="1011" spans="7:13" x14ac:dyDescent="0.35">
      <c r="G1011" s="88"/>
      <c r="H1011" s="89"/>
      <c r="L1011" s="88"/>
      <c r="M1011" s="89"/>
    </row>
    <row r="1012" spans="7:13" x14ac:dyDescent="0.35">
      <c r="G1012" s="88"/>
      <c r="H1012" s="89"/>
      <c r="L1012" s="88"/>
      <c r="M1012" s="89"/>
    </row>
    <row r="1013" spans="7:13" x14ac:dyDescent="0.35">
      <c r="G1013" s="88"/>
      <c r="H1013" s="89"/>
      <c r="L1013" s="88"/>
      <c r="M1013" s="89"/>
    </row>
    <row r="1014" spans="7:13" x14ac:dyDescent="0.35">
      <c r="G1014" s="88"/>
      <c r="H1014" s="89"/>
      <c r="L1014" s="88"/>
      <c r="M1014" s="89"/>
    </row>
    <row r="1015" spans="7:13" x14ac:dyDescent="0.35">
      <c r="G1015" s="88"/>
      <c r="H1015" s="89"/>
      <c r="L1015" s="88"/>
      <c r="M1015" s="89"/>
    </row>
    <row r="1016" spans="7:13" x14ac:dyDescent="0.35">
      <c r="G1016" s="88"/>
      <c r="H1016" s="89"/>
      <c r="L1016" s="88"/>
      <c r="M1016" s="89"/>
    </row>
    <row r="1017" spans="7:13" x14ac:dyDescent="0.35">
      <c r="G1017" s="88"/>
      <c r="H1017" s="89"/>
      <c r="L1017" s="88"/>
      <c r="M1017" s="89"/>
    </row>
    <row r="1018" spans="7:13" x14ac:dyDescent="0.35">
      <c r="G1018" s="88"/>
      <c r="H1018" s="89"/>
      <c r="L1018" s="88"/>
      <c r="M1018" s="89"/>
    </row>
    <row r="1019" spans="7:13" x14ac:dyDescent="0.35">
      <c r="G1019" s="88"/>
      <c r="H1019" s="89"/>
      <c r="L1019" s="88"/>
      <c r="M1019" s="89"/>
    </row>
    <row r="1020" spans="7:13" x14ac:dyDescent="0.35">
      <c r="G1020" s="88"/>
      <c r="H1020" s="89"/>
      <c r="L1020" s="88"/>
      <c r="M1020" s="89"/>
    </row>
    <row r="1021" spans="7:13" x14ac:dyDescent="0.35">
      <c r="G1021" s="88"/>
      <c r="H1021" s="89"/>
      <c r="L1021" s="88"/>
      <c r="M1021" s="89"/>
    </row>
    <row r="1022" spans="7:13" x14ac:dyDescent="0.35">
      <c r="G1022" s="88"/>
      <c r="H1022" s="89"/>
      <c r="L1022" s="88"/>
      <c r="M1022" s="89"/>
    </row>
    <row r="1023" spans="7:13" x14ac:dyDescent="0.35">
      <c r="G1023" s="88"/>
      <c r="H1023" s="89"/>
      <c r="L1023" s="88"/>
      <c r="M1023" s="89"/>
    </row>
    <row r="1024" spans="7:13" x14ac:dyDescent="0.35">
      <c r="G1024" s="88"/>
      <c r="H1024" s="89"/>
      <c r="L1024" s="88"/>
      <c r="M1024" s="89"/>
    </row>
    <row r="1025" spans="7:13" x14ac:dyDescent="0.35">
      <c r="G1025" s="88"/>
      <c r="H1025" s="89"/>
      <c r="L1025" s="88"/>
      <c r="M1025" s="89"/>
    </row>
    <row r="1026" spans="7:13" x14ac:dyDescent="0.35">
      <c r="G1026" s="88"/>
      <c r="H1026" s="89"/>
      <c r="L1026" s="88"/>
      <c r="M1026" s="89"/>
    </row>
    <row r="1027" spans="7:13" x14ac:dyDescent="0.35">
      <c r="G1027" s="88"/>
      <c r="H1027" s="89"/>
      <c r="L1027" s="88"/>
      <c r="M1027" s="89"/>
    </row>
    <row r="1028" spans="7:13" x14ac:dyDescent="0.35">
      <c r="G1028" s="88"/>
      <c r="H1028" s="89"/>
      <c r="L1028" s="88"/>
      <c r="M1028" s="89"/>
    </row>
    <row r="1029" spans="7:13" x14ac:dyDescent="0.35">
      <c r="G1029" s="88"/>
      <c r="H1029" s="89"/>
      <c r="L1029" s="88"/>
      <c r="M1029" s="89"/>
    </row>
    <row r="1030" spans="7:13" x14ac:dyDescent="0.35">
      <c r="G1030" s="88"/>
      <c r="H1030" s="89"/>
      <c r="L1030" s="88"/>
      <c r="M1030" s="89"/>
    </row>
    <row r="1031" spans="7:13" x14ac:dyDescent="0.35">
      <c r="G1031" s="88"/>
      <c r="H1031" s="89"/>
      <c r="L1031" s="88"/>
      <c r="M1031" s="89"/>
    </row>
    <row r="1032" spans="7:13" x14ac:dyDescent="0.35">
      <c r="G1032" s="88"/>
      <c r="H1032" s="89"/>
      <c r="L1032" s="88"/>
      <c r="M1032" s="89"/>
    </row>
    <row r="1033" spans="7:13" x14ac:dyDescent="0.35">
      <c r="G1033" s="88"/>
      <c r="H1033" s="89"/>
      <c r="L1033" s="88"/>
      <c r="M1033" s="89"/>
    </row>
    <row r="1034" spans="7:13" x14ac:dyDescent="0.35">
      <c r="G1034" s="88"/>
      <c r="H1034" s="89"/>
      <c r="L1034" s="88"/>
      <c r="M1034" s="89"/>
    </row>
    <row r="1035" spans="7:13" x14ac:dyDescent="0.35">
      <c r="G1035" s="88"/>
      <c r="H1035" s="89"/>
      <c r="L1035" s="88"/>
      <c r="M1035" s="89"/>
    </row>
    <row r="1036" spans="7:13" x14ac:dyDescent="0.35">
      <c r="G1036" s="88"/>
      <c r="H1036" s="89"/>
      <c r="L1036" s="88"/>
      <c r="M1036" s="89"/>
    </row>
    <row r="1037" spans="7:13" x14ac:dyDescent="0.35">
      <c r="G1037" s="88"/>
      <c r="H1037" s="89"/>
      <c r="L1037" s="88"/>
      <c r="M1037" s="89"/>
    </row>
    <row r="1038" spans="7:13" x14ac:dyDescent="0.35">
      <c r="G1038" s="88"/>
      <c r="H1038" s="89"/>
      <c r="L1038" s="88"/>
      <c r="M1038" s="89"/>
    </row>
    <row r="1039" spans="7:13" x14ac:dyDescent="0.35">
      <c r="G1039" s="88"/>
      <c r="H1039" s="89"/>
      <c r="L1039" s="88"/>
      <c r="M1039" s="89"/>
    </row>
    <row r="1040" spans="7:13" x14ac:dyDescent="0.35">
      <c r="G1040" s="88"/>
      <c r="H1040" s="89"/>
      <c r="L1040" s="88"/>
      <c r="M1040" s="89"/>
    </row>
    <row r="1041" spans="7:13" x14ac:dyDescent="0.35">
      <c r="G1041" s="88"/>
      <c r="H1041" s="89"/>
      <c r="L1041" s="88"/>
      <c r="M1041" s="89"/>
    </row>
    <row r="1042" spans="7:13" x14ac:dyDescent="0.35">
      <c r="G1042" s="88"/>
      <c r="H1042" s="89"/>
      <c r="L1042" s="88"/>
      <c r="M1042" s="89"/>
    </row>
    <row r="1043" spans="7:13" x14ac:dyDescent="0.35">
      <c r="G1043" s="88"/>
      <c r="H1043" s="89"/>
      <c r="L1043" s="88"/>
      <c r="M1043" s="89"/>
    </row>
    <row r="1044" spans="7:13" x14ac:dyDescent="0.35">
      <c r="G1044" s="88"/>
      <c r="H1044" s="89"/>
      <c r="L1044" s="88"/>
      <c r="M1044" s="89"/>
    </row>
    <row r="1045" spans="7:13" x14ac:dyDescent="0.35">
      <c r="G1045" s="88"/>
      <c r="H1045" s="89"/>
      <c r="L1045" s="88"/>
      <c r="M1045" s="89"/>
    </row>
    <row r="1046" spans="7:13" x14ac:dyDescent="0.35">
      <c r="G1046" s="88"/>
      <c r="H1046" s="89"/>
      <c r="L1046" s="88"/>
      <c r="M1046" s="89"/>
    </row>
    <row r="1047" spans="7:13" x14ac:dyDescent="0.35">
      <c r="G1047" s="88"/>
      <c r="H1047" s="89"/>
      <c r="L1047" s="88"/>
      <c r="M1047" s="89"/>
    </row>
    <row r="1048" spans="7:13" x14ac:dyDescent="0.35">
      <c r="G1048" s="88"/>
      <c r="H1048" s="89"/>
      <c r="L1048" s="88"/>
      <c r="M1048" s="89"/>
    </row>
    <row r="1049" spans="7:13" x14ac:dyDescent="0.35">
      <c r="G1049" s="88"/>
      <c r="H1049" s="89"/>
      <c r="L1049" s="88"/>
      <c r="M1049" s="89"/>
    </row>
    <row r="1050" spans="7:13" x14ac:dyDescent="0.35">
      <c r="G1050" s="88"/>
      <c r="H1050" s="89"/>
      <c r="L1050" s="88"/>
      <c r="M1050" s="89"/>
    </row>
    <row r="1051" spans="7:13" x14ac:dyDescent="0.35">
      <c r="G1051" s="88"/>
      <c r="H1051" s="89"/>
      <c r="L1051" s="88"/>
      <c r="M1051" s="89"/>
    </row>
    <row r="1052" spans="7:13" x14ac:dyDescent="0.35">
      <c r="G1052" s="88"/>
      <c r="H1052" s="89"/>
      <c r="L1052" s="88"/>
      <c r="M1052" s="89"/>
    </row>
    <row r="1053" spans="7:13" x14ac:dyDescent="0.35">
      <c r="G1053" s="88"/>
      <c r="H1053" s="89"/>
      <c r="L1053" s="88"/>
      <c r="M1053" s="89"/>
    </row>
    <row r="1054" spans="7:13" x14ac:dyDescent="0.35">
      <c r="G1054" s="88"/>
      <c r="H1054" s="89"/>
      <c r="L1054" s="88"/>
      <c r="M1054" s="89"/>
    </row>
    <row r="1055" spans="7:13" x14ac:dyDescent="0.35">
      <c r="G1055" s="88"/>
      <c r="H1055" s="89"/>
      <c r="L1055" s="88"/>
      <c r="M1055" s="89"/>
    </row>
    <row r="1056" spans="7:13" x14ac:dyDescent="0.35">
      <c r="G1056" s="88"/>
      <c r="H1056" s="89"/>
      <c r="L1056" s="88"/>
      <c r="M1056" s="89"/>
    </row>
    <row r="1057" spans="7:13" x14ac:dyDescent="0.35">
      <c r="G1057" s="88"/>
      <c r="H1057" s="89"/>
      <c r="L1057" s="88"/>
      <c r="M1057" s="89"/>
    </row>
    <row r="1058" spans="7:13" x14ac:dyDescent="0.35">
      <c r="G1058" s="88"/>
      <c r="H1058" s="89"/>
      <c r="L1058" s="88"/>
      <c r="M1058" s="89"/>
    </row>
    <row r="1059" spans="7:13" x14ac:dyDescent="0.35">
      <c r="G1059" s="88"/>
      <c r="H1059" s="89"/>
      <c r="L1059" s="88"/>
      <c r="M1059" s="89"/>
    </row>
    <row r="1060" spans="7:13" x14ac:dyDescent="0.35">
      <c r="G1060" s="88"/>
      <c r="H1060" s="89"/>
      <c r="L1060" s="88"/>
      <c r="M1060" s="89"/>
    </row>
    <row r="1061" spans="7:13" x14ac:dyDescent="0.35">
      <c r="G1061" s="88"/>
      <c r="H1061" s="89"/>
      <c r="L1061" s="88"/>
      <c r="M1061" s="89"/>
    </row>
    <row r="1062" spans="7:13" x14ac:dyDescent="0.35">
      <c r="G1062" s="88"/>
      <c r="H1062" s="89"/>
      <c r="L1062" s="88"/>
      <c r="M1062" s="89"/>
    </row>
    <row r="1063" spans="7:13" x14ac:dyDescent="0.35">
      <c r="G1063" s="88"/>
      <c r="H1063" s="89"/>
      <c r="L1063" s="88"/>
      <c r="M1063" s="89"/>
    </row>
    <row r="1064" spans="7:13" x14ac:dyDescent="0.35">
      <c r="G1064" s="88"/>
      <c r="H1064" s="89"/>
      <c r="L1064" s="88"/>
      <c r="M1064" s="89"/>
    </row>
    <row r="1065" spans="7:13" x14ac:dyDescent="0.35">
      <c r="G1065" s="88"/>
      <c r="H1065" s="89"/>
      <c r="L1065" s="88"/>
      <c r="M1065" s="89"/>
    </row>
    <row r="1066" spans="7:13" x14ac:dyDescent="0.35">
      <c r="G1066" s="88"/>
      <c r="H1066" s="89"/>
      <c r="L1066" s="88"/>
      <c r="M1066" s="89"/>
    </row>
    <row r="1067" spans="7:13" x14ac:dyDescent="0.35">
      <c r="G1067" s="88"/>
      <c r="H1067" s="89"/>
      <c r="L1067" s="88"/>
      <c r="M1067" s="89"/>
    </row>
    <row r="1068" spans="7:13" x14ac:dyDescent="0.35">
      <c r="G1068" s="88"/>
      <c r="H1068" s="89"/>
      <c r="L1068" s="88"/>
      <c r="M1068" s="89"/>
    </row>
    <row r="1069" spans="7:13" x14ac:dyDescent="0.35">
      <c r="G1069" s="88"/>
      <c r="H1069" s="89"/>
      <c r="L1069" s="88"/>
      <c r="M1069" s="89"/>
    </row>
    <row r="1070" spans="7:13" x14ac:dyDescent="0.35">
      <c r="G1070" s="88"/>
      <c r="H1070" s="89"/>
      <c r="L1070" s="88"/>
      <c r="M1070" s="89"/>
    </row>
    <row r="1071" spans="7:13" x14ac:dyDescent="0.35">
      <c r="G1071" s="88"/>
      <c r="H1071" s="89"/>
      <c r="L1071" s="88"/>
      <c r="M1071" s="89"/>
    </row>
    <row r="1072" spans="7:13" x14ac:dyDescent="0.35">
      <c r="G1072" s="88"/>
      <c r="H1072" s="89"/>
      <c r="L1072" s="88"/>
      <c r="M1072" s="89"/>
    </row>
    <row r="1073" spans="7:13" x14ac:dyDescent="0.35">
      <c r="G1073" s="88"/>
      <c r="H1073" s="89"/>
      <c r="L1073" s="88"/>
      <c r="M1073" s="89"/>
    </row>
    <row r="1074" spans="7:13" x14ac:dyDescent="0.35">
      <c r="G1074" s="88"/>
      <c r="H1074" s="89"/>
      <c r="L1074" s="88"/>
      <c r="M1074" s="89"/>
    </row>
    <row r="1075" spans="7:13" x14ac:dyDescent="0.35">
      <c r="G1075" s="88"/>
      <c r="H1075" s="89"/>
      <c r="L1075" s="88"/>
      <c r="M1075" s="89"/>
    </row>
    <row r="1076" spans="7:13" x14ac:dyDescent="0.35">
      <c r="G1076" s="88"/>
      <c r="H1076" s="89"/>
      <c r="L1076" s="88"/>
      <c r="M1076" s="89"/>
    </row>
    <row r="1077" spans="7:13" x14ac:dyDescent="0.35">
      <c r="G1077" s="88"/>
      <c r="H1077" s="89"/>
      <c r="L1077" s="88"/>
      <c r="M1077" s="89"/>
    </row>
    <row r="1078" spans="7:13" x14ac:dyDescent="0.35">
      <c r="G1078" s="88"/>
      <c r="H1078" s="89"/>
      <c r="L1078" s="88"/>
      <c r="M1078" s="89"/>
    </row>
    <row r="1079" spans="7:13" x14ac:dyDescent="0.35">
      <c r="G1079" s="88"/>
      <c r="H1079" s="89"/>
      <c r="L1079" s="88"/>
      <c r="M1079" s="89"/>
    </row>
    <row r="1080" spans="7:13" x14ac:dyDescent="0.35">
      <c r="G1080" s="88"/>
      <c r="H1080" s="89"/>
      <c r="L1080" s="88"/>
      <c r="M1080" s="89"/>
    </row>
    <row r="1081" spans="7:13" x14ac:dyDescent="0.35">
      <c r="G1081" s="88"/>
      <c r="H1081" s="89"/>
      <c r="L1081" s="88"/>
      <c r="M1081" s="89"/>
    </row>
    <row r="1082" spans="7:13" x14ac:dyDescent="0.35">
      <c r="G1082" s="88"/>
      <c r="H1082" s="89"/>
      <c r="L1082" s="88"/>
      <c r="M1082" s="89"/>
    </row>
    <row r="1083" spans="7:13" x14ac:dyDescent="0.35">
      <c r="G1083" s="88"/>
      <c r="H1083" s="89"/>
      <c r="L1083" s="88"/>
      <c r="M1083" s="89"/>
    </row>
    <row r="1084" spans="7:13" x14ac:dyDescent="0.35">
      <c r="G1084" s="88"/>
      <c r="H1084" s="89"/>
      <c r="L1084" s="88"/>
      <c r="M1084" s="89"/>
    </row>
    <row r="1085" spans="7:13" x14ac:dyDescent="0.35">
      <c r="G1085" s="88"/>
      <c r="H1085" s="89"/>
      <c r="L1085" s="88"/>
      <c r="M1085" s="89"/>
    </row>
    <row r="1086" spans="7:13" x14ac:dyDescent="0.35">
      <c r="G1086" s="88"/>
      <c r="H1086" s="89"/>
      <c r="L1086" s="88"/>
      <c r="M1086" s="89"/>
    </row>
    <row r="1087" spans="7:13" x14ac:dyDescent="0.35">
      <c r="G1087" s="88"/>
      <c r="H1087" s="89"/>
      <c r="L1087" s="88"/>
      <c r="M1087" s="89"/>
    </row>
    <row r="1088" spans="7:13" x14ac:dyDescent="0.35">
      <c r="G1088" s="88"/>
      <c r="H1088" s="89"/>
      <c r="L1088" s="88"/>
      <c r="M1088" s="89"/>
    </row>
    <row r="1089" spans="7:13" x14ac:dyDescent="0.35">
      <c r="G1089" s="88"/>
      <c r="H1089" s="89"/>
      <c r="L1089" s="88"/>
      <c r="M1089" s="89"/>
    </row>
    <row r="1090" spans="7:13" x14ac:dyDescent="0.35">
      <c r="G1090" s="88"/>
      <c r="H1090" s="89"/>
      <c r="L1090" s="88"/>
      <c r="M1090" s="89"/>
    </row>
    <row r="1091" spans="7:13" x14ac:dyDescent="0.35">
      <c r="G1091" s="88"/>
      <c r="H1091" s="89"/>
      <c r="L1091" s="88"/>
      <c r="M1091" s="89"/>
    </row>
    <row r="1092" spans="7:13" x14ac:dyDescent="0.35">
      <c r="G1092" s="88"/>
      <c r="H1092" s="89"/>
      <c r="L1092" s="88"/>
      <c r="M1092" s="89"/>
    </row>
    <row r="1093" spans="7:13" x14ac:dyDescent="0.35">
      <c r="G1093" s="88"/>
      <c r="H1093" s="89"/>
      <c r="L1093" s="88"/>
      <c r="M1093" s="89"/>
    </row>
    <row r="1094" spans="7:13" x14ac:dyDescent="0.35">
      <c r="G1094" s="88"/>
      <c r="H1094" s="89"/>
      <c r="L1094" s="88"/>
      <c r="M1094" s="89"/>
    </row>
    <row r="1095" spans="7:13" x14ac:dyDescent="0.35">
      <c r="G1095" s="88"/>
      <c r="H1095" s="89"/>
      <c r="L1095" s="88"/>
      <c r="M1095" s="89"/>
    </row>
    <row r="1096" spans="7:13" x14ac:dyDescent="0.35">
      <c r="G1096" s="88"/>
      <c r="H1096" s="89"/>
      <c r="L1096" s="88"/>
      <c r="M1096" s="89"/>
    </row>
    <row r="1097" spans="7:13" x14ac:dyDescent="0.35">
      <c r="G1097" s="88"/>
      <c r="H1097" s="89"/>
      <c r="L1097" s="88"/>
      <c r="M1097" s="89"/>
    </row>
    <row r="1098" spans="7:13" x14ac:dyDescent="0.35">
      <c r="G1098" s="88"/>
      <c r="H1098" s="89"/>
      <c r="L1098" s="88"/>
      <c r="M1098" s="89"/>
    </row>
    <row r="1099" spans="7:13" x14ac:dyDescent="0.35">
      <c r="G1099" s="88"/>
      <c r="H1099" s="89"/>
      <c r="L1099" s="88"/>
      <c r="M1099" s="89"/>
    </row>
    <row r="1100" spans="7:13" x14ac:dyDescent="0.35">
      <c r="G1100" s="88"/>
      <c r="H1100" s="89"/>
      <c r="L1100" s="88"/>
      <c r="M1100" s="89"/>
    </row>
    <row r="1101" spans="7:13" x14ac:dyDescent="0.35">
      <c r="G1101" s="88"/>
      <c r="H1101" s="89"/>
      <c r="L1101" s="88"/>
      <c r="M1101" s="89"/>
    </row>
    <row r="1102" spans="7:13" x14ac:dyDescent="0.35">
      <c r="G1102" s="88"/>
      <c r="H1102" s="89"/>
      <c r="L1102" s="88"/>
      <c r="M1102" s="89"/>
    </row>
    <row r="1103" spans="7:13" x14ac:dyDescent="0.35">
      <c r="G1103" s="88"/>
      <c r="H1103" s="89"/>
      <c r="L1103" s="88"/>
      <c r="M1103" s="89"/>
    </row>
    <row r="1104" spans="7:13" x14ac:dyDescent="0.35">
      <c r="G1104" s="88"/>
      <c r="H1104" s="89"/>
      <c r="L1104" s="88"/>
      <c r="M1104" s="89"/>
    </row>
    <row r="1105" spans="7:13" x14ac:dyDescent="0.35">
      <c r="G1105" s="88"/>
      <c r="H1105" s="89"/>
      <c r="L1105" s="88"/>
      <c r="M1105" s="89"/>
    </row>
    <row r="1106" spans="7:13" x14ac:dyDescent="0.35">
      <c r="G1106" s="88"/>
      <c r="H1106" s="89"/>
      <c r="L1106" s="88"/>
      <c r="M1106" s="89"/>
    </row>
    <row r="1107" spans="7:13" x14ac:dyDescent="0.35">
      <c r="G1107" s="88"/>
      <c r="H1107" s="89"/>
      <c r="L1107" s="88"/>
      <c r="M1107" s="89"/>
    </row>
    <row r="1108" spans="7:13" x14ac:dyDescent="0.35">
      <c r="G1108" s="88"/>
      <c r="H1108" s="89"/>
      <c r="L1108" s="88"/>
      <c r="M1108" s="89"/>
    </row>
    <row r="1109" spans="7:13" x14ac:dyDescent="0.35">
      <c r="G1109" s="88"/>
      <c r="H1109" s="89"/>
      <c r="L1109" s="88"/>
      <c r="M1109" s="89"/>
    </row>
    <row r="1110" spans="7:13" x14ac:dyDescent="0.35">
      <c r="G1110" s="88"/>
      <c r="H1110" s="89"/>
      <c r="L1110" s="88"/>
      <c r="M1110" s="89"/>
    </row>
    <row r="1111" spans="7:13" x14ac:dyDescent="0.35">
      <c r="G1111" s="88"/>
      <c r="H1111" s="89"/>
      <c r="L1111" s="88"/>
      <c r="M1111" s="89"/>
    </row>
    <row r="1112" spans="7:13" x14ac:dyDescent="0.35">
      <c r="G1112" s="88"/>
      <c r="H1112" s="89"/>
      <c r="L1112" s="88"/>
      <c r="M1112" s="89"/>
    </row>
    <row r="1113" spans="7:13" x14ac:dyDescent="0.35">
      <c r="G1113" s="88"/>
      <c r="H1113" s="89"/>
      <c r="L1113" s="88"/>
      <c r="M1113" s="89"/>
    </row>
    <row r="1114" spans="7:13" x14ac:dyDescent="0.35">
      <c r="G1114" s="88"/>
      <c r="H1114" s="89"/>
      <c r="L1114" s="88"/>
      <c r="M1114" s="89"/>
    </row>
    <row r="1115" spans="7:13" x14ac:dyDescent="0.35">
      <c r="G1115" s="88"/>
      <c r="H1115" s="89"/>
      <c r="L1115" s="88"/>
      <c r="M1115" s="89"/>
    </row>
    <row r="1116" spans="7:13" x14ac:dyDescent="0.35">
      <c r="G1116" s="88"/>
      <c r="H1116" s="89"/>
      <c r="L1116" s="88"/>
      <c r="M1116" s="89"/>
    </row>
    <row r="1117" spans="7:13" x14ac:dyDescent="0.35">
      <c r="G1117" s="88"/>
      <c r="H1117" s="89"/>
      <c r="L1117" s="88"/>
      <c r="M1117" s="89"/>
    </row>
    <row r="1118" spans="7:13" x14ac:dyDescent="0.35">
      <c r="G1118" s="88"/>
      <c r="H1118" s="89"/>
      <c r="L1118" s="88"/>
      <c r="M1118" s="89"/>
    </row>
    <row r="1119" spans="7:13" x14ac:dyDescent="0.35">
      <c r="G1119" s="88"/>
      <c r="H1119" s="89"/>
      <c r="L1119" s="88"/>
      <c r="M1119" s="89"/>
    </row>
    <row r="1120" spans="7:13" x14ac:dyDescent="0.35">
      <c r="G1120" s="88"/>
      <c r="H1120" s="89"/>
      <c r="L1120" s="88"/>
      <c r="M1120" s="89"/>
    </row>
    <row r="1121" spans="7:13" x14ac:dyDescent="0.35">
      <c r="G1121" s="88"/>
      <c r="H1121" s="89"/>
      <c r="L1121" s="88"/>
      <c r="M1121" s="89"/>
    </row>
    <row r="1122" spans="7:13" x14ac:dyDescent="0.35">
      <c r="G1122" s="88"/>
      <c r="H1122" s="89"/>
      <c r="L1122" s="88"/>
      <c r="M1122" s="89"/>
    </row>
    <row r="1123" spans="7:13" x14ac:dyDescent="0.35">
      <c r="G1123" s="88"/>
      <c r="H1123" s="89"/>
      <c r="L1123" s="88"/>
      <c r="M1123" s="89"/>
    </row>
    <row r="1124" spans="7:13" x14ac:dyDescent="0.35">
      <c r="G1124" s="88"/>
      <c r="H1124" s="89"/>
      <c r="L1124" s="88"/>
      <c r="M1124" s="89"/>
    </row>
    <row r="1125" spans="7:13" x14ac:dyDescent="0.35">
      <c r="G1125" s="88"/>
      <c r="H1125" s="89"/>
      <c r="L1125" s="88"/>
      <c r="M1125" s="89"/>
    </row>
    <row r="1126" spans="7:13" x14ac:dyDescent="0.35">
      <c r="G1126" s="88"/>
      <c r="H1126" s="89"/>
      <c r="L1126" s="88"/>
      <c r="M1126" s="89"/>
    </row>
    <row r="1127" spans="7:13" x14ac:dyDescent="0.35">
      <c r="G1127" s="88"/>
      <c r="H1127" s="89"/>
      <c r="L1127" s="88"/>
      <c r="M1127" s="89"/>
    </row>
    <row r="1128" spans="7:13" x14ac:dyDescent="0.35">
      <c r="G1128" s="88"/>
      <c r="H1128" s="89"/>
      <c r="L1128" s="88"/>
      <c r="M1128" s="89"/>
    </row>
    <row r="1129" spans="7:13" x14ac:dyDescent="0.35">
      <c r="G1129" s="88"/>
      <c r="H1129" s="89"/>
      <c r="L1129" s="88"/>
      <c r="M1129" s="89"/>
    </row>
    <row r="1130" spans="7:13" x14ac:dyDescent="0.35">
      <c r="G1130" s="88"/>
      <c r="H1130" s="89"/>
      <c r="L1130" s="88"/>
      <c r="M1130" s="89"/>
    </row>
    <row r="1131" spans="7:13" x14ac:dyDescent="0.35">
      <c r="G1131" s="88"/>
      <c r="H1131" s="89"/>
      <c r="L1131" s="88"/>
      <c r="M1131" s="89"/>
    </row>
    <row r="1132" spans="7:13" x14ac:dyDescent="0.35">
      <c r="G1132" s="88"/>
      <c r="H1132" s="89"/>
      <c r="L1132" s="88"/>
      <c r="M1132" s="89"/>
    </row>
    <row r="1133" spans="7:13" x14ac:dyDescent="0.35">
      <c r="G1133" s="88"/>
      <c r="H1133" s="89"/>
      <c r="L1133" s="88"/>
      <c r="M1133" s="89"/>
    </row>
    <row r="1134" spans="7:13" x14ac:dyDescent="0.35">
      <c r="G1134" s="88"/>
      <c r="H1134" s="89"/>
      <c r="L1134" s="88"/>
      <c r="M1134" s="89"/>
    </row>
    <row r="1135" spans="7:13" x14ac:dyDescent="0.35">
      <c r="G1135" s="88"/>
      <c r="H1135" s="89"/>
      <c r="L1135" s="88"/>
      <c r="M1135" s="89"/>
    </row>
    <row r="1136" spans="7:13" x14ac:dyDescent="0.35">
      <c r="G1136" s="88"/>
      <c r="H1136" s="89"/>
      <c r="L1136" s="88"/>
      <c r="M1136" s="89"/>
    </row>
    <row r="1137" spans="7:13" x14ac:dyDescent="0.35">
      <c r="G1137" s="88"/>
      <c r="H1137" s="89"/>
      <c r="L1137" s="88"/>
      <c r="M1137" s="89"/>
    </row>
    <row r="1138" spans="7:13" x14ac:dyDescent="0.35">
      <c r="G1138" s="88"/>
      <c r="H1138" s="89"/>
      <c r="L1138" s="88"/>
      <c r="M1138" s="89"/>
    </row>
    <row r="1139" spans="7:13" x14ac:dyDescent="0.35">
      <c r="G1139" s="88"/>
      <c r="H1139" s="89"/>
      <c r="L1139" s="88"/>
      <c r="M1139" s="89"/>
    </row>
    <row r="1140" spans="7:13" x14ac:dyDescent="0.35">
      <c r="G1140" s="88"/>
      <c r="H1140" s="89"/>
      <c r="L1140" s="88"/>
      <c r="M1140" s="89"/>
    </row>
    <row r="1141" spans="7:13" x14ac:dyDescent="0.35">
      <c r="G1141" s="88"/>
      <c r="H1141" s="89"/>
      <c r="L1141" s="88"/>
      <c r="M1141" s="89"/>
    </row>
    <row r="1142" spans="7:13" x14ac:dyDescent="0.35">
      <c r="G1142" s="88"/>
      <c r="H1142" s="89"/>
      <c r="L1142" s="88"/>
      <c r="M1142" s="89"/>
    </row>
    <row r="1143" spans="7:13" x14ac:dyDescent="0.35">
      <c r="G1143" s="88"/>
      <c r="H1143" s="89"/>
      <c r="L1143" s="88"/>
      <c r="M1143" s="89"/>
    </row>
    <row r="1144" spans="7:13" x14ac:dyDescent="0.35">
      <c r="G1144" s="88"/>
      <c r="H1144" s="89"/>
      <c r="L1144" s="88"/>
      <c r="M1144" s="89"/>
    </row>
    <row r="1145" spans="7:13" x14ac:dyDescent="0.35">
      <c r="G1145" s="88"/>
      <c r="H1145" s="89"/>
      <c r="L1145" s="88"/>
      <c r="M1145" s="89"/>
    </row>
    <row r="1146" spans="7:13" x14ac:dyDescent="0.35">
      <c r="G1146" s="88"/>
      <c r="H1146" s="89"/>
      <c r="L1146" s="88"/>
      <c r="M1146" s="89"/>
    </row>
    <row r="1147" spans="7:13" x14ac:dyDescent="0.35">
      <c r="G1147" s="88"/>
      <c r="H1147" s="89"/>
      <c r="L1147" s="88"/>
      <c r="M1147" s="89"/>
    </row>
    <row r="1148" spans="7:13" x14ac:dyDescent="0.35">
      <c r="G1148" s="88"/>
      <c r="H1148" s="89"/>
      <c r="L1148" s="88"/>
      <c r="M1148" s="89"/>
    </row>
    <row r="1149" spans="7:13" x14ac:dyDescent="0.35">
      <c r="G1149" s="88"/>
      <c r="H1149" s="89"/>
      <c r="L1149" s="88"/>
      <c r="M1149" s="89"/>
    </row>
    <row r="1150" spans="7:13" x14ac:dyDescent="0.35">
      <c r="G1150" s="88"/>
      <c r="H1150" s="89"/>
      <c r="L1150" s="88"/>
      <c r="M1150" s="89"/>
    </row>
    <row r="1151" spans="7:13" x14ac:dyDescent="0.35">
      <c r="G1151" s="88"/>
      <c r="H1151" s="89"/>
      <c r="L1151" s="88"/>
      <c r="M1151" s="89"/>
    </row>
    <row r="1152" spans="7:13" x14ac:dyDescent="0.35">
      <c r="G1152" s="88"/>
      <c r="H1152" s="89"/>
      <c r="L1152" s="88"/>
      <c r="M1152" s="89"/>
    </row>
    <row r="1153" spans="7:13" x14ac:dyDescent="0.35">
      <c r="G1153" s="88"/>
      <c r="H1153" s="89"/>
      <c r="L1153" s="88"/>
      <c r="M1153" s="89"/>
    </row>
    <row r="1154" spans="7:13" x14ac:dyDescent="0.35">
      <c r="G1154" s="88"/>
      <c r="H1154" s="89"/>
      <c r="L1154" s="88"/>
      <c r="M1154" s="89"/>
    </row>
    <row r="1155" spans="7:13" x14ac:dyDescent="0.35">
      <c r="G1155" s="88"/>
      <c r="H1155" s="89"/>
      <c r="L1155" s="88"/>
      <c r="M1155" s="89"/>
    </row>
    <row r="1156" spans="7:13" x14ac:dyDescent="0.35">
      <c r="G1156" s="88"/>
      <c r="H1156" s="89"/>
      <c r="L1156" s="88"/>
      <c r="M1156" s="89"/>
    </row>
    <row r="1157" spans="7:13" x14ac:dyDescent="0.35">
      <c r="G1157" s="88"/>
      <c r="H1157" s="89"/>
      <c r="L1157" s="88"/>
      <c r="M1157" s="89"/>
    </row>
    <row r="1158" spans="7:13" x14ac:dyDescent="0.35">
      <c r="G1158" s="88"/>
      <c r="H1158" s="89"/>
      <c r="L1158" s="88"/>
      <c r="M1158" s="89"/>
    </row>
    <row r="1159" spans="7:13" x14ac:dyDescent="0.35">
      <c r="G1159" s="88"/>
      <c r="H1159" s="89"/>
      <c r="L1159" s="88"/>
      <c r="M1159" s="89"/>
    </row>
    <row r="1160" spans="7:13" x14ac:dyDescent="0.35">
      <c r="G1160" s="88"/>
      <c r="H1160" s="89"/>
      <c r="L1160" s="88"/>
      <c r="M1160" s="89"/>
    </row>
    <row r="1161" spans="7:13" x14ac:dyDescent="0.35">
      <c r="G1161" s="88"/>
      <c r="H1161" s="89"/>
      <c r="L1161" s="88"/>
      <c r="M1161" s="89"/>
    </row>
    <row r="1162" spans="7:13" x14ac:dyDescent="0.35">
      <c r="G1162" s="88"/>
      <c r="H1162" s="89"/>
      <c r="L1162" s="88"/>
      <c r="M1162" s="89"/>
    </row>
    <row r="1163" spans="7:13" x14ac:dyDescent="0.35">
      <c r="G1163" s="88"/>
      <c r="H1163" s="89"/>
      <c r="L1163" s="88"/>
      <c r="M1163" s="89"/>
    </row>
    <row r="1164" spans="7:13" x14ac:dyDescent="0.35">
      <c r="G1164" s="88"/>
      <c r="H1164" s="89"/>
      <c r="L1164" s="88"/>
      <c r="M1164" s="89"/>
    </row>
    <row r="1165" spans="7:13" x14ac:dyDescent="0.35">
      <c r="G1165" s="88"/>
      <c r="H1165" s="89"/>
      <c r="L1165" s="88"/>
      <c r="M1165" s="89"/>
    </row>
    <row r="1166" spans="7:13" x14ac:dyDescent="0.35">
      <c r="G1166" s="88"/>
      <c r="H1166" s="89"/>
      <c r="L1166" s="88"/>
      <c r="M1166" s="89"/>
    </row>
    <row r="1167" spans="7:13" x14ac:dyDescent="0.35">
      <c r="G1167" s="88"/>
      <c r="H1167" s="89"/>
      <c r="L1167" s="88"/>
      <c r="M1167" s="89"/>
    </row>
    <row r="1168" spans="7:13" x14ac:dyDescent="0.35">
      <c r="G1168" s="88"/>
      <c r="H1168" s="89"/>
      <c r="L1168" s="88"/>
      <c r="M1168" s="89"/>
    </row>
    <row r="1169" spans="7:13" x14ac:dyDescent="0.35">
      <c r="G1169" s="88"/>
      <c r="H1169" s="89"/>
      <c r="L1169" s="88"/>
      <c r="M1169" s="89"/>
    </row>
    <row r="1170" spans="7:13" x14ac:dyDescent="0.35">
      <c r="G1170" s="88"/>
      <c r="H1170" s="89"/>
      <c r="L1170" s="88"/>
      <c r="M1170" s="89"/>
    </row>
    <row r="1171" spans="7:13" x14ac:dyDescent="0.35">
      <c r="G1171" s="88"/>
      <c r="H1171" s="89"/>
      <c r="L1171" s="88"/>
      <c r="M1171" s="89"/>
    </row>
    <row r="1172" spans="7:13" x14ac:dyDescent="0.35">
      <c r="G1172" s="88"/>
      <c r="H1172" s="89"/>
      <c r="L1172" s="88"/>
      <c r="M1172" s="89"/>
    </row>
    <row r="1173" spans="7:13" x14ac:dyDescent="0.35">
      <c r="G1173" s="88"/>
      <c r="H1173" s="89"/>
      <c r="L1173" s="88"/>
      <c r="M1173" s="89"/>
    </row>
    <row r="1174" spans="7:13" x14ac:dyDescent="0.35">
      <c r="G1174" s="88"/>
      <c r="H1174" s="89"/>
      <c r="L1174" s="88"/>
      <c r="M1174" s="89"/>
    </row>
    <row r="1175" spans="7:13" x14ac:dyDescent="0.35">
      <c r="G1175" s="88"/>
      <c r="H1175" s="89"/>
      <c r="L1175" s="88"/>
      <c r="M1175" s="89"/>
    </row>
    <row r="1176" spans="7:13" x14ac:dyDescent="0.35">
      <c r="G1176" s="88"/>
      <c r="H1176" s="89"/>
      <c r="L1176" s="88"/>
      <c r="M1176" s="89"/>
    </row>
    <row r="1177" spans="7:13" x14ac:dyDescent="0.35">
      <c r="G1177" s="88"/>
      <c r="H1177" s="89"/>
      <c r="L1177" s="88"/>
      <c r="M1177" s="89"/>
    </row>
    <row r="1178" spans="7:13" x14ac:dyDescent="0.35">
      <c r="G1178" s="88"/>
      <c r="H1178" s="89"/>
      <c r="L1178" s="88"/>
      <c r="M1178" s="89"/>
    </row>
    <row r="1179" spans="7:13" x14ac:dyDescent="0.35">
      <c r="G1179" s="88"/>
      <c r="H1179" s="89"/>
      <c r="L1179" s="88"/>
      <c r="M1179" s="89"/>
    </row>
    <row r="1180" spans="7:13" x14ac:dyDescent="0.35">
      <c r="G1180" s="88"/>
      <c r="H1180" s="89"/>
      <c r="L1180" s="88"/>
      <c r="M1180" s="89"/>
    </row>
    <row r="1181" spans="7:13" x14ac:dyDescent="0.35">
      <c r="G1181" s="88"/>
      <c r="H1181" s="89"/>
      <c r="L1181" s="88"/>
      <c r="M1181" s="89"/>
    </row>
    <row r="1182" spans="7:13" x14ac:dyDescent="0.35">
      <c r="G1182" s="88"/>
      <c r="H1182" s="89"/>
      <c r="L1182" s="88"/>
      <c r="M1182" s="89"/>
    </row>
    <row r="1183" spans="7:13" x14ac:dyDescent="0.35">
      <c r="G1183" s="88"/>
      <c r="H1183" s="89"/>
      <c r="L1183" s="88"/>
      <c r="M1183" s="89"/>
    </row>
    <row r="1184" spans="7:13" x14ac:dyDescent="0.35">
      <c r="G1184" s="88"/>
      <c r="H1184" s="89"/>
      <c r="L1184" s="88"/>
      <c r="M1184" s="89"/>
    </row>
    <row r="1185" spans="7:13" x14ac:dyDescent="0.35">
      <c r="G1185" s="88"/>
      <c r="H1185" s="89"/>
      <c r="L1185" s="88"/>
      <c r="M1185" s="89"/>
    </row>
    <row r="1186" spans="7:13" x14ac:dyDescent="0.35">
      <c r="G1186" s="88"/>
      <c r="H1186" s="89"/>
      <c r="L1186" s="88"/>
      <c r="M1186" s="89"/>
    </row>
    <row r="1187" spans="7:13" x14ac:dyDescent="0.35">
      <c r="G1187" s="88"/>
      <c r="H1187" s="89"/>
      <c r="L1187" s="88"/>
      <c r="M1187" s="89"/>
    </row>
    <row r="1188" spans="7:13" x14ac:dyDescent="0.35">
      <c r="G1188" s="88"/>
      <c r="H1188" s="89"/>
      <c r="L1188" s="88"/>
      <c r="M1188" s="89"/>
    </row>
    <row r="1189" spans="7:13" x14ac:dyDescent="0.35">
      <c r="G1189" s="88"/>
      <c r="H1189" s="89"/>
      <c r="L1189" s="88"/>
      <c r="M1189" s="89"/>
    </row>
    <row r="1190" spans="7:13" x14ac:dyDescent="0.35">
      <c r="G1190" s="88"/>
      <c r="H1190" s="89"/>
      <c r="L1190" s="88"/>
      <c r="M1190" s="89"/>
    </row>
    <row r="1191" spans="7:13" x14ac:dyDescent="0.35">
      <c r="G1191" s="88"/>
      <c r="H1191" s="89"/>
      <c r="L1191" s="88"/>
      <c r="M1191" s="89"/>
    </row>
    <row r="1192" spans="7:13" x14ac:dyDescent="0.35">
      <c r="G1192" s="88"/>
      <c r="H1192" s="89"/>
      <c r="L1192" s="88"/>
      <c r="M1192" s="89"/>
    </row>
    <row r="1193" spans="7:13" x14ac:dyDescent="0.35">
      <c r="G1193" s="88"/>
      <c r="H1193" s="89"/>
      <c r="L1193" s="88"/>
      <c r="M1193" s="89"/>
    </row>
    <row r="1194" spans="7:13" x14ac:dyDescent="0.35">
      <c r="G1194" s="88"/>
      <c r="H1194" s="89"/>
      <c r="L1194" s="88"/>
      <c r="M1194" s="89"/>
    </row>
    <row r="1195" spans="7:13" x14ac:dyDescent="0.35">
      <c r="G1195" s="88"/>
      <c r="H1195" s="89"/>
      <c r="L1195" s="88"/>
      <c r="M1195" s="89"/>
    </row>
    <row r="1196" spans="7:13" x14ac:dyDescent="0.35">
      <c r="G1196" s="88"/>
      <c r="H1196" s="89"/>
      <c r="L1196" s="88"/>
      <c r="M1196" s="89"/>
    </row>
    <row r="1197" spans="7:13" x14ac:dyDescent="0.35">
      <c r="G1197" s="88"/>
      <c r="H1197" s="89"/>
      <c r="L1197" s="88"/>
      <c r="M1197" s="89"/>
    </row>
    <row r="1198" spans="7:13" x14ac:dyDescent="0.35">
      <c r="G1198" s="88"/>
      <c r="H1198" s="89"/>
      <c r="L1198" s="88"/>
      <c r="M1198" s="89"/>
    </row>
    <row r="1199" spans="7:13" x14ac:dyDescent="0.35">
      <c r="G1199" s="88"/>
      <c r="H1199" s="89"/>
      <c r="L1199" s="88"/>
      <c r="M1199" s="89"/>
    </row>
    <row r="1200" spans="7:13" x14ac:dyDescent="0.35">
      <c r="G1200" s="88"/>
      <c r="H1200" s="89"/>
      <c r="L1200" s="88"/>
      <c r="M1200" s="89"/>
    </row>
    <row r="1201" spans="7:13" x14ac:dyDescent="0.35">
      <c r="G1201" s="88"/>
      <c r="H1201" s="89"/>
      <c r="L1201" s="88"/>
      <c r="M1201" s="89"/>
    </row>
    <row r="1202" spans="7:13" x14ac:dyDescent="0.35">
      <c r="G1202" s="88"/>
      <c r="H1202" s="89"/>
      <c r="L1202" s="88"/>
      <c r="M1202" s="89"/>
    </row>
    <row r="1203" spans="7:13" x14ac:dyDescent="0.35">
      <c r="G1203" s="88"/>
      <c r="H1203" s="89"/>
      <c r="L1203" s="88"/>
      <c r="M1203" s="89"/>
    </row>
    <row r="1204" spans="7:13" x14ac:dyDescent="0.35">
      <c r="G1204" s="88"/>
      <c r="H1204" s="89"/>
      <c r="L1204" s="88"/>
      <c r="M1204" s="89"/>
    </row>
    <row r="1205" spans="7:13" x14ac:dyDescent="0.35">
      <c r="G1205" s="88"/>
      <c r="H1205" s="89"/>
      <c r="L1205" s="88"/>
      <c r="M1205" s="89"/>
    </row>
    <row r="1206" spans="7:13" x14ac:dyDescent="0.35">
      <c r="G1206" s="88"/>
      <c r="H1206" s="89"/>
      <c r="L1206" s="88"/>
      <c r="M1206" s="89"/>
    </row>
    <row r="1207" spans="7:13" x14ac:dyDescent="0.35">
      <c r="G1207" s="88"/>
      <c r="H1207" s="89"/>
      <c r="L1207" s="88"/>
      <c r="M1207" s="89"/>
    </row>
    <row r="1208" spans="7:13" x14ac:dyDescent="0.35">
      <c r="G1208" s="88"/>
      <c r="H1208" s="89"/>
      <c r="L1208" s="88"/>
      <c r="M1208" s="89"/>
    </row>
    <row r="1209" spans="7:13" x14ac:dyDescent="0.35">
      <c r="G1209" s="88"/>
      <c r="H1209" s="89"/>
      <c r="L1209" s="88"/>
      <c r="M1209" s="89"/>
    </row>
    <row r="1210" spans="7:13" x14ac:dyDescent="0.35">
      <c r="G1210" s="88"/>
      <c r="H1210" s="89"/>
      <c r="L1210" s="88"/>
      <c r="M1210" s="89"/>
    </row>
    <row r="1211" spans="7:13" x14ac:dyDescent="0.35">
      <c r="G1211" s="88"/>
      <c r="H1211" s="89"/>
      <c r="L1211" s="88"/>
      <c r="M1211" s="89"/>
    </row>
    <row r="1212" spans="7:13" x14ac:dyDescent="0.35">
      <c r="G1212" s="88"/>
      <c r="H1212" s="89"/>
      <c r="L1212" s="88"/>
      <c r="M1212" s="89"/>
    </row>
    <row r="1213" spans="7:13" x14ac:dyDescent="0.35">
      <c r="G1213" s="88"/>
      <c r="H1213" s="89"/>
      <c r="L1213" s="88"/>
      <c r="M1213" s="89"/>
    </row>
    <row r="1214" spans="7:13" x14ac:dyDescent="0.35">
      <c r="G1214" s="88"/>
      <c r="H1214" s="89"/>
      <c r="L1214" s="88"/>
      <c r="M1214" s="89"/>
    </row>
    <row r="1215" spans="7:13" x14ac:dyDescent="0.35">
      <c r="G1215" s="88"/>
      <c r="H1215" s="89"/>
      <c r="L1215" s="88"/>
      <c r="M1215" s="89"/>
    </row>
    <row r="1216" spans="7:13" x14ac:dyDescent="0.35">
      <c r="G1216" s="88"/>
      <c r="H1216" s="89"/>
      <c r="L1216" s="88"/>
      <c r="M1216" s="89"/>
    </row>
    <row r="1217" spans="7:13" x14ac:dyDescent="0.35">
      <c r="G1217" s="88"/>
      <c r="H1217" s="89"/>
      <c r="L1217" s="88"/>
      <c r="M1217" s="89"/>
    </row>
    <row r="1218" spans="7:13" x14ac:dyDescent="0.35">
      <c r="G1218" s="88"/>
      <c r="H1218" s="89"/>
      <c r="L1218" s="88"/>
      <c r="M1218" s="89"/>
    </row>
    <row r="1219" spans="7:13" x14ac:dyDescent="0.35">
      <c r="G1219" s="88"/>
      <c r="H1219" s="89"/>
      <c r="L1219" s="88"/>
      <c r="M1219" s="89"/>
    </row>
    <row r="1220" spans="7:13" x14ac:dyDescent="0.35">
      <c r="G1220" s="88"/>
      <c r="H1220" s="89"/>
      <c r="L1220" s="88"/>
      <c r="M1220" s="89"/>
    </row>
    <row r="1221" spans="7:13" x14ac:dyDescent="0.35">
      <c r="G1221" s="88"/>
      <c r="H1221" s="89"/>
      <c r="L1221" s="88"/>
      <c r="M1221" s="89"/>
    </row>
    <row r="1222" spans="7:13" x14ac:dyDescent="0.35">
      <c r="G1222" s="88"/>
      <c r="H1222" s="89"/>
      <c r="L1222" s="88"/>
      <c r="M1222" s="89"/>
    </row>
    <row r="1223" spans="7:13" x14ac:dyDescent="0.35">
      <c r="G1223" s="88"/>
      <c r="H1223" s="89"/>
      <c r="L1223" s="88"/>
      <c r="M1223" s="89"/>
    </row>
    <row r="1224" spans="7:13" x14ac:dyDescent="0.35">
      <c r="G1224" s="88"/>
      <c r="H1224" s="89"/>
      <c r="L1224" s="88"/>
      <c r="M1224" s="89"/>
    </row>
    <row r="1225" spans="7:13" x14ac:dyDescent="0.35">
      <c r="G1225" s="88"/>
      <c r="H1225" s="89"/>
      <c r="L1225" s="88"/>
      <c r="M1225" s="89"/>
    </row>
    <row r="1226" spans="7:13" x14ac:dyDescent="0.35">
      <c r="G1226" s="88"/>
      <c r="H1226" s="89"/>
      <c r="L1226" s="88"/>
      <c r="M1226" s="89"/>
    </row>
    <row r="1227" spans="7:13" x14ac:dyDescent="0.35">
      <c r="G1227" s="88"/>
      <c r="H1227" s="89"/>
      <c r="L1227" s="88"/>
      <c r="M1227" s="89"/>
    </row>
    <row r="1228" spans="7:13" x14ac:dyDescent="0.35">
      <c r="G1228" s="88"/>
      <c r="H1228" s="89"/>
      <c r="L1228" s="88"/>
      <c r="M1228" s="89"/>
    </row>
    <row r="1229" spans="7:13" x14ac:dyDescent="0.35">
      <c r="G1229" s="88"/>
      <c r="H1229" s="89"/>
      <c r="L1229" s="88"/>
      <c r="M1229" s="89"/>
    </row>
    <row r="1230" spans="7:13" x14ac:dyDescent="0.35">
      <c r="G1230" s="88"/>
      <c r="H1230" s="89"/>
      <c r="L1230" s="88"/>
      <c r="M1230" s="89"/>
    </row>
    <row r="1231" spans="7:13" x14ac:dyDescent="0.35">
      <c r="G1231" s="88"/>
      <c r="H1231" s="89"/>
      <c r="L1231" s="88"/>
      <c r="M1231" s="89"/>
    </row>
    <row r="1232" spans="7:13" x14ac:dyDescent="0.35">
      <c r="G1232" s="88"/>
      <c r="H1232" s="89"/>
      <c r="L1232" s="88"/>
      <c r="M1232" s="89"/>
    </row>
    <row r="1233" spans="7:13" x14ac:dyDescent="0.35">
      <c r="G1233" s="88"/>
      <c r="H1233" s="89"/>
      <c r="L1233" s="88"/>
      <c r="M1233" s="89"/>
    </row>
    <row r="1234" spans="7:13" x14ac:dyDescent="0.35">
      <c r="G1234" s="88"/>
      <c r="H1234" s="89"/>
      <c r="L1234" s="88"/>
      <c r="M1234" s="89"/>
    </row>
    <row r="1235" spans="7:13" x14ac:dyDescent="0.35">
      <c r="G1235" s="88"/>
      <c r="H1235" s="89"/>
      <c r="L1235" s="88"/>
      <c r="M1235" s="89"/>
    </row>
    <row r="1236" spans="7:13" x14ac:dyDescent="0.35">
      <c r="G1236" s="88"/>
      <c r="H1236" s="89"/>
      <c r="L1236" s="88"/>
      <c r="M1236" s="89"/>
    </row>
    <row r="1237" spans="7:13" x14ac:dyDescent="0.35">
      <c r="G1237" s="88"/>
      <c r="H1237" s="89"/>
      <c r="L1237" s="88"/>
      <c r="M1237" s="89"/>
    </row>
    <row r="1238" spans="7:13" x14ac:dyDescent="0.35">
      <c r="G1238" s="88"/>
      <c r="H1238" s="89"/>
      <c r="L1238" s="88"/>
      <c r="M1238" s="89"/>
    </row>
    <row r="1239" spans="7:13" x14ac:dyDescent="0.35">
      <c r="G1239" s="88"/>
      <c r="H1239" s="89"/>
      <c r="L1239" s="88"/>
      <c r="M1239" s="89"/>
    </row>
    <row r="1240" spans="7:13" x14ac:dyDescent="0.35">
      <c r="G1240" s="88"/>
      <c r="H1240" s="89"/>
      <c r="L1240" s="88"/>
      <c r="M1240" s="89"/>
    </row>
    <row r="1241" spans="7:13" x14ac:dyDescent="0.35">
      <c r="G1241" s="88"/>
      <c r="H1241" s="89"/>
      <c r="L1241" s="88"/>
      <c r="M1241" s="89"/>
    </row>
    <row r="1242" spans="7:13" x14ac:dyDescent="0.35">
      <c r="G1242" s="88"/>
      <c r="H1242" s="89"/>
      <c r="L1242" s="88"/>
      <c r="M1242" s="89"/>
    </row>
    <row r="1243" spans="7:13" x14ac:dyDescent="0.35">
      <c r="G1243" s="88"/>
      <c r="H1243" s="89"/>
      <c r="L1243" s="88"/>
      <c r="M1243" s="89"/>
    </row>
    <row r="1244" spans="7:13" x14ac:dyDescent="0.35">
      <c r="G1244" s="88"/>
      <c r="H1244" s="89"/>
      <c r="L1244" s="88"/>
      <c r="M1244" s="89"/>
    </row>
    <row r="1245" spans="7:13" x14ac:dyDescent="0.35">
      <c r="G1245" s="88"/>
      <c r="H1245" s="89"/>
      <c r="L1245" s="88"/>
      <c r="M1245" s="89"/>
    </row>
    <row r="1246" spans="7:13" x14ac:dyDescent="0.35">
      <c r="G1246" s="88"/>
      <c r="H1246" s="89"/>
      <c r="L1246" s="88"/>
      <c r="M1246" s="89"/>
    </row>
    <row r="1247" spans="7:13" x14ac:dyDescent="0.35">
      <c r="G1247" s="88"/>
      <c r="H1247" s="89"/>
      <c r="L1247" s="88"/>
      <c r="M1247" s="89"/>
    </row>
    <row r="1248" spans="7:13" x14ac:dyDescent="0.35">
      <c r="G1248" s="88"/>
      <c r="H1248" s="89"/>
      <c r="L1248" s="88"/>
      <c r="M1248" s="89"/>
    </row>
    <row r="1249" spans="7:13" x14ac:dyDescent="0.35">
      <c r="G1249" s="88"/>
      <c r="H1249" s="89"/>
      <c r="L1249" s="88"/>
      <c r="M1249" s="89"/>
    </row>
    <row r="1250" spans="7:13" x14ac:dyDescent="0.35">
      <c r="G1250" s="88"/>
      <c r="H1250" s="89"/>
      <c r="L1250" s="88"/>
      <c r="M1250" s="89"/>
    </row>
    <row r="1251" spans="7:13" x14ac:dyDescent="0.35">
      <c r="G1251" s="88"/>
      <c r="H1251" s="89"/>
      <c r="L1251" s="88"/>
      <c r="M1251" s="89"/>
    </row>
    <row r="1252" spans="7:13" x14ac:dyDescent="0.35">
      <c r="G1252" s="88"/>
      <c r="H1252" s="89"/>
      <c r="L1252" s="88"/>
      <c r="M1252" s="89"/>
    </row>
    <row r="1253" spans="7:13" x14ac:dyDescent="0.35">
      <c r="G1253" s="88"/>
      <c r="H1253" s="89"/>
      <c r="L1253" s="88"/>
      <c r="M1253" s="89"/>
    </row>
    <row r="1254" spans="7:13" x14ac:dyDescent="0.35">
      <c r="G1254" s="88"/>
      <c r="H1254" s="89"/>
      <c r="L1254" s="88"/>
      <c r="M1254" s="89"/>
    </row>
    <row r="1255" spans="7:13" x14ac:dyDescent="0.35">
      <c r="G1255" s="88"/>
      <c r="H1255" s="89"/>
      <c r="L1255" s="88"/>
      <c r="M1255" s="89"/>
    </row>
    <row r="1256" spans="7:13" x14ac:dyDescent="0.35">
      <c r="G1256" s="88"/>
      <c r="H1256" s="89"/>
      <c r="L1256" s="88"/>
      <c r="M1256" s="89"/>
    </row>
    <row r="1257" spans="7:13" x14ac:dyDescent="0.35">
      <c r="G1257" s="88"/>
      <c r="H1257" s="89"/>
      <c r="L1257" s="88"/>
      <c r="M1257" s="89"/>
    </row>
    <row r="1258" spans="7:13" x14ac:dyDescent="0.35">
      <c r="G1258" s="88"/>
      <c r="H1258" s="89"/>
      <c r="L1258" s="88"/>
      <c r="M1258" s="89"/>
    </row>
    <row r="1259" spans="7:13" x14ac:dyDescent="0.35">
      <c r="G1259" s="88"/>
      <c r="H1259" s="89"/>
      <c r="L1259" s="88"/>
      <c r="M1259" s="89"/>
    </row>
    <row r="1260" spans="7:13" x14ac:dyDescent="0.35">
      <c r="G1260" s="88"/>
      <c r="H1260" s="89"/>
      <c r="L1260" s="88"/>
      <c r="M1260" s="89"/>
    </row>
    <row r="1261" spans="7:13" x14ac:dyDescent="0.35">
      <c r="G1261" s="88"/>
      <c r="H1261" s="89"/>
      <c r="L1261" s="88"/>
      <c r="M1261" s="89"/>
    </row>
    <row r="1262" spans="7:13" x14ac:dyDescent="0.35">
      <c r="G1262" s="88"/>
      <c r="H1262" s="89"/>
      <c r="L1262" s="88"/>
      <c r="M1262" s="89"/>
    </row>
    <row r="1263" spans="7:13" x14ac:dyDescent="0.35">
      <c r="G1263" s="88"/>
      <c r="H1263" s="89"/>
      <c r="L1263" s="88"/>
      <c r="M1263" s="89"/>
    </row>
    <row r="1264" spans="7:13" x14ac:dyDescent="0.35">
      <c r="G1264" s="88"/>
      <c r="H1264" s="89"/>
      <c r="L1264" s="88"/>
      <c r="M1264" s="89"/>
    </row>
    <row r="1265" spans="7:13" x14ac:dyDescent="0.35">
      <c r="G1265" s="88"/>
      <c r="H1265" s="89"/>
      <c r="L1265" s="88"/>
      <c r="M1265" s="89"/>
    </row>
    <row r="1266" spans="7:13" x14ac:dyDescent="0.35">
      <c r="G1266" s="88"/>
      <c r="H1266" s="89"/>
      <c r="L1266" s="88"/>
      <c r="M1266" s="89"/>
    </row>
    <row r="1267" spans="7:13" x14ac:dyDescent="0.35">
      <c r="G1267" s="88"/>
      <c r="H1267" s="89"/>
      <c r="L1267" s="88"/>
      <c r="M1267" s="89"/>
    </row>
    <row r="1268" spans="7:13" x14ac:dyDescent="0.35">
      <c r="G1268" s="88"/>
      <c r="H1268" s="89"/>
      <c r="L1268" s="88"/>
      <c r="M1268" s="89"/>
    </row>
    <row r="1269" spans="7:13" x14ac:dyDescent="0.35">
      <c r="G1269" s="88"/>
      <c r="H1269" s="89"/>
      <c r="L1269" s="88"/>
      <c r="M1269" s="89"/>
    </row>
    <row r="1270" spans="7:13" x14ac:dyDescent="0.35">
      <c r="G1270" s="88"/>
      <c r="H1270" s="89"/>
      <c r="L1270" s="88"/>
      <c r="M1270" s="89"/>
    </row>
    <row r="1271" spans="7:13" x14ac:dyDescent="0.35">
      <c r="G1271" s="88"/>
      <c r="H1271" s="89"/>
      <c r="L1271" s="88"/>
      <c r="M1271" s="89"/>
    </row>
    <row r="1272" spans="7:13" x14ac:dyDescent="0.35">
      <c r="G1272" s="88"/>
      <c r="H1272" s="89"/>
      <c r="L1272" s="88"/>
      <c r="M1272" s="89"/>
    </row>
    <row r="1273" spans="7:13" x14ac:dyDescent="0.35">
      <c r="G1273" s="88"/>
      <c r="H1273" s="89"/>
      <c r="L1273" s="88"/>
      <c r="M1273" s="89"/>
    </row>
    <row r="1274" spans="7:13" x14ac:dyDescent="0.35">
      <c r="G1274" s="88"/>
      <c r="H1274" s="89"/>
      <c r="L1274" s="88"/>
      <c r="M1274" s="89"/>
    </row>
    <row r="1275" spans="7:13" x14ac:dyDescent="0.35">
      <c r="G1275" s="88"/>
      <c r="H1275" s="89"/>
      <c r="L1275" s="88"/>
      <c r="M1275" s="89"/>
    </row>
    <row r="1276" spans="7:13" x14ac:dyDescent="0.35">
      <c r="G1276" s="88"/>
      <c r="H1276" s="89"/>
      <c r="L1276" s="88"/>
      <c r="M1276" s="89"/>
    </row>
    <row r="1277" spans="7:13" x14ac:dyDescent="0.35">
      <c r="G1277" s="88"/>
      <c r="H1277" s="89"/>
      <c r="L1277" s="88"/>
      <c r="M1277" s="89"/>
    </row>
    <row r="1278" spans="7:13" x14ac:dyDescent="0.35">
      <c r="G1278" s="88"/>
      <c r="H1278" s="89"/>
      <c r="L1278" s="88"/>
      <c r="M1278" s="89"/>
    </row>
    <row r="1279" spans="7:13" x14ac:dyDescent="0.35">
      <c r="G1279" s="88"/>
      <c r="H1279" s="89"/>
      <c r="L1279" s="88"/>
      <c r="M1279" s="89"/>
    </row>
    <row r="1280" spans="7:13" x14ac:dyDescent="0.35">
      <c r="G1280" s="88"/>
      <c r="H1280" s="89"/>
      <c r="L1280" s="88"/>
      <c r="M1280" s="89"/>
    </row>
    <row r="1281" spans="7:13" x14ac:dyDescent="0.35">
      <c r="G1281" s="88"/>
      <c r="H1281" s="89"/>
      <c r="L1281" s="88"/>
      <c r="M1281" s="89"/>
    </row>
    <row r="1282" spans="7:13" x14ac:dyDescent="0.35">
      <c r="G1282" s="88"/>
      <c r="H1282" s="89"/>
      <c r="L1282" s="88"/>
      <c r="M1282" s="89"/>
    </row>
    <row r="1283" spans="7:13" x14ac:dyDescent="0.35">
      <c r="G1283" s="88"/>
      <c r="H1283" s="89"/>
      <c r="L1283" s="88"/>
      <c r="M1283" s="89"/>
    </row>
    <row r="1284" spans="7:13" x14ac:dyDescent="0.35">
      <c r="G1284" s="88"/>
      <c r="H1284" s="89"/>
      <c r="L1284" s="88"/>
      <c r="M1284" s="89"/>
    </row>
    <row r="1285" spans="7:13" x14ac:dyDescent="0.35">
      <c r="G1285" s="88"/>
      <c r="H1285" s="89"/>
      <c r="L1285" s="88"/>
      <c r="M1285" s="89"/>
    </row>
    <row r="1286" spans="7:13" x14ac:dyDescent="0.35">
      <c r="G1286" s="88"/>
      <c r="H1286" s="89"/>
      <c r="L1286" s="88"/>
      <c r="M1286" s="89"/>
    </row>
    <row r="1287" spans="7:13" x14ac:dyDescent="0.35">
      <c r="G1287" s="88"/>
      <c r="H1287" s="89"/>
      <c r="L1287" s="88"/>
      <c r="M1287" s="89"/>
    </row>
    <row r="1288" spans="7:13" x14ac:dyDescent="0.35">
      <c r="G1288" s="88"/>
      <c r="H1288" s="89"/>
      <c r="L1288" s="88"/>
      <c r="M1288" s="89"/>
    </row>
    <row r="1289" spans="7:13" x14ac:dyDescent="0.35">
      <c r="G1289" s="88"/>
      <c r="H1289" s="89"/>
      <c r="L1289" s="88"/>
      <c r="M1289" s="89"/>
    </row>
    <row r="1290" spans="7:13" x14ac:dyDescent="0.35">
      <c r="G1290" s="88"/>
      <c r="H1290" s="89"/>
      <c r="L1290" s="88"/>
      <c r="M1290" s="89"/>
    </row>
    <row r="1291" spans="7:13" x14ac:dyDescent="0.35">
      <c r="G1291" s="88"/>
      <c r="H1291" s="89"/>
      <c r="L1291" s="88"/>
      <c r="M1291" s="89"/>
    </row>
    <row r="1292" spans="7:13" x14ac:dyDescent="0.35">
      <c r="G1292" s="88"/>
      <c r="H1292" s="89"/>
      <c r="L1292" s="88"/>
      <c r="M1292" s="89"/>
    </row>
    <row r="1293" spans="7:13" x14ac:dyDescent="0.35">
      <c r="G1293" s="88"/>
      <c r="H1293" s="89"/>
      <c r="L1293" s="88"/>
      <c r="M1293" s="89"/>
    </row>
    <row r="1294" spans="7:13" x14ac:dyDescent="0.35">
      <c r="G1294" s="88"/>
      <c r="H1294" s="89"/>
      <c r="L1294" s="88"/>
      <c r="M1294" s="89"/>
    </row>
    <row r="1295" spans="7:13" x14ac:dyDescent="0.35">
      <c r="G1295" s="88"/>
      <c r="H1295" s="89"/>
      <c r="L1295" s="88"/>
      <c r="M1295" s="89"/>
    </row>
    <row r="1296" spans="7:13" x14ac:dyDescent="0.35">
      <c r="G1296" s="88"/>
      <c r="H1296" s="89"/>
      <c r="L1296" s="88"/>
      <c r="M1296" s="89"/>
    </row>
    <row r="1297" spans="7:13" x14ac:dyDescent="0.35">
      <c r="G1297" s="88"/>
      <c r="H1297" s="89"/>
      <c r="L1297" s="88"/>
      <c r="M1297" s="89"/>
    </row>
    <row r="1298" spans="7:13" x14ac:dyDescent="0.35">
      <c r="G1298" s="88"/>
      <c r="H1298" s="89"/>
      <c r="L1298" s="88"/>
      <c r="M1298" s="89"/>
    </row>
    <row r="1299" spans="7:13" x14ac:dyDescent="0.35">
      <c r="G1299" s="88"/>
      <c r="H1299" s="89"/>
      <c r="L1299" s="88"/>
      <c r="M1299" s="89"/>
    </row>
    <row r="1300" spans="7:13" x14ac:dyDescent="0.35">
      <c r="G1300" s="88"/>
      <c r="H1300" s="89"/>
      <c r="L1300" s="88"/>
      <c r="M1300" s="89"/>
    </row>
    <row r="1301" spans="7:13" x14ac:dyDescent="0.35">
      <c r="G1301" s="88"/>
      <c r="H1301" s="89"/>
      <c r="L1301" s="88"/>
      <c r="M1301" s="89"/>
    </row>
    <row r="1302" spans="7:13" x14ac:dyDescent="0.35">
      <c r="G1302" s="88"/>
      <c r="H1302" s="89"/>
      <c r="L1302" s="88"/>
      <c r="M1302" s="89"/>
    </row>
    <row r="1303" spans="7:13" x14ac:dyDescent="0.35">
      <c r="G1303" s="88"/>
      <c r="H1303" s="89"/>
      <c r="L1303" s="88"/>
      <c r="M1303" s="89"/>
    </row>
    <row r="1304" spans="7:13" x14ac:dyDescent="0.35">
      <c r="G1304" s="88"/>
      <c r="H1304" s="89"/>
      <c r="L1304" s="88"/>
      <c r="M1304" s="89"/>
    </row>
    <row r="1305" spans="7:13" x14ac:dyDescent="0.35">
      <c r="G1305" s="88"/>
      <c r="H1305" s="89"/>
      <c r="L1305" s="88"/>
      <c r="M1305" s="89"/>
    </row>
    <row r="1306" spans="7:13" x14ac:dyDescent="0.35">
      <c r="G1306" s="88"/>
      <c r="H1306" s="89"/>
      <c r="L1306" s="88"/>
      <c r="M1306" s="89"/>
    </row>
    <row r="1307" spans="7:13" x14ac:dyDescent="0.35">
      <c r="G1307" s="88"/>
      <c r="H1307" s="89"/>
      <c r="L1307" s="88"/>
      <c r="M1307" s="89"/>
    </row>
    <row r="1308" spans="7:13" x14ac:dyDescent="0.35">
      <c r="G1308" s="88"/>
      <c r="H1308" s="89"/>
      <c r="L1308" s="88"/>
      <c r="M1308" s="89"/>
    </row>
    <row r="1309" spans="7:13" x14ac:dyDescent="0.35">
      <c r="G1309" s="88"/>
      <c r="H1309" s="89"/>
      <c r="L1309" s="88"/>
      <c r="M1309" s="89"/>
    </row>
    <row r="1310" spans="7:13" x14ac:dyDescent="0.35">
      <c r="G1310" s="88"/>
      <c r="H1310" s="89"/>
      <c r="L1310" s="88"/>
      <c r="M1310" s="89"/>
    </row>
    <row r="1311" spans="7:13" x14ac:dyDescent="0.35">
      <c r="G1311" s="88"/>
      <c r="H1311" s="89"/>
      <c r="L1311" s="88"/>
      <c r="M1311" s="89"/>
    </row>
    <row r="1312" spans="7:13" x14ac:dyDescent="0.35">
      <c r="G1312" s="88"/>
      <c r="H1312" s="89"/>
      <c r="L1312" s="88"/>
      <c r="M1312" s="89"/>
    </row>
    <row r="1313" spans="7:13" x14ac:dyDescent="0.35">
      <c r="G1313" s="88"/>
      <c r="H1313" s="89"/>
      <c r="L1313" s="88"/>
      <c r="M1313" s="89"/>
    </row>
    <row r="1314" spans="7:13" x14ac:dyDescent="0.35">
      <c r="G1314" s="88"/>
      <c r="H1314" s="89"/>
      <c r="L1314" s="88"/>
      <c r="M1314" s="89"/>
    </row>
    <row r="1315" spans="7:13" x14ac:dyDescent="0.35">
      <c r="G1315" s="88"/>
      <c r="H1315" s="89"/>
      <c r="L1315" s="88"/>
      <c r="M1315" s="89"/>
    </row>
    <row r="1316" spans="7:13" x14ac:dyDescent="0.35">
      <c r="G1316" s="88"/>
      <c r="H1316" s="89"/>
      <c r="L1316" s="88"/>
      <c r="M1316" s="89"/>
    </row>
    <row r="1317" spans="7:13" x14ac:dyDescent="0.35">
      <c r="G1317" s="88"/>
      <c r="H1317" s="89"/>
      <c r="L1317" s="88"/>
      <c r="M1317" s="89"/>
    </row>
    <row r="1318" spans="7:13" x14ac:dyDescent="0.35">
      <c r="G1318" s="88"/>
      <c r="H1318" s="89"/>
      <c r="L1318" s="88"/>
      <c r="M1318" s="89"/>
    </row>
    <row r="1319" spans="7:13" x14ac:dyDescent="0.35">
      <c r="G1319" s="88"/>
      <c r="H1319" s="89"/>
      <c r="L1319" s="88"/>
      <c r="M1319" s="89"/>
    </row>
    <row r="1320" spans="7:13" x14ac:dyDescent="0.35">
      <c r="G1320" s="88"/>
      <c r="H1320" s="89"/>
      <c r="L1320" s="88"/>
      <c r="M1320" s="89"/>
    </row>
    <row r="1321" spans="7:13" x14ac:dyDescent="0.35">
      <c r="G1321" s="88"/>
      <c r="H1321" s="89"/>
      <c r="L1321" s="88"/>
      <c r="M1321" s="89"/>
    </row>
    <row r="1322" spans="7:13" x14ac:dyDescent="0.35">
      <c r="G1322" s="88"/>
      <c r="H1322" s="89"/>
      <c r="L1322" s="88"/>
      <c r="M1322" s="89"/>
    </row>
    <row r="1323" spans="7:13" x14ac:dyDescent="0.35">
      <c r="G1323" s="88"/>
      <c r="H1323" s="89"/>
      <c r="L1323" s="88"/>
      <c r="M1323" s="89"/>
    </row>
    <row r="1324" spans="7:13" x14ac:dyDescent="0.35">
      <c r="G1324" s="88"/>
      <c r="H1324" s="89"/>
      <c r="L1324" s="88"/>
      <c r="M1324" s="89"/>
    </row>
    <row r="1325" spans="7:13" x14ac:dyDescent="0.35">
      <c r="G1325" s="88"/>
      <c r="H1325" s="89"/>
      <c r="L1325" s="88"/>
      <c r="M1325" s="89"/>
    </row>
    <row r="1326" spans="7:13" x14ac:dyDescent="0.35">
      <c r="G1326" s="88"/>
      <c r="H1326" s="89"/>
      <c r="L1326" s="88"/>
      <c r="M1326" s="89"/>
    </row>
    <row r="1327" spans="7:13" x14ac:dyDescent="0.35">
      <c r="G1327" s="88"/>
      <c r="H1327" s="89"/>
      <c r="L1327" s="88"/>
      <c r="M1327" s="89"/>
    </row>
    <row r="1328" spans="7:13" x14ac:dyDescent="0.35">
      <c r="G1328" s="88"/>
      <c r="H1328" s="89"/>
      <c r="L1328" s="88"/>
      <c r="M1328" s="89"/>
    </row>
    <row r="1329" spans="7:13" x14ac:dyDescent="0.35">
      <c r="G1329" s="88"/>
      <c r="H1329" s="89"/>
      <c r="L1329" s="88"/>
      <c r="M1329" s="89"/>
    </row>
    <row r="1330" spans="7:13" x14ac:dyDescent="0.35">
      <c r="G1330" s="88"/>
      <c r="H1330" s="89"/>
      <c r="L1330" s="88"/>
      <c r="M1330" s="89"/>
    </row>
    <row r="1331" spans="7:13" x14ac:dyDescent="0.35">
      <c r="G1331" s="88"/>
      <c r="H1331" s="89"/>
      <c r="L1331" s="88"/>
      <c r="M1331" s="89"/>
    </row>
    <row r="1332" spans="7:13" x14ac:dyDescent="0.35">
      <c r="G1332" s="88"/>
      <c r="H1332" s="89"/>
      <c r="L1332" s="88"/>
      <c r="M1332" s="89"/>
    </row>
    <row r="1333" spans="7:13" x14ac:dyDescent="0.35">
      <c r="G1333" s="88"/>
      <c r="H1333" s="89"/>
      <c r="L1333" s="88"/>
      <c r="M1333" s="89"/>
    </row>
    <row r="1334" spans="7:13" x14ac:dyDescent="0.35">
      <c r="G1334" s="88"/>
      <c r="H1334" s="89"/>
      <c r="L1334" s="88"/>
      <c r="M1334" s="89"/>
    </row>
    <row r="1335" spans="7:13" x14ac:dyDescent="0.35">
      <c r="G1335" s="88"/>
      <c r="H1335" s="89"/>
      <c r="L1335" s="88"/>
      <c r="M1335" s="89"/>
    </row>
    <row r="1336" spans="7:13" x14ac:dyDescent="0.35">
      <c r="G1336" s="88"/>
      <c r="H1336" s="89"/>
      <c r="L1336" s="88"/>
      <c r="M1336" s="89"/>
    </row>
    <row r="1337" spans="7:13" x14ac:dyDescent="0.35">
      <c r="G1337" s="88"/>
      <c r="H1337" s="89"/>
      <c r="L1337" s="88"/>
      <c r="M1337" s="89"/>
    </row>
    <row r="1338" spans="7:13" x14ac:dyDescent="0.35">
      <c r="G1338" s="88"/>
      <c r="H1338" s="89"/>
      <c r="L1338" s="88"/>
      <c r="M1338" s="89"/>
    </row>
    <row r="1339" spans="7:13" x14ac:dyDescent="0.35">
      <c r="G1339" s="88"/>
      <c r="H1339" s="89"/>
      <c r="L1339" s="88"/>
      <c r="M1339" s="89"/>
    </row>
    <row r="1340" spans="7:13" x14ac:dyDescent="0.35">
      <c r="G1340" s="88"/>
      <c r="H1340" s="89"/>
      <c r="L1340" s="88"/>
      <c r="M1340" s="89"/>
    </row>
    <row r="1341" spans="7:13" x14ac:dyDescent="0.35">
      <c r="G1341" s="88"/>
      <c r="H1341" s="89"/>
      <c r="L1341" s="88"/>
      <c r="M1341" s="89"/>
    </row>
    <row r="1342" spans="7:13" x14ac:dyDescent="0.35">
      <c r="G1342" s="88"/>
      <c r="H1342" s="89"/>
      <c r="L1342" s="88"/>
      <c r="M1342" s="89"/>
    </row>
    <row r="1343" spans="7:13" x14ac:dyDescent="0.35">
      <c r="G1343" s="88"/>
      <c r="H1343" s="89"/>
      <c r="L1343" s="88"/>
      <c r="M1343" s="89"/>
    </row>
    <row r="1344" spans="7:13" x14ac:dyDescent="0.35">
      <c r="G1344" s="88"/>
      <c r="H1344" s="89"/>
      <c r="L1344" s="88"/>
      <c r="M1344" s="89"/>
    </row>
    <row r="1345" spans="7:13" x14ac:dyDescent="0.35">
      <c r="G1345" s="88"/>
      <c r="H1345" s="89"/>
      <c r="L1345" s="88"/>
      <c r="M1345" s="89"/>
    </row>
    <row r="1346" spans="7:13" x14ac:dyDescent="0.35">
      <c r="G1346" s="88"/>
      <c r="H1346" s="89"/>
      <c r="L1346" s="88"/>
      <c r="M1346" s="89"/>
    </row>
    <row r="1347" spans="7:13" x14ac:dyDescent="0.35">
      <c r="G1347" s="88"/>
      <c r="H1347" s="89"/>
      <c r="L1347" s="88"/>
      <c r="M1347" s="89"/>
    </row>
    <row r="1348" spans="7:13" x14ac:dyDescent="0.35">
      <c r="G1348" s="88"/>
      <c r="H1348" s="89"/>
      <c r="L1348" s="88"/>
      <c r="M1348" s="89"/>
    </row>
    <row r="1349" spans="7:13" x14ac:dyDescent="0.35">
      <c r="G1349" s="88"/>
      <c r="H1349" s="89"/>
      <c r="L1349" s="88"/>
      <c r="M1349" s="89"/>
    </row>
    <row r="1350" spans="7:13" x14ac:dyDescent="0.35">
      <c r="G1350" s="88"/>
      <c r="H1350" s="89"/>
      <c r="L1350" s="88"/>
      <c r="M1350" s="89"/>
    </row>
    <row r="1351" spans="7:13" x14ac:dyDescent="0.35">
      <c r="G1351" s="88"/>
      <c r="H1351" s="89"/>
      <c r="L1351" s="88"/>
      <c r="M1351" s="89"/>
    </row>
    <row r="1352" spans="7:13" x14ac:dyDescent="0.35">
      <c r="G1352" s="88"/>
      <c r="H1352" s="89"/>
      <c r="L1352" s="88"/>
      <c r="M1352" s="89"/>
    </row>
    <row r="1353" spans="7:13" x14ac:dyDescent="0.35">
      <c r="G1353" s="88"/>
      <c r="H1353" s="89"/>
      <c r="L1353" s="88"/>
      <c r="M1353" s="89"/>
    </row>
    <row r="1354" spans="7:13" x14ac:dyDescent="0.35">
      <c r="G1354" s="88"/>
      <c r="H1354" s="89"/>
      <c r="L1354" s="88"/>
      <c r="M1354" s="89"/>
    </row>
    <row r="1355" spans="7:13" x14ac:dyDescent="0.35">
      <c r="G1355" s="88"/>
      <c r="H1355" s="89"/>
      <c r="L1355" s="88"/>
      <c r="M1355" s="89"/>
    </row>
    <row r="1356" spans="7:13" x14ac:dyDescent="0.35">
      <c r="G1356" s="88"/>
      <c r="H1356" s="89"/>
      <c r="L1356" s="88"/>
      <c r="M1356" s="89"/>
    </row>
    <row r="1357" spans="7:13" x14ac:dyDescent="0.35">
      <c r="G1357" s="88"/>
      <c r="H1357" s="89"/>
      <c r="L1357" s="88"/>
      <c r="M1357" s="89"/>
    </row>
    <row r="1358" spans="7:13" x14ac:dyDescent="0.35">
      <c r="G1358" s="88"/>
      <c r="H1358" s="89"/>
      <c r="L1358" s="88"/>
      <c r="M1358" s="89"/>
    </row>
    <row r="1359" spans="7:13" x14ac:dyDescent="0.35">
      <c r="G1359" s="88"/>
      <c r="H1359" s="89"/>
      <c r="L1359" s="88"/>
      <c r="M1359" s="89"/>
    </row>
    <row r="1360" spans="7:13" x14ac:dyDescent="0.35">
      <c r="G1360" s="88"/>
      <c r="H1360" s="89"/>
      <c r="L1360" s="88"/>
      <c r="M1360" s="89"/>
    </row>
    <row r="1361" spans="7:13" x14ac:dyDescent="0.35">
      <c r="G1361" s="88"/>
      <c r="H1361" s="89"/>
      <c r="L1361" s="88"/>
      <c r="M1361" s="89"/>
    </row>
    <row r="1362" spans="7:13" x14ac:dyDescent="0.35">
      <c r="G1362" s="88"/>
      <c r="H1362" s="89"/>
      <c r="L1362" s="88"/>
      <c r="M1362" s="89"/>
    </row>
    <row r="1363" spans="7:13" x14ac:dyDescent="0.35">
      <c r="G1363" s="88"/>
      <c r="H1363" s="89"/>
      <c r="L1363" s="88"/>
      <c r="M1363" s="89"/>
    </row>
    <row r="1364" spans="7:13" x14ac:dyDescent="0.35">
      <c r="G1364" s="88"/>
      <c r="H1364" s="89"/>
      <c r="L1364" s="88"/>
      <c r="M1364" s="89"/>
    </row>
    <row r="1365" spans="7:13" x14ac:dyDescent="0.35">
      <c r="G1365" s="88"/>
      <c r="H1365" s="89"/>
      <c r="L1365" s="88"/>
      <c r="M1365" s="89"/>
    </row>
    <row r="1366" spans="7:13" x14ac:dyDescent="0.35">
      <c r="G1366" s="88"/>
      <c r="H1366" s="89"/>
      <c r="L1366" s="88"/>
      <c r="M1366" s="89"/>
    </row>
    <row r="1367" spans="7:13" x14ac:dyDescent="0.35">
      <c r="G1367" s="88"/>
      <c r="H1367" s="89"/>
      <c r="L1367" s="88"/>
      <c r="M1367" s="89"/>
    </row>
    <row r="1368" spans="7:13" x14ac:dyDescent="0.35">
      <c r="G1368" s="88"/>
      <c r="H1368" s="89"/>
      <c r="L1368" s="88"/>
      <c r="M1368" s="89"/>
    </row>
    <row r="1369" spans="7:13" x14ac:dyDescent="0.35">
      <c r="G1369" s="88"/>
      <c r="H1369" s="89"/>
      <c r="L1369" s="88"/>
      <c r="M1369" s="89"/>
    </row>
    <row r="1370" spans="7:13" x14ac:dyDescent="0.35">
      <c r="G1370" s="88"/>
      <c r="H1370" s="89"/>
      <c r="L1370" s="88"/>
      <c r="M1370" s="89"/>
    </row>
    <row r="1371" spans="7:13" x14ac:dyDescent="0.35">
      <c r="G1371" s="88"/>
      <c r="H1371" s="89"/>
      <c r="L1371" s="88"/>
      <c r="M1371" s="89"/>
    </row>
    <row r="1372" spans="7:13" x14ac:dyDescent="0.35">
      <c r="G1372" s="88"/>
      <c r="H1372" s="89"/>
      <c r="L1372" s="88"/>
      <c r="M1372" s="89"/>
    </row>
    <row r="1373" spans="7:13" x14ac:dyDescent="0.35">
      <c r="G1373" s="88"/>
      <c r="H1373" s="89"/>
      <c r="L1373" s="88"/>
      <c r="M1373" s="89"/>
    </row>
    <row r="1374" spans="7:13" x14ac:dyDescent="0.35">
      <c r="G1374" s="88"/>
      <c r="H1374" s="89"/>
      <c r="L1374" s="88"/>
      <c r="M1374" s="89"/>
    </row>
    <row r="1375" spans="7:13" x14ac:dyDescent="0.35">
      <c r="G1375" s="88"/>
      <c r="H1375" s="89"/>
      <c r="L1375" s="88"/>
      <c r="M1375" s="89"/>
    </row>
    <row r="1376" spans="7:13" x14ac:dyDescent="0.35">
      <c r="G1376" s="88"/>
      <c r="H1376" s="89"/>
      <c r="L1376" s="88"/>
      <c r="M1376" s="89"/>
    </row>
    <row r="1377" spans="7:13" x14ac:dyDescent="0.35">
      <c r="G1377" s="88"/>
      <c r="H1377" s="89"/>
      <c r="L1377" s="88"/>
      <c r="M1377" s="89"/>
    </row>
    <row r="1378" spans="7:13" x14ac:dyDescent="0.35">
      <c r="G1378" s="88"/>
      <c r="H1378" s="89"/>
      <c r="L1378" s="88"/>
      <c r="M1378" s="89"/>
    </row>
    <row r="1379" spans="7:13" x14ac:dyDescent="0.35">
      <c r="G1379" s="88"/>
      <c r="H1379" s="89"/>
      <c r="L1379" s="88"/>
      <c r="M1379" s="89"/>
    </row>
    <row r="1380" spans="7:13" x14ac:dyDescent="0.35">
      <c r="G1380" s="88"/>
      <c r="H1380" s="89"/>
      <c r="L1380" s="88"/>
      <c r="M1380" s="89"/>
    </row>
    <row r="1381" spans="7:13" x14ac:dyDescent="0.35">
      <c r="G1381" s="88"/>
      <c r="H1381" s="89"/>
      <c r="L1381" s="88"/>
      <c r="M1381" s="89"/>
    </row>
    <row r="1382" spans="7:13" x14ac:dyDescent="0.35">
      <c r="G1382" s="88"/>
      <c r="H1382" s="89"/>
      <c r="L1382" s="88"/>
      <c r="M1382" s="89"/>
    </row>
    <row r="1383" spans="7:13" x14ac:dyDescent="0.35">
      <c r="G1383" s="88"/>
      <c r="H1383" s="89"/>
      <c r="L1383" s="88"/>
      <c r="M1383" s="89"/>
    </row>
    <row r="1384" spans="7:13" x14ac:dyDescent="0.35">
      <c r="G1384" s="88"/>
      <c r="H1384" s="89"/>
      <c r="L1384" s="88"/>
      <c r="M1384" s="89"/>
    </row>
    <row r="1385" spans="7:13" x14ac:dyDescent="0.35">
      <c r="G1385" s="88"/>
      <c r="H1385" s="89"/>
      <c r="L1385" s="88"/>
      <c r="M1385" s="89"/>
    </row>
    <row r="1386" spans="7:13" x14ac:dyDescent="0.35">
      <c r="G1386" s="88"/>
      <c r="H1386" s="89"/>
      <c r="L1386" s="88"/>
      <c r="M1386" s="89"/>
    </row>
    <row r="1387" spans="7:13" x14ac:dyDescent="0.35">
      <c r="G1387" s="88"/>
      <c r="H1387" s="89"/>
      <c r="L1387" s="88"/>
      <c r="M1387" s="89"/>
    </row>
    <row r="1388" spans="7:13" x14ac:dyDescent="0.35">
      <c r="G1388" s="88"/>
      <c r="H1388" s="89"/>
      <c r="L1388" s="88"/>
      <c r="M1388" s="89"/>
    </row>
    <row r="1389" spans="7:13" x14ac:dyDescent="0.35">
      <c r="G1389" s="88"/>
      <c r="H1389" s="89"/>
      <c r="L1389" s="88"/>
      <c r="M1389" s="89"/>
    </row>
    <row r="1390" spans="7:13" x14ac:dyDescent="0.35">
      <c r="G1390" s="88"/>
      <c r="H1390" s="89"/>
      <c r="L1390" s="88"/>
      <c r="M1390" s="89"/>
    </row>
    <row r="1391" spans="7:13" x14ac:dyDescent="0.35">
      <c r="G1391" s="88"/>
      <c r="H1391" s="89"/>
      <c r="L1391" s="88"/>
      <c r="M1391" s="89"/>
    </row>
    <row r="1392" spans="7:13" x14ac:dyDescent="0.35">
      <c r="G1392" s="88"/>
      <c r="H1392" s="89"/>
      <c r="L1392" s="88"/>
      <c r="M1392" s="89"/>
    </row>
    <row r="1393" spans="7:13" x14ac:dyDescent="0.35">
      <c r="G1393" s="88"/>
      <c r="H1393" s="89"/>
      <c r="L1393" s="88"/>
      <c r="M1393" s="89"/>
    </row>
    <row r="1394" spans="7:13" x14ac:dyDescent="0.35">
      <c r="G1394" s="88"/>
      <c r="H1394" s="89"/>
      <c r="L1394" s="88"/>
      <c r="M1394" s="89"/>
    </row>
    <row r="1395" spans="7:13" x14ac:dyDescent="0.35">
      <c r="G1395" s="88"/>
      <c r="H1395" s="89"/>
      <c r="L1395" s="88"/>
      <c r="M1395" s="89"/>
    </row>
    <row r="1396" spans="7:13" x14ac:dyDescent="0.35">
      <c r="G1396" s="88"/>
      <c r="H1396" s="89"/>
      <c r="L1396" s="88"/>
      <c r="M1396" s="89"/>
    </row>
    <row r="1397" spans="7:13" x14ac:dyDescent="0.35">
      <c r="G1397" s="88"/>
      <c r="H1397" s="89"/>
      <c r="L1397" s="88"/>
      <c r="M1397" s="89"/>
    </row>
    <row r="1398" spans="7:13" x14ac:dyDescent="0.35">
      <c r="G1398" s="88"/>
      <c r="H1398" s="89"/>
      <c r="L1398" s="88"/>
      <c r="M1398" s="89"/>
    </row>
    <row r="1399" spans="7:13" x14ac:dyDescent="0.35">
      <c r="G1399" s="88"/>
      <c r="H1399" s="89"/>
      <c r="L1399" s="88"/>
      <c r="M1399" s="89"/>
    </row>
    <row r="1400" spans="7:13" x14ac:dyDescent="0.35">
      <c r="G1400" s="88"/>
      <c r="H1400" s="89"/>
      <c r="L1400" s="88"/>
      <c r="M1400" s="89"/>
    </row>
    <row r="1401" spans="7:13" x14ac:dyDescent="0.35">
      <c r="G1401" s="88"/>
      <c r="H1401" s="89"/>
      <c r="L1401" s="88"/>
      <c r="M1401" s="89"/>
    </row>
    <row r="1402" spans="7:13" x14ac:dyDescent="0.35">
      <c r="G1402" s="88"/>
      <c r="H1402" s="89"/>
      <c r="L1402" s="88"/>
      <c r="M1402" s="89"/>
    </row>
    <row r="1403" spans="7:13" x14ac:dyDescent="0.35">
      <c r="G1403" s="88"/>
      <c r="H1403" s="89"/>
      <c r="L1403" s="88"/>
      <c r="M1403" s="89"/>
    </row>
    <row r="1404" spans="7:13" x14ac:dyDescent="0.35">
      <c r="G1404" s="88"/>
      <c r="H1404" s="89"/>
      <c r="L1404" s="88"/>
      <c r="M1404" s="89"/>
    </row>
    <row r="1405" spans="7:13" x14ac:dyDescent="0.35">
      <c r="G1405" s="88"/>
      <c r="H1405" s="89"/>
      <c r="L1405" s="88"/>
      <c r="M1405" s="89"/>
    </row>
    <row r="1406" spans="7:13" x14ac:dyDescent="0.35">
      <c r="G1406" s="88"/>
      <c r="H1406" s="89"/>
      <c r="L1406" s="88"/>
      <c r="M1406" s="89"/>
    </row>
    <row r="1407" spans="7:13" x14ac:dyDescent="0.35">
      <c r="G1407" s="88"/>
      <c r="H1407" s="89"/>
      <c r="L1407" s="88"/>
      <c r="M1407" s="89"/>
    </row>
    <row r="1408" spans="7:13" x14ac:dyDescent="0.35">
      <c r="G1408" s="88"/>
      <c r="H1408" s="89"/>
      <c r="L1408" s="88"/>
      <c r="M1408" s="89"/>
    </row>
    <row r="1409" spans="7:13" x14ac:dyDescent="0.35">
      <c r="G1409" s="88"/>
      <c r="H1409" s="89"/>
      <c r="L1409" s="88"/>
      <c r="M1409" s="89"/>
    </row>
    <row r="1410" spans="7:13" x14ac:dyDescent="0.35">
      <c r="G1410" s="88"/>
      <c r="H1410" s="89"/>
      <c r="L1410" s="88"/>
      <c r="M1410" s="89"/>
    </row>
    <row r="1411" spans="7:13" x14ac:dyDescent="0.35">
      <c r="G1411" s="88"/>
      <c r="H1411" s="89"/>
      <c r="L1411" s="88"/>
      <c r="M1411" s="89"/>
    </row>
    <row r="1412" spans="7:13" x14ac:dyDescent="0.35">
      <c r="G1412" s="88"/>
      <c r="H1412" s="89"/>
      <c r="L1412" s="88"/>
      <c r="M1412" s="89"/>
    </row>
    <row r="1413" spans="7:13" x14ac:dyDescent="0.35">
      <c r="G1413" s="88"/>
      <c r="H1413" s="89"/>
      <c r="L1413" s="88"/>
      <c r="M1413" s="89"/>
    </row>
    <row r="1414" spans="7:13" x14ac:dyDescent="0.35">
      <c r="G1414" s="88"/>
      <c r="H1414" s="89"/>
      <c r="L1414" s="88"/>
      <c r="M1414" s="89"/>
    </row>
    <row r="1415" spans="7:13" x14ac:dyDescent="0.35">
      <c r="G1415" s="88"/>
      <c r="H1415" s="89"/>
      <c r="L1415" s="88"/>
      <c r="M1415" s="89"/>
    </row>
    <row r="1416" spans="7:13" x14ac:dyDescent="0.35">
      <c r="G1416" s="88"/>
      <c r="H1416" s="89"/>
      <c r="L1416" s="88"/>
      <c r="M1416" s="89"/>
    </row>
    <row r="1417" spans="7:13" x14ac:dyDescent="0.35">
      <c r="G1417" s="88"/>
      <c r="H1417" s="89"/>
      <c r="L1417" s="88"/>
      <c r="M1417" s="89"/>
    </row>
    <row r="1418" spans="7:13" x14ac:dyDescent="0.35">
      <c r="G1418" s="88"/>
      <c r="H1418" s="89"/>
      <c r="L1418" s="88"/>
      <c r="M1418" s="89"/>
    </row>
    <row r="1419" spans="7:13" x14ac:dyDescent="0.35">
      <c r="G1419" s="88"/>
      <c r="H1419" s="89"/>
      <c r="L1419" s="88"/>
      <c r="M1419" s="89"/>
    </row>
    <row r="1420" spans="7:13" x14ac:dyDescent="0.35">
      <c r="G1420" s="88"/>
      <c r="H1420" s="89"/>
      <c r="L1420" s="88"/>
      <c r="M1420" s="89"/>
    </row>
    <row r="1421" spans="7:13" x14ac:dyDescent="0.35">
      <c r="G1421" s="88"/>
      <c r="H1421" s="89"/>
      <c r="L1421" s="88"/>
      <c r="M1421" s="89"/>
    </row>
    <row r="1422" spans="7:13" x14ac:dyDescent="0.35">
      <c r="G1422" s="88"/>
      <c r="H1422" s="89"/>
      <c r="L1422" s="88"/>
      <c r="M1422" s="89"/>
    </row>
    <row r="1423" spans="7:13" x14ac:dyDescent="0.35">
      <c r="G1423" s="88"/>
      <c r="H1423" s="89"/>
      <c r="L1423" s="88"/>
      <c r="M1423" s="89"/>
    </row>
    <row r="1424" spans="7:13" x14ac:dyDescent="0.35">
      <c r="G1424" s="88"/>
      <c r="H1424" s="89"/>
      <c r="L1424" s="88"/>
      <c r="M1424" s="89"/>
    </row>
    <row r="1425" spans="7:13" x14ac:dyDescent="0.35">
      <c r="G1425" s="88"/>
      <c r="H1425" s="89"/>
      <c r="L1425" s="88"/>
      <c r="M1425" s="89"/>
    </row>
    <row r="1426" spans="7:13" x14ac:dyDescent="0.35">
      <c r="G1426" s="88"/>
      <c r="H1426" s="89"/>
      <c r="L1426" s="88"/>
      <c r="M1426" s="89"/>
    </row>
    <row r="1427" spans="7:13" x14ac:dyDescent="0.35">
      <c r="G1427" s="88"/>
      <c r="H1427" s="89"/>
      <c r="L1427" s="88"/>
      <c r="M1427" s="89"/>
    </row>
    <row r="1428" spans="7:13" x14ac:dyDescent="0.35">
      <c r="G1428" s="88"/>
      <c r="H1428" s="89"/>
      <c r="L1428" s="88"/>
      <c r="M1428" s="89"/>
    </row>
    <row r="1429" spans="7:13" x14ac:dyDescent="0.35">
      <c r="G1429" s="88"/>
      <c r="H1429" s="89"/>
      <c r="L1429" s="88"/>
      <c r="M1429" s="89"/>
    </row>
    <row r="1430" spans="7:13" x14ac:dyDescent="0.35">
      <c r="G1430" s="88"/>
      <c r="H1430" s="89"/>
      <c r="L1430" s="88"/>
      <c r="M1430" s="89"/>
    </row>
    <row r="1431" spans="7:13" x14ac:dyDescent="0.35">
      <c r="G1431" s="88"/>
      <c r="H1431" s="89"/>
      <c r="L1431" s="88"/>
      <c r="M1431" s="89"/>
    </row>
    <row r="1432" spans="7:13" x14ac:dyDescent="0.35">
      <c r="G1432" s="88"/>
      <c r="H1432" s="89"/>
      <c r="L1432" s="88"/>
      <c r="M1432" s="89"/>
    </row>
    <row r="1433" spans="7:13" x14ac:dyDescent="0.35">
      <c r="G1433" s="88"/>
      <c r="H1433" s="89"/>
      <c r="L1433" s="88"/>
      <c r="M1433" s="89"/>
    </row>
    <row r="1434" spans="7:13" x14ac:dyDescent="0.35">
      <c r="G1434" s="88"/>
      <c r="H1434" s="89"/>
      <c r="L1434" s="88"/>
      <c r="M1434" s="89"/>
    </row>
    <row r="1435" spans="7:13" x14ac:dyDescent="0.35">
      <c r="G1435" s="88"/>
      <c r="H1435" s="89"/>
      <c r="L1435" s="88"/>
      <c r="M1435" s="89"/>
    </row>
    <row r="1436" spans="7:13" x14ac:dyDescent="0.35">
      <c r="G1436" s="88"/>
      <c r="H1436" s="89"/>
      <c r="L1436" s="88"/>
      <c r="M1436" s="89"/>
    </row>
    <row r="1437" spans="7:13" x14ac:dyDescent="0.35">
      <c r="G1437" s="88"/>
      <c r="H1437" s="89"/>
      <c r="L1437" s="88"/>
      <c r="M1437" s="89"/>
    </row>
    <row r="1438" spans="7:13" x14ac:dyDescent="0.35">
      <c r="G1438" s="88"/>
      <c r="H1438" s="89"/>
      <c r="L1438" s="88"/>
      <c r="M1438" s="89"/>
    </row>
    <row r="1439" spans="7:13" x14ac:dyDescent="0.35">
      <c r="G1439" s="88"/>
      <c r="H1439" s="89"/>
      <c r="L1439" s="88"/>
      <c r="M1439" s="89"/>
    </row>
    <row r="1440" spans="7:13" x14ac:dyDescent="0.35">
      <c r="G1440" s="88"/>
      <c r="H1440" s="89"/>
      <c r="L1440" s="88"/>
      <c r="M1440" s="89"/>
    </row>
    <row r="1441" spans="7:13" x14ac:dyDescent="0.35">
      <c r="G1441" s="88"/>
      <c r="H1441" s="89"/>
      <c r="L1441" s="88"/>
      <c r="M1441" s="89"/>
    </row>
    <row r="1442" spans="7:13" x14ac:dyDescent="0.35">
      <c r="G1442" s="88"/>
      <c r="H1442" s="89"/>
      <c r="L1442" s="88"/>
      <c r="M1442" s="89"/>
    </row>
    <row r="1443" spans="7:13" x14ac:dyDescent="0.35">
      <c r="G1443" s="88"/>
      <c r="H1443" s="89"/>
      <c r="L1443" s="88"/>
      <c r="M1443" s="89"/>
    </row>
    <row r="1444" spans="7:13" x14ac:dyDescent="0.35">
      <c r="G1444" s="88"/>
      <c r="H1444" s="89"/>
      <c r="L1444" s="88"/>
      <c r="M1444" s="89"/>
    </row>
    <row r="1445" spans="7:13" x14ac:dyDescent="0.35">
      <c r="G1445" s="88"/>
      <c r="H1445" s="89"/>
      <c r="L1445" s="88"/>
      <c r="M1445" s="89"/>
    </row>
    <row r="1446" spans="7:13" x14ac:dyDescent="0.35">
      <c r="G1446" s="88"/>
      <c r="H1446" s="89"/>
      <c r="L1446" s="88"/>
      <c r="M1446" s="89"/>
    </row>
    <row r="1447" spans="7:13" x14ac:dyDescent="0.35">
      <c r="G1447" s="88"/>
      <c r="H1447" s="89"/>
      <c r="L1447" s="88"/>
      <c r="M1447" s="89"/>
    </row>
    <row r="1448" spans="7:13" x14ac:dyDescent="0.35">
      <c r="G1448" s="88"/>
      <c r="H1448" s="89"/>
      <c r="L1448" s="88"/>
      <c r="M1448" s="89"/>
    </row>
    <row r="1449" spans="7:13" x14ac:dyDescent="0.35">
      <c r="G1449" s="88"/>
      <c r="H1449" s="89"/>
      <c r="L1449" s="88"/>
      <c r="M1449" s="89"/>
    </row>
    <row r="1450" spans="7:13" x14ac:dyDescent="0.35">
      <c r="G1450" s="88"/>
      <c r="H1450" s="89"/>
      <c r="L1450" s="88"/>
      <c r="M1450" s="89"/>
    </row>
    <row r="1451" spans="7:13" x14ac:dyDescent="0.35">
      <c r="G1451" s="88"/>
      <c r="H1451" s="89"/>
      <c r="L1451" s="88"/>
      <c r="M1451" s="89"/>
    </row>
    <row r="1452" spans="7:13" x14ac:dyDescent="0.35">
      <c r="G1452" s="88"/>
      <c r="H1452" s="89"/>
      <c r="L1452" s="88"/>
      <c r="M1452" s="89"/>
    </row>
    <row r="1453" spans="7:13" x14ac:dyDescent="0.35">
      <c r="G1453" s="88"/>
      <c r="H1453" s="89"/>
      <c r="L1453" s="88"/>
      <c r="M1453" s="89"/>
    </row>
    <row r="1454" spans="7:13" x14ac:dyDescent="0.35">
      <c r="G1454" s="88"/>
      <c r="H1454" s="89"/>
      <c r="L1454" s="88"/>
      <c r="M1454" s="89"/>
    </row>
    <row r="1455" spans="7:13" x14ac:dyDescent="0.35">
      <c r="G1455" s="88"/>
      <c r="H1455" s="89"/>
      <c r="L1455" s="88"/>
      <c r="M1455" s="89"/>
    </row>
    <row r="1456" spans="7:13" x14ac:dyDescent="0.35">
      <c r="G1456" s="88"/>
      <c r="H1456" s="89"/>
      <c r="L1456" s="88"/>
      <c r="M1456" s="89"/>
    </row>
    <row r="1457" spans="7:13" x14ac:dyDescent="0.35">
      <c r="G1457" s="88"/>
      <c r="H1457" s="89"/>
      <c r="L1457" s="88"/>
      <c r="M1457" s="89"/>
    </row>
    <row r="1458" spans="7:13" x14ac:dyDescent="0.35">
      <c r="G1458" s="88"/>
      <c r="H1458" s="89"/>
      <c r="L1458" s="88"/>
      <c r="M1458" s="89"/>
    </row>
    <row r="1459" spans="7:13" x14ac:dyDescent="0.35">
      <c r="G1459" s="88"/>
      <c r="H1459" s="89"/>
      <c r="L1459" s="88"/>
      <c r="M1459" s="89"/>
    </row>
    <row r="1460" spans="7:13" x14ac:dyDescent="0.35">
      <c r="G1460" s="88"/>
      <c r="H1460" s="89"/>
      <c r="L1460" s="88"/>
      <c r="M1460" s="89"/>
    </row>
    <row r="1461" spans="7:13" x14ac:dyDescent="0.35">
      <c r="G1461" s="88"/>
      <c r="H1461" s="89"/>
      <c r="L1461" s="88"/>
      <c r="M1461" s="89"/>
    </row>
    <row r="1462" spans="7:13" x14ac:dyDescent="0.35">
      <c r="G1462" s="88"/>
      <c r="H1462" s="89"/>
      <c r="L1462" s="88"/>
      <c r="M1462" s="89"/>
    </row>
    <row r="1463" spans="7:13" x14ac:dyDescent="0.35">
      <c r="G1463" s="88"/>
      <c r="H1463" s="89"/>
      <c r="L1463" s="88"/>
      <c r="M1463" s="89"/>
    </row>
    <row r="1464" spans="7:13" x14ac:dyDescent="0.35">
      <c r="G1464" s="88"/>
      <c r="H1464" s="89"/>
      <c r="L1464" s="88"/>
      <c r="M1464" s="89"/>
    </row>
    <row r="1465" spans="7:13" x14ac:dyDescent="0.35">
      <c r="G1465" s="88"/>
      <c r="H1465" s="89"/>
      <c r="L1465" s="88"/>
      <c r="M1465" s="89"/>
    </row>
    <row r="1466" spans="7:13" x14ac:dyDescent="0.35">
      <c r="G1466" s="88"/>
      <c r="H1466" s="89"/>
      <c r="L1466" s="88"/>
      <c r="M1466" s="89"/>
    </row>
    <row r="1467" spans="7:13" x14ac:dyDescent="0.35">
      <c r="G1467" s="88"/>
      <c r="H1467" s="89"/>
      <c r="L1467" s="88"/>
      <c r="M1467" s="89"/>
    </row>
    <row r="1468" spans="7:13" x14ac:dyDescent="0.35">
      <c r="G1468" s="88"/>
      <c r="H1468" s="89"/>
      <c r="L1468" s="88"/>
      <c r="M1468" s="89"/>
    </row>
    <row r="1469" spans="7:13" x14ac:dyDescent="0.35">
      <c r="G1469" s="88"/>
      <c r="H1469" s="89"/>
      <c r="L1469" s="88"/>
      <c r="M1469" s="89"/>
    </row>
    <row r="1470" spans="7:13" x14ac:dyDescent="0.35">
      <c r="G1470" s="88"/>
      <c r="H1470" s="89"/>
      <c r="L1470" s="88"/>
      <c r="M1470" s="89"/>
    </row>
    <row r="1471" spans="7:13" x14ac:dyDescent="0.35">
      <c r="G1471" s="88"/>
      <c r="H1471" s="89"/>
      <c r="L1471" s="88"/>
      <c r="M1471" s="89"/>
    </row>
    <row r="1472" spans="7:13" x14ac:dyDescent="0.35">
      <c r="G1472" s="88"/>
      <c r="H1472" s="89"/>
      <c r="L1472" s="88"/>
      <c r="M1472" s="89"/>
    </row>
    <row r="1473" spans="7:13" x14ac:dyDescent="0.35">
      <c r="G1473" s="88"/>
      <c r="H1473" s="89"/>
      <c r="L1473" s="88"/>
      <c r="M1473" s="89"/>
    </row>
    <row r="1474" spans="7:13" x14ac:dyDescent="0.35">
      <c r="G1474" s="88"/>
      <c r="H1474" s="89"/>
      <c r="L1474" s="88"/>
      <c r="M1474" s="89"/>
    </row>
    <row r="1475" spans="7:13" x14ac:dyDescent="0.35">
      <c r="G1475" s="88"/>
      <c r="H1475" s="89"/>
      <c r="L1475" s="88"/>
      <c r="M1475" s="89"/>
    </row>
    <row r="1476" spans="7:13" x14ac:dyDescent="0.35">
      <c r="G1476" s="88"/>
      <c r="H1476" s="89"/>
      <c r="L1476" s="88"/>
      <c r="M1476" s="89"/>
    </row>
    <row r="1477" spans="7:13" x14ac:dyDescent="0.35">
      <c r="G1477" s="88"/>
      <c r="H1477" s="89"/>
      <c r="L1477" s="88"/>
      <c r="M1477" s="89"/>
    </row>
    <row r="1478" spans="7:13" x14ac:dyDescent="0.35">
      <c r="G1478" s="88"/>
      <c r="H1478" s="89"/>
      <c r="L1478" s="88"/>
      <c r="M1478" s="89"/>
    </row>
    <row r="1479" spans="7:13" x14ac:dyDescent="0.35">
      <c r="G1479" s="88"/>
      <c r="H1479" s="89"/>
      <c r="L1479" s="88"/>
      <c r="M1479" s="89"/>
    </row>
    <row r="1480" spans="7:13" x14ac:dyDescent="0.35">
      <c r="G1480" s="88"/>
      <c r="H1480" s="89"/>
      <c r="L1480" s="88"/>
      <c r="M1480" s="89"/>
    </row>
    <row r="1481" spans="7:13" x14ac:dyDescent="0.35">
      <c r="G1481" s="88"/>
      <c r="H1481" s="89"/>
      <c r="L1481" s="88"/>
      <c r="M1481" s="89"/>
    </row>
    <row r="1482" spans="7:13" x14ac:dyDescent="0.35">
      <c r="G1482" s="88"/>
      <c r="H1482" s="89"/>
      <c r="L1482" s="88"/>
      <c r="M1482" s="89"/>
    </row>
    <row r="1483" spans="7:13" x14ac:dyDescent="0.35">
      <c r="G1483" s="88"/>
      <c r="H1483" s="89"/>
      <c r="L1483" s="88"/>
      <c r="M1483" s="89"/>
    </row>
    <row r="1484" spans="7:13" x14ac:dyDescent="0.35">
      <c r="G1484" s="88"/>
      <c r="H1484" s="89"/>
      <c r="L1484" s="88"/>
      <c r="M1484" s="89"/>
    </row>
    <row r="1485" spans="7:13" x14ac:dyDescent="0.35">
      <c r="G1485" s="88"/>
      <c r="H1485" s="89"/>
      <c r="L1485" s="88"/>
      <c r="M1485" s="89"/>
    </row>
    <row r="1486" spans="7:13" x14ac:dyDescent="0.35">
      <c r="G1486" s="88"/>
      <c r="H1486" s="89"/>
      <c r="L1486" s="88"/>
      <c r="M1486" s="89"/>
    </row>
    <row r="1487" spans="7:13" x14ac:dyDescent="0.35">
      <c r="G1487" s="88"/>
      <c r="H1487" s="89"/>
      <c r="L1487" s="88"/>
      <c r="M1487" s="89"/>
    </row>
    <row r="1488" spans="7:13" x14ac:dyDescent="0.35">
      <c r="G1488" s="88"/>
      <c r="H1488" s="89"/>
      <c r="L1488" s="88"/>
      <c r="M1488" s="89"/>
    </row>
    <row r="1489" spans="7:13" x14ac:dyDescent="0.35">
      <c r="G1489" s="88"/>
      <c r="H1489" s="89"/>
      <c r="L1489" s="88"/>
      <c r="M1489" s="89"/>
    </row>
    <row r="1490" spans="7:13" x14ac:dyDescent="0.35">
      <c r="G1490" s="88"/>
      <c r="H1490" s="89"/>
      <c r="L1490" s="88"/>
      <c r="M1490" s="89"/>
    </row>
    <row r="1491" spans="7:13" x14ac:dyDescent="0.35">
      <c r="G1491" s="88"/>
      <c r="H1491" s="89"/>
      <c r="L1491" s="88"/>
      <c r="M1491" s="89"/>
    </row>
    <row r="1492" spans="7:13" x14ac:dyDescent="0.35">
      <c r="G1492" s="88"/>
      <c r="H1492" s="89"/>
      <c r="L1492" s="88"/>
      <c r="M1492" s="89"/>
    </row>
    <row r="1493" spans="7:13" x14ac:dyDescent="0.35">
      <c r="G1493" s="88"/>
      <c r="H1493" s="89"/>
      <c r="L1493" s="88"/>
      <c r="M1493" s="89"/>
    </row>
    <row r="1494" spans="7:13" x14ac:dyDescent="0.35">
      <c r="G1494" s="88"/>
      <c r="H1494" s="89"/>
      <c r="L1494" s="88"/>
      <c r="M1494" s="89"/>
    </row>
    <row r="1495" spans="7:13" x14ac:dyDescent="0.35">
      <c r="G1495" s="88"/>
      <c r="H1495" s="89"/>
      <c r="L1495" s="88"/>
      <c r="M1495" s="89"/>
    </row>
    <row r="1496" spans="7:13" x14ac:dyDescent="0.35">
      <c r="G1496" s="88"/>
      <c r="H1496" s="89"/>
      <c r="L1496" s="88"/>
      <c r="M1496" s="89"/>
    </row>
    <row r="1497" spans="7:13" x14ac:dyDescent="0.35">
      <c r="G1497" s="88"/>
      <c r="H1497" s="89"/>
      <c r="L1497" s="88"/>
      <c r="M1497" s="89"/>
    </row>
    <row r="1498" spans="7:13" x14ac:dyDescent="0.35">
      <c r="G1498" s="88"/>
      <c r="H1498" s="89"/>
      <c r="L1498" s="88"/>
      <c r="M1498" s="89"/>
    </row>
    <row r="1499" spans="7:13" x14ac:dyDescent="0.35">
      <c r="G1499" s="88"/>
      <c r="H1499" s="89"/>
      <c r="L1499" s="88"/>
      <c r="M1499" s="89"/>
    </row>
    <row r="1500" spans="7:13" x14ac:dyDescent="0.35">
      <c r="G1500" s="88"/>
      <c r="H1500" s="89"/>
      <c r="L1500" s="88"/>
      <c r="M1500" s="89"/>
    </row>
    <row r="1501" spans="7:13" x14ac:dyDescent="0.35">
      <c r="G1501" s="88"/>
      <c r="H1501" s="89"/>
      <c r="L1501" s="88"/>
      <c r="M1501" s="89"/>
    </row>
    <row r="1502" spans="7:13" x14ac:dyDescent="0.35">
      <c r="G1502" s="88"/>
      <c r="H1502" s="89"/>
      <c r="L1502" s="88"/>
      <c r="M1502" s="89"/>
    </row>
    <row r="1503" spans="7:13" x14ac:dyDescent="0.35">
      <c r="G1503" s="88"/>
      <c r="H1503" s="89"/>
      <c r="L1503" s="88"/>
      <c r="M1503" s="89"/>
    </row>
    <row r="1504" spans="7:13" x14ac:dyDescent="0.35">
      <c r="G1504" s="88"/>
      <c r="H1504" s="89"/>
      <c r="L1504" s="88"/>
      <c r="M1504" s="89"/>
    </row>
    <row r="1505" spans="7:13" x14ac:dyDescent="0.35">
      <c r="G1505" s="88"/>
      <c r="H1505" s="89"/>
      <c r="L1505" s="88"/>
      <c r="M1505" s="89"/>
    </row>
    <row r="1506" spans="7:13" x14ac:dyDescent="0.35">
      <c r="G1506" s="88"/>
      <c r="H1506" s="89"/>
      <c r="L1506" s="88"/>
      <c r="M1506" s="89"/>
    </row>
    <row r="1507" spans="7:13" x14ac:dyDescent="0.35">
      <c r="G1507" s="88"/>
      <c r="H1507" s="89"/>
      <c r="L1507" s="88"/>
      <c r="M1507" s="89"/>
    </row>
    <row r="1508" spans="7:13" x14ac:dyDescent="0.35">
      <c r="G1508" s="88"/>
      <c r="H1508" s="89"/>
      <c r="L1508" s="88"/>
      <c r="M1508" s="89"/>
    </row>
    <row r="1509" spans="7:13" x14ac:dyDescent="0.35">
      <c r="G1509" s="88"/>
      <c r="H1509" s="89"/>
      <c r="L1509" s="88"/>
      <c r="M1509" s="89"/>
    </row>
    <row r="1510" spans="7:13" x14ac:dyDescent="0.35">
      <c r="G1510" s="88"/>
      <c r="H1510" s="89"/>
      <c r="L1510" s="88"/>
      <c r="M1510" s="89"/>
    </row>
    <row r="1511" spans="7:13" x14ac:dyDescent="0.35">
      <c r="G1511" s="88"/>
      <c r="H1511" s="89"/>
      <c r="L1511" s="88"/>
      <c r="M1511" s="89"/>
    </row>
    <row r="1512" spans="7:13" x14ac:dyDescent="0.35">
      <c r="G1512" s="88"/>
      <c r="H1512" s="89"/>
      <c r="L1512" s="88"/>
      <c r="M1512" s="89"/>
    </row>
    <row r="1513" spans="7:13" x14ac:dyDescent="0.35">
      <c r="G1513" s="88"/>
      <c r="H1513" s="89"/>
      <c r="L1513" s="88"/>
      <c r="M1513" s="89"/>
    </row>
    <row r="1514" spans="7:13" x14ac:dyDescent="0.35">
      <c r="G1514" s="88"/>
      <c r="H1514" s="89"/>
      <c r="L1514" s="88"/>
      <c r="M1514" s="89"/>
    </row>
    <row r="1515" spans="7:13" x14ac:dyDescent="0.35">
      <c r="G1515" s="88"/>
      <c r="H1515" s="89"/>
      <c r="L1515" s="88"/>
      <c r="M1515" s="89"/>
    </row>
    <row r="1516" spans="7:13" x14ac:dyDescent="0.35">
      <c r="G1516" s="88"/>
      <c r="H1516" s="89"/>
      <c r="L1516" s="88"/>
      <c r="M1516" s="89"/>
    </row>
    <row r="1517" spans="7:13" x14ac:dyDescent="0.35">
      <c r="G1517" s="88"/>
      <c r="H1517" s="89"/>
      <c r="L1517" s="88"/>
      <c r="M1517" s="89"/>
    </row>
    <row r="1518" spans="7:13" x14ac:dyDescent="0.35">
      <c r="G1518" s="88"/>
      <c r="H1518" s="89"/>
      <c r="L1518" s="88"/>
      <c r="M1518" s="89"/>
    </row>
    <row r="1519" spans="7:13" x14ac:dyDescent="0.35">
      <c r="G1519" s="88"/>
      <c r="H1519" s="89"/>
      <c r="L1519" s="88"/>
      <c r="M1519" s="89"/>
    </row>
    <row r="1520" spans="7:13" x14ac:dyDescent="0.35">
      <c r="G1520" s="88"/>
      <c r="H1520" s="89"/>
      <c r="L1520" s="88"/>
      <c r="M1520" s="89"/>
    </row>
    <row r="1521" spans="7:13" x14ac:dyDescent="0.35">
      <c r="G1521" s="88"/>
      <c r="H1521" s="89"/>
      <c r="L1521" s="88"/>
      <c r="M1521" s="89"/>
    </row>
    <row r="1522" spans="7:13" x14ac:dyDescent="0.35">
      <c r="G1522" s="88"/>
      <c r="H1522" s="89"/>
      <c r="L1522" s="88"/>
      <c r="M1522" s="89"/>
    </row>
    <row r="1523" spans="7:13" x14ac:dyDescent="0.35">
      <c r="G1523" s="88"/>
      <c r="H1523" s="89"/>
      <c r="L1523" s="88"/>
      <c r="M1523" s="89"/>
    </row>
    <row r="1524" spans="7:13" x14ac:dyDescent="0.35">
      <c r="G1524" s="88"/>
      <c r="H1524" s="89"/>
      <c r="L1524" s="88"/>
      <c r="M1524" s="89"/>
    </row>
    <row r="1525" spans="7:13" x14ac:dyDescent="0.35">
      <c r="G1525" s="88"/>
      <c r="H1525" s="89"/>
      <c r="L1525" s="88"/>
      <c r="M1525" s="89"/>
    </row>
    <row r="1526" spans="7:13" x14ac:dyDescent="0.35">
      <c r="G1526" s="88"/>
      <c r="H1526" s="89"/>
      <c r="L1526" s="88"/>
      <c r="M1526" s="89"/>
    </row>
    <row r="1527" spans="7:13" x14ac:dyDescent="0.35">
      <c r="G1527" s="88"/>
      <c r="H1527" s="89"/>
      <c r="L1527" s="88"/>
      <c r="M1527" s="89"/>
    </row>
    <row r="1528" spans="7:13" x14ac:dyDescent="0.35">
      <c r="G1528" s="88"/>
      <c r="H1528" s="89"/>
      <c r="L1528" s="88"/>
      <c r="M1528" s="89"/>
    </row>
    <row r="1529" spans="7:13" x14ac:dyDescent="0.35">
      <c r="G1529" s="88"/>
      <c r="H1529" s="89"/>
      <c r="L1529" s="88"/>
      <c r="M1529" s="89"/>
    </row>
    <row r="1530" spans="7:13" x14ac:dyDescent="0.35">
      <c r="G1530" s="88"/>
      <c r="H1530" s="89"/>
      <c r="L1530" s="88"/>
      <c r="M1530" s="89"/>
    </row>
    <row r="1531" spans="7:13" x14ac:dyDescent="0.35">
      <c r="G1531" s="88"/>
      <c r="H1531" s="89"/>
      <c r="L1531" s="88"/>
      <c r="M1531" s="89"/>
    </row>
    <row r="1532" spans="7:13" x14ac:dyDescent="0.35">
      <c r="G1532" s="88"/>
      <c r="H1532" s="89"/>
      <c r="L1532" s="88"/>
      <c r="M1532" s="89"/>
    </row>
    <row r="1533" spans="7:13" x14ac:dyDescent="0.35">
      <c r="G1533" s="88"/>
      <c r="H1533" s="89"/>
      <c r="L1533" s="88"/>
      <c r="M1533" s="89"/>
    </row>
    <row r="1534" spans="7:13" x14ac:dyDescent="0.35">
      <c r="G1534" s="88"/>
      <c r="H1534" s="89"/>
      <c r="L1534" s="88"/>
      <c r="M1534" s="89"/>
    </row>
    <row r="1535" spans="7:13" x14ac:dyDescent="0.35">
      <c r="G1535" s="88"/>
      <c r="H1535" s="89"/>
      <c r="L1535" s="88"/>
      <c r="M1535" s="89"/>
    </row>
    <row r="1536" spans="7:13" x14ac:dyDescent="0.35">
      <c r="G1536" s="88"/>
      <c r="H1536" s="89"/>
      <c r="L1536" s="88"/>
      <c r="M1536" s="89"/>
    </row>
    <row r="1537" spans="7:13" x14ac:dyDescent="0.35">
      <c r="G1537" s="88"/>
      <c r="H1537" s="89"/>
      <c r="L1537" s="88"/>
      <c r="M1537" s="89"/>
    </row>
    <row r="1538" spans="7:13" x14ac:dyDescent="0.35">
      <c r="G1538" s="88"/>
      <c r="H1538" s="89"/>
      <c r="L1538" s="88"/>
      <c r="M1538" s="89"/>
    </row>
    <row r="1539" spans="7:13" x14ac:dyDescent="0.35">
      <c r="G1539" s="88"/>
      <c r="H1539" s="89"/>
      <c r="L1539" s="88"/>
      <c r="M1539" s="89"/>
    </row>
    <row r="1540" spans="7:13" x14ac:dyDescent="0.35">
      <c r="G1540" s="88"/>
      <c r="H1540" s="89"/>
      <c r="L1540" s="88"/>
      <c r="M1540" s="89"/>
    </row>
    <row r="1541" spans="7:13" x14ac:dyDescent="0.35">
      <c r="G1541" s="88"/>
      <c r="H1541" s="89"/>
      <c r="L1541" s="88"/>
      <c r="M1541" s="89"/>
    </row>
    <row r="1542" spans="7:13" x14ac:dyDescent="0.35">
      <c r="G1542" s="88"/>
      <c r="H1542" s="89"/>
      <c r="L1542" s="88"/>
      <c r="M1542" s="89"/>
    </row>
    <row r="1543" spans="7:13" x14ac:dyDescent="0.35">
      <c r="G1543" s="88"/>
      <c r="H1543" s="89"/>
      <c r="L1543" s="88"/>
      <c r="M1543" s="89"/>
    </row>
    <row r="1544" spans="7:13" x14ac:dyDescent="0.35">
      <c r="G1544" s="88"/>
      <c r="H1544" s="89"/>
      <c r="L1544" s="88"/>
      <c r="M1544" s="89"/>
    </row>
    <row r="1545" spans="7:13" x14ac:dyDescent="0.35">
      <c r="G1545" s="88"/>
      <c r="H1545" s="89"/>
      <c r="L1545" s="88"/>
      <c r="M1545" s="89"/>
    </row>
    <row r="1546" spans="7:13" x14ac:dyDescent="0.35">
      <c r="G1546" s="88"/>
      <c r="H1546" s="89"/>
      <c r="L1546" s="88"/>
      <c r="M1546" s="89"/>
    </row>
    <row r="1547" spans="7:13" x14ac:dyDescent="0.35">
      <c r="G1547" s="88"/>
      <c r="H1547" s="89"/>
      <c r="L1547" s="88"/>
      <c r="M1547" s="89"/>
    </row>
    <row r="1548" spans="7:13" x14ac:dyDescent="0.35">
      <c r="G1548" s="88"/>
      <c r="H1548" s="89"/>
      <c r="L1548" s="88"/>
      <c r="M1548" s="89"/>
    </row>
    <row r="1549" spans="7:13" x14ac:dyDescent="0.35">
      <c r="G1549" s="88"/>
      <c r="H1549" s="89"/>
      <c r="L1549" s="88"/>
      <c r="M1549" s="89"/>
    </row>
    <row r="1550" spans="7:13" x14ac:dyDescent="0.35">
      <c r="G1550" s="88"/>
      <c r="H1550" s="89"/>
      <c r="L1550" s="88"/>
      <c r="M1550" s="89"/>
    </row>
    <row r="1551" spans="7:13" x14ac:dyDescent="0.35">
      <c r="G1551" s="88"/>
      <c r="H1551" s="89"/>
      <c r="L1551" s="88"/>
      <c r="M1551" s="89"/>
    </row>
    <row r="1552" spans="7:13" x14ac:dyDescent="0.35">
      <c r="G1552" s="88"/>
      <c r="H1552" s="89"/>
      <c r="L1552" s="88"/>
      <c r="M1552" s="89"/>
    </row>
    <row r="1553" spans="7:13" x14ac:dyDescent="0.35">
      <c r="G1553" s="88"/>
      <c r="H1553" s="89"/>
      <c r="L1553" s="88"/>
      <c r="M1553" s="89"/>
    </row>
    <row r="1554" spans="7:13" x14ac:dyDescent="0.35">
      <c r="G1554" s="88"/>
      <c r="H1554" s="89"/>
      <c r="L1554" s="88"/>
      <c r="M1554" s="89"/>
    </row>
    <row r="1555" spans="7:13" x14ac:dyDescent="0.35">
      <c r="G1555" s="88"/>
      <c r="H1555" s="89"/>
      <c r="L1555" s="88"/>
      <c r="M1555" s="89"/>
    </row>
    <row r="1556" spans="7:13" x14ac:dyDescent="0.35">
      <c r="G1556" s="88"/>
      <c r="H1556" s="89"/>
      <c r="L1556" s="88"/>
      <c r="M1556" s="89"/>
    </row>
    <row r="1557" spans="7:13" x14ac:dyDescent="0.35">
      <c r="G1557" s="88"/>
      <c r="H1557" s="89"/>
      <c r="L1557" s="88"/>
      <c r="M1557" s="89"/>
    </row>
    <row r="1558" spans="7:13" x14ac:dyDescent="0.35">
      <c r="G1558" s="88"/>
      <c r="H1558" s="89"/>
      <c r="L1558" s="88"/>
      <c r="M1558" s="89"/>
    </row>
    <row r="1559" spans="7:13" x14ac:dyDescent="0.35">
      <c r="G1559" s="88"/>
      <c r="H1559" s="89"/>
      <c r="L1559" s="88"/>
      <c r="M1559" s="89"/>
    </row>
    <row r="1560" spans="7:13" x14ac:dyDescent="0.35">
      <c r="G1560" s="88"/>
      <c r="H1560" s="89"/>
      <c r="L1560" s="88"/>
      <c r="M1560" s="89"/>
    </row>
    <row r="1561" spans="7:13" x14ac:dyDescent="0.35">
      <c r="G1561" s="88"/>
      <c r="H1561" s="89"/>
      <c r="L1561" s="88"/>
      <c r="M1561" s="89"/>
    </row>
    <row r="1562" spans="7:13" x14ac:dyDescent="0.35">
      <c r="G1562" s="88"/>
      <c r="H1562" s="89"/>
      <c r="L1562" s="88"/>
      <c r="M1562" s="89"/>
    </row>
    <row r="1563" spans="7:13" x14ac:dyDescent="0.35">
      <c r="G1563" s="88"/>
      <c r="H1563" s="89"/>
      <c r="L1563" s="88"/>
      <c r="M1563" s="89"/>
    </row>
    <row r="1564" spans="7:13" x14ac:dyDescent="0.35">
      <c r="G1564" s="88"/>
      <c r="H1564" s="89"/>
      <c r="L1564" s="88"/>
      <c r="M1564" s="89"/>
    </row>
    <row r="1565" spans="7:13" x14ac:dyDescent="0.35">
      <c r="G1565" s="88"/>
      <c r="H1565" s="89"/>
      <c r="L1565" s="88"/>
      <c r="M1565" s="89"/>
    </row>
    <row r="1566" spans="7:13" x14ac:dyDescent="0.35">
      <c r="G1566" s="88"/>
      <c r="H1566" s="89"/>
      <c r="L1566" s="88"/>
      <c r="M1566" s="89"/>
    </row>
    <row r="1567" spans="7:13" x14ac:dyDescent="0.35">
      <c r="G1567" s="88"/>
      <c r="H1567" s="89"/>
      <c r="L1567" s="88"/>
      <c r="M1567" s="89"/>
    </row>
    <row r="1568" spans="7:13" x14ac:dyDescent="0.35">
      <c r="G1568" s="88"/>
      <c r="H1568" s="89"/>
      <c r="L1568" s="88"/>
      <c r="M1568" s="89"/>
    </row>
    <row r="1569" spans="7:13" x14ac:dyDescent="0.35">
      <c r="G1569" s="88"/>
      <c r="H1569" s="89"/>
      <c r="L1569" s="88"/>
      <c r="M1569" s="89"/>
    </row>
    <row r="1570" spans="7:13" x14ac:dyDescent="0.35">
      <c r="G1570" s="88"/>
      <c r="H1570" s="89"/>
      <c r="L1570" s="88"/>
      <c r="M1570" s="89"/>
    </row>
    <row r="1571" spans="7:13" x14ac:dyDescent="0.35">
      <c r="G1571" s="88"/>
      <c r="H1571" s="89"/>
      <c r="L1571" s="88"/>
      <c r="M1571" s="89"/>
    </row>
    <row r="1572" spans="7:13" x14ac:dyDescent="0.35">
      <c r="G1572" s="88"/>
      <c r="H1572" s="89"/>
      <c r="L1572" s="88"/>
      <c r="M1572" s="89"/>
    </row>
    <row r="1573" spans="7:13" x14ac:dyDescent="0.35">
      <c r="G1573" s="88"/>
      <c r="H1573" s="89"/>
      <c r="L1573" s="88"/>
      <c r="M1573" s="89"/>
    </row>
    <row r="1574" spans="7:13" x14ac:dyDescent="0.35">
      <c r="G1574" s="88"/>
      <c r="H1574" s="89"/>
      <c r="L1574" s="88"/>
      <c r="M1574" s="89"/>
    </row>
    <row r="1575" spans="7:13" x14ac:dyDescent="0.35">
      <c r="G1575" s="88"/>
      <c r="H1575" s="89"/>
      <c r="L1575" s="88"/>
      <c r="M1575" s="89"/>
    </row>
    <row r="1576" spans="7:13" x14ac:dyDescent="0.35">
      <c r="G1576" s="88"/>
      <c r="H1576" s="89"/>
      <c r="L1576" s="88"/>
      <c r="M1576" s="89"/>
    </row>
    <row r="1577" spans="7:13" x14ac:dyDescent="0.35">
      <c r="G1577" s="88"/>
      <c r="H1577" s="89"/>
      <c r="L1577" s="88"/>
      <c r="M1577" s="89"/>
    </row>
    <row r="1578" spans="7:13" x14ac:dyDescent="0.35">
      <c r="G1578" s="88"/>
      <c r="H1578" s="89"/>
      <c r="L1578" s="88"/>
      <c r="M1578" s="89"/>
    </row>
    <row r="1579" spans="7:13" x14ac:dyDescent="0.35">
      <c r="G1579" s="88"/>
      <c r="H1579" s="89"/>
      <c r="L1579" s="88"/>
      <c r="M1579" s="89"/>
    </row>
    <row r="1580" spans="7:13" x14ac:dyDescent="0.35">
      <c r="G1580" s="88"/>
      <c r="H1580" s="89"/>
      <c r="L1580" s="88"/>
      <c r="M1580" s="89"/>
    </row>
    <row r="1581" spans="7:13" x14ac:dyDescent="0.35">
      <c r="G1581" s="88"/>
      <c r="H1581" s="89"/>
      <c r="L1581" s="88"/>
      <c r="M1581" s="89"/>
    </row>
    <row r="1582" spans="7:13" x14ac:dyDescent="0.35">
      <c r="G1582" s="88"/>
      <c r="H1582" s="89"/>
      <c r="L1582" s="88"/>
      <c r="M1582" s="89"/>
    </row>
    <row r="1583" spans="7:13" x14ac:dyDescent="0.35">
      <c r="G1583" s="88"/>
      <c r="H1583" s="89"/>
      <c r="L1583" s="88"/>
      <c r="M1583" s="89"/>
    </row>
    <row r="1584" spans="7:13" x14ac:dyDescent="0.35">
      <c r="G1584" s="88"/>
      <c r="H1584" s="89"/>
      <c r="L1584" s="88"/>
      <c r="M1584" s="89"/>
    </row>
    <row r="1585" spans="7:13" x14ac:dyDescent="0.35">
      <c r="G1585" s="88"/>
      <c r="H1585" s="89"/>
      <c r="L1585" s="88"/>
      <c r="M1585" s="89"/>
    </row>
    <row r="1586" spans="7:13" x14ac:dyDescent="0.35">
      <c r="G1586" s="88"/>
      <c r="H1586" s="89"/>
      <c r="L1586" s="88"/>
      <c r="M1586" s="89"/>
    </row>
    <row r="1587" spans="7:13" x14ac:dyDescent="0.35">
      <c r="G1587" s="88"/>
      <c r="H1587" s="89"/>
      <c r="L1587" s="88"/>
      <c r="M1587" s="89"/>
    </row>
    <row r="1588" spans="7:13" x14ac:dyDescent="0.35">
      <c r="G1588" s="88"/>
      <c r="H1588" s="89"/>
      <c r="L1588" s="88"/>
      <c r="M1588" s="89"/>
    </row>
    <row r="1589" spans="7:13" x14ac:dyDescent="0.35">
      <c r="G1589" s="88"/>
      <c r="H1589" s="89"/>
      <c r="L1589" s="88"/>
      <c r="M1589" s="89"/>
    </row>
    <row r="1590" spans="7:13" x14ac:dyDescent="0.35">
      <c r="G1590" s="88"/>
      <c r="H1590" s="89"/>
      <c r="L1590" s="88"/>
      <c r="M1590" s="89"/>
    </row>
    <row r="1591" spans="7:13" x14ac:dyDescent="0.35">
      <c r="G1591" s="88"/>
      <c r="H1591" s="89"/>
      <c r="L1591" s="88"/>
      <c r="M1591" s="89"/>
    </row>
    <row r="1592" spans="7:13" x14ac:dyDescent="0.35">
      <c r="G1592" s="88"/>
      <c r="H1592" s="89"/>
      <c r="L1592" s="88"/>
      <c r="M1592" s="89"/>
    </row>
    <row r="1593" spans="7:13" x14ac:dyDescent="0.35">
      <c r="G1593" s="88"/>
      <c r="H1593" s="89"/>
      <c r="L1593" s="88"/>
      <c r="M1593" s="89"/>
    </row>
    <row r="1594" spans="7:13" x14ac:dyDescent="0.35">
      <c r="G1594" s="88"/>
      <c r="H1594" s="89"/>
      <c r="L1594" s="88"/>
      <c r="M1594" s="89"/>
    </row>
    <row r="1595" spans="7:13" x14ac:dyDescent="0.35">
      <c r="G1595" s="88"/>
      <c r="H1595" s="89"/>
      <c r="L1595" s="88"/>
      <c r="M1595" s="89"/>
    </row>
    <row r="1596" spans="7:13" x14ac:dyDescent="0.35">
      <c r="G1596" s="88"/>
      <c r="H1596" s="89"/>
      <c r="L1596" s="88"/>
      <c r="M1596" s="89"/>
    </row>
    <row r="1597" spans="7:13" x14ac:dyDescent="0.35">
      <c r="G1597" s="88"/>
      <c r="H1597" s="89"/>
      <c r="L1597" s="88"/>
      <c r="M1597" s="89"/>
    </row>
    <row r="1598" spans="7:13" x14ac:dyDescent="0.35">
      <c r="G1598" s="88"/>
      <c r="H1598" s="89"/>
      <c r="L1598" s="88"/>
      <c r="M1598" s="89"/>
    </row>
    <row r="1599" spans="7:13" x14ac:dyDescent="0.35">
      <c r="G1599" s="88"/>
      <c r="H1599" s="89"/>
      <c r="L1599" s="88"/>
      <c r="M1599" s="89"/>
    </row>
    <row r="1600" spans="7:13" x14ac:dyDescent="0.35">
      <c r="G1600" s="88"/>
      <c r="H1600" s="89"/>
      <c r="L1600" s="88"/>
      <c r="M1600" s="89"/>
    </row>
    <row r="1601" spans="7:13" x14ac:dyDescent="0.35">
      <c r="G1601" s="88"/>
      <c r="H1601" s="89"/>
      <c r="L1601" s="88"/>
      <c r="M1601" s="89"/>
    </row>
    <row r="1602" spans="7:13" x14ac:dyDescent="0.35">
      <c r="G1602" s="88"/>
      <c r="H1602" s="89"/>
      <c r="L1602" s="88"/>
      <c r="M1602" s="89"/>
    </row>
    <row r="1603" spans="7:13" x14ac:dyDescent="0.35">
      <c r="G1603" s="88"/>
      <c r="H1603" s="89"/>
      <c r="L1603" s="88"/>
      <c r="M1603" s="89"/>
    </row>
    <row r="1604" spans="7:13" x14ac:dyDescent="0.35">
      <c r="G1604" s="88"/>
      <c r="H1604" s="89"/>
      <c r="L1604" s="88"/>
      <c r="M1604" s="89"/>
    </row>
    <row r="1605" spans="7:13" x14ac:dyDescent="0.35">
      <c r="G1605" s="88"/>
      <c r="H1605" s="89"/>
      <c r="L1605" s="88"/>
      <c r="M1605" s="89"/>
    </row>
    <row r="1606" spans="7:13" x14ac:dyDescent="0.35">
      <c r="G1606" s="88"/>
      <c r="H1606" s="89"/>
      <c r="L1606" s="88"/>
      <c r="M1606" s="89"/>
    </row>
    <row r="1607" spans="7:13" x14ac:dyDescent="0.35">
      <c r="G1607" s="88"/>
      <c r="H1607" s="89"/>
      <c r="L1607" s="88"/>
      <c r="M1607" s="89"/>
    </row>
    <row r="1608" spans="7:13" x14ac:dyDescent="0.35">
      <c r="G1608" s="88"/>
      <c r="H1608" s="89"/>
      <c r="L1608" s="88"/>
      <c r="M1608" s="89"/>
    </row>
    <row r="1609" spans="7:13" x14ac:dyDescent="0.35">
      <c r="G1609" s="88"/>
      <c r="H1609" s="89"/>
      <c r="L1609" s="88"/>
      <c r="M1609" s="89"/>
    </row>
    <row r="1610" spans="7:13" x14ac:dyDescent="0.35">
      <c r="G1610" s="88"/>
      <c r="H1610" s="89"/>
      <c r="L1610" s="88"/>
      <c r="M1610" s="89"/>
    </row>
    <row r="1611" spans="7:13" x14ac:dyDescent="0.35">
      <c r="G1611" s="88"/>
      <c r="H1611" s="89"/>
      <c r="L1611" s="88"/>
      <c r="M1611" s="89"/>
    </row>
    <row r="1612" spans="7:13" x14ac:dyDescent="0.35">
      <c r="G1612" s="88"/>
      <c r="H1612" s="89"/>
      <c r="L1612" s="88"/>
      <c r="M1612" s="89"/>
    </row>
    <row r="1613" spans="7:13" x14ac:dyDescent="0.35">
      <c r="G1613" s="88"/>
      <c r="H1613" s="89"/>
      <c r="L1613" s="88"/>
      <c r="M1613" s="89"/>
    </row>
    <row r="1614" spans="7:13" x14ac:dyDescent="0.35">
      <c r="G1614" s="88"/>
      <c r="H1614" s="89"/>
      <c r="L1614" s="88"/>
      <c r="M1614" s="89"/>
    </row>
    <row r="1615" spans="7:13" x14ac:dyDescent="0.35">
      <c r="G1615" s="88"/>
      <c r="H1615" s="89"/>
      <c r="L1615" s="88"/>
      <c r="M1615" s="89"/>
    </row>
    <row r="1616" spans="7:13" x14ac:dyDescent="0.35">
      <c r="G1616" s="88"/>
      <c r="H1616" s="89"/>
      <c r="L1616" s="88"/>
      <c r="M1616" s="89"/>
    </row>
    <row r="1617" spans="7:13" x14ac:dyDescent="0.35">
      <c r="G1617" s="88"/>
      <c r="H1617" s="89"/>
      <c r="L1617" s="88"/>
      <c r="M1617" s="89"/>
    </row>
    <row r="1618" spans="7:13" x14ac:dyDescent="0.35">
      <c r="G1618" s="88"/>
      <c r="H1618" s="89"/>
      <c r="L1618" s="88"/>
      <c r="M1618" s="89"/>
    </row>
    <row r="1619" spans="7:13" x14ac:dyDescent="0.35">
      <c r="G1619" s="88"/>
      <c r="H1619" s="89"/>
      <c r="L1619" s="88"/>
      <c r="M1619" s="89"/>
    </row>
    <row r="1620" spans="7:13" x14ac:dyDescent="0.35">
      <c r="G1620" s="88"/>
      <c r="H1620" s="89"/>
      <c r="L1620" s="88"/>
      <c r="M1620" s="89"/>
    </row>
    <row r="1621" spans="7:13" x14ac:dyDescent="0.35">
      <c r="G1621" s="88"/>
      <c r="H1621" s="89"/>
      <c r="L1621" s="88"/>
      <c r="M1621" s="89"/>
    </row>
    <row r="1622" spans="7:13" x14ac:dyDescent="0.35">
      <c r="G1622" s="88"/>
      <c r="H1622" s="89"/>
      <c r="L1622" s="88"/>
      <c r="M1622" s="89"/>
    </row>
    <row r="1623" spans="7:13" x14ac:dyDescent="0.35">
      <c r="G1623" s="88"/>
      <c r="H1623" s="89"/>
      <c r="L1623" s="88"/>
      <c r="M1623" s="89"/>
    </row>
    <row r="1624" spans="7:13" x14ac:dyDescent="0.35">
      <c r="G1624" s="88"/>
      <c r="H1624" s="89"/>
      <c r="L1624" s="88"/>
      <c r="M1624" s="89"/>
    </row>
    <row r="1625" spans="7:13" x14ac:dyDescent="0.35">
      <c r="G1625" s="88"/>
      <c r="H1625" s="89"/>
      <c r="L1625" s="88"/>
      <c r="M1625" s="89"/>
    </row>
    <row r="1626" spans="7:13" x14ac:dyDescent="0.35">
      <c r="G1626" s="88"/>
      <c r="H1626" s="89"/>
      <c r="L1626" s="88"/>
      <c r="M1626" s="89"/>
    </row>
    <row r="1627" spans="7:13" x14ac:dyDescent="0.35">
      <c r="G1627" s="88"/>
      <c r="H1627" s="89"/>
      <c r="L1627" s="88"/>
      <c r="M1627" s="89"/>
    </row>
    <row r="1628" spans="7:13" x14ac:dyDescent="0.35">
      <c r="G1628" s="88"/>
      <c r="H1628" s="89"/>
      <c r="L1628" s="88"/>
      <c r="M1628" s="89"/>
    </row>
    <row r="1629" spans="7:13" x14ac:dyDescent="0.35">
      <c r="G1629" s="88"/>
      <c r="H1629" s="89"/>
      <c r="L1629" s="88"/>
      <c r="M1629" s="89"/>
    </row>
    <row r="1630" spans="7:13" x14ac:dyDescent="0.35">
      <c r="G1630" s="88"/>
      <c r="H1630" s="89"/>
      <c r="L1630" s="88"/>
      <c r="M1630" s="89"/>
    </row>
    <row r="1631" spans="7:13" x14ac:dyDescent="0.35">
      <c r="G1631" s="88"/>
      <c r="H1631" s="89"/>
      <c r="L1631" s="88"/>
      <c r="M1631" s="89"/>
    </row>
    <row r="1632" spans="7:13" x14ac:dyDescent="0.35">
      <c r="G1632" s="88"/>
      <c r="H1632" s="89"/>
      <c r="L1632" s="88"/>
      <c r="M1632" s="89"/>
    </row>
    <row r="1633" spans="7:13" x14ac:dyDescent="0.35">
      <c r="G1633" s="88"/>
      <c r="H1633" s="89"/>
      <c r="L1633" s="88"/>
      <c r="M1633" s="89"/>
    </row>
    <row r="1634" spans="7:13" x14ac:dyDescent="0.35">
      <c r="G1634" s="88"/>
      <c r="H1634" s="89"/>
      <c r="L1634" s="88"/>
      <c r="M1634" s="89"/>
    </row>
    <row r="1635" spans="7:13" x14ac:dyDescent="0.35">
      <c r="G1635" s="88"/>
      <c r="H1635" s="89"/>
      <c r="L1635" s="88"/>
      <c r="M1635" s="89"/>
    </row>
    <row r="1636" spans="7:13" x14ac:dyDescent="0.35">
      <c r="G1636" s="88"/>
      <c r="H1636" s="89"/>
      <c r="L1636" s="88"/>
      <c r="M1636" s="89"/>
    </row>
    <row r="1637" spans="7:13" x14ac:dyDescent="0.35">
      <c r="G1637" s="88"/>
      <c r="H1637" s="89"/>
      <c r="L1637" s="88"/>
      <c r="M1637" s="89"/>
    </row>
    <row r="1638" spans="7:13" x14ac:dyDescent="0.35">
      <c r="G1638" s="88"/>
      <c r="H1638" s="89"/>
      <c r="L1638" s="88"/>
      <c r="M1638" s="89"/>
    </row>
    <row r="1639" spans="7:13" x14ac:dyDescent="0.35">
      <c r="G1639" s="88"/>
      <c r="H1639" s="89"/>
      <c r="L1639" s="88"/>
      <c r="M1639" s="89"/>
    </row>
    <row r="1640" spans="7:13" x14ac:dyDescent="0.35">
      <c r="G1640" s="88"/>
      <c r="H1640" s="89"/>
      <c r="L1640" s="88"/>
      <c r="M1640" s="89"/>
    </row>
    <row r="1641" spans="7:13" x14ac:dyDescent="0.35">
      <c r="G1641" s="88"/>
      <c r="H1641" s="89"/>
      <c r="L1641" s="88"/>
      <c r="M1641" s="89"/>
    </row>
    <row r="1642" spans="7:13" x14ac:dyDescent="0.35">
      <c r="G1642" s="88"/>
      <c r="H1642" s="89"/>
      <c r="L1642" s="88"/>
      <c r="M1642" s="89"/>
    </row>
    <row r="1643" spans="7:13" x14ac:dyDescent="0.35">
      <c r="G1643" s="88"/>
      <c r="H1643" s="89"/>
      <c r="L1643" s="88"/>
      <c r="M1643" s="89"/>
    </row>
    <row r="1644" spans="7:13" x14ac:dyDescent="0.35">
      <c r="G1644" s="88"/>
      <c r="H1644" s="89"/>
      <c r="L1644" s="88"/>
      <c r="M1644" s="89"/>
    </row>
    <row r="1645" spans="7:13" x14ac:dyDescent="0.35">
      <c r="G1645" s="88"/>
      <c r="H1645" s="89"/>
      <c r="L1645" s="88"/>
      <c r="M1645" s="89"/>
    </row>
    <row r="1646" spans="7:13" x14ac:dyDescent="0.35">
      <c r="G1646" s="88"/>
      <c r="H1646" s="89"/>
      <c r="L1646" s="88"/>
      <c r="M1646" s="89"/>
    </row>
    <row r="1647" spans="7:13" x14ac:dyDescent="0.35">
      <c r="G1647" s="88"/>
      <c r="H1647" s="89"/>
      <c r="L1647" s="88"/>
      <c r="M1647" s="89"/>
    </row>
    <row r="1648" spans="7:13" x14ac:dyDescent="0.35">
      <c r="G1648" s="88"/>
      <c r="H1648" s="89"/>
      <c r="L1648" s="88"/>
      <c r="M1648" s="89"/>
    </row>
    <row r="1649" spans="7:13" x14ac:dyDescent="0.35">
      <c r="G1649" s="88"/>
      <c r="H1649" s="89"/>
      <c r="L1649" s="88"/>
      <c r="M1649" s="89"/>
    </row>
    <row r="1650" spans="7:13" x14ac:dyDescent="0.35">
      <c r="G1650" s="88"/>
      <c r="H1650" s="89"/>
      <c r="L1650" s="88"/>
      <c r="M1650" s="89"/>
    </row>
    <row r="1651" spans="7:13" x14ac:dyDescent="0.35">
      <c r="G1651" s="88"/>
      <c r="H1651" s="89"/>
      <c r="L1651" s="88"/>
      <c r="M1651" s="89"/>
    </row>
    <row r="1652" spans="7:13" x14ac:dyDescent="0.35">
      <c r="G1652" s="88"/>
      <c r="H1652" s="89"/>
      <c r="L1652" s="88"/>
      <c r="M1652" s="89"/>
    </row>
    <row r="1653" spans="7:13" x14ac:dyDescent="0.35">
      <c r="G1653" s="88"/>
      <c r="H1653" s="89"/>
      <c r="L1653" s="88"/>
      <c r="M1653" s="89"/>
    </row>
    <row r="1654" spans="7:13" x14ac:dyDescent="0.35">
      <c r="G1654" s="88"/>
      <c r="H1654" s="89"/>
      <c r="L1654" s="88"/>
      <c r="M1654" s="89"/>
    </row>
    <row r="1655" spans="7:13" x14ac:dyDescent="0.35">
      <c r="G1655" s="88"/>
      <c r="H1655" s="89"/>
      <c r="L1655" s="88"/>
      <c r="M1655" s="89"/>
    </row>
    <row r="1656" spans="7:13" x14ac:dyDescent="0.35">
      <c r="G1656" s="88"/>
      <c r="H1656" s="89"/>
      <c r="L1656" s="88"/>
      <c r="M1656" s="89"/>
    </row>
    <row r="1657" spans="7:13" x14ac:dyDescent="0.35">
      <c r="G1657" s="88"/>
      <c r="H1657" s="89"/>
      <c r="L1657" s="88"/>
      <c r="M1657" s="89"/>
    </row>
    <row r="1658" spans="7:13" x14ac:dyDescent="0.35">
      <c r="G1658" s="88"/>
      <c r="H1658" s="89"/>
      <c r="L1658" s="88"/>
      <c r="M1658" s="89"/>
    </row>
    <row r="1659" spans="7:13" x14ac:dyDescent="0.35">
      <c r="G1659" s="88"/>
      <c r="H1659" s="89"/>
      <c r="L1659" s="88"/>
      <c r="M1659" s="89"/>
    </row>
    <row r="1660" spans="7:13" x14ac:dyDescent="0.35">
      <c r="G1660" s="88"/>
      <c r="H1660" s="89"/>
      <c r="L1660" s="88"/>
      <c r="M1660" s="89"/>
    </row>
    <row r="1661" spans="7:13" x14ac:dyDescent="0.35">
      <c r="G1661" s="88"/>
      <c r="H1661" s="89"/>
      <c r="L1661" s="88"/>
      <c r="M1661" s="89"/>
    </row>
    <row r="1662" spans="7:13" x14ac:dyDescent="0.35">
      <c r="G1662" s="88"/>
      <c r="H1662" s="89"/>
      <c r="L1662" s="88"/>
      <c r="M1662" s="89"/>
    </row>
    <row r="1663" spans="7:13" x14ac:dyDescent="0.35">
      <c r="G1663" s="88"/>
      <c r="H1663" s="89"/>
      <c r="L1663" s="88"/>
      <c r="M1663" s="89"/>
    </row>
    <row r="1664" spans="7:13" x14ac:dyDescent="0.35">
      <c r="G1664" s="88"/>
      <c r="H1664" s="89"/>
      <c r="L1664" s="88"/>
      <c r="M1664" s="89"/>
    </row>
    <row r="1665" spans="7:13" x14ac:dyDescent="0.35">
      <c r="G1665" s="88"/>
      <c r="H1665" s="89"/>
      <c r="L1665" s="88"/>
      <c r="M1665" s="89"/>
    </row>
    <row r="1666" spans="7:13" x14ac:dyDescent="0.35">
      <c r="G1666" s="88"/>
      <c r="H1666" s="89"/>
      <c r="L1666" s="88"/>
      <c r="M1666" s="89"/>
    </row>
    <row r="1667" spans="7:13" x14ac:dyDescent="0.35">
      <c r="G1667" s="88"/>
      <c r="H1667" s="89"/>
      <c r="L1667" s="88"/>
      <c r="M1667" s="89"/>
    </row>
    <row r="1668" spans="7:13" x14ac:dyDescent="0.35">
      <c r="G1668" s="88"/>
      <c r="H1668" s="89"/>
      <c r="L1668" s="88"/>
      <c r="M1668" s="89"/>
    </row>
    <row r="1669" spans="7:13" x14ac:dyDescent="0.35">
      <c r="G1669" s="88"/>
      <c r="H1669" s="89"/>
      <c r="L1669" s="88"/>
      <c r="M1669" s="89"/>
    </row>
    <row r="1670" spans="7:13" x14ac:dyDescent="0.35">
      <c r="G1670" s="88"/>
      <c r="H1670" s="89"/>
      <c r="L1670" s="88"/>
      <c r="M1670" s="89"/>
    </row>
    <row r="1671" spans="7:13" x14ac:dyDescent="0.35">
      <c r="G1671" s="88"/>
      <c r="H1671" s="89"/>
      <c r="L1671" s="88"/>
      <c r="M1671" s="89"/>
    </row>
    <row r="1672" spans="7:13" x14ac:dyDescent="0.35">
      <c r="G1672" s="88"/>
      <c r="H1672" s="89"/>
      <c r="L1672" s="88"/>
      <c r="M1672" s="89"/>
    </row>
    <row r="1673" spans="7:13" x14ac:dyDescent="0.35">
      <c r="G1673" s="88"/>
      <c r="H1673" s="89"/>
      <c r="L1673" s="88"/>
      <c r="M1673" s="89"/>
    </row>
    <row r="1674" spans="7:13" x14ac:dyDescent="0.35">
      <c r="G1674" s="88"/>
      <c r="H1674" s="89"/>
      <c r="L1674" s="88"/>
      <c r="M1674" s="89"/>
    </row>
    <row r="1675" spans="7:13" x14ac:dyDescent="0.35">
      <c r="G1675" s="88"/>
      <c r="H1675" s="89"/>
      <c r="L1675" s="88"/>
      <c r="M1675" s="89"/>
    </row>
    <row r="1676" spans="7:13" x14ac:dyDescent="0.35">
      <c r="G1676" s="88"/>
      <c r="H1676" s="89"/>
      <c r="L1676" s="88"/>
      <c r="M1676" s="89"/>
    </row>
    <row r="1677" spans="7:13" x14ac:dyDescent="0.35">
      <c r="G1677" s="88"/>
      <c r="H1677" s="89"/>
      <c r="L1677" s="88"/>
      <c r="M1677" s="89"/>
    </row>
    <row r="1678" spans="7:13" x14ac:dyDescent="0.35">
      <c r="G1678" s="88"/>
      <c r="H1678" s="89"/>
      <c r="L1678" s="88"/>
      <c r="M1678" s="89"/>
    </row>
    <row r="1679" spans="7:13" x14ac:dyDescent="0.35">
      <c r="G1679" s="88"/>
      <c r="H1679" s="89"/>
      <c r="L1679" s="88"/>
      <c r="M1679" s="89"/>
    </row>
    <row r="1680" spans="7:13" x14ac:dyDescent="0.35">
      <c r="G1680" s="88"/>
      <c r="H1680" s="89"/>
      <c r="L1680" s="88"/>
      <c r="M1680" s="89"/>
    </row>
    <row r="1681" spans="7:13" x14ac:dyDescent="0.35">
      <c r="G1681" s="88"/>
      <c r="H1681" s="89"/>
      <c r="L1681" s="88"/>
      <c r="M1681" s="89"/>
    </row>
    <row r="1682" spans="7:13" x14ac:dyDescent="0.35">
      <c r="G1682" s="88"/>
      <c r="H1682" s="89"/>
      <c r="L1682" s="88"/>
      <c r="M1682" s="89"/>
    </row>
    <row r="1683" spans="7:13" x14ac:dyDescent="0.35">
      <c r="G1683" s="88"/>
      <c r="H1683" s="89"/>
      <c r="L1683" s="88"/>
      <c r="M1683" s="89"/>
    </row>
    <row r="1684" spans="7:13" x14ac:dyDescent="0.35">
      <c r="G1684" s="88"/>
      <c r="H1684" s="89"/>
      <c r="L1684" s="88"/>
      <c r="M1684" s="89"/>
    </row>
    <row r="1685" spans="7:13" x14ac:dyDescent="0.35">
      <c r="G1685" s="88"/>
      <c r="H1685" s="89"/>
      <c r="L1685" s="88"/>
      <c r="M1685" s="89"/>
    </row>
    <row r="1686" spans="7:13" x14ac:dyDescent="0.35">
      <c r="G1686" s="88"/>
      <c r="H1686" s="89"/>
      <c r="L1686" s="88"/>
      <c r="M1686" s="89"/>
    </row>
    <row r="1687" spans="7:13" x14ac:dyDescent="0.35">
      <c r="G1687" s="88"/>
      <c r="H1687" s="89"/>
      <c r="L1687" s="88"/>
      <c r="M1687" s="89"/>
    </row>
    <row r="1688" spans="7:13" x14ac:dyDescent="0.35">
      <c r="G1688" s="88"/>
      <c r="H1688" s="89"/>
      <c r="L1688" s="88"/>
      <c r="M1688" s="89"/>
    </row>
    <row r="1689" spans="7:13" x14ac:dyDescent="0.35">
      <c r="G1689" s="88"/>
      <c r="H1689" s="89"/>
      <c r="L1689" s="88"/>
      <c r="M1689" s="89"/>
    </row>
    <row r="1690" spans="7:13" x14ac:dyDescent="0.35">
      <c r="G1690" s="88"/>
      <c r="H1690" s="89"/>
      <c r="L1690" s="88"/>
      <c r="M1690" s="89"/>
    </row>
    <row r="1691" spans="7:13" x14ac:dyDescent="0.35">
      <c r="G1691" s="88"/>
      <c r="H1691" s="89"/>
      <c r="L1691" s="88"/>
      <c r="M1691" s="89"/>
    </row>
    <row r="1692" spans="7:13" x14ac:dyDescent="0.35">
      <c r="G1692" s="88"/>
      <c r="H1692" s="89"/>
      <c r="L1692" s="88"/>
      <c r="M1692" s="89"/>
    </row>
    <row r="1693" spans="7:13" x14ac:dyDescent="0.35">
      <c r="G1693" s="88"/>
      <c r="H1693" s="89"/>
      <c r="L1693" s="88"/>
      <c r="M1693" s="89"/>
    </row>
    <row r="1694" spans="7:13" x14ac:dyDescent="0.35">
      <c r="G1694" s="88"/>
      <c r="H1694" s="89"/>
      <c r="L1694" s="88"/>
      <c r="M1694" s="89"/>
    </row>
    <row r="1695" spans="7:13" x14ac:dyDescent="0.35">
      <c r="G1695" s="88"/>
      <c r="H1695" s="89"/>
      <c r="L1695" s="88"/>
      <c r="M1695" s="89"/>
    </row>
    <row r="1696" spans="7:13" x14ac:dyDescent="0.35">
      <c r="G1696" s="88"/>
      <c r="H1696" s="89"/>
      <c r="L1696" s="88"/>
      <c r="M1696" s="89"/>
    </row>
    <row r="1697" spans="7:13" x14ac:dyDescent="0.35">
      <c r="G1697" s="88"/>
      <c r="H1697" s="89"/>
      <c r="L1697" s="88"/>
      <c r="M1697" s="89"/>
    </row>
    <row r="1698" spans="7:13" x14ac:dyDescent="0.35">
      <c r="G1698" s="88"/>
      <c r="H1698" s="89"/>
      <c r="L1698" s="88"/>
      <c r="M1698" s="89"/>
    </row>
    <row r="1699" spans="7:13" x14ac:dyDescent="0.35">
      <c r="G1699" s="88"/>
      <c r="H1699" s="89"/>
      <c r="L1699" s="88"/>
      <c r="M1699" s="89"/>
    </row>
    <row r="1700" spans="7:13" x14ac:dyDescent="0.35">
      <c r="G1700" s="88"/>
      <c r="H1700" s="89"/>
      <c r="L1700" s="88"/>
      <c r="M1700" s="89"/>
    </row>
    <row r="1701" spans="7:13" x14ac:dyDescent="0.35">
      <c r="G1701" s="88"/>
      <c r="H1701" s="89"/>
      <c r="L1701" s="88"/>
      <c r="M1701" s="89"/>
    </row>
    <row r="1702" spans="7:13" x14ac:dyDescent="0.35">
      <c r="G1702" s="88"/>
      <c r="H1702" s="89"/>
      <c r="L1702" s="88"/>
      <c r="M1702" s="89"/>
    </row>
    <row r="1703" spans="7:13" x14ac:dyDescent="0.35">
      <c r="G1703" s="88"/>
      <c r="H1703" s="89"/>
      <c r="L1703" s="88"/>
      <c r="M1703" s="89"/>
    </row>
    <row r="1704" spans="7:13" x14ac:dyDescent="0.35">
      <c r="G1704" s="88"/>
      <c r="H1704" s="89"/>
      <c r="L1704" s="88"/>
      <c r="M1704" s="89"/>
    </row>
    <row r="1705" spans="7:13" x14ac:dyDescent="0.35">
      <c r="G1705" s="88"/>
      <c r="H1705" s="89"/>
      <c r="L1705" s="88"/>
      <c r="M1705" s="89"/>
    </row>
    <row r="1706" spans="7:13" x14ac:dyDescent="0.35">
      <c r="G1706" s="88"/>
      <c r="H1706" s="89"/>
      <c r="L1706" s="88"/>
      <c r="M1706" s="89"/>
    </row>
    <row r="1707" spans="7:13" x14ac:dyDescent="0.35">
      <c r="G1707" s="88"/>
      <c r="H1707" s="89"/>
      <c r="L1707" s="88"/>
      <c r="M1707" s="89"/>
    </row>
    <row r="1708" spans="7:13" x14ac:dyDescent="0.35">
      <c r="G1708" s="88"/>
      <c r="H1708" s="89"/>
      <c r="L1708" s="88"/>
      <c r="M1708" s="89"/>
    </row>
    <row r="1709" spans="7:13" x14ac:dyDescent="0.35">
      <c r="G1709" s="88"/>
      <c r="H1709" s="89"/>
      <c r="L1709" s="88"/>
      <c r="M1709" s="89"/>
    </row>
    <row r="1710" spans="7:13" x14ac:dyDescent="0.35">
      <c r="G1710" s="88"/>
      <c r="H1710" s="89"/>
      <c r="L1710" s="88"/>
      <c r="M1710" s="89"/>
    </row>
    <row r="1711" spans="7:13" x14ac:dyDescent="0.35">
      <c r="G1711" s="88"/>
      <c r="H1711" s="89"/>
      <c r="L1711" s="88"/>
      <c r="M1711" s="89"/>
    </row>
    <row r="1712" spans="7:13" x14ac:dyDescent="0.35">
      <c r="G1712" s="88"/>
      <c r="H1712" s="89"/>
      <c r="L1712" s="88"/>
      <c r="M1712" s="89"/>
    </row>
    <row r="1713" spans="7:13" x14ac:dyDescent="0.35">
      <c r="G1713" s="88"/>
      <c r="H1713" s="89"/>
      <c r="L1713" s="88"/>
      <c r="M1713" s="89"/>
    </row>
    <row r="1714" spans="7:13" x14ac:dyDescent="0.35">
      <c r="G1714" s="88"/>
      <c r="H1714" s="89"/>
      <c r="L1714" s="88"/>
      <c r="M1714" s="89"/>
    </row>
    <row r="1715" spans="7:13" x14ac:dyDescent="0.35">
      <c r="G1715" s="88"/>
      <c r="H1715" s="89"/>
      <c r="L1715" s="88"/>
      <c r="M1715" s="89"/>
    </row>
    <row r="1716" spans="7:13" x14ac:dyDescent="0.35">
      <c r="G1716" s="88"/>
      <c r="H1716" s="89"/>
      <c r="L1716" s="88"/>
      <c r="M1716" s="89"/>
    </row>
    <row r="1717" spans="7:13" x14ac:dyDescent="0.35">
      <c r="G1717" s="88"/>
      <c r="H1717" s="89"/>
      <c r="L1717" s="88"/>
      <c r="M1717" s="89"/>
    </row>
    <row r="1718" spans="7:13" x14ac:dyDescent="0.35">
      <c r="G1718" s="88"/>
      <c r="H1718" s="89"/>
      <c r="L1718" s="88"/>
      <c r="M1718" s="89"/>
    </row>
    <row r="1719" spans="7:13" x14ac:dyDescent="0.35">
      <c r="G1719" s="88"/>
      <c r="H1719" s="89"/>
      <c r="L1719" s="88"/>
      <c r="M1719" s="89"/>
    </row>
    <row r="1720" spans="7:13" x14ac:dyDescent="0.35">
      <c r="G1720" s="88"/>
      <c r="H1720" s="89"/>
      <c r="L1720" s="88"/>
      <c r="M1720" s="89"/>
    </row>
    <row r="1721" spans="7:13" x14ac:dyDescent="0.35">
      <c r="G1721" s="88"/>
      <c r="H1721" s="89"/>
      <c r="L1721" s="88"/>
      <c r="M1721" s="89"/>
    </row>
    <row r="1722" spans="7:13" x14ac:dyDescent="0.35">
      <c r="G1722" s="88"/>
      <c r="H1722" s="89"/>
      <c r="L1722" s="88"/>
      <c r="M1722" s="89"/>
    </row>
    <row r="1723" spans="7:13" x14ac:dyDescent="0.35">
      <c r="G1723" s="88"/>
      <c r="H1723" s="89"/>
      <c r="L1723" s="88"/>
      <c r="M1723" s="89"/>
    </row>
    <row r="1724" spans="7:13" x14ac:dyDescent="0.35">
      <c r="G1724" s="88"/>
      <c r="H1724" s="89"/>
      <c r="L1724" s="88"/>
      <c r="M1724" s="89"/>
    </row>
    <row r="1725" spans="7:13" x14ac:dyDescent="0.35">
      <c r="G1725" s="88"/>
      <c r="H1725" s="89"/>
      <c r="L1725" s="88"/>
      <c r="M1725" s="89"/>
    </row>
    <row r="1726" spans="7:13" x14ac:dyDescent="0.35">
      <c r="G1726" s="88"/>
      <c r="H1726" s="89"/>
      <c r="L1726" s="88"/>
      <c r="M1726" s="89"/>
    </row>
    <row r="1727" spans="7:13" x14ac:dyDescent="0.35">
      <c r="G1727" s="88"/>
      <c r="H1727" s="89"/>
      <c r="L1727" s="88"/>
      <c r="M1727" s="89"/>
    </row>
    <row r="1728" spans="7:13" x14ac:dyDescent="0.35">
      <c r="G1728" s="88"/>
      <c r="H1728" s="89"/>
      <c r="L1728" s="88"/>
      <c r="M1728" s="89"/>
    </row>
    <row r="1729" spans="7:13" x14ac:dyDescent="0.35">
      <c r="G1729" s="88"/>
      <c r="H1729" s="89"/>
      <c r="L1729" s="88"/>
      <c r="M1729" s="89"/>
    </row>
    <row r="1730" spans="7:13" x14ac:dyDescent="0.35">
      <c r="G1730" s="88"/>
      <c r="H1730" s="89"/>
      <c r="L1730" s="88"/>
      <c r="M1730" s="89"/>
    </row>
    <row r="1731" spans="7:13" x14ac:dyDescent="0.35">
      <c r="G1731" s="88"/>
      <c r="H1731" s="89"/>
      <c r="L1731" s="88"/>
      <c r="M1731" s="89"/>
    </row>
    <row r="1732" spans="7:13" x14ac:dyDescent="0.35">
      <c r="G1732" s="88"/>
      <c r="H1732" s="89"/>
      <c r="L1732" s="88"/>
      <c r="M1732" s="89"/>
    </row>
    <row r="1733" spans="7:13" x14ac:dyDescent="0.35">
      <c r="G1733" s="88"/>
      <c r="H1733" s="89"/>
      <c r="L1733" s="88"/>
      <c r="M1733" s="89"/>
    </row>
    <row r="1734" spans="7:13" x14ac:dyDescent="0.35">
      <c r="G1734" s="88"/>
      <c r="H1734" s="89"/>
      <c r="L1734" s="88"/>
      <c r="M1734" s="89"/>
    </row>
    <row r="1735" spans="7:13" x14ac:dyDescent="0.35">
      <c r="G1735" s="88"/>
      <c r="H1735" s="89"/>
      <c r="L1735" s="88"/>
      <c r="M1735" s="89"/>
    </row>
    <row r="1736" spans="7:13" x14ac:dyDescent="0.35">
      <c r="G1736" s="88"/>
      <c r="H1736" s="89"/>
      <c r="L1736" s="88"/>
      <c r="M1736" s="89"/>
    </row>
    <row r="1737" spans="7:13" x14ac:dyDescent="0.35">
      <c r="G1737" s="88"/>
      <c r="H1737" s="89"/>
      <c r="L1737" s="88"/>
      <c r="M1737" s="89"/>
    </row>
    <row r="1738" spans="7:13" x14ac:dyDescent="0.35">
      <c r="G1738" s="88"/>
      <c r="H1738" s="89"/>
      <c r="L1738" s="88"/>
      <c r="M1738" s="89"/>
    </row>
    <row r="1739" spans="7:13" x14ac:dyDescent="0.35">
      <c r="G1739" s="88"/>
      <c r="H1739" s="89"/>
      <c r="L1739" s="88"/>
      <c r="M1739" s="89"/>
    </row>
    <row r="1740" spans="7:13" x14ac:dyDescent="0.35">
      <c r="G1740" s="88"/>
      <c r="H1740" s="89"/>
      <c r="L1740" s="88"/>
      <c r="M1740" s="89"/>
    </row>
    <row r="1741" spans="7:13" x14ac:dyDescent="0.35">
      <c r="G1741" s="88"/>
      <c r="H1741" s="89"/>
      <c r="L1741" s="88"/>
      <c r="M1741" s="89"/>
    </row>
    <row r="1742" spans="7:13" x14ac:dyDescent="0.35">
      <c r="G1742" s="88"/>
      <c r="H1742" s="89"/>
      <c r="L1742" s="88"/>
      <c r="M1742" s="89"/>
    </row>
    <row r="1743" spans="7:13" x14ac:dyDescent="0.35">
      <c r="G1743" s="88"/>
      <c r="H1743" s="89"/>
      <c r="L1743" s="88"/>
      <c r="M1743" s="89"/>
    </row>
    <row r="1744" spans="7:13" x14ac:dyDescent="0.35">
      <c r="G1744" s="88"/>
      <c r="H1744" s="89"/>
      <c r="L1744" s="88"/>
      <c r="M1744" s="89"/>
    </row>
    <row r="1745" spans="7:13" x14ac:dyDescent="0.35">
      <c r="G1745" s="88"/>
      <c r="H1745" s="89"/>
      <c r="L1745" s="88"/>
      <c r="M1745" s="89"/>
    </row>
    <row r="1746" spans="7:13" x14ac:dyDescent="0.35">
      <c r="G1746" s="88"/>
      <c r="H1746" s="89"/>
      <c r="L1746" s="88"/>
      <c r="M1746" s="89"/>
    </row>
    <row r="1747" spans="7:13" x14ac:dyDescent="0.35">
      <c r="G1747" s="88"/>
      <c r="H1747" s="89"/>
      <c r="L1747" s="88"/>
      <c r="M1747" s="89"/>
    </row>
    <row r="1748" spans="7:13" x14ac:dyDescent="0.35">
      <c r="G1748" s="88"/>
      <c r="H1748" s="89"/>
      <c r="L1748" s="88"/>
      <c r="M1748" s="89"/>
    </row>
    <row r="1749" spans="7:13" x14ac:dyDescent="0.35">
      <c r="G1749" s="88"/>
      <c r="H1749" s="89"/>
      <c r="L1749" s="88"/>
      <c r="M1749" s="89"/>
    </row>
    <row r="1750" spans="7:13" x14ac:dyDescent="0.35">
      <c r="G1750" s="88"/>
      <c r="H1750" s="89"/>
      <c r="L1750" s="88"/>
      <c r="M1750" s="89"/>
    </row>
    <row r="1751" spans="7:13" x14ac:dyDescent="0.35">
      <c r="G1751" s="88"/>
      <c r="H1751" s="89"/>
      <c r="L1751" s="88"/>
      <c r="M1751" s="89"/>
    </row>
    <row r="1752" spans="7:13" x14ac:dyDescent="0.35">
      <c r="G1752" s="88"/>
      <c r="H1752" s="89"/>
      <c r="L1752" s="88"/>
      <c r="M1752" s="89"/>
    </row>
    <row r="1753" spans="7:13" x14ac:dyDescent="0.35">
      <c r="G1753" s="88"/>
      <c r="H1753" s="89"/>
      <c r="L1753" s="88"/>
      <c r="M1753" s="89"/>
    </row>
    <row r="1754" spans="7:13" x14ac:dyDescent="0.35">
      <c r="G1754" s="88"/>
      <c r="H1754" s="89"/>
      <c r="L1754" s="88"/>
      <c r="M1754" s="89"/>
    </row>
    <row r="1755" spans="7:13" x14ac:dyDescent="0.35">
      <c r="G1755" s="88"/>
      <c r="H1755" s="89"/>
      <c r="L1755" s="88"/>
      <c r="M1755" s="89"/>
    </row>
    <row r="1756" spans="7:13" x14ac:dyDescent="0.35">
      <c r="G1756" s="88"/>
      <c r="H1756" s="89"/>
      <c r="L1756" s="88"/>
      <c r="M1756" s="89"/>
    </row>
    <row r="1757" spans="7:13" x14ac:dyDescent="0.35">
      <c r="G1757" s="88"/>
      <c r="H1757" s="89"/>
      <c r="L1757" s="88"/>
      <c r="M1757" s="89"/>
    </row>
    <row r="1758" spans="7:13" x14ac:dyDescent="0.35">
      <c r="G1758" s="88"/>
      <c r="H1758" s="89"/>
      <c r="L1758" s="88"/>
      <c r="M1758" s="89"/>
    </row>
    <row r="1759" spans="7:13" x14ac:dyDescent="0.35">
      <c r="G1759" s="88"/>
      <c r="H1759" s="89"/>
      <c r="L1759" s="88"/>
      <c r="M1759" s="89"/>
    </row>
    <row r="1760" spans="7:13" x14ac:dyDescent="0.35">
      <c r="G1760" s="88"/>
      <c r="H1760" s="89"/>
      <c r="L1760" s="88"/>
      <c r="M1760" s="89"/>
    </row>
    <row r="1761" spans="7:13" x14ac:dyDescent="0.35">
      <c r="G1761" s="88"/>
      <c r="H1761" s="89"/>
      <c r="L1761" s="88"/>
      <c r="M1761" s="89"/>
    </row>
    <row r="1762" spans="7:13" x14ac:dyDescent="0.35">
      <c r="G1762" s="88"/>
      <c r="H1762" s="89"/>
      <c r="L1762" s="88"/>
      <c r="M1762" s="89"/>
    </row>
    <row r="1763" spans="7:13" x14ac:dyDescent="0.35">
      <c r="G1763" s="88"/>
      <c r="H1763" s="89"/>
      <c r="L1763" s="88"/>
      <c r="M1763" s="89"/>
    </row>
    <row r="1764" spans="7:13" x14ac:dyDescent="0.35">
      <c r="G1764" s="88"/>
      <c r="H1764" s="89"/>
      <c r="L1764" s="88"/>
      <c r="M1764" s="89"/>
    </row>
    <row r="1765" spans="7:13" x14ac:dyDescent="0.35">
      <c r="G1765" s="88"/>
      <c r="H1765" s="89"/>
      <c r="L1765" s="88"/>
      <c r="M1765" s="89"/>
    </row>
    <row r="1766" spans="7:13" x14ac:dyDescent="0.35">
      <c r="G1766" s="88"/>
      <c r="H1766" s="89"/>
      <c r="L1766" s="88"/>
      <c r="M1766" s="89"/>
    </row>
    <row r="1767" spans="7:13" x14ac:dyDescent="0.35">
      <c r="G1767" s="88"/>
      <c r="H1767" s="89"/>
      <c r="L1767" s="88"/>
      <c r="M1767" s="89"/>
    </row>
    <row r="1768" spans="7:13" x14ac:dyDescent="0.35">
      <c r="G1768" s="88"/>
      <c r="H1768" s="89"/>
      <c r="L1768" s="88"/>
      <c r="M1768" s="89"/>
    </row>
    <row r="1769" spans="7:13" x14ac:dyDescent="0.35">
      <c r="G1769" s="88"/>
      <c r="H1769" s="89"/>
      <c r="L1769" s="88"/>
      <c r="M1769" s="89"/>
    </row>
    <row r="1770" spans="7:13" x14ac:dyDescent="0.35">
      <c r="G1770" s="88"/>
      <c r="H1770" s="89"/>
      <c r="L1770" s="88"/>
      <c r="M1770" s="89"/>
    </row>
    <row r="1771" spans="7:13" x14ac:dyDescent="0.35">
      <c r="G1771" s="88"/>
      <c r="H1771" s="89"/>
      <c r="L1771" s="88"/>
      <c r="M1771" s="89"/>
    </row>
    <row r="1772" spans="7:13" x14ac:dyDescent="0.35">
      <c r="G1772" s="88"/>
      <c r="H1772" s="89"/>
      <c r="L1772" s="88"/>
      <c r="M1772" s="89"/>
    </row>
    <row r="1773" spans="7:13" x14ac:dyDescent="0.35">
      <c r="G1773" s="88"/>
      <c r="H1773" s="89"/>
      <c r="L1773" s="88"/>
      <c r="M1773" s="89"/>
    </row>
    <row r="1774" spans="7:13" x14ac:dyDescent="0.35">
      <c r="G1774" s="88"/>
      <c r="H1774" s="89"/>
      <c r="L1774" s="88"/>
      <c r="M1774" s="89"/>
    </row>
    <row r="1775" spans="7:13" x14ac:dyDescent="0.35">
      <c r="G1775" s="88"/>
      <c r="H1775" s="89"/>
      <c r="L1775" s="88"/>
      <c r="M1775" s="89"/>
    </row>
    <row r="1776" spans="7:13" x14ac:dyDescent="0.35">
      <c r="G1776" s="88"/>
      <c r="H1776" s="89"/>
      <c r="L1776" s="88"/>
      <c r="M1776" s="89"/>
    </row>
    <row r="1777" spans="7:13" x14ac:dyDescent="0.35">
      <c r="G1777" s="88"/>
      <c r="H1777" s="89"/>
      <c r="L1777" s="88"/>
      <c r="M1777" s="89"/>
    </row>
    <row r="1778" spans="7:13" x14ac:dyDescent="0.35">
      <c r="G1778" s="88"/>
      <c r="H1778" s="89"/>
      <c r="L1778" s="88"/>
      <c r="M1778" s="89"/>
    </row>
    <row r="1779" spans="7:13" x14ac:dyDescent="0.35">
      <c r="G1779" s="88"/>
      <c r="H1779" s="89"/>
      <c r="L1779" s="88"/>
      <c r="M1779" s="89"/>
    </row>
    <row r="1780" spans="7:13" x14ac:dyDescent="0.35">
      <c r="G1780" s="88"/>
      <c r="H1780" s="89"/>
      <c r="L1780" s="88"/>
      <c r="M1780" s="89"/>
    </row>
    <row r="1781" spans="7:13" x14ac:dyDescent="0.35">
      <c r="G1781" s="88"/>
      <c r="H1781" s="89"/>
      <c r="L1781" s="88"/>
      <c r="M1781" s="89"/>
    </row>
    <row r="1782" spans="7:13" x14ac:dyDescent="0.35">
      <c r="G1782" s="88"/>
      <c r="H1782" s="89"/>
      <c r="L1782" s="88"/>
      <c r="M1782" s="89"/>
    </row>
    <row r="1783" spans="7:13" x14ac:dyDescent="0.35">
      <c r="G1783" s="88"/>
      <c r="H1783" s="89"/>
      <c r="L1783" s="88"/>
      <c r="M1783" s="89"/>
    </row>
    <row r="1784" spans="7:13" x14ac:dyDescent="0.35">
      <c r="G1784" s="88"/>
      <c r="H1784" s="89"/>
      <c r="L1784" s="88"/>
      <c r="M1784" s="89"/>
    </row>
    <row r="1785" spans="7:13" x14ac:dyDescent="0.35">
      <c r="G1785" s="88"/>
      <c r="H1785" s="89"/>
      <c r="L1785" s="88"/>
      <c r="M1785" s="89"/>
    </row>
    <row r="1786" spans="7:13" x14ac:dyDescent="0.35">
      <c r="G1786" s="88"/>
      <c r="H1786" s="89"/>
      <c r="L1786" s="88"/>
      <c r="M1786" s="89"/>
    </row>
    <row r="1787" spans="7:13" x14ac:dyDescent="0.35">
      <c r="G1787" s="88"/>
      <c r="H1787" s="89"/>
      <c r="L1787" s="88"/>
      <c r="M1787" s="89"/>
    </row>
    <row r="1788" spans="7:13" x14ac:dyDescent="0.35">
      <c r="G1788" s="88"/>
      <c r="H1788" s="89"/>
      <c r="L1788" s="88"/>
      <c r="M1788" s="89"/>
    </row>
    <row r="1789" spans="7:13" x14ac:dyDescent="0.35">
      <c r="G1789" s="88"/>
      <c r="H1789" s="89"/>
      <c r="L1789" s="88"/>
      <c r="M1789" s="89"/>
    </row>
    <row r="1790" spans="7:13" x14ac:dyDescent="0.35">
      <c r="G1790" s="88"/>
      <c r="H1790" s="89"/>
      <c r="L1790" s="88"/>
      <c r="M1790" s="89"/>
    </row>
    <row r="1791" spans="7:13" x14ac:dyDescent="0.35">
      <c r="G1791" s="88"/>
      <c r="H1791" s="89"/>
      <c r="L1791" s="88"/>
      <c r="M1791" s="89"/>
    </row>
    <row r="1792" spans="7:13" x14ac:dyDescent="0.35">
      <c r="G1792" s="88"/>
      <c r="H1792" s="89"/>
      <c r="L1792" s="88"/>
      <c r="M1792" s="89"/>
    </row>
    <row r="1793" spans="7:13" x14ac:dyDescent="0.35">
      <c r="G1793" s="88"/>
      <c r="H1793" s="89"/>
      <c r="L1793" s="88"/>
      <c r="M1793" s="89"/>
    </row>
    <row r="1794" spans="7:13" x14ac:dyDescent="0.35">
      <c r="G1794" s="88"/>
      <c r="H1794" s="89"/>
      <c r="L1794" s="88"/>
      <c r="M1794" s="89"/>
    </row>
    <row r="1795" spans="7:13" x14ac:dyDescent="0.35">
      <c r="G1795" s="88"/>
      <c r="H1795" s="89"/>
      <c r="L1795" s="88"/>
      <c r="M1795" s="89"/>
    </row>
    <row r="1796" spans="7:13" x14ac:dyDescent="0.35">
      <c r="G1796" s="88"/>
      <c r="H1796" s="89"/>
      <c r="L1796" s="88"/>
      <c r="M1796" s="89"/>
    </row>
    <row r="1797" spans="7:13" x14ac:dyDescent="0.35">
      <c r="G1797" s="88"/>
      <c r="H1797" s="89"/>
      <c r="L1797" s="88"/>
      <c r="M1797" s="89"/>
    </row>
    <row r="1798" spans="7:13" x14ac:dyDescent="0.35">
      <c r="G1798" s="88"/>
      <c r="H1798" s="89"/>
      <c r="L1798" s="88"/>
      <c r="M1798" s="89"/>
    </row>
    <row r="1799" spans="7:13" x14ac:dyDescent="0.35">
      <c r="G1799" s="88"/>
      <c r="H1799" s="89"/>
      <c r="L1799" s="88"/>
      <c r="M1799" s="89"/>
    </row>
    <row r="1800" spans="7:13" x14ac:dyDescent="0.35">
      <c r="G1800" s="88"/>
      <c r="H1800" s="89"/>
      <c r="L1800" s="88"/>
      <c r="M1800" s="89"/>
    </row>
    <row r="1801" spans="7:13" x14ac:dyDescent="0.35">
      <c r="G1801" s="88"/>
      <c r="H1801" s="89"/>
      <c r="L1801" s="88"/>
      <c r="M1801" s="89"/>
    </row>
    <row r="1802" spans="7:13" x14ac:dyDescent="0.35">
      <c r="G1802" s="88"/>
      <c r="H1802" s="89"/>
      <c r="L1802" s="88"/>
      <c r="M1802" s="89"/>
    </row>
    <row r="1803" spans="7:13" x14ac:dyDescent="0.35">
      <c r="G1803" s="88"/>
      <c r="H1803" s="89"/>
      <c r="L1803" s="88"/>
      <c r="M1803" s="89"/>
    </row>
    <row r="1804" spans="7:13" x14ac:dyDescent="0.35">
      <c r="G1804" s="88"/>
      <c r="H1804" s="89"/>
      <c r="L1804" s="88"/>
      <c r="M1804" s="89"/>
    </row>
    <row r="1805" spans="7:13" x14ac:dyDescent="0.35">
      <c r="G1805" s="88"/>
      <c r="H1805" s="89"/>
      <c r="L1805" s="88"/>
      <c r="M1805" s="89"/>
    </row>
    <row r="1806" spans="7:13" x14ac:dyDescent="0.35">
      <c r="G1806" s="88"/>
      <c r="H1806" s="89"/>
      <c r="L1806" s="88"/>
      <c r="M1806" s="89"/>
    </row>
    <row r="1807" spans="7:13" x14ac:dyDescent="0.35">
      <c r="G1807" s="88"/>
      <c r="H1807" s="89"/>
      <c r="L1807" s="88"/>
      <c r="M1807" s="89"/>
    </row>
    <row r="1808" spans="7:13" x14ac:dyDescent="0.35">
      <c r="G1808" s="88"/>
      <c r="H1808" s="89"/>
      <c r="L1808" s="88"/>
      <c r="M1808" s="89"/>
    </row>
    <row r="1809" spans="7:13" x14ac:dyDescent="0.35">
      <c r="G1809" s="88"/>
      <c r="H1809" s="89"/>
      <c r="L1809" s="88"/>
      <c r="M1809" s="89"/>
    </row>
    <row r="1810" spans="7:13" x14ac:dyDescent="0.35">
      <c r="G1810" s="88"/>
      <c r="H1810" s="89"/>
      <c r="L1810" s="88"/>
      <c r="M1810" s="89"/>
    </row>
    <row r="1811" spans="7:13" x14ac:dyDescent="0.35">
      <c r="G1811" s="88"/>
      <c r="H1811" s="89"/>
      <c r="L1811" s="88"/>
      <c r="M1811" s="89"/>
    </row>
    <row r="1812" spans="7:13" x14ac:dyDescent="0.35">
      <c r="G1812" s="88"/>
      <c r="H1812" s="89"/>
      <c r="L1812" s="88"/>
      <c r="M1812" s="89"/>
    </row>
    <row r="1813" spans="7:13" x14ac:dyDescent="0.35">
      <c r="G1813" s="88"/>
      <c r="H1813" s="89"/>
      <c r="L1813" s="88"/>
      <c r="M1813" s="89"/>
    </row>
    <row r="1814" spans="7:13" x14ac:dyDescent="0.35">
      <c r="G1814" s="88"/>
      <c r="H1814" s="89"/>
      <c r="L1814" s="88"/>
      <c r="M1814" s="89"/>
    </row>
    <row r="1815" spans="7:13" x14ac:dyDescent="0.35">
      <c r="G1815" s="88"/>
      <c r="H1815" s="89"/>
      <c r="L1815" s="88"/>
      <c r="M1815" s="89"/>
    </row>
    <row r="1816" spans="7:13" x14ac:dyDescent="0.35">
      <c r="G1816" s="88"/>
      <c r="H1816" s="89"/>
      <c r="L1816" s="88"/>
      <c r="M1816" s="89"/>
    </row>
    <row r="1817" spans="7:13" x14ac:dyDescent="0.35">
      <c r="G1817" s="88"/>
      <c r="H1817" s="89"/>
      <c r="L1817" s="88"/>
      <c r="M1817" s="89"/>
    </row>
    <row r="1818" spans="7:13" x14ac:dyDescent="0.35">
      <c r="G1818" s="88"/>
      <c r="H1818" s="89"/>
      <c r="L1818" s="88"/>
      <c r="M1818" s="89"/>
    </row>
    <row r="1819" spans="7:13" x14ac:dyDescent="0.35">
      <c r="G1819" s="88"/>
      <c r="H1819" s="89"/>
      <c r="L1819" s="88"/>
      <c r="M1819" s="89"/>
    </row>
    <row r="1820" spans="7:13" x14ac:dyDescent="0.35">
      <c r="G1820" s="88"/>
      <c r="H1820" s="89"/>
      <c r="L1820" s="88"/>
      <c r="M1820" s="89"/>
    </row>
    <row r="1821" spans="7:13" x14ac:dyDescent="0.35">
      <c r="G1821" s="88"/>
      <c r="H1821" s="89"/>
      <c r="L1821" s="88"/>
      <c r="M1821" s="89"/>
    </row>
    <row r="1822" spans="7:13" x14ac:dyDescent="0.35">
      <c r="G1822" s="88"/>
      <c r="H1822" s="89"/>
      <c r="L1822" s="88"/>
      <c r="M1822" s="89"/>
    </row>
    <row r="1823" spans="7:13" x14ac:dyDescent="0.35">
      <c r="G1823" s="88"/>
      <c r="H1823" s="89"/>
      <c r="L1823" s="88"/>
      <c r="M1823" s="89"/>
    </row>
    <row r="1824" spans="7:13" x14ac:dyDescent="0.35">
      <c r="G1824" s="88"/>
      <c r="H1824" s="89"/>
      <c r="L1824" s="88"/>
      <c r="M1824" s="89"/>
    </row>
    <row r="1825" spans="7:13" x14ac:dyDescent="0.35">
      <c r="G1825" s="88"/>
      <c r="H1825" s="89"/>
      <c r="L1825" s="88"/>
      <c r="M1825" s="89"/>
    </row>
    <row r="1826" spans="7:13" x14ac:dyDescent="0.35">
      <c r="G1826" s="88"/>
      <c r="H1826" s="89"/>
      <c r="L1826" s="88"/>
      <c r="M1826" s="89"/>
    </row>
    <row r="1827" spans="7:13" x14ac:dyDescent="0.35">
      <c r="G1827" s="88"/>
      <c r="H1827" s="89"/>
      <c r="L1827" s="88"/>
      <c r="M1827" s="89"/>
    </row>
    <row r="1828" spans="7:13" x14ac:dyDescent="0.35">
      <c r="G1828" s="88"/>
      <c r="H1828" s="89"/>
      <c r="L1828" s="88"/>
      <c r="M1828" s="89"/>
    </row>
    <row r="1829" spans="7:13" x14ac:dyDescent="0.35">
      <c r="G1829" s="88"/>
      <c r="H1829" s="89"/>
      <c r="L1829" s="88"/>
      <c r="M1829" s="89"/>
    </row>
    <row r="1830" spans="7:13" x14ac:dyDescent="0.35">
      <c r="G1830" s="88"/>
      <c r="H1830" s="89"/>
      <c r="L1830" s="88"/>
      <c r="M1830" s="89"/>
    </row>
    <row r="1831" spans="7:13" x14ac:dyDescent="0.35">
      <c r="G1831" s="88"/>
      <c r="H1831" s="89"/>
      <c r="L1831" s="88"/>
      <c r="M1831" s="89"/>
    </row>
    <row r="1832" spans="7:13" x14ac:dyDescent="0.35">
      <c r="G1832" s="88"/>
      <c r="H1832" s="89"/>
      <c r="L1832" s="88"/>
      <c r="M1832" s="89"/>
    </row>
    <row r="1833" spans="7:13" x14ac:dyDescent="0.35">
      <c r="G1833" s="88"/>
      <c r="H1833" s="89"/>
      <c r="L1833" s="88"/>
      <c r="M1833" s="89"/>
    </row>
    <row r="1834" spans="7:13" x14ac:dyDescent="0.35">
      <c r="G1834" s="88"/>
      <c r="H1834" s="89"/>
      <c r="L1834" s="88"/>
      <c r="M1834" s="89"/>
    </row>
    <row r="1835" spans="7:13" x14ac:dyDescent="0.35">
      <c r="G1835" s="88"/>
      <c r="H1835" s="89"/>
      <c r="L1835" s="88"/>
      <c r="M1835" s="89"/>
    </row>
    <row r="1836" spans="7:13" x14ac:dyDescent="0.35">
      <c r="G1836" s="88"/>
      <c r="H1836" s="89"/>
      <c r="L1836" s="88"/>
      <c r="M1836" s="89"/>
    </row>
    <row r="1837" spans="7:13" x14ac:dyDescent="0.35">
      <c r="G1837" s="88"/>
      <c r="H1837" s="89"/>
      <c r="L1837" s="88"/>
      <c r="M1837" s="89"/>
    </row>
    <row r="1838" spans="7:13" x14ac:dyDescent="0.35">
      <c r="G1838" s="88"/>
      <c r="H1838" s="89"/>
      <c r="L1838" s="88"/>
      <c r="M1838" s="89"/>
    </row>
    <row r="1839" spans="7:13" x14ac:dyDescent="0.35">
      <c r="G1839" s="88"/>
      <c r="H1839" s="89"/>
      <c r="L1839" s="88"/>
      <c r="M1839" s="89"/>
    </row>
    <row r="1840" spans="7:13" x14ac:dyDescent="0.35">
      <c r="G1840" s="88"/>
      <c r="H1840" s="89"/>
      <c r="L1840" s="88"/>
      <c r="M1840" s="89"/>
    </row>
    <row r="1841" spans="7:13" x14ac:dyDescent="0.35">
      <c r="G1841" s="88"/>
      <c r="H1841" s="89"/>
      <c r="L1841" s="88"/>
      <c r="M1841" s="89"/>
    </row>
    <row r="1842" spans="7:13" x14ac:dyDescent="0.35">
      <c r="G1842" s="88"/>
      <c r="H1842" s="89"/>
      <c r="L1842" s="88"/>
      <c r="M1842" s="89"/>
    </row>
    <row r="1843" spans="7:13" x14ac:dyDescent="0.35">
      <c r="G1843" s="88"/>
      <c r="H1843" s="89"/>
      <c r="L1843" s="88"/>
      <c r="M1843" s="89"/>
    </row>
    <row r="1844" spans="7:13" x14ac:dyDescent="0.35">
      <c r="G1844" s="88"/>
      <c r="H1844" s="89"/>
      <c r="L1844" s="88"/>
      <c r="M1844" s="89"/>
    </row>
    <row r="1845" spans="7:13" x14ac:dyDescent="0.35">
      <c r="G1845" s="88"/>
      <c r="H1845" s="89"/>
      <c r="L1845" s="88"/>
      <c r="M1845" s="89"/>
    </row>
    <row r="1846" spans="7:13" x14ac:dyDescent="0.35">
      <c r="G1846" s="88"/>
      <c r="H1846" s="89"/>
      <c r="L1846" s="88"/>
      <c r="M1846" s="89"/>
    </row>
    <row r="1847" spans="7:13" x14ac:dyDescent="0.35">
      <c r="G1847" s="88"/>
      <c r="H1847" s="89"/>
      <c r="L1847" s="88"/>
      <c r="M1847" s="89"/>
    </row>
    <row r="1848" spans="7:13" x14ac:dyDescent="0.35">
      <c r="G1848" s="88"/>
      <c r="H1848" s="89"/>
      <c r="L1848" s="88"/>
      <c r="M1848" s="89"/>
    </row>
    <row r="1849" spans="7:13" x14ac:dyDescent="0.35">
      <c r="G1849" s="88"/>
      <c r="H1849" s="89"/>
      <c r="L1849" s="88"/>
      <c r="M1849" s="89"/>
    </row>
    <row r="1850" spans="7:13" x14ac:dyDescent="0.35">
      <c r="G1850" s="88"/>
      <c r="H1850" s="89"/>
      <c r="L1850" s="88"/>
      <c r="M1850" s="89"/>
    </row>
    <row r="1851" spans="7:13" x14ac:dyDescent="0.35">
      <c r="G1851" s="88"/>
      <c r="H1851" s="89"/>
      <c r="L1851" s="88"/>
      <c r="M1851" s="89"/>
    </row>
    <row r="1852" spans="7:13" x14ac:dyDescent="0.35">
      <c r="G1852" s="88"/>
      <c r="H1852" s="89"/>
      <c r="L1852" s="88"/>
      <c r="M1852" s="89"/>
    </row>
    <row r="1853" spans="7:13" x14ac:dyDescent="0.35">
      <c r="G1853" s="88"/>
      <c r="H1853" s="89"/>
      <c r="L1853" s="88"/>
      <c r="M1853" s="89"/>
    </row>
    <row r="1854" spans="7:13" x14ac:dyDescent="0.35">
      <c r="G1854" s="88"/>
      <c r="H1854" s="89"/>
      <c r="L1854" s="88"/>
      <c r="M1854" s="89"/>
    </row>
    <row r="1855" spans="7:13" x14ac:dyDescent="0.35">
      <c r="G1855" s="88"/>
      <c r="H1855" s="89"/>
      <c r="L1855" s="88"/>
      <c r="M1855" s="89"/>
    </row>
    <row r="1856" spans="7:13" x14ac:dyDescent="0.35">
      <c r="G1856" s="88"/>
      <c r="H1856" s="89"/>
      <c r="L1856" s="88"/>
      <c r="M1856" s="89"/>
    </row>
    <row r="1857" spans="7:13" x14ac:dyDescent="0.35">
      <c r="G1857" s="88"/>
      <c r="H1857" s="89"/>
      <c r="L1857" s="88"/>
      <c r="M1857" s="89"/>
    </row>
    <row r="1858" spans="7:13" x14ac:dyDescent="0.35">
      <c r="G1858" s="88"/>
      <c r="H1858" s="89"/>
      <c r="L1858" s="88"/>
      <c r="M1858" s="89"/>
    </row>
    <row r="1859" spans="7:13" x14ac:dyDescent="0.35">
      <c r="G1859" s="88"/>
      <c r="H1859" s="89"/>
      <c r="L1859" s="88"/>
      <c r="M1859" s="89"/>
    </row>
    <row r="1860" spans="7:13" x14ac:dyDescent="0.35">
      <c r="G1860" s="88"/>
      <c r="H1860" s="89"/>
      <c r="L1860" s="88"/>
      <c r="M1860" s="89"/>
    </row>
    <row r="1861" spans="7:13" x14ac:dyDescent="0.35">
      <c r="G1861" s="88"/>
      <c r="H1861" s="89"/>
      <c r="L1861" s="88"/>
      <c r="M1861" s="89"/>
    </row>
    <row r="1862" spans="7:13" x14ac:dyDescent="0.35">
      <c r="G1862" s="88"/>
      <c r="H1862" s="89"/>
      <c r="L1862" s="88"/>
      <c r="M1862" s="89"/>
    </row>
    <row r="1863" spans="7:13" x14ac:dyDescent="0.35">
      <c r="G1863" s="88"/>
      <c r="H1863" s="89"/>
      <c r="L1863" s="88"/>
      <c r="M1863" s="89"/>
    </row>
    <row r="1864" spans="7:13" x14ac:dyDescent="0.35">
      <c r="G1864" s="88"/>
      <c r="H1864" s="89"/>
      <c r="L1864" s="88"/>
      <c r="M1864" s="89"/>
    </row>
    <row r="1865" spans="7:13" x14ac:dyDescent="0.35">
      <c r="G1865" s="88"/>
      <c r="H1865" s="89"/>
      <c r="L1865" s="88"/>
      <c r="M1865" s="89"/>
    </row>
    <row r="1866" spans="7:13" x14ac:dyDescent="0.35">
      <c r="G1866" s="88"/>
      <c r="H1866" s="89"/>
      <c r="L1866" s="88"/>
      <c r="M1866" s="89"/>
    </row>
    <row r="1867" spans="7:13" x14ac:dyDescent="0.35">
      <c r="G1867" s="88"/>
      <c r="H1867" s="89"/>
      <c r="L1867" s="88"/>
      <c r="M1867" s="89"/>
    </row>
    <row r="1868" spans="7:13" x14ac:dyDescent="0.35">
      <c r="G1868" s="88"/>
      <c r="H1868" s="89"/>
      <c r="L1868" s="88"/>
      <c r="M1868" s="89"/>
    </row>
    <row r="1869" spans="7:13" x14ac:dyDescent="0.35">
      <c r="G1869" s="88"/>
      <c r="H1869" s="89"/>
      <c r="L1869" s="88"/>
      <c r="M1869" s="89"/>
    </row>
    <row r="1870" spans="7:13" x14ac:dyDescent="0.35">
      <c r="G1870" s="88"/>
      <c r="H1870" s="89"/>
      <c r="L1870" s="88"/>
      <c r="M1870" s="89"/>
    </row>
    <row r="1871" spans="7:13" x14ac:dyDescent="0.35">
      <c r="G1871" s="88"/>
      <c r="H1871" s="89"/>
      <c r="L1871" s="88"/>
      <c r="M1871" s="89"/>
    </row>
    <row r="1872" spans="7:13" x14ac:dyDescent="0.35">
      <c r="G1872" s="88"/>
      <c r="H1872" s="89"/>
      <c r="L1872" s="88"/>
      <c r="M1872" s="89"/>
    </row>
    <row r="1873" spans="7:13" x14ac:dyDescent="0.35">
      <c r="G1873" s="88"/>
      <c r="H1873" s="89"/>
      <c r="L1873" s="88"/>
      <c r="M1873" s="89"/>
    </row>
    <row r="1874" spans="7:13" x14ac:dyDescent="0.35">
      <c r="G1874" s="88"/>
      <c r="H1874" s="89"/>
      <c r="L1874" s="88"/>
      <c r="M1874" s="89"/>
    </row>
    <row r="1875" spans="7:13" x14ac:dyDescent="0.35">
      <c r="G1875" s="88"/>
      <c r="H1875" s="89"/>
      <c r="L1875" s="88"/>
      <c r="M1875" s="89"/>
    </row>
    <row r="1876" spans="7:13" x14ac:dyDescent="0.35">
      <c r="G1876" s="88"/>
      <c r="H1876" s="89"/>
      <c r="L1876" s="88"/>
      <c r="M1876" s="89"/>
    </row>
    <row r="1877" spans="7:13" x14ac:dyDescent="0.35">
      <c r="G1877" s="88"/>
      <c r="H1877" s="89"/>
      <c r="L1877" s="88"/>
      <c r="M1877" s="89"/>
    </row>
    <row r="1878" spans="7:13" x14ac:dyDescent="0.35">
      <c r="G1878" s="88"/>
      <c r="H1878" s="89"/>
      <c r="L1878" s="88"/>
      <c r="M1878" s="89"/>
    </row>
    <row r="1879" spans="7:13" x14ac:dyDescent="0.35">
      <c r="G1879" s="88"/>
      <c r="H1879" s="89"/>
      <c r="L1879" s="88"/>
      <c r="M1879" s="89"/>
    </row>
    <row r="1880" spans="7:13" x14ac:dyDescent="0.35">
      <c r="G1880" s="88"/>
      <c r="H1880" s="89"/>
      <c r="L1880" s="88"/>
      <c r="M1880" s="89"/>
    </row>
    <row r="1881" spans="7:13" x14ac:dyDescent="0.35">
      <c r="G1881" s="88"/>
      <c r="H1881" s="89"/>
      <c r="L1881" s="88"/>
      <c r="M1881" s="89"/>
    </row>
    <row r="1882" spans="7:13" x14ac:dyDescent="0.35">
      <c r="G1882" s="88"/>
      <c r="H1882" s="89"/>
      <c r="L1882" s="88"/>
      <c r="M1882" s="89"/>
    </row>
    <row r="1883" spans="7:13" x14ac:dyDescent="0.35">
      <c r="G1883" s="88"/>
      <c r="H1883" s="89"/>
      <c r="L1883" s="88"/>
      <c r="M1883" s="89"/>
    </row>
    <row r="1884" spans="7:13" x14ac:dyDescent="0.35">
      <c r="G1884" s="88"/>
      <c r="H1884" s="89"/>
      <c r="L1884" s="88"/>
      <c r="M1884" s="89"/>
    </row>
    <row r="1885" spans="7:13" x14ac:dyDescent="0.35">
      <c r="G1885" s="88"/>
      <c r="H1885" s="89"/>
      <c r="L1885" s="88"/>
      <c r="M1885" s="89"/>
    </row>
    <row r="1886" spans="7:13" x14ac:dyDescent="0.35">
      <c r="G1886" s="88"/>
      <c r="H1886" s="89"/>
      <c r="L1886" s="88"/>
      <c r="M1886" s="89"/>
    </row>
    <row r="1887" spans="7:13" x14ac:dyDescent="0.35">
      <c r="G1887" s="88"/>
      <c r="H1887" s="89"/>
      <c r="L1887" s="88"/>
      <c r="M1887" s="89"/>
    </row>
    <row r="1888" spans="7:13" x14ac:dyDescent="0.35">
      <c r="G1888" s="88"/>
      <c r="H1888" s="89"/>
      <c r="L1888" s="88"/>
      <c r="M1888" s="89"/>
    </row>
    <row r="1889" spans="7:13" x14ac:dyDescent="0.35">
      <c r="G1889" s="88"/>
      <c r="H1889" s="89"/>
      <c r="L1889" s="88"/>
      <c r="M1889" s="89"/>
    </row>
    <row r="1890" spans="7:13" x14ac:dyDescent="0.35">
      <c r="G1890" s="88"/>
      <c r="H1890" s="89"/>
      <c r="L1890" s="88"/>
      <c r="M1890" s="89"/>
    </row>
    <row r="1891" spans="7:13" x14ac:dyDescent="0.35">
      <c r="G1891" s="88"/>
      <c r="H1891" s="89"/>
      <c r="L1891" s="88"/>
      <c r="M1891" s="89"/>
    </row>
    <row r="1892" spans="7:13" x14ac:dyDescent="0.35">
      <c r="G1892" s="88"/>
      <c r="H1892" s="89"/>
      <c r="L1892" s="88"/>
      <c r="M1892" s="89"/>
    </row>
    <row r="1893" spans="7:13" x14ac:dyDescent="0.35">
      <c r="G1893" s="88"/>
      <c r="H1893" s="89"/>
      <c r="L1893" s="88"/>
      <c r="M1893" s="89"/>
    </row>
    <row r="1894" spans="7:13" x14ac:dyDescent="0.35">
      <c r="G1894" s="88"/>
      <c r="H1894" s="89"/>
      <c r="L1894" s="88"/>
      <c r="M1894" s="89"/>
    </row>
    <row r="1895" spans="7:13" x14ac:dyDescent="0.35">
      <c r="G1895" s="88"/>
      <c r="H1895" s="89"/>
      <c r="L1895" s="88"/>
      <c r="M1895" s="89"/>
    </row>
    <row r="1896" spans="7:13" x14ac:dyDescent="0.35">
      <c r="G1896" s="88"/>
      <c r="H1896" s="89"/>
      <c r="L1896" s="88"/>
      <c r="M1896" s="89"/>
    </row>
    <row r="1897" spans="7:13" x14ac:dyDescent="0.35">
      <c r="G1897" s="88"/>
      <c r="H1897" s="89"/>
      <c r="L1897" s="88"/>
      <c r="M1897" s="89"/>
    </row>
    <row r="1898" spans="7:13" x14ac:dyDescent="0.35">
      <c r="G1898" s="88"/>
      <c r="H1898" s="89"/>
      <c r="L1898" s="88"/>
      <c r="M1898" s="89"/>
    </row>
    <row r="1899" spans="7:13" x14ac:dyDescent="0.35">
      <c r="G1899" s="88"/>
      <c r="H1899" s="89"/>
      <c r="L1899" s="88"/>
      <c r="M1899" s="89"/>
    </row>
    <row r="1900" spans="7:13" x14ac:dyDescent="0.35">
      <c r="G1900" s="88"/>
      <c r="H1900" s="89"/>
      <c r="L1900" s="88"/>
      <c r="M1900" s="89"/>
    </row>
    <row r="1901" spans="7:13" x14ac:dyDescent="0.35">
      <c r="G1901" s="88"/>
      <c r="H1901" s="89"/>
      <c r="L1901" s="88"/>
      <c r="M1901" s="89"/>
    </row>
    <row r="1902" spans="7:13" x14ac:dyDescent="0.35">
      <c r="G1902" s="88"/>
      <c r="H1902" s="89"/>
      <c r="L1902" s="88"/>
      <c r="M1902" s="89"/>
    </row>
    <row r="1903" spans="7:13" x14ac:dyDescent="0.35">
      <c r="G1903" s="88"/>
      <c r="H1903" s="89"/>
      <c r="L1903" s="88"/>
      <c r="M1903" s="89"/>
    </row>
    <row r="1904" spans="7:13" x14ac:dyDescent="0.35">
      <c r="G1904" s="88"/>
      <c r="H1904" s="89"/>
      <c r="L1904" s="88"/>
      <c r="M1904" s="89"/>
    </row>
    <row r="1905" spans="7:13" x14ac:dyDescent="0.35">
      <c r="G1905" s="88"/>
      <c r="H1905" s="89"/>
      <c r="L1905" s="88"/>
      <c r="M1905" s="89"/>
    </row>
    <row r="1906" spans="7:13" x14ac:dyDescent="0.35">
      <c r="G1906" s="88"/>
      <c r="H1906" s="89"/>
      <c r="L1906" s="88"/>
      <c r="M1906" s="89"/>
    </row>
    <row r="1907" spans="7:13" x14ac:dyDescent="0.35">
      <c r="G1907" s="88"/>
      <c r="H1907" s="89"/>
      <c r="L1907" s="88"/>
      <c r="M1907" s="89"/>
    </row>
    <row r="1908" spans="7:13" x14ac:dyDescent="0.35">
      <c r="G1908" s="88"/>
      <c r="H1908" s="89"/>
      <c r="L1908" s="88"/>
      <c r="M1908" s="89"/>
    </row>
    <row r="1909" spans="7:13" x14ac:dyDescent="0.35">
      <c r="G1909" s="88"/>
      <c r="H1909" s="89"/>
      <c r="L1909" s="88"/>
      <c r="M1909" s="89"/>
    </row>
    <row r="1910" spans="7:13" x14ac:dyDescent="0.35">
      <c r="G1910" s="88"/>
      <c r="H1910" s="89"/>
      <c r="L1910" s="88"/>
      <c r="M1910" s="89"/>
    </row>
    <row r="1911" spans="7:13" x14ac:dyDescent="0.35">
      <c r="G1911" s="88"/>
      <c r="H1911" s="89"/>
      <c r="L1911" s="88"/>
      <c r="M1911" s="89"/>
    </row>
    <row r="1912" spans="7:13" x14ac:dyDescent="0.35">
      <c r="G1912" s="88"/>
      <c r="H1912" s="89"/>
      <c r="L1912" s="88"/>
      <c r="M1912" s="89"/>
    </row>
    <row r="1913" spans="7:13" x14ac:dyDescent="0.35">
      <c r="G1913" s="88"/>
      <c r="H1913" s="89"/>
      <c r="L1913" s="88"/>
      <c r="M1913" s="89"/>
    </row>
    <row r="1914" spans="7:13" x14ac:dyDescent="0.35">
      <c r="G1914" s="88"/>
      <c r="H1914" s="89"/>
      <c r="L1914" s="88"/>
      <c r="M1914" s="89"/>
    </row>
    <row r="1915" spans="7:13" x14ac:dyDescent="0.35">
      <c r="G1915" s="88"/>
      <c r="H1915" s="89"/>
      <c r="L1915" s="88"/>
      <c r="M1915" s="89"/>
    </row>
    <row r="1916" spans="7:13" x14ac:dyDescent="0.35">
      <c r="G1916" s="88"/>
      <c r="H1916" s="89"/>
      <c r="L1916" s="88"/>
      <c r="M1916" s="89"/>
    </row>
    <row r="1917" spans="7:13" x14ac:dyDescent="0.35">
      <c r="G1917" s="88"/>
      <c r="H1917" s="89"/>
      <c r="L1917" s="88"/>
      <c r="M1917" s="89"/>
    </row>
    <row r="1918" spans="7:13" x14ac:dyDescent="0.35">
      <c r="G1918" s="88"/>
      <c r="H1918" s="89"/>
      <c r="L1918" s="88"/>
      <c r="M1918" s="89"/>
    </row>
    <row r="1919" spans="7:13" x14ac:dyDescent="0.35">
      <c r="G1919" s="88"/>
      <c r="H1919" s="89"/>
      <c r="L1919" s="88"/>
      <c r="M1919" s="89"/>
    </row>
    <row r="1920" spans="7:13" x14ac:dyDescent="0.35">
      <c r="G1920" s="88"/>
      <c r="H1920" s="89"/>
      <c r="L1920" s="88"/>
      <c r="M1920" s="89"/>
    </row>
    <row r="1921" spans="7:13" x14ac:dyDescent="0.35">
      <c r="G1921" s="88"/>
      <c r="H1921" s="89"/>
      <c r="L1921" s="88"/>
      <c r="M1921" s="89"/>
    </row>
    <row r="1922" spans="7:13" x14ac:dyDescent="0.35">
      <c r="G1922" s="88"/>
      <c r="H1922" s="89"/>
      <c r="L1922" s="88"/>
      <c r="M1922" s="89"/>
    </row>
    <row r="1923" spans="7:13" x14ac:dyDescent="0.35">
      <c r="G1923" s="88"/>
      <c r="H1923" s="89"/>
      <c r="L1923" s="88"/>
      <c r="M1923" s="89"/>
    </row>
    <row r="1924" spans="7:13" x14ac:dyDescent="0.35">
      <c r="G1924" s="88"/>
      <c r="H1924" s="89"/>
      <c r="L1924" s="88"/>
      <c r="M1924" s="89"/>
    </row>
    <row r="1925" spans="7:13" x14ac:dyDescent="0.35">
      <c r="G1925" s="88"/>
      <c r="H1925" s="89"/>
      <c r="L1925" s="88"/>
      <c r="M1925" s="89"/>
    </row>
    <row r="1926" spans="7:13" x14ac:dyDescent="0.35">
      <c r="G1926" s="88"/>
      <c r="H1926" s="89"/>
      <c r="L1926" s="88"/>
      <c r="M1926" s="89"/>
    </row>
    <row r="1927" spans="7:13" x14ac:dyDescent="0.35">
      <c r="G1927" s="88"/>
      <c r="H1927" s="89"/>
      <c r="L1927" s="88"/>
      <c r="M1927" s="89"/>
    </row>
    <row r="1928" spans="7:13" x14ac:dyDescent="0.35">
      <c r="G1928" s="88"/>
      <c r="H1928" s="89"/>
      <c r="L1928" s="88"/>
      <c r="M1928" s="89"/>
    </row>
    <row r="1929" spans="7:13" x14ac:dyDescent="0.35">
      <c r="G1929" s="88"/>
      <c r="H1929" s="89"/>
      <c r="L1929" s="88"/>
      <c r="M1929" s="89"/>
    </row>
    <row r="1930" spans="7:13" x14ac:dyDescent="0.35">
      <c r="G1930" s="88"/>
      <c r="H1930" s="89"/>
      <c r="L1930" s="88"/>
      <c r="M1930" s="89"/>
    </row>
    <row r="1931" spans="7:13" x14ac:dyDescent="0.35">
      <c r="G1931" s="88"/>
      <c r="H1931" s="89"/>
      <c r="L1931" s="88"/>
      <c r="M1931" s="89"/>
    </row>
    <row r="1932" spans="7:13" x14ac:dyDescent="0.35">
      <c r="G1932" s="88"/>
      <c r="H1932" s="89"/>
      <c r="L1932" s="88"/>
      <c r="M1932" s="89"/>
    </row>
    <row r="1933" spans="7:13" x14ac:dyDescent="0.35">
      <c r="G1933" s="88"/>
      <c r="H1933" s="89"/>
      <c r="L1933" s="88"/>
      <c r="M1933" s="89"/>
    </row>
    <row r="1934" spans="7:13" x14ac:dyDescent="0.35">
      <c r="G1934" s="88"/>
      <c r="H1934" s="89"/>
      <c r="L1934" s="88"/>
      <c r="M1934" s="89"/>
    </row>
    <row r="1935" spans="7:13" x14ac:dyDescent="0.35">
      <c r="G1935" s="88"/>
      <c r="H1935" s="89"/>
      <c r="L1935" s="88"/>
      <c r="M1935" s="89"/>
    </row>
    <row r="1936" spans="7:13" x14ac:dyDescent="0.35">
      <c r="G1936" s="88"/>
      <c r="H1936" s="89"/>
      <c r="L1936" s="88"/>
      <c r="M1936" s="89"/>
    </row>
    <row r="1937" spans="7:13" x14ac:dyDescent="0.35">
      <c r="G1937" s="88"/>
      <c r="H1937" s="89"/>
      <c r="L1937" s="88"/>
      <c r="M1937" s="89"/>
    </row>
    <row r="1938" spans="7:13" x14ac:dyDescent="0.35">
      <c r="G1938" s="88"/>
      <c r="H1938" s="89"/>
      <c r="L1938" s="88"/>
      <c r="M1938" s="89"/>
    </row>
    <row r="1939" spans="7:13" x14ac:dyDescent="0.35">
      <c r="G1939" s="88"/>
      <c r="H1939" s="89"/>
      <c r="L1939" s="88"/>
      <c r="M1939" s="89"/>
    </row>
    <row r="1940" spans="7:13" x14ac:dyDescent="0.35">
      <c r="G1940" s="88"/>
      <c r="H1940" s="89"/>
      <c r="L1940" s="88"/>
      <c r="M1940" s="89"/>
    </row>
    <row r="1941" spans="7:13" x14ac:dyDescent="0.35">
      <c r="G1941" s="88"/>
      <c r="H1941" s="89"/>
      <c r="L1941" s="88"/>
      <c r="M1941" s="89"/>
    </row>
    <row r="1942" spans="7:13" x14ac:dyDescent="0.35">
      <c r="G1942" s="88"/>
      <c r="H1942" s="89"/>
      <c r="L1942" s="88"/>
      <c r="M1942" s="89"/>
    </row>
    <row r="1943" spans="7:13" x14ac:dyDescent="0.35">
      <c r="G1943" s="88"/>
      <c r="H1943" s="89"/>
      <c r="L1943" s="88"/>
      <c r="M1943" s="89"/>
    </row>
    <row r="1944" spans="7:13" x14ac:dyDescent="0.35">
      <c r="G1944" s="88"/>
      <c r="H1944" s="89"/>
      <c r="L1944" s="88"/>
      <c r="M1944" s="89"/>
    </row>
    <row r="1945" spans="7:13" x14ac:dyDescent="0.35">
      <c r="G1945" s="88"/>
      <c r="H1945" s="89"/>
      <c r="L1945" s="88"/>
      <c r="M1945" s="89"/>
    </row>
    <row r="1946" spans="7:13" x14ac:dyDescent="0.35">
      <c r="G1946" s="88"/>
      <c r="H1946" s="89"/>
      <c r="L1946" s="88"/>
      <c r="M1946" s="89"/>
    </row>
    <row r="1947" spans="7:13" x14ac:dyDescent="0.35">
      <c r="G1947" s="88"/>
      <c r="H1947" s="89"/>
      <c r="L1947" s="88"/>
      <c r="M1947" s="89"/>
    </row>
    <row r="1948" spans="7:13" x14ac:dyDescent="0.35">
      <c r="G1948" s="88"/>
      <c r="H1948" s="89"/>
      <c r="L1948" s="88"/>
      <c r="M1948" s="89"/>
    </row>
    <row r="1949" spans="7:13" x14ac:dyDescent="0.35">
      <c r="G1949" s="88"/>
      <c r="H1949" s="89"/>
      <c r="L1949" s="88"/>
      <c r="M1949" s="89"/>
    </row>
    <row r="1950" spans="7:13" x14ac:dyDescent="0.35">
      <c r="G1950" s="88"/>
      <c r="H1950" s="89"/>
      <c r="L1950" s="88"/>
      <c r="M1950" s="89"/>
    </row>
    <row r="1951" spans="7:13" x14ac:dyDescent="0.35">
      <c r="G1951" s="88"/>
      <c r="H1951" s="89"/>
      <c r="L1951" s="88"/>
      <c r="M1951" s="89"/>
    </row>
    <row r="1952" spans="7:13" x14ac:dyDescent="0.35">
      <c r="G1952" s="88"/>
      <c r="H1952" s="89"/>
      <c r="L1952" s="88"/>
      <c r="M1952" s="89"/>
    </row>
    <row r="1953" spans="7:13" x14ac:dyDescent="0.35">
      <c r="G1953" s="88"/>
      <c r="H1953" s="89"/>
      <c r="L1953" s="88"/>
      <c r="M1953" s="89"/>
    </row>
    <row r="1954" spans="7:13" x14ac:dyDescent="0.35">
      <c r="G1954" s="88"/>
      <c r="H1954" s="89"/>
      <c r="L1954" s="88"/>
      <c r="M1954" s="89"/>
    </row>
    <row r="1955" spans="7:13" x14ac:dyDescent="0.35">
      <c r="G1955" s="88"/>
      <c r="H1955" s="89"/>
      <c r="L1955" s="88"/>
      <c r="M1955" s="89"/>
    </row>
    <row r="1956" spans="7:13" x14ac:dyDescent="0.35">
      <c r="G1956" s="88"/>
      <c r="H1956" s="89"/>
      <c r="L1956" s="88"/>
      <c r="M1956" s="89"/>
    </row>
    <row r="1957" spans="7:13" x14ac:dyDescent="0.35">
      <c r="G1957" s="88"/>
      <c r="H1957" s="89"/>
      <c r="L1957" s="88"/>
      <c r="M1957" s="89"/>
    </row>
    <row r="1958" spans="7:13" x14ac:dyDescent="0.35">
      <c r="G1958" s="88"/>
      <c r="H1958" s="89"/>
      <c r="L1958" s="88"/>
      <c r="M1958" s="89"/>
    </row>
    <row r="1959" spans="7:13" x14ac:dyDescent="0.35">
      <c r="G1959" s="88"/>
      <c r="H1959" s="89"/>
      <c r="L1959" s="88"/>
      <c r="M1959" s="89"/>
    </row>
    <row r="1960" spans="7:13" x14ac:dyDescent="0.35">
      <c r="G1960" s="88"/>
      <c r="H1960" s="89"/>
      <c r="L1960" s="88"/>
      <c r="M1960" s="89"/>
    </row>
    <row r="1961" spans="7:13" x14ac:dyDescent="0.35">
      <c r="G1961" s="88"/>
      <c r="H1961" s="89"/>
      <c r="L1961" s="88"/>
      <c r="M1961" s="89"/>
    </row>
    <row r="1962" spans="7:13" x14ac:dyDescent="0.35">
      <c r="G1962" s="88"/>
      <c r="H1962" s="89"/>
      <c r="L1962" s="88"/>
      <c r="M1962" s="89"/>
    </row>
    <row r="1963" spans="7:13" x14ac:dyDescent="0.35">
      <c r="G1963" s="88"/>
      <c r="H1963" s="89"/>
      <c r="L1963" s="88"/>
      <c r="M1963" s="89"/>
    </row>
    <row r="1964" spans="7:13" x14ac:dyDescent="0.35">
      <c r="G1964" s="88"/>
      <c r="H1964" s="89"/>
      <c r="L1964" s="88"/>
      <c r="M1964" s="89"/>
    </row>
    <row r="1965" spans="7:13" x14ac:dyDescent="0.35">
      <c r="G1965" s="88"/>
      <c r="H1965" s="89"/>
      <c r="L1965" s="88"/>
      <c r="M1965" s="89"/>
    </row>
    <row r="1966" spans="7:13" x14ac:dyDescent="0.35">
      <c r="G1966" s="88"/>
      <c r="H1966" s="89"/>
      <c r="L1966" s="88"/>
      <c r="M1966" s="89"/>
    </row>
    <row r="1967" spans="7:13" x14ac:dyDescent="0.35">
      <c r="G1967" s="88"/>
      <c r="H1967" s="89"/>
      <c r="L1967" s="88"/>
      <c r="M1967" s="89"/>
    </row>
    <row r="1968" spans="7:13" x14ac:dyDescent="0.35">
      <c r="G1968" s="88"/>
      <c r="H1968" s="89"/>
      <c r="L1968" s="88"/>
      <c r="M1968" s="89"/>
    </row>
    <row r="1969" spans="7:13" x14ac:dyDescent="0.35">
      <c r="G1969" s="88"/>
      <c r="H1969" s="89"/>
      <c r="L1969" s="88"/>
      <c r="M1969" s="89"/>
    </row>
    <row r="1970" spans="7:13" x14ac:dyDescent="0.35">
      <c r="G1970" s="88"/>
      <c r="H1970" s="89"/>
      <c r="L1970" s="88"/>
      <c r="M1970" s="89"/>
    </row>
    <row r="1971" spans="7:13" x14ac:dyDescent="0.35">
      <c r="G1971" s="88"/>
      <c r="H1971" s="89"/>
      <c r="L1971" s="88"/>
      <c r="M1971" s="89"/>
    </row>
    <row r="1972" spans="7:13" x14ac:dyDescent="0.35">
      <c r="G1972" s="88"/>
      <c r="H1972" s="89"/>
      <c r="L1972" s="88"/>
      <c r="M1972" s="89"/>
    </row>
    <row r="1973" spans="7:13" x14ac:dyDescent="0.35">
      <c r="G1973" s="88"/>
      <c r="H1973" s="89"/>
      <c r="L1973" s="88"/>
      <c r="M1973" s="89"/>
    </row>
    <row r="1974" spans="7:13" x14ac:dyDescent="0.35">
      <c r="G1974" s="88"/>
      <c r="H1974" s="89"/>
      <c r="L1974" s="88"/>
      <c r="M1974" s="89"/>
    </row>
    <row r="1975" spans="7:13" x14ac:dyDescent="0.35">
      <c r="G1975" s="88"/>
      <c r="H1975" s="89"/>
      <c r="L1975" s="88"/>
      <c r="M1975" s="89"/>
    </row>
    <row r="1976" spans="7:13" x14ac:dyDescent="0.35">
      <c r="G1976" s="88"/>
      <c r="H1976" s="89"/>
      <c r="L1976" s="88"/>
      <c r="M1976" s="89"/>
    </row>
    <row r="1977" spans="7:13" x14ac:dyDescent="0.35">
      <c r="G1977" s="88"/>
      <c r="H1977" s="89"/>
      <c r="L1977" s="88"/>
      <c r="M1977" s="89"/>
    </row>
    <row r="1978" spans="7:13" x14ac:dyDescent="0.35">
      <c r="G1978" s="88"/>
      <c r="H1978" s="89"/>
      <c r="L1978" s="88"/>
      <c r="M1978" s="89"/>
    </row>
    <row r="1979" spans="7:13" x14ac:dyDescent="0.35">
      <c r="G1979" s="88"/>
      <c r="H1979" s="89"/>
      <c r="L1979" s="88"/>
      <c r="M1979" s="89"/>
    </row>
    <row r="1980" spans="7:13" x14ac:dyDescent="0.35">
      <c r="G1980" s="88"/>
      <c r="H1980" s="89"/>
      <c r="L1980" s="88"/>
      <c r="M1980" s="89"/>
    </row>
    <row r="1981" spans="7:13" x14ac:dyDescent="0.35">
      <c r="G1981" s="88"/>
      <c r="H1981" s="89"/>
      <c r="L1981" s="88"/>
      <c r="M1981" s="89"/>
    </row>
    <row r="1982" spans="7:13" x14ac:dyDescent="0.35">
      <c r="G1982" s="88"/>
      <c r="H1982" s="89"/>
      <c r="L1982" s="88"/>
      <c r="M1982" s="89"/>
    </row>
    <row r="1983" spans="7:13" x14ac:dyDescent="0.35">
      <c r="G1983" s="88"/>
      <c r="H1983" s="89"/>
      <c r="L1983" s="88"/>
      <c r="M1983" s="89"/>
    </row>
    <row r="1984" spans="7:13" x14ac:dyDescent="0.35">
      <c r="G1984" s="88"/>
      <c r="H1984" s="89"/>
      <c r="L1984" s="88"/>
      <c r="M1984" s="89"/>
    </row>
    <row r="1985" spans="7:13" x14ac:dyDescent="0.35">
      <c r="G1985" s="88"/>
      <c r="H1985" s="89"/>
      <c r="L1985" s="88"/>
      <c r="M1985" s="89"/>
    </row>
    <row r="1986" spans="7:13" x14ac:dyDescent="0.35">
      <c r="G1986" s="88"/>
      <c r="H1986" s="89"/>
      <c r="L1986" s="88"/>
      <c r="M1986" s="89"/>
    </row>
    <row r="1987" spans="7:13" x14ac:dyDescent="0.35">
      <c r="G1987" s="88"/>
      <c r="H1987" s="89"/>
      <c r="L1987" s="88"/>
      <c r="M1987" s="89"/>
    </row>
    <row r="1988" spans="7:13" x14ac:dyDescent="0.35">
      <c r="G1988" s="88"/>
      <c r="H1988" s="89"/>
      <c r="L1988" s="88"/>
      <c r="M1988" s="89"/>
    </row>
    <row r="1989" spans="7:13" x14ac:dyDescent="0.35">
      <c r="G1989" s="88"/>
      <c r="H1989" s="89"/>
      <c r="L1989" s="88"/>
      <c r="M1989" s="89"/>
    </row>
    <row r="1990" spans="7:13" x14ac:dyDescent="0.35">
      <c r="G1990" s="88"/>
      <c r="H1990" s="89"/>
      <c r="L1990" s="88"/>
      <c r="M1990" s="89"/>
    </row>
    <row r="1991" spans="7:13" x14ac:dyDescent="0.35">
      <c r="G1991" s="88"/>
      <c r="H1991" s="89"/>
      <c r="L1991" s="88"/>
      <c r="M1991" s="89"/>
    </row>
    <row r="1992" spans="7:13" x14ac:dyDescent="0.35">
      <c r="G1992" s="88"/>
      <c r="H1992" s="89"/>
      <c r="L1992" s="88"/>
      <c r="M1992" s="89"/>
    </row>
    <row r="1993" spans="7:13" x14ac:dyDescent="0.35">
      <c r="G1993" s="88"/>
      <c r="H1993" s="89"/>
      <c r="L1993" s="88"/>
      <c r="M1993" s="89"/>
    </row>
    <row r="1994" spans="7:13" x14ac:dyDescent="0.35">
      <c r="G1994" s="88"/>
      <c r="H1994" s="89"/>
      <c r="L1994" s="88"/>
      <c r="M1994" s="89"/>
    </row>
    <row r="1995" spans="7:13" x14ac:dyDescent="0.35">
      <c r="G1995" s="88"/>
      <c r="H1995" s="89"/>
      <c r="L1995" s="88"/>
      <c r="M1995" s="89"/>
    </row>
    <row r="1996" spans="7:13" x14ac:dyDescent="0.35">
      <c r="G1996" s="88"/>
      <c r="H1996" s="89"/>
      <c r="L1996" s="88"/>
      <c r="M1996" s="89"/>
    </row>
    <row r="1997" spans="7:13" x14ac:dyDescent="0.35">
      <c r="G1997" s="88"/>
      <c r="H1997" s="89"/>
      <c r="L1997" s="88"/>
      <c r="M1997" s="89"/>
    </row>
    <row r="1998" spans="7:13" x14ac:dyDescent="0.35">
      <c r="G1998" s="88"/>
      <c r="H1998" s="89"/>
      <c r="L1998" s="88"/>
      <c r="M1998" s="89"/>
    </row>
    <row r="1999" spans="7:13" x14ac:dyDescent="0.35">
      <c r="G1999" s="88"/>
      <c r="H1999" s="89"/>
      <c r="L1999" s="88"/>
      <c r="M1999" s="89"/>
    </row>
    <row r="2000" spans="7:13" x14ac:dyDescent="0.35">
      <c r="G2000" s="88"/>
      <c r="H2000" s="89"/>
      <c r="L2000" s="88"/>
      <c r="M2000" s="89"/>
    </row>
    <row r="2001" spans="7:13" x14ac:dyDescent="0.35">
      <c r="G2001" s="88"/>
      <c r="H2001" s="89"/>
      <c r="L2001" s="88"/>
      <c r="M2001" s="89"/>
    </row>
    <row r="2002" spans="7:13" x14ac:dyDescent="0.35">
      <c r="G2002" s="88"/>
      <c r="H2002" s="89"/>
      <c r="L2002" s="88"/>
      <c r="M2002" s="89"/>
    </row>
    <row r="2003" spans="7:13" x14ac:dyDescent="0.35">
      <c r="G2003" s="88"/>
      <c r="H2003" s="89"/>
      <c r="L2003" s="88"/>
      <c r="M2003" s="89"/>
    </row>
    <row r="2004" spans="7:13" x14ac:dyDescent="0.35">
      <c r="G2004" s="88"/>
      <c r="H2004" s="89"/>
      <c r="L2004" s="88"/>
      <c r="M2004" s="89"/>
    </row>
    <row r="2005" spans="7:13" x14ac:dyDescent="0.35">
      <c r="G2005" s="88"/>
      <c r="H2005" s="89"/>
      <c r="L2005" s="88"/>
      <c r="M2005" s="89"/>
    </row>
    <row r="2006" spans="7:13" x14ac:dyDescent="0.35">
      <c r="G2006" s="88"/>
      <c r="H2006" s="89"/>
      <c r="L2006" s="88"/>
      <c r="M2006" s="89"/>
    </row>
    <row r="2007" spans="7:13" x14ac:dyDescent="0.35">
      <c r="G2007" s="88"/>
      <c r="H2007" s="89"/>
      <c r="L2007" s="88"/>
      <c r="M2007" s="89"/>
    </row>
    <row r="2008" spans="7:13" x14ac:dyDescent="0.35">
      <c r="G2008" s="88"/>
      <c r="H2008" s="89"/>
      <c r="L2008" s="88"/>
      <c r="M2008" s="89"/>
    </row>
    <row r="2009" spans="7:13" x14ac:dyDescent="0.35">
      <c r="G2009" s="88"/>
      <c r="H2009" s="89"/>
      <c r="L2009" s="88"/>
      <c r="M2009" s="89"/>
    </row>
    <row r="2010" spans="7:13" x14ac:dyDescent="0.35">
      <c r="G2010" s="88"/>
      <c r="H2010" s="89"/>
      <c r="L2010" s="88"/>
      <c r="M2010" s="89"/>
    </row>
    <row r="2011" spans="7:13" x14ac:dyDescent="0.35">
      <c r="G2011" s="88"/>
      <c r="H2011" s="89"/>
      <c r="L2011" s="88"/>
      <c r="M2011" s="89"/>
    </row>
    <row r="2012" spans="7:13" x14ac:dyDescent="0.35">
      <c r="G2012" s="88"/>
      <c r="H2012" s="89"/>
      <c r="L2012" s="88"/>
      <c r="M2012" s="89"/>
    </row>
    <row r="2013" spans="7:13" x14ac:dyDescent="0.35">
      <c r="G2013" s="88"/>
      <c r="H2013" s="89"/>
      <c r="L2013" s="88"/>
      <c r="M2013" s="89"/>
    </row>
    <row r="2014" spans="7:13" x14ac:dyDescent="0.35">
      <c r="G2014" s="88"/>
      <c r="H2014" s="89"/>
      <c r="L2014" s="88"/>
      <c r="M2014" s="89"/>
    </row>
    <row r="2015" spans="7:13" x14ac:dyDescent="0.35">
      <c r="G2015" s="88"/>
      <c r="H2015" s="89"/>
      <c r="L2015" s="88"/>
      <c r="M2015" s="89"/>
    </row>
    <row r="2016" spans="7:13" x14ac:dyDescent="0.35">
      <c r="G2016" s="88"/>
      <c r="H2016" s="89"/>
      <c r="L2016" s="88"/>
      <c r="M2016" s="89"/>
    </row>
    <row r="2017" spans="7:13" x14ac:dyDescent="0.35">
      <c r="G2017" s="88"/>
      <c r="H2017" s="89"/>
      <c r="L2017" s="88"/>
      <c r="M2017" s="89"/>
    </row>
    <row r="2018" spans="7:13" x14ac:dyDescent="0.35">
      <c r="G2018" s="88"/>
      <c r="H2018" s="89"/>
      <c r="L2018" s="88"/>
      <c r="M2018" s="89"/>
    </row>
    <row r="2019" spans="7:13" x14ac:dyDescent="0.35">
      <c r="G2019" s="88"/>
      <c r="H2019" s="89"/>
      <c r="L2019" s="88"/>
      <c r="M2019" s="89"/>
    </row>
    <row r="2020" spans="7:13" x14ac:dyDescent="0.35">
      <c r="G2020" s="88"/>
      <c r="H2020" s="89"/>
      <c r="L2020" s="88"/>
      <c r="M2020" s="89"/>
    </row>
    <row r="2021" spans="7:13" x14ac:dyDescent="0.35">
      <c r="G2021" s="88"/>
      <c r="H2021" s="89"/>
      <c r="L2021" s="88"/>
      <c r="M2021" s="89"/>
    </row>
    <row r="2022" spans="7:13" x14ac:dyDescent="0.35">
      <c r="G2022" s="88"/>
      <c r="H2022" s="89"/>
      <c r="L2022" s="88"/>
      <c r="M2022" s="89"/>
    </row>
    <row r="2023" spans="7:13" x14ac:dyDescent="0.35">
      <c r="G2023" s="88"/>
      <c r="H2023" s="89"/>
      <c r="L2023" s="88"/>
      <c r="M2023" s="89"/>
    </row>
    <row r="2024" spans="7:13" x14ac:dyDescent="0.35">
      <c r="G2024" s="88"/>
      <c r="H2024" s="89"/>
      <c r="L2024" s="88"/>
      <c r="M2024" s="89"/>
    </row>
    <row r="2025" spans="7:13" x14ac:dyDescent="0.35">
      <c r="G2025" s="88"/>
      <c r="H2025" s="89"/>
      <c r="L2025" s="88"/>
      <c r="M2025" s="89"/>
    </row>
    <row r="2026" spans="7:13" x14ac:dyDescent="0.35">
      <c r="G2026" s="88"/>
      <c r="H2026" s="89"/>
      <c r="L2026" s="88"/>
      <c r="M2026" s="89"/>
    </row>
    <row r="2027" spans="7:13" x14ac:dyDescent="0.35">
      <c r="G2027" s="88"/>
      <c r="H2027" s="89"/>
      <c r="L2027" s="88"/>
      <c r="M2027" s="89"/>
    </row>
    <row r="2028" spans="7:13" x14ac:dyDescent="0.35">
      <c r="G2028" s="88"/>
      <c r="H2028" s="89"/>
      <c r="L2028" s="88"/>
      <c r="M2028" s="89"/>
    </row>
    <row r="2029" spans="7:13" x14ac:dyDescent="0.35">
      <c r="G2029" s="88"/>
      <c r="H2029" s="89"/>
      <c r="L2029" s="88"/>
      <c r="M2029" s="89"/>
    </row>
    <row r="2030" spans="7:13" x14ac:dyDescent="0.35">
      <c r="G2030" s="88"/>
      <c r="H2030" s="89"/>
      <c r="L2030" s="88"/>
      <c r="M2030" s="89"/>
    </row>
    <row r="2031" spans="7:13" x14ac:dyDescent="0.35">
      <c r="G2031" s="88"/>
      <c r="H2031" s="89"/>
      <c r="L2031" s="88"/>
      <c r="M2031" s="89"/>
    </row>
    <row r="2032" spans="7:13" x14ac:dyDescent="0.35">
      <c r="G2032" s="88"/>
      <c r="H2032" s="89"/>
      <c r="L2032" s="88"/>
      <c r="M2032" s="89"/>
    </row>
    <row r="2033" spans="7:13" x14ac:dyDescent="0.35">
      <c r="G2033" s="88"/>
      <c r="H2033" s="89"/>
      <c r="L2033" s="88"/>
      <c r="M2033" s="89"/>
    </row>
    <row r="2034" spans="7:13" x14ac:dyDescent="0.35">
      <c r="G2034" s="88"/>
      <c r="H2034" s="89"/>
      <c r="L2034" s="88"/>
      <c r="M2034" s="89"/>
    </row>
    <row r="2035" spans="7:13" x14ac:dyDescent="0.35">
      <c r="G2035" s="88"/>
      <c r="H2035" s="89"/>
      <c r="L2035" s="88"/>
      <c r="M2035" s="89"/>
    </row>
    <row r="2036" spans="7:13" x14ac:dyDescent="0.35">
      <c r="G2036" s="88"/>
      <c r="H2036" s="89"/>
      <c r="L2036" s="88"/>
      <c r="M2036" s="89"/>
    </row>
    <row r="2037" spans="7:13" x14ac:dyDescent="0.35">
      <c r="G2037" s="88"/>
      <c r="H2037" s="89"/>
      <c r="L2037" s="88"/>
      <c r="M2037" s="89"/>
    </row>
    <row r="2038" spans="7:13" x14ac:dyDescent="0.35">
      <c r="G2038" s="88"/>
      <c r="H2038" s="89"/>
      <c r="L2038" s="88"/>
      <c r="M2038" s="89"/>
    </row>
    <row r="2039" spans="7:13" x14ac:dyDescent="0.35">
      <c r="G2039" s="88"/>
      <c r="H2039" s="89"/>
      <c r="L2039" s="88"/>
      <c r="M2039" s="89"/>
    </row>
    <row r="2040" spans="7:13" x14ac:dyDescent="0.35">
      <c r="G2040" s="88"/>
      <c r="H2040" s="89"/>
      <c r="L2040" s="88"/>
      <c r="M2040" s="89"/>
    </row>
    <row r="2041" spans="7:13" x14ac:dyDescent="0.35">
      <c r="G2041" s="88"/>
      <c r="H2041" s="89"/>
      <c r="L2041" s="88"/>
      <c r="M2041" s="89"/>
    </row>
    <row r="2042" spans="7:13" x14ac:dyDescent="0.35">
      <c r="G2042" s="88"/>
      <c r="H2042" s="89"/>
      <c r="L2042" s="88"/>
      <c r="M2042" s="89"/>
    </row>
    <row r="2043" spans="7:13" x14ac:dyDescent="0.35">
      <c r="G2043" s="88"/>
      <c r="H2043" s="89"/>
      <c r="L2043" s="88"/>
      <c r="M2043" s="89"/>
    </row>
    <row r="2044" spans="7:13" x14ac:dyDescent="0.35">
      <c r="G2044" s="88"/>
      <c r="H2044" s="89"/>
      <c r="L2044" s="88"/>
      <c r="M2044" s="89"/>
    </row>
    <row r="2045" spans="7:13" x14ac:dyDescent="0.35">
      <c r="G2045" s="88"/>
      <c r="H2045" s="89"/>
      <c r="L2045" s="88"/>
      <c r="M2045" s="89"/>
    </row>
    <row r="2046" spans="7:13" x14ac:dyDescent="0.35">
      <c r="G2046" s="88"/>
      <c r="H2046" s="89"/>
      <c r="L2046" s="88"/>
      <c r="M2046" s="89"/>
    </row>
    <row r="2047" spans="7:13" x14ac:dyDescent="0.35">
      <c r="G2047" s="88"/>
      <c r="H2047" s="89"/>
      <c r="L2047" s="88"/>
      <c r="M2047" s="89"/>
    </row>
    <row r="2048" spans="7:13" x14ac:dyDescent="0.35">
      <c r="G2048" s="88"/>
      <c r="H2048" s="89"/>
      <c r="L2048" s="88"/>
      <c r="M2048" s="89"/>
    </row>
    <row r="2049" spans="7:13" x14ac:dyDescent="0.35">
      <c r="G2049" s="88"/>
      <c r="H2049" s="89"/>
      <c r="L2049" s="88"/>
      <c r="M2049" s="89"/>
    </row>
    <row r="2050" spans="7:13" x14ac:dyDescent="0.35">
      <c r="G2050" s="88"/>
      <c r="H2050" s="89"/>
      <c r="L2050" s="88"/>
      <c r="M2050" s="89"/>
    </row>
    <row r="2051" spans="7:13" x14ac:dyDescent="0.35">
      <c r="G2051" s="88"/>
      <c r="H2051" s="89"/>
      <c r="L2051" s="88"/>
      <c r="M2051" s="89"/>
    </row>
    <row r="2052" spans="7:13" x14ac:dyDescent="0.35">
      <c r="G2052" s="88"/>
      <c r="H2052" s="89"/>
      <c r="L2052" s="88"/>
      <c r="M2052" s="89"/>
    </row>
    <row r="2053" spans="7:13" x14ac:dyDescent="0.35">
      <c r="G2053" s="88"/>
      <c r="H2053" s="89"/>
      <c r="L2053" s="88"/>
      <c r="M2053" s="89"/>
    </row>
    <row r="2054" spans="7:13" x14ac:dyDescent="0.35">
      <c r="G2054" s="88"/>
      <c r="H2054" s="89"/>
      <c r="L2054" s="88"/>
      <c r="M2054" s="89"/>
    </row>
    <row r="2055" spans="7:13" x14ac:dyDescent="0.35">
      <c r="G2055" s="88"/>
      <c r="H2055" s="89"/>
      <c r="L2055" s="88"/>
      <c r="M2055" s="89"/>
    </row>
    <row r="2056" spans="7:13" x14ac:dyDescent="0.35">
      <c r="G2056" s="88"/>
      <c r="H2056" s="89"/>
      <c r="L2056" s="88"/>
      <c r="M2056" s="89"/>
    </row>
    <row r="2057" spans="7:13" x14ac:dyDescent="0.35">
      <c r="G2057" s="88"/>
      <c r="H2057" s="89"/>
      <c r="L2057" s="88"/>
      <c r="M2057" s="89"/>
    </row>
    <row r="2058" spans="7:13" x14ac:dyDescent="0.35">
      <c r="G2058" s="88"/>
      <c r="H2058" s="89"/>
      <c r="L2058" s="88"/>
      <c r="M2058" s="89"/>
    </row>
    <row r="2059" spans="7:13" x14ac:dyDescent="0.35">
      <c r="G2059" s="88"/>
      <c r="H2059" s="89"/>
      <c r="L2059" s="88"/>
      <c r="M2059" s="89"/>
    </row>
    <row r="2060" spans="7:13" x14ac:dyDescent="0.35">
      <c r="G2060" s="88"/>
      <c r="H2060" s="89"/>
      <c r="L2060" s="88"/>
      <c r="M2060" s="89"/>
    </row>
    <row r="2061" spans="7:13" x14ac:dyDescent="0.35">
      <c r="G2061" s="88"/>
      <c r="H2061" s="89"/>
      <c r="L2061" s="88"/>
      <c r="M2061" s="89"/>
    </row>
    <row r="2062" spans="7:13" x14ac:dyDescent="0.35">
      <c r="G2062" s="88"/>
      <c r="H2062" s="89"/>
      <c r="L2062" s="88"/>
      <c r="M2062" s="89"/>
    </row>
    <row r="2063" spans="7:13" x14ac:dyDescent="0.35">
      <c r="G2063" s="88"/>
      <c r="H2063" s="89"/>
      <c r="L2063" s="88"/>
      <c r="M2063" s="89"/>
    </row>
    <row r="2064" spans="7:13" x14ac:dyDescent="0.35">
      <c r="G2064" s="88"/>
      <c r="H2064" s="89"/>
      <c r="L2064" s="88"/>
      <c r="M2064" s="89"/>
    </row>
    <row r="2065" spans="7:13" x14ac:dyDescent="0.35">
      <c r="G2065" s="88"/>
      <c r="H2065" s="89"/>
      <c r="L2065" s="88"/>
      <c r="M2065" s="89"/>
    </row>
    <row r="2066" spans="7:13" x14ac:dyDescent="0.35">
      <c r="G2066" s="88"/>
      <c r="H2066" s="89"/>
      <c r="L2066" s="88"/>
      <c r="M2066" s="89"/>
    </row>
    <row r="2067" spans="7:13" x14ac:dyDescent="0.35">
      <c r="G2067" s="88"/>
      <c r="H2067" s="89"/>
      <c r="L2067" s="88"/>
      <c r="M2067" s="89"/>
    </row>
    <row r="2068" spans="7:13" x14ac:dyDescent="0.35">
      <c r="G2068" s="88"/>
      <c r="H2068" s="89"/>
      <c r="L2068" s="88"/>
      <c r="M2068" s="89"/>
    </row>
    <row r="2069" spans="7:13" x14ac:dyDescent="0.35">
      <c r="G2069" s="88"/>
      <c r="H2069" s="89"/>
      <c r="L2069" s="88"/>
      <c r="M2069" s="89"/>
    </row>
    <row r="2070" spans="7:13" x14ac:dyDescent="0.35">
      <c r="G2070" s="88"/>
      <c r="H2070" s="89"/>
      <c r="L2070" s="88"/>
      <c r="M2070" s="89"/>
    </row>
    <row r="2071" spans="7:13" x14ac:dyDescent="0.35">
      <c r="G2071" s="88"/>
      <c r="H2071" s="89"/>
      <c r="L2071" s="88"/>
      <c r="M2071" s="89"/>
    </row>
    <row r="2072" spans="7:13" x14ac:dyDescent="0.35">
      <c r="G2072" s="88"/>
      <c r="H2072" s="89"/>
      <c r="L2072" s="88"/>
      <c r="M2072" s="89"/>
    </row>
    <row r="2073" spans="7:13" x14ac:dyDescent="0.35">
      <c r="G2073" s="88"/>
      <c r="H2073" s="89"/>
      <c r="L2073" s="88"/>
      <c r="M2073" s="89"/>
    </row>
    <row r="2074" spans="7:13" x14ac:dyDescent="0.35">
      <c r="G2074" s="88"/>
      <c r="H2074" s="89"/>
      <c r="L2074" s="88"/>
      <c r="M2074" s="89"/>
    </row>
    <row r="2075" spans="7:13" x14ac:dyDescent="0.35">
      <c r="G2075" s="88"/>
      <c r="H2075" s="89"/>
      <c r="L2075" s="88"/>
      <c r="M2075" s="89"/>
    </row>
    <row r="2076" spans="7:13" x14ac:dyDescent="0.35">
      <c r="G2076" s="88"/>
      <c r="H2076" s="89"/>
      <c r="L2076" s="88"/>
      <c r="M2076" s="89"/>
    </row>
    <row r="2077" spans="7:13" x14ac:dyDescent="0.35">
      <c r="G2077" s="88"/>
      <c r="H2077" s="89"/>
      <c r="L2077" s="88"/>
      <c r="M2077" s="89"/>
    </row>
    <row r="2078" spans="7:13" x14ac:dyDescent="0.35">
      <c r="G2078" s="88"/>
      <c r="H2078" s="89"/>
      <c r="L2078" s="88"/>
      <c r="M2078" s="89"/>
    </row>
    <row r="2079" spans="7:13" x14ac:dyDescent="0.35">
      <c r="G2079" s="88"/>
      <c r="H2079" s="89"/>
      <c r="L2079" s="88"/>
      <c r="M2079" s="89"/>
    </row>
    <row r="2080" spans="7:13" x14ac:dyDescent="0.35">
      <c r="G2080" s="88"/>
      <c r="H2080" s="89"/>
      <c r="L2080" s="88"/>
      <c r="M2080" s="89"/>
    </row>
    <row r="2081" spans="7:13" x14ac:dyDescent="0.35">
      <c r="G2081" s="88"/>
      <c r="H2081" s="89"/>
      <c r="L2081" s="88"/>
      <c r="M2081" s="89"/>
    </row>
    <row r="2082" spans="7:13" x14ac:dyDescent="0.35">
      <c r="G2082" s="88"/>
      <c r="H2082" s="89"/>
      <c r="L2082" s="88"/>
      <c r="M2082" s="89"/>
    </row>
    <row r="2083" spans="7:13" x14ac:dyDescent="0.35">
      <c r="G2083" s="88"/>
      <c r="H2083" s="89"/>
      <c r="L2083" s="88"/>
      <c r="M2083" s="89"/>
    </row>
    <row r="2084" spans="7:13" x14ac:dyDescent="0.35">
      <c r="G2084" s="88"/>
      <c r="H2084" s="89"/>
      <c r="L2084" s="88"/>
      <c r="M2084" s="89"/>
    </row>
    <row r="2085" spans="7:13" x14ac:dyDescent="0.35">
      <c r="G2085" s="88"/>
      <c r="H2085" s="89"/>
      <c r="L2085" s="88"/>
      <c r="M2085" s="89"/>
    </row>
    <row r="2086" spans="7:13" x14ac:dyDescent="0.35">
      <c r="G2086" s="88"/>
      <c r="H2086" s="89"/>
      <c r="L2086" s="88"/>
      <c r="M2086" s="89"/>
    </row>
    <row r="2087" spans="7:13" x14ac:dyDescent="0.35">
      <c r="G2087" s="88"/>
      <c r="H2087" s="89"/>
      <c r="L2087" s="88"/>
      <c r="M2087" s="89"/>
    </row>
    <row r="2088" spans="7:13" x14ac:dyDescent="0.35">
      <c r="G2088" s="88"/>
      <c r="H2088" s="89"/>
      <c r="L2088" s="88"/>
      <c r="M2088" s="89"/>
    </row>
    <row r="2089" spans="7:13" x14ac:dyDescent="0.35">
      <c r="G2089" s="88"/>
      <c r="H2089" s="89"/>
      <c r="L2089" s="88"/>
      <c r="M2089" s="89"/>
    </row>
    <row r="2090" spans="7:13" x14ac:dyDescent="0.35">
      <c r="G2090" s="88"/>
      <c r="H2090" s="89"/>
      <c r="L2090" s="88"/>
      <c r="M2090" s="89"/>
    </row>
    <row r="2091" spans="7:13" x14ac:dyDescent="0.35">
      <c r="G2091" s="88"/>
      <c r="H2091" s="89"/>
      <c r="L2091" s="88"/>
      <c r="M2091" s="89"/>
    </row>
    <row r="2092" spans="7:13" x14ac:dyDescent="0.35">
      <c r="G2092" s="88"/>
      <c r="H2092" s="89"/>
      <c r="L2092" s="88"/>
      <c r="M2092" s="89"/>
    </row>
    <row r="2093" spans="7:13" x14ac:dyDescent="0.35">
      <c r="G2093" s="88"/>
      <c r="H2093" s="89"/>
      <c r="L2093" s="88"/>
      <c r="M2093" s="89"/>
    </row>
    <row r="2094" spans="7:13" x14ac:dyDescent="0.35">
      <c r="G2094" s="88"/>
      <c r="H2094" s="89"/>
      <c r="L2094" s="88"/>
      <c r="M2094" s="89"/>
    </row>
    <row r="2095" spans="7:13" x14ac:dyDescent="0.35">
      <c r="G2095" s="88"/>
      <c r="H2095" s="89"/>
      <c r="L2095" s="88"/>
      <c r="M2095" s="89"/>
    </row>
    <row r="2096" spans="7:13" x14ac:dyDescent="0.35">
      <c r="G2096" s="88"/>
      <c r="H2096" s="89"/>
      <c r="L2096" s="88"/>
      <c r="M2096" s="89"/>
    </row>
    <row r="2097" spans="7:13" x14ac:dyDescent="0.35">
      <c r="G2097" s="88"/>
      <c r="H2097" s="89"/>
      <c r="L2097" s="88"/>
      <c r="M2097" s="89"/>
    </row>
    <row r="2098" spans="7:13" x14ac:dyDescent="0.35">
      <c r="G2098" s="88"/>
      <c r="H2098" s="89"/>
      <c r="L2098" s="88"/>
      <c r="M2098" s="89"/>
    </row>
    <row r="2099" spans="7:13" x14ac:dyDescent="0.35">
      <c r="G2099" s="88"/>
      <c r="H2099" s="89"/>
      <c r="L2099" s="88"/>
      <c r="M2099" s="89"/>
    </row>
    <row r="2100" spans="7:13" x14ac:dyDescent="0.35">
      <c r="G2100" s="88"/>
      <c r="H2100" s="89"/>
      <c r="L2100" s="88"/>
      <c r="M2100" s="89"/>
    </row>
    <row r="2101" spans="7:13" x14ac:dyDescent="0.35">
      <c r="G2101" s="88"/>
      <c r="H2101" s="89"/>
      <c r="L2101" s="88"/>
      <c r="M2101" s="89"/>
    </row>
    <row r="2102" spans="7:13" x14ac:dyDescent="0.35">
      <c r="G2102" s="88"/>
      <c r="H2102" s="89"/>
      <c r="L2102" s="88"/>
      <c r="M2102" s="89"/>
    </row>
    <row r="2103" spans="7:13" x14ac:dyDescent="0.35">
      <c r="G2103" s="88"/>
      <c r="H2103" s="89"/>
      <c r="L2103" s="88"/>
      <c r="M2103" s="89"/>
    </row>
    <row r="2104" spans="7:13" x14ac:dyDescent="0.35">
      <c r="G2104" s="88"/>
      <c r="H2104" s="89"/>
      <c r="L2104" s="88"/>
      <c r="M2104" s="89"/>
    </row>
    <row r="2105" spans="7:13" x14ac:dyDescent="0.35">
      <c r="G2105" s="88"/>
      <c r="H2105" s="89"/>
      <c r="L2105" s="88"/>
      <c r="M2105" s="89"/>
    </row>
    <row r="2106" spans="7:13" x14ac:dyDescent="0.35">
      <c r="G2106" s="88"/>
      <c r="H2106" s="89"/>
      <c r="L2106" s="88"/>
      <c r="M2106" s="89"/>
    </row>
    <row r="2107" spans="7:13" x14ac:dyDescent="0.35">
      <c r="G2107" s="88"/>
      <c r="H2107" s="89"/>
      <c r="L2107" s="88"/>
      <c r="M2107" s="89"/>
    </row>
    <row r="2108" spans="7:13" x14ac:dyDescent="0.35">
      <c r="G2108" s="88"/>
      <c r="H2108" s="89"/>
      <c r="L2108" s="88"/>
      <c r="M2108" s="89"/>
    </row>
    <row r="2109" spans="7:13" x14ac:dyDescent="0.35">
      <c r="G2109" s="88"/>
      <c r="H2109" s="89"/>
      <c r="L2109" s="88"/>
      <c r="M2109" s="89"/>
    </row>
    <row r="2110" spans="7:13" x14ac:dyDescent="0.35">
      <c r="G2110" s="88"/>
      <c r="H2110" s="89"/>
      <c r="L2110" s="88"/>
      <c r="M2110" s="89"/>
    </row>
    <row r="2111" spans="7:13" x14ac:dyDescent="0.35">
      <c r="G2111" s="88"/>
      <c r="H2111" s="89"/>
      <c r="L2111" s="88"/>
      <c r="M2111" s="89"/>
    </row>
    <row r="2112" spans="7:13" x14ac:dyDescent="0.35">
      <c r="G2112" s="88"/>
      <c r="H2112" s="89"/>
      <c r="L2112" s="88"/>
      <c r="M2112" s="89"/>
    </row>
    <row r="2113" spans="7:13" x14ac:dyDescent="0.35">
      <c r="G2113" s="88"/>
      <c r="H2113" s="89"/>
      <c r="L2113" s="88"/>
      <c r="M2113" s="89"/>
    </row>
    <row r="2114" spans="7:13" x14ac:dyDescent="0.35">
      <c r="G2114" s="88"/>
      <c r="H2114" s="89"/>
      <c r="L2114" s="88"/>
      <c r="M2114" s="89"/>
    </row>
    <row r="2115" spans="7:13" x14ac:dyDescent="0.35">
      <c r="G2115" s="88"/>
      <c r="H2115" s="89"/>
      <c r="L2115" s="88"/>
      <c r="M2115" s="89"/>
    </row>
    <row r="2116" spans="7:13" x14ac:dyDescent="0.35">
      <c r="G2116" s="88"/>
      <c r="H2116" s="89"/>
      <c r="L2116" s="88"/>
      <c r="M2116" s="89"/>
    </row>
    <row r="2117" spans="7:13" x14ac:dyDescent="0.35">
      <c r="G2117" s="88"/>
      <c r="H2117" s="89"/>
      <c r="L2117" s="88"/>
      <c r="M2117" s="89"/>
    </row>
    <row r="2118" spans="7:13" x14ac:dyDescent="0.35">
      <c r="G2118" s="88"/>
      <c r="H2118" s="89"/>
      <c r="L2118" s="88"/>
      <c r="M2118" s="89"/>
    </row>
    <row r="2119" spans="7:13" x14ac:dyDescent="0.35">
      <c r="G2119" s="88"/>
      <c r="H2119" s="89"/>
      <c r="L2119" s="88"/>
      <c r="M2119" s="89"/>
    </row>
    <row r="2120" spans="7:13" x14ac:dyDescent="0.35">
      <c r="G2120" s="88"/>
      <c r="H2120" s="89"/>
      <c r="L2120" s="88"/>
      <c r="M2120" s="89"/>
    </row>
    <row r="2121" spans="7:13" x14ac:dyDescent="0.35">
      <c r="G2121" s="88"/>
      <c r="H2121" s="89"/>
      <c r="L2121" s="88"/>
      <c r="M2121" s="89"/>
    </row>
    <row r="2122" spans="7:13" x14ac:dyDescent="0.35">
      <c r="G2122" s="88"/>
      <c r="H2122" s="89"/>
      <c r="L2122" s="88"/>
      <c r="M2122" s="89"/>
    </row>
    <row r="2123" spans="7:13" x14ac:dyDescent="0.35">
      <c r="G2123" s="88"/>
      <c r="H2123" s="89"/>
      <c r="L2123" s="88"/>
      <c r="M2123" s="89"/>
    </row>
    <row r="2124" spans="7:13" x14ac:dyDescent="0.35">
      <c r="G2124" s="88"/>
      <c r="H2124" s="89"/>
      <c r="L2124" s="88"/>
      <c r="M2124" s="89"/>
    </row>
    <row r="2125" spans="7:13" x14ac:dyDescent="0.35">
      <c r="G2125" s="88"/>
      <c r="H2125" s="89"/>
      <c r="L2125" s="88"/>
      <c r="M2125" s="89"/>
    </row>
    <row r="2126" spans="7:13" x14ac:dyDescent="0.35">
      <c r="G2126" s="88"/>
      <c r="H2126" s="89"/>
      <c r="L2126" s="88"/>
      <c r="M2126" s="89"/>
    </row>
    <row r="2127" spans="7:13" x14ac:dyDescent="0.35">
      <c r="G2127" s="88"/>
      <c r="H2127" s="89"/>
      <c r="L2127" s="88"/>
      <c r="M2127" s="89"/>
    </row>
    <row r="2128" spans="7:13" x14ac:dyDescent="0.35">
      <c r="G2128" s="88"/>
      <c r="H2128" s="89"/>
      <c r="L2128" s="88"/>
      <c r="M2128" s="89"/>
    </row>
    <row r="2129" spans="7:13" x14ac:dyDescent="0.35">
      <c r="G2129" s="88"/>
      <c r="H2129" s="89"/>
      <c r="L2129" s="88"/>
      <c r="M2129" s="89"/>
    </row>
    <row r="2130" spans="7:13" x14ac:dyDescent="0.35">
      <c r="G2130" s="88"/>
      <c r="H2130" s="89"/>
      <c r="L2130" s="88"/>
      <c r="M2130" s="89"/>
    </row>
    <row r="2131" spans="7:13" x14ac:dyDescent="0.35">
      <c r="G2131" s="88"/>
      <c r="H2131" s="89"/>
      <c r="L2131" s="88"/>
      <c r="M2131" s="89"/>
    </row>
    <row r="2132" spans="7:13" x14ac:dyDescent="0.35">
      <c r="G2132" s="88"/>
      <c r="H2132" s="89"/>
      <c r="L2132" s="88"/>
      <c r="M2132" s="89"/>
    </row>
    <row r="2133" spans="7:13" x14ac:dyDescent="0.35">
      <c r="G2133" s="88"/>
      <c r="H2133" s="89"/>
      <c r="L2133" s="88"/>
      <c r="M2133" s="89"/>
    </row>
    <row r="2134" spans="7:13" x14ac:dyDescent="0.35">
      <c r="G2134" s="88"/>
      <c r="H2134" s="89"/>
      <c r="L2134" s="88"/>
      <c r="M2134" s="89"/>
    </row>
    <row r="2135" spans="7:13" x14ac:dyDescent="0.35">
      <c r="G2135" s="88"/>
      <c r="H2135" s="89"/>
      <c r="L2135" s="88"/>
      <c r="M2135" s="89"/>
    </row>
    <row r="2136" spans="7:13" x14ac:dyDescent="0.35">
      <c r="G2136" s="88"/>
      <c r="H2136" s="89"/>
      <c r="L2136" s="88"/>
      <c r="M2136" s="89"/>
    </row>
    <row r="2137" spans="7:13" x14ac:dyDescent="0.35">
      <c r="G2137" s="88"/>
      <c r="H2137" s="89"/>
      <c r="L2137" s="88"/>
      <c r="M2137" s="89"/>
    </row>
    <row r="2138" spans="7:13" x14ac:dyDescent="0.35">
      <c r="G2138" s="88"/>
      <c r="H2138" s="89"/>
      <c r="L2138" s="88"/>
      <c r="M2138" s="89"/>
    </row>
    <row r="2139" spans="7:13" x14ac:dyDescent="0.35">
      <c r="G2139" s="88"/>
      <c r="H2139" s="89"/>
      <c r="L2139" s="88"/>
      <c r="M2139" s="89"/>
    </row>
    <row r="2140" spans="7:13" x14ac:dyDescent="0.35">
      <c r="G2140" s="88"/>
      <c r="H2140" s="89"/>
      <c r="L2140" s="88"/>
      <c r="M2140" s="89"/>
    </row>
    <row r="2141" spans="7:13" x14ac:dyDescent="0.35">
      <c r="G2141" s="88"/>
      <c r="H2141" s="89"/>
      <c r="L2141" s="88"/>
      <c r="M2141" s="89"/>
    </row>
    <row r="2142" spans="7:13" x14ac:dyDescent="0.35">
      <c r="G2142" s="88"/>
      <c r="H2142" s="89"/>
      <c r="L2142" s="88"/>
      <c r="M2142" s="89"/>
    </row>
    <row r="2143" spans="7:13" x14ac:dyDescent="0.35">
      <c r="G2143" s="88"/>
      <c r="H2143" s="89"/>
      <c r="L2143" s="88"/>
      <c r="M2143" s="89"/>
    </row>
    <row r="2144" spans="7:13" x14ac:dyDescent="0.35">
      <c r="G2144" s="88"/>
      <c r="H2144" s="89"/>
      <c r="L2144" s="88"/>
      <c r="M2144" s="89"/>
    </row>
    <row r="2145" spans="7:13" x14ac:dyDescent="0.35">
      <c r="G2145" s="88"/>
      <c r="H2145" s="89"/>
      <c r="L2145" s="88"/>
      <c r="M2145" s="89"/>
    </row>
    <row r="2146" spans="7:13" x14ac:dyDescent="0.35">
      <c r="G2146" s="88"/>
      <c r="H2146" s="89"/>
      <c r="L2146" s="88"/>
      <c r="M2146" s="89"/>
    </row>
    <row r="2147" spans="7:13" x14ac:dyDescent="0.35">
      <c r="G2147" s="88"/>
      <c r="H2147" s="89"/>
      <c r="L2147" s="88"/>
      <c r="M2147" s="89"/>
    </row>
    <row r="2148" spans="7:13" x14ac:dyDescent="0.35">
      <c r="G2148" s="88"/>
      <c r="H2148" s="89"/>
      <c r="L2148" s="88"/>
      <c r="M2148" s="89"/>
    </row>
    <row r="2149" spans="7:13" x14ac:dyDescent="0.35">
      <c r="G2149" s="88"/>
      <c r="H2149" s="89"/>
      <c r="L2149" s="88"/>
      <c r="M2149" s="89"/>
    </row>
    <row r="2150" spans="7:13" x14ac:dyDescent="0.35">
      <c r="G2150" s="88"/>
      <c r="H2150" s="89"/>
      <c r="L2150" s="88"/>
      <c r="M2150" s="89"/>
    </row>
    <row r="2151" spans="7:13" x14ac:dyDescent="0.35">
      <c r="G2151" s="88"/>
      <c r="H2151" s="89"/>
      <c r="L2151" s="88"/>
      <c r="M2151" s="89"/>
    </row>
    <row r="2152" spans="7:13" x14ac:dyDescent="0.35">
      <c r="G2152" s="88"/>
      <c r="H2152" s="89"/>
      <c r="L2152" s="88"/>
      <c r="M2152" s="89"/>
    </row>
    <row r="2153" spans="7:13" x14ac:dyDescent="0.35">
      <c r="G2153" s="88"/>
      <c r="H2153" s="89"/>
      <c r="L2153" s="88"/>
      <c r="M2153" s="89"/>
    </row>
    <row r="2154" spans="7:13" x14ac:dyDescent="0.35">
      <c r="G2154" s="88"/>
      <c r="H2154" s="89"/>
      <c r="L2154" s="88"/>
      <c r="M2154" s="89"/>
    </row>
    <row r="2155" spans="7:13" x14ac:dyDescent="0.35">
      <c r="G2155" s="88"/>
      <c r="H2155" s="89"/>
      <c r="L2155" s="88"/>
      <c r="M2155" s="89"/>
    </row>
    <row r="2156" spans="7:13" x14ac:dyDescent="0.35">
      <c r="G2156" s="88"/>
      <c r="H2156" s="89"/>
      <c r="L2156" s="88"/>
      <c r="M2156" s="89"/>
    </row>
    <row r="2157" spans="7:13" x14ac:dyDescent="0.35">
      <c r="G2157" s="88"/>
      <c r="H2157" s="89"/>
      <c r="L2157" s="88"/>
      <c r="M2157" s="89"/>
    </row>
    <row r="2158" spans="7:13" x14ac:dyDescent="0.35">
      <c r="G2158" s="88"/>
      <c r="H2158" s="89"/>
      <c r="L2158" s="88"/>
      <c r="M2158" s="89"/>
    </row>
    <row r="2159" spans="7:13" x14ac:dyDescent="0.35">
      <c r="G2159" s="88"/>
      <c r="H2159" s="89"/>
      <c r="L2159" s="88"/>
      <c r="M2159" s="89"/>
    </row>
    <row r="2160" spans="7:13" x14ac:dyDescent="0.35">
      <c r="G2160" s="88"/>
      <c r="H2160" s="89"/>
      <c r="L2160" s="88"/>
      <c r="M2160" s="89"/>
    </row>
    <row r="2161" spans="7:13" x14ac:dyDescent="0.35">
      <c r="G2161" s="88"/>
      <c r="H2161" s="89"/>
      <c r="L2161" s="88"/>
      <c r="M2161" s="89"/>
    </row>
    <row r="2162" spans="7:13" x14ac:dyDescent="0.35">
      <c r="G2162" s="88"/>
      <c r="H2162" s="89"/>
      <c r="L2162" s="88"/>
      <c r="M2162" s="89"/>
    </row>
    <row r="2163" spans="7:13" x14ac:dyDescent="0.35">
      <c r="G2163" s="88"/>
      <c r="H2163" s="89"/>
      <c r="L2163" s="88"/>
      <c r="M2163" s="89"/>
    </row>
    <row r="2164" spans="7:13" x14ac:dyDescent="0.35">
      <c r="G2164" s="88"/>
      <c r="H2164" s="89"/>
      <c r="L2164" s="88"/>
      <c r="M2164" s="89"/>
    </row>
    <row r="2165" spans="7:13" x14ac:dyDescent="0.35">
      <c r="G2165" s="88"/>
      <c r="H2165" s="89"/>
      <c r="L2165" s="88"/>
      <c r="M2165" s="89"/>
    </row>
    <row r="2166" spans="7:13" x14ac:dyDescent="0.35">
      <c r="G2166" s="88"/>
      <c r="H2166" s="89"/>
      <c r="L2166" s="88"/>
      <c r="M2166" s="89"/>
    </row>
    <row r="2167" spans="7:13" x14ac:dyDescent="0.35">
      <c r="G2167" s="88"/>
      <c r="H2167" s="89"/>
      <c r="L2167" s="88"/>
      <c r="M2167" s="89"/>
    </row>
    <row r="2168" spans="7:13" x14ac:dyDescent="0.35">
      <c r="G2168" s="88"/>
      <c r="H2168" s="89"/>
      <c r="L2168" s="88"/>
      <c r="M2168" s="89"/>
    </row>
    <row r="2169" spans="7:13" x14ac:dyDescent="0.35">
      <c r="G2169" s="88"/>
      <c r="H2169" s="89"/>
      <c r="L2169" s="88"/>
      <c r="M2169" s="89"/>
    </row>
    <row r="2170" spans="7:13" x14ac:dyDescent="0.35">
      <c r="G2170" s="88"/>
      <c r="H2170" s="89"/>
      <c r="L2170" s="88"/>
      <c r="M2170" s="89"/>
    </row>
    <row r="2171" spans="7:13" x14ac:dyDescent="0.35">
      <c r="G2171" s="88"/>
      <c r="H2171" s="89"/>
      <c r="L2171" s="88"/>
      <c r="M2171" s="89"/>
    </row>
    <row r="2172" spans="7:13" x14ac:dyDescent="0.35">
      <c r="G2172" s="88"/>
      <c r="H2172" s="89"/>
      <c r="L2172" s="88"/>
      <c r="M2172" s="89"/>
    </row>
    <row r="2173" spans="7:13" x14ac:dyDescent="0.35">
      <c r="G2173" s="88"/>
      <c r="H2173" s="89"/>
      <c r="L2173" s="88"/>
      <c r="M2173" s="89"/>
    </row>
    <row r="2174" spans="7:13" x14ac:dyDescent="0.35">
      <c r="G2174" s="88"/>
      <c r="H2174" s="89"/>
      <c r="L2174" s="88"/>
      <c r="M2174" s="89"/>
    </row>
    <row r="2175" spans="7:13" x14ac:dyDescent="0.35">
      <c r="G2175" s="88"/>
      <c r="H2175" s="89"/>
      <c r="L2175" s="88"/>
      <c r="M2175" s="89"/>
    </row>
    <row r="2176" spans="7:13" x14ac:dyDescent="0.35">
      <c r="G2176" s="88"/>
      <c r="H2176" s="89"/>
      <c r="L2176" s="88"/>
      <c r="M2176" s="89"/>
    </row>
    <row r="2177" spans="7:13" x14ac:dyDescent="0.35">
      <c r="G2177" s="88"/>
      <c r="H2177" s="89"/>
      <c r="L2177" s="88"/>
      <c r="M2177" s="89"/>
    </row>
    <row r="2178" spans="7:13" x14ac:dyDescent="0.35">
      <c r="G2178" s="88"/>
      <c r="H2178" s="89"/>
      <c r="L2178" s="88"/>
      <c r="M2178" s="89"/>
    </row>
    <row r="2179" spans="7:13" x14ac:dyDescent="0.35">
      <c r="G2179" s="88"/>
      <c r="H2179" s="89"/>
      <c r="L2179" s="88"/>
      <c r="M2179" s="89"/>
    </row>
    <row r="2180" spans="7:13" x14ac:dyDescent="0.35">
      <c r="G2180" s="88"/>
      <c r="H2180" s="89"/>
      <c r="L2180" s="88"/>
      <c r="M2180" s="89"/>
    </row>
    <row r="2181" spans="7:13" x14ac:dyDescent="0.35">
      <c r="G2181" s="88"/>
      <c r="H2181" s="89"/>
      <c r="L2181" s="88"/>
      <c r="M2181" s="89"/>
    </row>
    <row r="2182" spans="7:13" x14ac:dyDescent="0.35">
      <c r="G2182" s="88"/>
      <c r="H2182" s="89"/>
      <c r="L2182" s="88"/>
      <c r="M2182" s="89"/>
    </row>
    <row r="2183" spans="7:13" x14ac:dyDescent="0.35">
      <c r="G2183" s="88"/>
      <c r="H2183" s="89"/>
      <c r="L2183" s="88"/>
      <c r="M2183" s="89"/>
    </row>
    <row r="2184" spans="7:13" x14ac:dyDescent="0.35">
      <c r="G2184" s="88"/>
      <c r="H2184" s="89"/>
      <c r="L2184" s="88"/>
      <c r="M2184" s="89"/>
    </row>
    <row r="2185" spans="7:13" x14ac:dyDescent="0.35">
      <c r="G2185" s="88"/>
      <c r="H2185" s="89"/>
      <c r="L2185" s="88"/>
      <c r="M2185" s="89"/>
    </row>
    <row r="2186" spans="7:13" x14ac:dyDescent="0.35">
      <c r="G2186" s="88"/>
      <c r="H2186" s="89"/>
      <c r="L2186" s="88"/>
      <c r="M2186" s="89"/>
    </row>
    <row r="2187" spans="7:13" x14ac:dyDescent="0.35">
      <c r="G2187" s="88"/>
      <c r="H2187" s="89"/>
      <c r="L2187" s="88"/>
      <c r="M2187" s="89"/>
    </row>
    <row r="2188" spans="7:13" x14ac:dyDescent="0.35">
      <c r="G2188" s="88"/>
      <c r="H2188" s="89"/>
      <c r="L2188" s="88"/>
      <c r="M2188" s="89"/>
    </row>
    <row r="2189" spans="7:13" x14ac:dyDescent="0.35">
      <c r="G2189" s="88"/>
      <c r="H2189" s="89"/>
      <c r="L2189" s="88"/>
      <c r="M2189" s="89"/>
    </row>
    <row r="2190" spans="7:13" x14ac:dyDescent="0.35">
      <c r="G2190" s="88"/>
      <c r="H2190" s="89"/>
      <c r="L2190" s="88"/>
      <c r="M2190" s="89"/>
    </row>
    <row r="2191" spans="7:13" x14ac:dyDescent="0.35">
      <c r="G2191" s="88"/>
      <c r="H2191" s="89"/>
      <c r="L2191" s="88"/>
      <c r="M2191" s="89"/>
    </row>
    <row r="2192" spans="7:13" x14ac:dyDescent="0.35">
      <c r="G2192" s="88"/>
      <c r="H2192" s="89"/>
      <c r="L2192" s="88"/>
      <c r="M2192" s="89"/>
    </row>
    <row r="2193" spans="7:13" x14ac:dyDescent="0.35">
      <c r="G2193" s="88"/>
      <c r="H2193" s="89"/>
      <c r="L2193" s="88"/>
      <c r="M2193" s="89"/>
    </row>
    <row r="2194" spans="7:13" x14ac:dyDescent="0.35">
      <c r="G2194" s="88"/>
      <c r="H2194" s="89"/>
      <c r="L2194" s="88"/>
      <c r="M2194" s="89"/>
    </row>
    <row r="2195" spans="7:13" x14ac:dyDescent="0.35">
      <c r="G2195" s="88"/>
      <c r="H2195" s="89"/>
      <c r="L2195" s="88"/>
      <c r="M2195" s="89"/>
    </row>
    <row r="2196" spans="7:13" x14ac:dyDescent="0.35">
      <c r="G2196" s="88"/>
      <c r="H2196" s="89"/>
      <c r="L2196" s="88"/>
      <c r="M2196" s="89"/>
    </row>
    <row r="2197" spans="7:13" x14ac:dyDescent="0.35">
      <c r="G2197" s="88"/>
      <c r="H2197" s="89"/>
      <c r="L2197" s="88"/>
      <c r="M2197" s="89"/>
    </row>
    <row r="2198" spans="7:13" x14ac:dyDescent="0.35">
      <c r="G2198" s="88"/>
      <c r="H2198" s="89"/>
      <c r="L2198" s="88"/>
      <c r="M2198" s="89"/>
    </row>
    <row r="2199" spans="7:13" x14ac:dyDescent="0.35">
      <c r="G2199" s="88"/>
      <c r="H2199" s="89"/>
      <c r="L2199" s="88"/>
      <c r="M2199" s="89"/>
    </row>
    <row r="2200" spans="7:13" x14ac:dyDescent="0.35">
      <c r="G2200" s="88"/>
      <c r="H2200" s="89"/>
      <c r="L2200" s="88"/>
      <c r="M2200" s="89"/>
    </row>
    <row r="2201" spans="7:13" x14ac:dyDescent="0.35">
      <c r="G2201" s="88"/>
      <c r="H2201" s="89"/>
      <c r="L2201" s="88"/>
      <c r="M2201" s="89"/>
    </row>
    <row r="2202" spans="7:13" x14ac:dyDescent="0.35">
      <c r="G2202" s="88"/>
      <c r="H2202" s="89"/>
      <c r="L2202" s="88"/>
      <c r="M2202" s="89"/>
    </row>
    <row r="2203" spans="7:13" x14ac:dyDescent="0.35">
      <c r="G2203" s="88"/>
      <c r="H2203" s="89"/>
      <c r="L2203" s="88"/>
      <c r="M2203" s="89"/>
    </row>
    <row r="2204" spans="7:13" x14ac:dyDescent="0.35">
      <c r="G2204" s="88"/>
      <c r="H2204" s="89"/>
      <c r="L2204" s="88"/>
      <c r="M2204" s="89"/>
    </row>
    <row r="2205" spans="7:13" x14ac:dyDescent="0.35">
      <c r="G2205" s="88"/>
      <c r="H2205" s="89"/>
      <c r="L2205" s="88"/>
      <c r="M2205" s="89"/>
    </row>
    <row r="2206" spans="7:13" x14ac:dyDescent="0.35">
      <c r="G2206" s="88"/>
      <c r="H2206" s="89"/>
      <c r="L2206" s="88"/>
      <c r="M2206" s="89"/>
    </row>
    <row r="2207" spans="7:13" x14ac:dyDescent="0.35">
      <c r="G2207" s="88"/>
      <c r="H2207" s="89"/>
      <c r="L2207" s="88"/>
      <c r="M2207" s="89"/>
    </row>
    <row r="2208" spans="7:13" x14ac:dyDescent="0.35">
      <c r="G2208" s="88"/>
      <c r="H2208" s="89"/>
      <c r="L2208" s="88"/>
      <c r="M2208" s="89"/>
    </row>
    <row r="2209" spans="7:13" x14ac:dyDescent="0.35">
      <c r="G2209" s="88"/>
      <c r="H2209" s="89"/>
      <c r="L2209" s="88"/>
      <c r="M2209" s="89"/>
    </row>
    <row r="2210" spans="7:13" x14ac:dyDescent="0.35">
      <c r="G2210" s="88"/>
      <c r="H2210" s="89"/>
      <c r="L2210" s="88"/>
      <c r="M2210" s="89"/>
    </row>
    <row r="2211" spans="7:13" x14ac:dyDescent="0.35">
      <c r="G2211" s="88"/>
      <c r="H2211" s="89"/>
      <c r="L2211" s="88"/>
      <c r="M2211" s="89"/>
    </row>
    <row r="2212" spans="7:13" x14ac:dyDescent="0.35">
      <c r="G2212" s="88"/>
      <c r="H2212" s="89"/>
      <c r="L2212" s="88"/>
      <c r="M2212" s="89"/>
    </row>
    <row r="2213" spans="7:13" x14ac:dyDescent="0.35">
      <c r="G2213" s="88"/>
      <c r="H2213" s="89"/>
      <c r="L2213" s="88"/>
      <c r="M2213" s="89"/>
    </row>
    <row r="2214" spans="7:13" x14ac:dyDescent="0.35">
      <c r="G2214" s="88"/>
      <c r="H2214" s="89"/>
      <c r="L2214" s="88"/>
      <c r="M2214" s="89"/>
    </row>
    <row r="2215" spans="7:13" x14ac:dyDescent="0.35">
      <c r="G2215" s="88"/>
      <c r="H2215" s="89"/>
      <c r="L2215" s="88"/>
      <c r="M2215" s="89"/>
    </row>
    <row r="2216" spans="7:13" x14ac:dyDescent="0.35">
      <c r="G2216" s="88"/>
      <c r="H2216" s="89"/>
      <c r="L2216" s="88"/>
      <c r="M2216" s="89"/>
    </row>
    <row r="2217" spans="7:13" x14ac:dyDescent="0.35">
      <c r="G2217" s="88"/>
      <c r="H2217" s="89"/>
      <c r="L2217" s="88"/>
      <c r="M2217" s="89"/>
    </row>
    <row r="2218" spans="7:13" x14ac:dyDescent="0.35">
      <c r="G2218" s="88"/>
      <c r="H2218" s="89"/>
      <c r="L2218" s="88"/>
      <c r="M2218" s="89"/>
    </row>
    <row r="2219" spans="7:13" x14ac:dyDescent="0.35">
      <c r="G2219" s="88"/>
      <c r="H2219" s="89"/>
      <c r="L2219" s="88"/>
      <c r="M2219" s="89"/>
    </row>
    <row r="2220" spans="7:13" x14ac:dyDescent="0.35">
      <c r="G2220" s="88"/>
      <c r="H2220" s="89"/>
      <c r="L2220" s="88"/>
      <c r="M2220" s="89"/>
    </row>
    <row r="2221" spans="7:13" x14ac:dyDescent="0.35">
      <c r="G2221" s="88"/>
      <c r="H2221" s="89"/>
      <c r="L2221" s="88"/>
      <c r="M2221" s="89"/>
    </row>
    <row r="2222" spans="7:13" x14ac:dyDescent="0.35">
      <c r="G2222" s="88"/>
      <c r="H2222" s="89"/>
      <c r="L2222" s="88"/>
      <c r="M2222" s="89"/>
    </row>
    <row r="2223" spans="7:13" x14ac:dyDescent="0.35">
      <c r="G2223" s="88"/>
      <c r="H2223" s="89"/>
      <c r="L2223" s="88"/>
      <c r="M2223" s="89"/>
    </row>
    <row r="2224" spans="7:13" x14ac:dyDescent="0.35">
      <c r="G2224" s="88"/>
      <c r="H2224" s="89"/>
      <c r="L2224" s="88"/>
      <c r="M2224" s="89"/>
    </row>
    <row r="2225" spans="7:13" x14ac:dyDescent="0.35">
      <c r="G2225" s="88"/>
      <c r="H2225" s="89"/>
      <c r="L2225" s="88"/>
      <c r="M2225" s="89"/>
    </row>
    <row r="2226" spans="7:13" x14ac:dyDescent="0.35">
      <c r="G2226" s="88"/>
      <c r="H2226" s="89"/>
      <c r="L2226" s="88"/>
      <c r="M2226" s="89"/>
    </row>
    <row r="2227" spans="7:13" x14ac:dyDescent="0.35">
      <c r="G2227" s="88"/>
      <c r="H2227" s="89"/>
      <c r="L2227" s="88"/>
      <c r="M2227" s="89"/>
    </row>
    <row r="2228" spans="7:13" x14ac:dyDescent="0.35">
      <c r="G2228" s="88"/>
      <c r="H2228" s="89"/>
      <c r="L2228" s="88"/>
      <c r="M2228" s="89"/>
    </row>
    <row r="2229" spans="7:13" x14ac:dyDescent="0.35">
      <c r="G2229" s="88"/>
      <c r="H2229" s="89"/>
      <c r="L2229" s="88"/>
      <c r="M2229" s="89"/>
    </row>
    <row r="2230" spans="7:13" x14ac:dyDescent="0.35">
      <c r="G2230" s="88"/>
      <c r="H2230" s="89"/>
      <c r="L2230" s="88"/>
      <c r="M2230" s="89"/>
    </row>
    <row r="2231" spans="7:13" x14ac:dyDescent="0.35">
      <c r="G2231" s="88"/>
      <c r="H2231" s="89"/>
      <c r="L2231" s="88"/>
      <c r="M2231" s="89"/>
    </row>
    <row r="2232" spans="7:13" x14ac:dyDescent="0.35">
      <c r="G2232" s="88"/>
      <c r="H2232" s="89"/>
      <c r="L2232" s="88"/>
      <c r="M2232" s="89"/>
    </row>
    <row r="2233" spans="7:13" x14ac:dyDescent="0.35">
      <c r="G2233" s="88"/>
      <c r="H2233" s="89"/>
      <c r="L2233" s="88"/>
      <c r="M2233" s="89"/>
    </row>
    <row r="2234" spans="7:13" x14ac:dyDescent="0.35">
      <c r="G2234" s="88"/>
      <c r="H2234" s="89"/>
      <c r="L2234" s="88"/>
      <c r="M2234" s="89"/>
    </row>
    <row r="2235" spans="7:13" x14ac:dyDescent="0.35">
      <c r="G2235" s="88"/>
      <c r="H2235" s="89"/>
      <c r="L2235" s="88"/>
      <c r="M2235" s="89"/>
    </row>
    <row r="2236" spans="7:13" x14ac:dyDescent="0.35">
      <c r="G2236" s="88"/>
      <c r="H2236" s="89"/>
      <c r="L2236" s="88"/>
      <c r="M2236" s="89"/>
    </row>
    <row r="2237" spans="7:13" x14ac:dyDescent="0.35">
      <c r="G2237" s="88"/>
      <c r="H2237" s="89"/>
      <c r="L2237" s="88"/>
      <c r="M2237" s="89"/>
    </row>
    <row r="2238" spans="7:13" x14ac:dyDescent="0.35">
      <c r="G2238" s="88"/>
      <c r="H2238" s="89"/>
      <c r="L2238" s="88"/>
      <c r="M2238" s="89"/>
    </row>
    <row r="2239" spans="7:13" x14ac:dyDescent="0.35">
      <c r="G2239" s="88"/>
      <c r="H2239" s="89"/>
      <c r="L2239" s="88"/>
      <c r="M2239" s="89"/>
    </row>
    <row r="2240" spans="7:13" x14ac:dyDescent="0.35">
      <c r="G2240" s="88"/>
      <c r="H2240" s="89"/>
      <c r="L2240" s="88"/>
      <c r="M2240" s="89"/>
    </row>
    <row r="2241" spans="7:13" x14ac:dyDescent="0.35">
      <c r="G2241" s="88"/>
      <c r="H2241" s="89"/>
      <c r="L2241" s="88"/>
      <c r="M2241" s="89"/>
    </row>
    <row r="2242" spans="7:13" x14ac:dyDescent="0.35">
      <c r="G2242" s="88"/>
      <c r="H2242" s="89"/>
      <c r="L2242" s="88"/>
      <c r="M2242" s="89"/>
    </row>
    <row r="2243" spans="7:13" x14ac:dyDescent="0.35">
      <c r="G2243" s="88"/>
      <c r="H2243" s="89"/>
      <c r="L2243" s="88"/>
      <c r="M2243" s="89"/>
    </row>
    <row r="2244" spans="7:13" x14ac:dyDescent="0.35">
      <c r="G2244" s="88"/>
      <c r="H2244" s="89"/>
      <c r="L2244" s="88"/>
      <c r="M2244" s="89"/>
    </row>
    <row r="2245" spans="7:13" x14ac:dyDescent="0.35">
      <c r="G2245" s="88"/>
      <c r="H2245" s="89"/>
      <c r="L2245" s="88"/>
      <c r="M2245" s="89"/>
    </row>
    <row r="2246" spans="7:13" x14ac:dyDescent="0.35">
      <c r="G2246" s="88"/>
      <c r="H2246" s="89"/>
      <c r="L2246" s="88"/>
      <c r="M2246" s="89"/>
    </row>
    <row r="2247" spans="7:13" x14ac:dyDescent="0.35">
      <c r="G2247" s="88"/>
      <c r="H2247" s="89"/>
      <c r="L2247" s="88"/>
      <c r="M2247" s="89"/>
    </row>
    <row r="2248" spans="7:13" x14ac:dyDescent="0.35">
      <c r="G2248" s="88"/>
      <c r="H2248" s="89"/>
      <c r="L2248" s="88"/>
      <c r="M2248" s="89"/>
    </row>
    <row r="2249" spans="7:13" x14ac:dyDescent="0.35">
      <c r="G2249" s="88"/>
      <c r="H2249" s="89"/>
      <c r="L2249" s="88"/>
      <c r="M2249" s="89"/>
    </row>
    <row r="2250" spans="7:13" x14ac:dyDescent="0.35">
      <c r="G2250" s="88"/>
      <c r="H2250" s="89"/>
      <c r="L2250" s="88"/>
      <c r="M2250" s="89"/>
    </row>
    <row r="2251" spans="7:13" x14ac:dyDescent="0.35">
      <c r="G2251" s="88"/>
      <c r="H2251" s="89"/>
      <c r="L2251" s="88"/>
      <c r="M2251" s="89"/>
    </row>
    <row r="2252" spans="7:13" x14ac:dyDescent="0.35">
      <c r="G2252" s="88"/>
      <c r="H2252" s="89"/>
      <c r="L2252" s="88"/>
      <c r="M2252" s="89"/>
    </row>
    <row r="2253" spans="7:13" x14ac:dyDescent="0.35">
      <c r="G2253" s="88"/>
      <c r="H2253" s="89"/>
      <c r="L2253" s="88"/>
      <c r="M2253" s="89"/>
    </row>
    <row r="2254" spans="7:13" x14ac:dyDescent="0.35">
      <c r="G2254" s="88"/>
      <c r="H2254" s="89"/>
      <c r="L2254" s="88"/>
      <c r="M2254" s="89"/>
    </row>
    <row r="2255" spans="7:13" x14ac:dyDescent="0.35">
      <c r="G2255" s="88"/>
      <c r="H2255" s="89"/>
      <c r="L2255" s="88"/>
      <c r="M2255" s="89"/>
    </row>
    <row r="2256" spans="7:13" x14ac:dyDescent="0.35">
      <c r="G2256" s="88"/>
      <c r="H2256" s="89"/>
      <c r="L2256" s="88"/>
      <c r="M2256" s="89"/>
    </row>
    <row r="2257" spans="7:13" x14ac:dyDescent="0.35">
      <c r="G2257" s="88"/>
      <c r="H2257" s="89"/>
      <c r="L2257" s="88"/>
      <c r="M2257" s="89"/>
    </row>
    <row r="2258" spans="7:13" x14ac:dyDescent="0.35">
      <c r="G2258" s="88"/>
      <c r="H2258" s="89"/>
      <c r="L2258" s="88"/>
      <c r="M2258" s="89"/>
    </row>
    <row r="2259" spans="7:13" x14ac:dyDescent="0.35">
      <c r="G2259" s="88"/>
      <c r="H2259" s="89"/>
      <c r="L2259" s="88"/>
      <c r="M2259" s="89"/>
    </row>
    <row r="2260" spans="7:13" x14ac:dyDescent="0.35">
      <c r="G2260" s="88"/>
      <c r="H2260" s="89"/>
      <c r="L2260" s="88"/>
      <c r="M2260" s="89"/>
    </row>
    <row r="2261" spans="7:13" x14ac:dyDescent="0.35">
      <c r="G2261" s="88"/>
      <c r="H2261" s="89"/>
      <c r="L2261" s="88"/>
      <c r="M2261" s="89"/>
    </row>
    <row r="2262" spans="7:13" x14ac:dyDescent="0.35">
      <c r="G2262" s="88"/>
      <c r="H2262" s="89"/>
      <c r="L2262" s="88"/>
      <c r="M2262" s="89"/>
    </row>
    <row r="2263" spans="7:13" x14ac:dyDescent="0.35">
      <c r="G2263" s="88"/>
      <c r="H2263" s="89"/>
      <c r="L2263" s="88"/>
      <c r="M2263" s="89"/>
    </row>
    <row r="2264" spans="7:13" x14ac:dyDescent="0.35">
      <c r="G2264" s="88"/>
      <c r="H2264" s="89"/>
      <c r="L2264" s="88"/>
      <c r="M2264" s="89"/>
    </row>
    <row r="2265" spans="7:13" x14ac:dyDescent="0.35">
      <c r="G2265" s="88"/>
      <c r="H2265" s="89"/>
      <c r="L2265" s="88"/>
      <c r="M2265" s="89"/>
    </row>
    <row r="2266" spans="7:13" x14ac:dyDescent="0.35">
      <c r="G2266" s="88"/>
      <c r="H2266" s="89"/>
      <c r="L2266" s="88"/>
      <c r="M2266" s="89"/>
    </row>
    <row r="2267" spans="7:13" x14ac:dyDescent="0.35">
      <c r="G2267" s="88"/>
      <c r="H2267" s="89"/>
      <c r="L2267" s="88"/>
      <c r="M2267" s="89"/>
    </row>
    <row r="2268" spans="7:13" x14ac:dyDescent="0.35">
      <c r="G2268" s="88"/>
      <c r="H2268" s="89"/>
      <c r="L2268" s="88"/>
      <c r="M2268" s="89"/>
    </row>
    <row r="2269" spans="7:13" x14ac:dyDescent="0.35">
      <c r="G2269" s="88"/>
      <c r="H2269" s="89"/>
      <c r="L2269" s="88"/>
      <c r="M2269" s="89"/>
    </row>
    <row r="2270" spans="7:13" x14ac:dyDescent="0.35">
      <c r="G2270" s="88"/>
      <c r="H2270" s="89"/>
      <c r="L2270" s="88"/>
      <c r="M2270" s="89"/>
    </row>
    <row r="2271" spans="7:13" x14ac:dyDescent="0.35">
      <c r="G2271" s="88"/>
      <c r="H2271" s="89"/>
      <c r="L2271" s="88"/>
      <c r="M2271" s="89"/>
    </row>
    <row r="2272" spans="7:13" x14ac:dyDescent="0.35">
      <c r="G2272" s="88"/>
      <c r="H2272" s="89"/>
      <c r="L2272" s="88"/>
      <c r="M2272" s="89"/>
    </row>
    <row r="2273" spans="7:13" x14ac:dyDescent="0.35">
      <c r="G2273" s="88"/>
      <c r="H2273" s="89"/>
      <c r="L2273" s="88"/>
      <c r="M2273" s="89"/>
    </row>
    <row r="2274" spans="7:13" x14ac:dyDescent="0.35">
      <c r="G2274" s="88"/>
      <c r="H2274" s="89"/>
      <c r="L2274" s="88"/>
      <c r="M2274" s="89"/>
    </row>
    <row r="2275" spans="7:13" x14ac:dyDescent="0.35">
      <c r="G2275" s="88"/>
      <c r="H2275" s="89"/>
      <c r="L2275" s="88"/>
      <c r="M2275" s="89"/>
    </row>
    <row r="2276" spans="7:13" x14ac:dyDescent="0.35">
      <c r="G2276" s="88"/>
      <c r="H2276" s="89"/>
      <c r="L2276" s="88"/>
      <c r="M2276" s="89"/>
    </row>
    <row r="2277" spans="7:13" x14ac:dyDescent="0.35">
      <c r="G2277" s="88"/>
      <c r="H2277" s="89"/>
      <c r="L2277" s="88"/>
      <c r="M2277" s="89"/>
    </row>
    <row r="2278" spans="7:13" x14ac:dyDescent="0.35">
      <c r="G2278" s="88"/>
      <c r="H2278" s="89"/>
      <c r="L2278" s="88"/>
      <c r="M2278" s="89"/>
    </row>
    <row r="2279" spans="7:13" x14ac:dyDescent="0.35">
      <c r="G2279" s="88"/>
      <c r="H2279" s="89"/>
      <c r="L2279" s="88"/>
      <c r="M2279" s="89"/>
    </row>
    <row r="2280" spans="7:13" x14ac:dyDescent="0.35">
      <c r="G2280" s="88"/>
      <c r="H2280" s="89"/>
      <c r="L2280" s="88"/>
      <c r="M2280" s="89"/>
    </row>
    <row r="2281" spans="7:13" x14ac:dyDescent="0.35">
      <c r="G2281" s="88"/>
      <c r="H2281" s="89"/>
      <c r="L2281" s="88"/>
      <c r="M2281" s="89"/>
    </row>
    <row r="2282" spans="7:13" x14ac:dyDescent="0.35">
      <c r="G2282" s="88"/>
      <c r="H2282" s="89"/>
      <c r="L2282" s="88"/>
      <c r="M2282" s="89"/>
    </row>
    <row r="2283" spans="7:13" x14ac:dyDescent="0.35">
      <c r="G2283" s="88"/>
      <c r="H2283" s="89"/>
      <c r="L2283" s="88"/>
      <c r="M2283" s="89"/>
    </row>
    <row r="2284" spans="7:13" x14ac:dyDescent="0.35">
      <c r="G2284" s="88"/>
      <c r="H2284" s="89"/>
      <c r="L2284" s="88"/>
      <c r="M2284" s="89"/>
    </row>
    <row r="2285" spans="7:13" x14ac:dyDescent="0.35">
      <c r="G2285" s="88"/>
      <c r="H2285" s="89"/>
      <c r="L2285" s="88"/>
      <c r="M2285" s="89"/>
    </row>
    <row r="2286" spans="7:13" x14ac:dyDescent="0.35">
      <c r="G2286" s="88"/>
      <c r="H2286" s="89"/>
      <c r="L2286" s="88"/>
      <c r="M2286" s="89"/>
    </row>
    <row r="2287" spans="7:13" x14ac:dyDescent="0.35">
      <c r="G2287" s="88"/>
      <c r="H2287" s="89"/>
      <c r="L2287" s="88"/>
      <c r="M2287" s="89"/>
    </row>
    <row r="2288" spans="7:13" x14ac:dyDescent="0.35">
      <c r="G2288" s="88"/>
      <c r="H2288" s="89"/>
      <c r="L2288" s="88"/>
      <c r="M2288" s="89"/>
    </row>
    <row r="2289" spans="7:13" x14ac:dyDescent="0.35">
      <c r="G2289" s="88"/>
      <c r="H2289" s="89"/>
      <c r="L2289" s="88"/>
      <c r="M2289" s="89"/>
    </row>
    <row r="2290" spans="7:13" x14ac:dyDescent="0.35">
      <c r="G2290" s="88"/>
      <c r="H2290" s="89"/>
      <c r="L2290" s="88"/>
      <c r="M2290" s="89"/>
    </row>
    <row r="2291" spans="7:13" x14ac:dyDescent="0.35">
      <c r="G2291" s="88"/>
      <c r="H2291" s="89"/>
      <c r="L2291" s="88"/>
      <c r="M2291" s="89"/>
    </row>
    <row r="2292" spans="7:13" x14ac:dyDescent="0.35">
      <c r="G2292" s="88"/>
      <c r="H2292" s="89"/>
      <c r="L2292" s="88"/>
      <c r="M2292" s="89"/>
    </row>
    <row r="2293" spans="7:13" x14ac:dyDescent="0.35">
      <c r="G2293" s="88"/>
      <c r="H2293" s="89"/>
      <c r="L2293" s="88"/>
      <c r="M2293" s="89"/>
    </row>
    <row r="2294" spans="7:13" x14ac:dyDescent="0.35">
      <c r="G2294" s="88"/>
      <c r="H2294" s="89"/>
      <c r="L2294" s="88"/>
      <c r="M2294" s="89"/>
    </row>
    <row r="2295" spans="7:13" x14ac:dyDescent="0.35">
      <c r="G2295" s="88"/>
      <c r="H2295" s="89"/>
      <c r="L2295" s="88"/>
      <c r="M2295" s="89"/>
    </row>
    <row r="2296" spans="7:13" x14ac:dyDescent="0.35">
      <c r="G2296" s="88"/>
      <c r="H2296" s="89"/>
      <c r="L2296" s="88"/>
      <c r="M2296" s="89"/>
    </row>
    <row r="2297" spans="7:13" x14ac:dyDescent="0.35">
      <c r="G2297" s="88"/>
      <c r="H2297" s="89"/>
      <c r="L2297" s="88"/>
      <c r="M2297" s="89"/>
    </row>
    <row r="2298" spans="7:13" x14ac:dyDescent="0.35">
      <c r="G2298" s="88"/>
      <c r="H2298" s="89"/>
      <c r="L2298" s="88"/>
      <c r="M2298" s="89"/>
    </row>
    <row r="2299" spans="7:13" x14ac:dyDescent="0.35">
      <c r="G2299" s="88"/>
      <c r="H2299" s="89"/>
      <c r="L2299" s="88"/>
      <c r="M2299" s="89"/>
    </row>
    <row r="2300" spans="7:13" x14ac:dyDescent="0.35">
      <c r="G2300" s="88"/>
      <c r="H2300" s="89"/>
      <c r="L2300" s="88"/>
      <c r="M2300" s="89"/>
    </row>
    <row r="2301" spans="7:13" x14ac:dyDescent="0.35">
      <c r="G2301" s="88"/>
      <c r="H2301" s="89"/>
      <c r="L2301" s="88"/>
      <c r="M2301" s="89"/>
    </row>
    <row r="2302" spans="7:13" x14ac:dyDescent="0.35">
      <c r="G2302" s="88"/>
      <c r="H2302" s="89"/>
      <c r="L2302" s="88"/>
      <c r="M2302" s="89"/>
    </row>
    <row r="2303" spans="7:13" x14ac:dyDescent="0.35">
      <c r="G2303" s="88"/>
      <c r="H2303" s="89"/>
      <c r="L2303" s="88"/>
      <c r="M2303" s="89"/>
    </row>
    <row r="2304" spans="7:13" x14ac:dyDescent="0.35">
      <c r="G2304" s="88"/>
      <c r="H2304" s="89"/>
      <c r="L2304" s="88"/>
      <c r="M2304" s="89"/>
    </row>
    <row r="2305" spans="7:13" x14ac:dyDescent="0.35">
      <c r="G2305" s="88"/>
      <c r="H2305" s="89"/>
      <c r="L2305" s="88"/>
      <c r="M2305" s="89"/>
    </row>
    <row r="2306" spans="7:13" x14ac:dyDescent="0.35">
      <c r="G2306" s="88"/>
      <c r="H2306" s="89"/>
      <c r="L2306" s="88"/>
      <c r="M2306" s="89"/>
    </row>
    <row r="2307" spans="7:13" x14ac:dyDescent="0.35">
      <c r="G2307" s="88"/>
      <c r="H2307" s="89"/>
      <c r="L2307" s="88"/>
      <c r="M2307" s="89"/>
    </row>
    <row r="2308" spans="7:13" x14ac:dyDescent="0.35">
      <c r="G2308" s="88"/>
      <c r="H2308" s="89"/>
      <c r="L2308" s="88"/>
      <c r="M2308" s="89"/>
    </row>
    <row r="2309" spans="7:13" x14ac:dyDescent="0.35">
      <c r="G2309" s="88"/>
      <c r="H2309" s="89"/>
      <c r="L2309" s="88"/>
      <c r="M2309" s="89"/>
    </row>
    <row r="2310" spans="7:13" x14ac:dyDescent="0.35">
      <c r="G2310" s="88"/>
      <c r="H2310" s="89"/>
      <c r="L2310" s="88"/>
      <c r="M2310" s="89"/>
    </row>
    <row r="2311" spans="7:13" x14ac:dyDescent="0.35">
      <c r="G2311" s="88"/>
      <c r="H2311" s="89"/>
      <c r="L2311" s="88"/>
      <c r="M2311" s="89"/>
    </row>
    <row r="2312" spans="7:13" x14ac:dyDescent="0.35">
      <c r="G2312" s="88"/>
      <c r="H2312" s="89"/>
      <c r="L2312" s="88"/>
      <c r="M2312" s="89"/>
    </row>
    <row r="2313" spans="7:13" x14ac:dyDescent="0.35">
      <c r="G2313" s="88"/>
      <c r="H2313" s="89"/>
      <c r="L2313" s="88"/>
      <c r="M2313" s="89"/>
    </row>
    <row r="2314" spans="7:13" x14ac:dyDescent="0.35">
      <c r="G2314" s="88"/>
      <c r="H2314" s="89"/>
      <c r="L2314" s="88"/>
      <c r="M2314" s="89"/>
    </row>
    <row r="2315" spans="7:13" x14ac:dyDescent="0.35">
      <c r="G2315" s="88"/>
      <c r="H2315" s="89"/>
      <c r="L2315" s="88"/>
      <c r="M2315" s="89"/>
    </row>
    <row r="2316" spans="7:13" x14ac:dyDescent="0.35">
      <c r="G2316" s="88"/>
      <c r="H2316" s="89"/>
      <c r="L2316" s="88"/>
      <c r="M2316" s="89"/>
    </row>
    <row r="2317" spans="7:13" x14ac:dyDescent="0.35">
      <c r="G2317" s="88"/>
      <c r="H2317" s="89"/>
      <c r="L2317" s="88"/>
      <c r="M2317" s="89"/>
    </row>
    <row r="2318" spans="7:13" x14ac:dyDescent="0.35">
      <c r="G2318" s="88"/>
      <c r="H2318" s="89"/>
      <c r="L2318" s="88"/>
      <c r="M2318" s="89"/>
    </row>
    <row r="2319" spans="7:13" x14ac:dyDescent="0.35">
      <c r="G2319" s="88"/>
      <c r="H2319" s="89"/>
      <c r="L2319" s="88"/>
      <c r="M2319" s="89"/>
    </row>
    <row r="2320" spans="7:13" x14ac:dyDescent="0.35">
      <c r="G2320" s="88"/>
      <c r="H2320" s="89"/>
      <c r="L2320" s="88"/>
      <c r="M2320" s="89"/>
    </row>
    <row r="2321" spans="7:13" x14ac:dyDescent="0.35">
      <c r="G2321" s="88"/>
      <c r="H2321" s="89"/>
      <c r="L2321" s="88"/>
      <c r="M2321" s="89"/>
    </row>
    <row r="2322" spans="7:13" x14ac:dyDescent="0.35">
      <c r="G2322" s="88"/>
      <c r="H2322" s="89"/>
      <c r="L2322" s="88"/>
      <c r="M2322" s="89"/>
    </row>
    <row r="2323" spans="7:13" x14ac:dyDescent="0.35">
      <c r="G2323" s="88"/>
      <c r="H2323" s="89"/>
      <c r="L2323" s="88"/>
      <c r="M2323" s="89"/>
    </row>
    <row r="2324" spans="7:13" x14ac:dyDescent="0.35">
      <c r="G2324" s="88"/>
      <c r="H2324" s="89"/>
      <c r="L2324" s="88"/>
      <c r="M2324" s="89"/>
    </row>
    <row r="2325" spans="7:13" x14ac:dyDescent="0.35">
      <c r="G2325" s="88"/>
      <c r="H2325" s="89"/>
      <c r="L2325" s="88"/>
      <c r="M2325" s="89"/>
    </row>
    <row r="2326" spans="7:13" x14ac:dyDescent="0.35">
      <c r="G2326" s="88"/>
      <c r="H2326" s="89"/>
      <c r="L2326" s="88"/>
      <c r="M2326" s="89"/>
    </row>
    <row r="2327" spans="7:13" x14ac:dyDescent="0.35">
      <c r="G2327" s="88"/>
      <c r="H2327" s="89"/>
      <c r="L2327" s="88"/>
      <c r="M2327" s="89"/>
    </row>
    <row r="2328" spans="7:13" x14ac:dyDescent="0.35">
      <c r="G2328" s="88"/>
      <c r="H2328" s="89"/>
      <c r="L2328" s="88"/>
      <c r="M2328" s="89"/>
    </row>
    <row r="2329" spans="7:13" x14ac:dyDescent="0.35">
      <c r="G2329" s="88"/>
      <c r="H2329" s="89"/>
      <c r="L2329" s="88"/>
      <c r="M2329" s="89"/>
    </row>
    <row r="2330" spans="7:13" x14ac:dyDescent="0.35">
      <c r="G2330" s="88"/>
      <c r="H2330" s="89"/>
      <c r="L2330" s="88"/>
      <c r="M2330" s="89"/>
    </row>
    <row r="2331" spans="7:13" x14ac:dyDescent="0.35">
      <c r="G2331" s="88"/>
      <c r="H2331" s="89"/>
      <c r="L2331" s="88"/>
      <c r="M2331" s="89"/>
    </row>
    <row r="2332" spans="7:13" x14ac:dyDescent="0.35">
      <c r="G2332" s="88"/>
      <c r="H2332" s="89"/>
      <c r="L2332" s="88"/>
      <c r="M2332" s="89"/>
    </row>
    <row r="2333" spans="7:13" x14ac:dyDescent="0.35">
      <c r="G2333" s="88"/>
      <c r="H2333" s="89"/>
      <c r="L2333" s="88"/>
      <c r="M2333" s="89"/>
    </row>
    <row r="2334" spans="7:13" x14ac:dyDescent="0.35">
      <c r="G2334" s="88"/>
      <c r="H2334" s="89"/>
      <c r="L2334" s="88"/>
      <c r="M2334" s="89"/>
    </row>
    <row r="2335" spans="7:13" x14ac:dyDescent="0.35">
      <c r="G2335" s="88"/>
      <c r="H2335" s="89"/>
      <c r="L2335" s="88"/>
      <c r="M2335" s="89"/>
    </row>
    <row r="2336" spans="7:13" x14ac:dyDescent="0.35">
      <c r="G2336" s="88"/>
      <c r="H2336" s="89"/>
      <c r="L2336" s="88"/>
      <c r="M2336" s="89"/>
    </row>
    <row r="2337" spans="7:13" x14ac:dyDescent="0.35">
      <c r="G2337" s="88"/>
      <c r="H2337" s="89"/>
      <c r="L2337" s="88"/>
      <c r="M2337" s="89"/>
    </row>
    <row r="2338" spans="7:13" x14ac:dyDescent="0.35">
      <c r="G2338" s="88"/>
      <c r="H2338" s="89"/>
      <c r="L2338" s="88"/>
      <c r="M2338" s="89"/>
    </row>
    <row r="2339" spans="7:13" x14ac:dyDescent="0.35">
      <c r="G2339" s="88"/>
      <c r="H2339" s="89"/>
      <c r="L2339" s="88"/>
      <c r="M2339" s="89"/>
    </row>
    <row r="2340" spans="7:13" x14ac:dyDescent="0.35">
      <c r="G2340" s="88"/>
      <c r="H2340" s="89"/>
      <c r="L2340" s="88"/>
      <c r="M2340" s="89"/>
    </row>
    <row r="2341" spans="7:13" x14ac:dyDescent="0.35">
      <c r="G2341" s="88"/>
      <c r="H2341" s="89"/>
      <c r="L2341" s="88"/>
      <c r="M2341" s="89"/>
    </row>
    <row r="2342" spans="7:13" x14ac:dyDescent="0.35">
      <c r="G2342" s="88"/>
      <c r="H2342" s="89"/>
      <c r="L2342" s="88"/>
      <c r="M2342" s="89"/>
    </row>
    <row r="2343" spans="7:13" x14ac:dyDescent="0.35">
      <c r="G2343" s="88"/>
      <c r="H2343" s="89"/>
      <c r="L2343" s="88"/>
      <c r="M2343" s="89"/>
    </row>
    <row r="2344" spans="7:13" x14ac:dyDescent="0.35">
      <c r="G2344" s="88"/>
      <c r="H2344" s="89"/>
      <c r="L2344" s="88"/>
      <c r="M2344" s="89"/>
    </row>
    <row r="2345" spans="7:13" x14ac:dyDescent="0.35">
      <c r="G2345" s="88"/>
      <c r="H2345" s="89"/>
      <c r="L2345" s="88"/>
      <c r="M2345" s="89"/>
    </row>
    <row r="2346" spans="7:13" x14ac:dyDescent="0.35">
      <c r="G2346" s="88"/>
      <c r="H2346" s="89"/>
      <c r="L2346" s="88"/>
      <c r="M2346" s="89"/>
    </row>
    <row r="2347" spans="7:13" x14ac:dyDescent="0.35">
      <c r="G2347" s="88"/>
      <c r="H2347" s="89"/>
      <c r="L2347" s="88"/>
      <c r="M2347" s="89"/>
    </row>
    <row r="2348" spans="7:13" x14ac:dyDescent="0.35">
      <c r="G2348" s="88"/>
      <c r="H2348" s="89"/>
      <c r="L2348" s="88"/>
      <c r="M2348" s="89"/>
    </row>
    <row r="2349" spans="7:13" x14ac:dyDescent="0.35">
      <c r="G2349" s="88"/>
      <c r="H2349" s="89"/>
      <c r="L2349" s="88"/>
      <c r="M2349" s="89"/>
    </row>
    <row r="2350" spans="7:13" x14ac:dyDescent="0.35">
      <c r="G2350" s="88"/>
      <c r="H2350" s="89"/>
      <c r="L2350" s="88"/>
      <c r="M2350" s="89"/>
    </row>
    <row r="2351" spans="7:13" x14ac:dyDescent="0.35">
      <c r="G2351" s="88"/>
      <c r="H2351" s="89"/>
      <c r="L2351" s="88"/>
      <c r="M2351" s="89"/>
    </row>
    <row r="2352" spans="7:13" x14ac:dyDescent="0.35">
      <c r="G2352" s="88"/>
      <c r="H2352" s="89"/>
      <c r="L2352" s="88"/>
      <c r="M2352" s="89"/>
    </row>
    <row r="2353" spans="7:13" x14ac:dyDescent="0.35">
      <c r="G2353" s="88"/>
      <c r="H2353" s="89"/>
      <c r="L2353" s="88"/>
      <c r="M2353" s="89"/>
    </row>
    <row r="2354" spans="7:13" x14ac:dyDescent="0.35">
      <c r="G2354" s="88"/>
      <c r="H2354" s="89"/>
      <c r="L2354" s="88"/>
      <c r="M2354" s="89"/>
    </row>
    <row r="2355" spans="7:13" x14ac:dyDescent="0.35">
      <c r="G2355" s="88"/>
      <c r="H2355" s="89"/>
      <c r="L2355" s="88"/>
      <c r="M2355" s="89"/>
    </row>
    <row r="2356" spans="7:13" x14ac:dyDescent="0.35">
      <c r="G2356" s="88"/>
      <c r="H2356" s="89"/>
      <c r="L2356" s="88"/>
      <c r="M2356" s="89"/>
    </row>
    <row r="2357" spans="7:13" x14ac:dyDescent="0.35">
      <c r="G2357" s="88"/>
      <c r="H2357" s="89"/>
      <c r="L2357" s="88"/>
      <c r="M2357" s="89"/>
    </row>
    <row r="2358" spans="7:13" x14ac:dyDescent="0.35">
      <c r="G2358" s="88"/>
      <c r="H2358" s="89"/>
      <c r="L2358" s="88"/>
      <c r="M2358" s="89"/>
    </row>
    <row r="2359" spans="7:13" x14ac:dyDescent="0.35">
      <c r="G2359" s="88"/>
      <c r="H2359" s="89"/>
      <c r="L2359" s="88"/>
      <c r="M2359" s="89"/>
    </row>
    <row r="2360" spans="7:13" x14ac:dyDescent="0.35">
      <c r="G2360" s="88"/>
      <c r="H2360" s="89"/>
      <c r="L2360" s="88"/>
      <c r="M2360" s="89"/>
    </row>
    <row r="2361" spans="7:13" x14ac:dyDescent="0.35">
      <c r="G2361" s="88"/>
      <c r="H2361" s="89"/>
      <c r="L2361" s="88"/>
      <c r="M2361" s="89"/>
    </row>
    <row r="2362" spans="7:13" x14ac:dyDescent="0.35">
      <c r="G2362" s="88"/>
      <c r="H2362" s="89"/>
      <c r="L2362" s="88"/>
      <c r="M2362" s="89"/>
    </row>
    <row r="2363" spans="7:13" x14ac:dyDescent="0.35">
      <c r="G2363" s="88"/>
      <c r="H2363" s="89"/>
      <c r="L2363" s="88"/>
      <c r="M2363" s="89"/>
    </row>
    <row r="2364" spans="7:13" x14ac:dyDescent="0.35">
      <c r="G2364" s="88"/>
      <c r="H2364" s="89"/>
      <c r="L2364" s="88"/>
      <c r="M2364" s="89"/>
    </row>
    <row r="2365" spans="7:13" x14ac:dyDescent="0.35">
      <c r="G2365" s="88"/>
      <c r="H2365" s="89"/>
      <c r="L2365" s="88"/>
      <c r="M2365" s="89"/>
    </row>
    <row r="2366" spans="7:13" x14ac:dyDescent="0.35">
      <c r="G2366" s="88"/>
      <c r="H2366" s="89"/>
      <c r="L2366" s="88"/>
      <c r="M2366" s="89"/>
    </row>
    <row r="2367" spans="7:13" x14ac:dyDescent="0.35">
      <c r="G2367" s="88"/>
      <c r="H2367" s="89"/>
      <c r="L2367" s="88"/>
      <c r="M2367" s="89"/>
    </row>
    <row r="2368" spans="7:13" x14ac:dyDescent="0.35">
      <c r="G2368" s="88"/>
      <c r="H2368" s="89"/>
      <c r="L2368" s="88"/>
      <c r="M2368" s="89"/>
    </row>
    <row r="2369" spans="7:13" x14ac:dyDescent="0.35">
      <c r="G2369" s="88"/>
      <c r="H2369" s="89"/>
      <c r="L2369" s="88"/>
      <c r="M2369" s="89"/>
    </row>
    <row r="2370" spans="7:13" x14ac:dyDescent="0.35">
      <c r="G2370" s="88"/>
      <c r="H2370" s="89"/>
      <c r="L2370" s="88"/>
      <c r="M2370" s="89"/>
    </row>
    <row r="2371" spans="7:13" x14ac:dyDescent="0.35">
      <c r="G2371" s="88"/>
      <c r="H2371" s="89"/>
      <c r="L2371" s="88"/>
      <c r="M2371" s="89"/>
    </row>
    <row r="2372" spans="7:13" x14ac:dyDescent="0.35">
      <c r="G2372" s="88"/>
      <c r="H2372" s="89"/>
      <c r="L2372" s="88"/>
      <c r="M2372" s="89"/>
    </row>
    <row r="2373" spans="7:13" x14ac:dyDescent="0.35">
      <c r="G2373" s="88"/>
      <c r="H2373" s="89"/>
      <c r="L2373" s="88"/>
      <c r="M2373" s="89"/>
    </row>
    <row r="2374" spans="7:13" x14ac:dyDescent="0.35">
      <c r="G2374" s="88"/>
      <c r="H2374" s="89"/>
      <c r="L2374" s="88"/>
      <c r="M2374" s="89"/>
    </row>
    <row r="2375" spans="7:13" x14ac:dyDescent="0.35">
      <c r="G2375" s="88"/>
      <c r="H2375" s="89"/>
      <c r="L2375" s="88"/>
      <c r="M2375" s="89"/>
    </row>
    <row r="2376" spans="7:13" x14ac:dyDescent="0.35">
      <c r="G2376" s="88"/>
      <c r="H2376" s="89"/>
      <c r="L2376" s="88"/>
      <c r="M2376" s="89"/>
    </row>
    <row r="2377" spans="7:13" x14ac:dyDescent="0.35">
      <c r="G2377" s="88"/>
      <c r="H2377" s="89"/>
      <c r="L2377" s="88"/>
      <c r="M2377" s="89"/>
    </row>
    <row r="2378" spans="7:13" x14ac:dyDescent="0.35">
      <c r="G2378" s="88"/>
      <c r="H2378" s="89"/>
      <c r="L2378" s="88"/>
      <c r="M2378" s="89"/>
    </row>
    <row r="2379" spans="7:13" x14ac:dyDescent="0.35">
      <c r="G2379" s="88"/>
      <c r="H2379" s="89"/>
      <c r="L2379" s="88"/>
      <c r="M2379" s="89"/>
    </row>
    <row r="2380" spans="7:13" x14ac:dyDescent="0.35">
      <c r="G2380" s="88"/>
      <c r="H2380" s="89"/>
      <c r="L2380" s="88"/>
      <c r="M2380" s="89"/>
    </row>
    <row r="2381" spans="7:13" x14ac:dyDescent="0.35">
      <c r="G2381" s="88"/>
      <c r="H2381" s="89"/>
      <c r="L2381" s="88"/>
      <c r="M2381" s="89"/>
    </row>
    <row r="2382" spans="7:13" x14ac:dyDescent="0.35">
      <c r="G2382" s="88"/>
      <c r="H2382" s="89"/>
      <c r="L2382" s="88"/>
      <c r="M2382" s="89"/>
    </row>
    <row r="2383" spans="7:13" x14ac:dyDescent="0.35">
      <c r="G2383" s="88"/>
      <c r="H2383" s="89"/>
      <c r="L2383" s="88"/>
      <c r="M2383" s="89"/>
    </row>
    <row r="2384" spans="7:13" x14ac:dyDescent="0.35">
      <c r="G2384" s="88"/>
      <c r="H2384" s="89"/>
      <c r="L2384" s="88"/>
      <c r="M2384" s="89"/>
    </row>
    <row r="2385" spans="7:13" x14ac:dyDescent="0.35">
      <c r="G2385" s="88"/>
      <c r="H2385" s="89"/>
      <c r="L2385" s="88"/>
      <c r="M2385" s="89"/>
    </row>
    <row r="2386" spans="7:13" x14ac:dyDescent="0.35">
      <c r="G2386" s="88"/>
      <c r="H2386" s="89"/>
      <c r="L2386" s="88"/>
      <c r="M2386" s="89"/>
    </row>
    <row r="2387" spans="7:13" x14ac:dyDescent="0.35">
      <c r="G2387" s="88"/>
      <c r="H2387" s="89"/>
      <c r="L2387" s="88"/>
      <c r="M2387" s="89"/>
    </row>
    <row r="2388" spans="7:13" x14ac:dyDescent="0.35">
      <c r="G2388" s="88"/>
      <c r="H2388" s="89"/>
      <c r="L2388" s="88"/>
      <c r="M2388" s="89"/>
    </row>
    <row r="2389" spans="7:13" x14ac:dyDescent="0.35">
      <c r="G2389" s="88"/>
      <c r="H2389" s="89"/>
      <c r="L2389" s="88"/>
      <c r="M2389" s="89"/>
    </row>
    <row r="2390" spans="7:13" x14ac:dyDescent="0.35">
      <c r="G2390" s="88"/>
      <c r="H2390" s="89"/>
      <c r="L2390" s="88"/>
      <c r="M2390" s="89"/>
    </row>
    <row r="2391" spans="7:13" x14ac:dyDescent="0.35">
      <c r="G2391" s="88"/>
      <c r="H2391" s="89"/>
      <c r="L2391" s="88"/>
      <c r="M2391" s="89"/>
    </row>
    <row r="2392" spans="7:13" x14ac:dyDescent="0.35">
      <c r="G2392" s="88"/>
      <c r="H2392" s="89"/>
      <c r="L2392" s="88"/>
      <c r="M2392" s="89"/>
    </row>
    <row r="2393" spans="7:13" x14ac:dyDescent="0.35">
      <c r="G2393" s="88"/>
      <c r="H2393" s="89"/>
      <c r="L2393" s="88"/>
      <c r="M2393" s="89"/>
    </row>
    <row r="2394" spans="7:13" x14ac:dyDescent="0.35">
      <c r="G2394" s="88"/>
      <c r="H2394" s="89"/>
      <c r="L2394" s="88"/>
      <c r="M2394" s="89"/>
    </row>
    <row r="2395" spans="7:13" x14ac:dyDescent="0.35">
      <c r="G2395" s="88"/>
      <c r="H2395" s="89"/>
      <c r="L2395" s="88"/>
      <c r="M2395" s="89"/>
    </row>
    <row r="2396" spans="7:13" x14ac:dyDescent="0.35">
      <c r="G2396" s="88"/>
      <c r="H2396" s="89"/>
      <c r="L2396" s="88"/>
      <c r="M2396" s="89"/>
    </row>
    <row r="2397" spans="7:13" x14ac:dyDescent="0.35">
      <c r="G2397" s="88"/>
      <c r="H2397" s="89"/>
      <c r="L2397" s="88"/>
      <c r="M2397" s="89"/>
    </row>
    <row r="2398" spans="7:13" x14ac:dyDescent="0.35">
      <c r="G2398" s="88"/>
      <c r="H2398" s="89"/>
      <c r="L2398" s="88"/>
      <c r="M2398" s="89"/>
    </row>
    <row r="2399" spans="7:13" x14ac:dyDescent="0.35">
      <c r="G2399" s="88"/>
      <c r="H2399" s="89"/>
      <c r="L2399" s="88"/>
      <c r="M2399" s="89"/>
    </row>
    <row r="2400" spans="7:13" x14ac:dyDescent="0.35">
      <c r="G2400" s="88"/>
      <c r="H2400" s="89"/>
      <c r="L2400" s="88"/>
      <c r="M2400" s="89"/>
    </row>
    <row r="2401" spans="7:13" x14ac:dyDescent="0.35">
      <c r="G2401" s="88"/>
      <c r="H2401" s="89"/>
      <c r="L2401" s="88"/>
      <c r="M2401" s="89"/>
    </row>
    <row r="2402" spans="7:13" x14ac:dyDescent="0.35">
      <c r="G2402" s="88"/>
      <c r="H2402" s="89"/>
      <c r="L2402" s="88"/>
      <c r="M2402" s="89"/>
    </row>
    <row r="2403" spans="7:13" x14ac:dyDescent="0.35">
      <c r="G2403" s="88"/>
      <c r="H2403" s="89"/>
      <c r="L2403" s="88"/>
      <c r="M2403" s="89"/>
    </row>
    <row r="2404" spans="7:13" x14ac:dyDescent="0.35">
      <c r="G2404" s="88"/>
      <c r="H2404" s="89"/>
      <c r="L2404" s="88"/>
      <c r="M2404" s="89"/>
    </row>
    <row r="2405" spans="7:13" x14ac:dyDescent="0.35">
      <c r="G2405" s="88"/>
      <c r="H2405" s="89"/>
      <c r="L2405" s="88"/>
      <c r="M2405" s="89"/>
    </row>
    <row r="2406" spans="7:13" x14ac:dyDescent="0.35">
      <c r="G2406" s="88"/>
      <c r="H2406" s="89"/>
      <c r="L2406" s="88"/>
      <c r="M2406" s="89"/>
    </row>
    <row r="2407" spans="7:13" x14ac:dyDescent="0.35">
      <c r="G2407" s="88"/>
      <c r="H2407" s="89"/>
      <c r="L2407" s="88"/>
      <c r="M2407" s="89"/>
    </row>
    <row r="2408" spans="7:13" x14ac:dyDescent="0.35">
      <c r="G2408" s="88"/>
      <c r="H2408" s="89"/>
      <c r="L2408" s="88"/>
      <c r="M2408" s="89"/>
    </row>
    <row r="2409" spans="7:13" x14ac:dyDescent="0.35">
      <c r="G2409" s="88"/>
      <c r="H2409" s="89"/>
      <c r="L2409" s="88"/>
      <c r="M2409" s="89"/>
    </row>
    <row r="2410" spans="7:13" x14ac:dyDescent="0.35">
      <c r="G2410" s="88"/>
      <c r="H2410" s="89"/>
      <c r="L2410" s="88"/>
      <c r="M2410" s="89"/>
    </row>
    <row r="2411" spans="7:13" x14ac:dyDescent="0.35">
      <c r="G2411" s="88"/>
      <c r="H2411" s="89"/>
      <c r="L2411" s="88"/>
      <c r="M2411" s="89"/>
    </row>
    <row r="2412" spans="7:13" x14ac:dyDescent="0.35">
      <c r="G2412" s="88"/>
      <c r="H2412" s="89"/>
      <c r="L2412" s="88"/>
      <c r="M2412" s="89"/>
    </row>
    <row r="2413" spans="7:13" x14ac:dyDescent="0.35">
      <c r="G2413" s="88"/>
      <c r="H2413" s="89"/>
      <c r="L2413" s="88"/>
      <c r="M2413" s="89"/>
    </row>
    <row r="2414" spans="7:13" x14ac:dyDescent="0.35">
      <c r="G2414" s="88"/>
      <c r="H2414" s="89"/>
      <c r="L2414" s="88"/>
      <c r="M2414" s="89"/>
    </row>
    <row r="2415" spans="7:13" x14ac:dyDescent="0.35">
      <c r="G2415" s="88"/>
      <c r="H2415" s="89"/>
      <c r="L2415" s="88"/>
      <c r="M2415" s="89"/>
    </row>
    <row r="2416" spans="7:13" x14ac:dyDescent="0.35">
      <c r="G2416" s="88"/>
      <c r="H2416" s="89"/>
      <c r="L2416" s="88"/>
      <c r="M2416" s="89"/>
    </row>
    <row r="2417" spans="7:13" x14ac:dyDescent="0.35">
      <c r="G2417" s="88"/>
      <c r="H2417" s="89"/>
      <c r="L2417" s="88"/>
      <c r="M2417" s="89"/>
    </row>
    <row r="2418" spans="7:13" x14ac:dyDescent="0.35">
      <c r="G2418" s="88"/>
      <c r="H2418" s="89"/>
      <c r="L2418" s="88"/>
      <c r="M2418" s="89"/>
    </row>
    <row r="2419" spans="7:13" x14ac:dyDescent="0.35">
      <c r="G2419" s="88"/>
      <c r="H2419" s="89"/>
      <c r="L2419" s="88"/>
      <c r="M2419" s="89"/>
    </row>
    <row r="2420" spans="7:13" x14ac:dyDescent="0.35">
      <c r="G2420" s="88"/>
      <c r="H2420" s="89"/>
      <c r="L2420" s="88"/>
      <c r="M2420" s="89"/>
    </row>
    <row r="2421" spans="7:13" x14ac:dyDescent="0.35">
      <c r="G2421" s="88"/>
      <c r="H2421" s="89"/>
      <c r="L2421" s="88"/>
      <c r="M2421" s="89"/>
    </row>
    <row r="2422" spans="7:13" x14ac:dyDescent="0.35">
      <c r="G2422" s="88"/>
      <c r="H2422" s="89"/>
      <c r="L2422" s="88"/>
      <c r="M2422" s="89"/>
    </row>
    <row r="2423" spans="7:13" x14ac:dyDescent="0.35">
      <c r="G2423" s="88"/>
      <c r="H2423" s="89"/>
      <c r="L2423" s="88"/>
      <c r="M2423" s="89"/>
    </row>
    <row r="2424" spans="7:13" x14ac:dyDescent="0.35">
      <c r="G2424" s="88"/>
      <c r="H2424" s="89"/>
      <c r="L2424" s="88"/>
      <c r="M2424" s="89"/>
    </row>
    <row r="2425" spans="7:13" x14ac:dyDescent="0.35">
      <c r="G2425" s="88"/>
      <c r="H2425" s="89"/>
      <c r="L2425" s="88"/>
      <c r="M2425" s="89"/>
    </row>
    <row r="2426" spans="7:13" x14ac:dyDescent="0.35">
      <c r="G2426" s="88"/>
      <c r="H2426" s="89"/>
      <c r="L2426" s="88"/>
      <c r="M2426" s="89"/>
    </row>
    <row r="2427" spans="7:13" x14ac:dyDescent="0.35">
      <c r="G2427" s="88"/>
      <c r="H2427" s="89"/>
      <c r="L2427" s="88"/>
      <c r="M2427" s="89"/>
    </row>
    <row r="2428" spans="7:13" x14ac:dyDescent="0.35">
      <c r="G2428" s="88"/>
      <c r="H2428" s="89"/>
      <c r="L2428" s="88"/>
      <c r="M2428" s="89"/>
    </row>
    <row r="2429" spans="7:13" x14ac:dyDescent="0.35">
      <c r="G2429" s="88"/>
      <c r="H2429" s="89"/>
      <c r="L2429" s="88"/>
      <c r="M2429" s="89"/>
    </row>
    <row r="2430" spans="7:13" x14ac:dyDescent="0.35">
      <c r="G2430" s="88"/>
      <c r="H2430" s="89"/>
      <c r="L2430" s="88"/>
      <c r="M2430" s="89"/>
    </row>
    <row r="2431" spans="7:13" x14ac:dyDescent="0.35">
      <c r="G2431" s="88"/>
      <c r="H2431" s="89"/>
      <c r="L2431" s="88"/>
      <c r="M2431" s="89"/>
    </row>
    <row r="2432" spans="7:13" x14ac:dyDescent="0.35">
      <c r="G2432" s="88"/>
      <c r="H2432" s="89"/>
      <c r="L2432" s="88"/>
      <c r="M2432" s="89"/>
    </row>
    <row r="2433" spans="7:13" x14ac:dyDescent="0.35">
      <c r="G2433" s="88"/>
      <c r="H2433" s="89"/>
      <c r="L2433" s="88"/>
      <c r="M2433" s="89"/>
    </row>
    <row r="2434" spans="7:13" x14ac:dyDescent="0.35">
      <c r="G2434" s="88"/>
      <c r="H2434" s="89"/>
      <c r="L2434" s="88"/>
      <c r="M2434" s="89"/>
    </row>
    <row r="2435" spans="7:13" x14ac:dyDescent="0.35">
      <c r="G2435" s="88"/>
      <c r="H2435" s="89"/>
      <c r="L2435" s="88"/>
      <c r="M2435" s="89"/>
    </row>
    <row r="2436" spans="7:13" x14ac:dyDescent="0.35">
      <c r="G2436" s="88"/>
      <c r="H2436" s="89"/>
      <c r="L2436" s="88"/>
      <c r="M2436" s="89"/>
    </row>
    <row r="2437" spans="7:13" x14ac:dyDescent="0.35">
      <c r="G2437" s="88"/>
      <c r="H2437" s="89"/>
      <c r="L2437" s="88"/>
      <c r="M2437" s="89"/>
    </row>
    <row r="2438" spans="7:13" x14ac:dyDescent="0.35">
      <c r="G2438" s="88"/>
      <c r="H2438" s="89"/>
      <c r="L2438" s="88"/>
      <c r="M2438" s="89"/>
    </row>
    <row r="2439" spans="7:13" x14ac:dyDescent="0.35">
      <c r="G2439" s="88"/>
      <c r="H2439" s="89"/>
      <c r="L2439" s="88"/>
      <c r="M2439" s="89"/>
    </row>
    <row r="2440" spans="7:13" x14ac:dyDescent="0.35">
      <c r="G2440" s="88"/>
      <c r="H2440" s="89"/>
      <c r="L2440" s="88"/>
      <c r="M2440" s="89"/>
    </row>
    <row r="2441" spans="7:13" x14ac:dyDescent="0.35">
      <c r="G2441" s="88"/>
      <c r="H2441" s="89"/>
      <c r="L2441" s="88"/>
      <c r="M2441" s="89"/>
    </row>
    <row r="2442" spans="7:13" x14ac:dyDescent="0.35">
      <c r="G2442" s="88"/>
      <c r="H2442" s="89"/>
      <c r="L2442" s="88"/>
      <c r="M2442" s="89"/>
    </row>
    <row r="2443" spans="7:13" x14ac:dyDescent="0.35">
      <c r="G2443" s="88"/>
      <c r="H2443" s="89"/>
      <c r="L2443" s="88"/>
      <c r="M2443" s="89"/>
    </row>
    <row r="2444" spans="7:13" x14ac:dyDescent="0.35">
      <c r="G2444" s="88"/>
      <c r="H2444" s="89"/>
      <c r="L2444" s="88"/>
      <c r="M2444" s="89"/>
    </row>
    <row r="2445" spans="7:13" x14ac:dyDescent="0.35">
      <c r="G2445" s="88"/>
      <c r="H2445" s="89"/>
      <c r="L2445" s="88"/>
      <c r="M2445" s="89"/>
    </row>
    <row r="2446" spans="7:13" x14ac:dyDescent="0.35">
      <c r="G2446" s="88"/>
      <c r="H2446" s="89"/>
      <c r="L2446" s="88"/>
      <c r="M2446" s="89"/>
    </row>
    <row r="2447" spans="7:13" x14ac:dyDescent="0.35">
      <c r="G2447" s="88"/>
      <c r="H2447" s="89"/>
      <c r="L2447" s="88"/>
      <c r="M2447" s="89"/>
    </row>
    <row r="2448" spans="7:13" x14ac:dyDescent="0.35">
      <c r="G2448" s="88"/>
      <c r="H2448" s="89"/>
      <c r="L2448" s="88"/>
      <c r="M2448" s="89"/>
    </row>
    <row r="2449" spans="7:13" x14ac:dyDescent="0.35">
      <c r="G2449" s="88"/>
      <c r="H2449" s="89"/>
      <c r="L2449" s="88"/>
      <c r="M2449" s="89"/>
    </row>
    <row r="2450" spans="7:13" x14ac:dyDescent="0.35">
      <c r="G2450" s="88"/>
      <c r="H2450" s="89"/>
      <c r="L2450" s="88"/>
      <c r="M2450" s="89"/>
    </row>
    <row r="2451" spans="7:13" x14ac:dyDescent="0.35">
      <c r="G2451" s="88"/>
      <c r="H2451" s="89"/>
      <c r="L2451" s="88"/>
      <c r="M2451" s="89"/>
    </row>
    <row r="2452" spans="7:13" x14ac:dyDescent="0.35">
      <c r="G2452" s="88"/>
      <c r="H2452" s="89"/>
      <c r="L2452" s="88"/>
      <c r="M2452" s="89"/>
    </row>
    <row r="2453" spans="7:13" x14ac:dyDescent="0.35">
      <c r="G2453" s="88"/>
      <c r="H2453" s="89"/>
      <c r="L2453" s="88"/>
      <c r="M2453" s="89"/>
    </row>
    <row r="2454" spans="7:13" x14ac:dyDescent="0.35">
      <c r="G2454" s="88"/>
      <c r="H2454" s="89"/>
      <c r="L2454" s="88"/>
      <c r="M2454" s="89"/>
    </row>
    <row r="2455" spans="7:13" x14ac:dyDescent="0.35">
      <c r="G2455" s="88"/>
      <c r="H2455" s="89"/>
      <c r="L2455" s="88"/>
      <c r="M2455" s="89"/>
    </row>
    <row r="2456" spans="7:13" x14ac:dyDescent="0.35">
      <c r="G2456" s="88"/>
      <c r="H2456" s="89"/>
      <c r="L2456" s="88"/>
      <c r="M2456" s="89"/>
    </row>
    <row r="2457" spans="7:13" x14ac:dyDescent="0.35">
      <c r="G2457" s="88"/>
      <c r="H2457" s="89"/>
      <c r="L2457" s="88"/>
      <c r="M2457" s="89"/>
    </row>
    <row r="2458" spans="7:13" x14ac:dyDescent="0.35">
      <c r="G2458" s="88"/>
      <c r="H2458" s="89"/>
      <c r="L2458" s="88"/>
      <c r="M2458" s="89"/>
    </row>
    <row r="2459" spans="7:13" x14ac:dyDescent="0.35">
      <c r="G2459" s="88"/>
      <c r="H2459" s="89"/>
      <c r="L2459" s="88"/>
      <c r="M2459" s="89"/>
    </row>
    <row r="2460" spans="7:13" x14ac:dyDescent="0.35">
      <c r="G2460" s="88"/>
      <c r="H2460" s="89"/>
      <c r="L2460" s="88"/>
      <c r="M2460" s="89"/>
    </row>
    <row r="2461" spans="7:13" x14ac:dyDescent="0.35">
      <c r="G2461" s="88"/>
      <c r="H2461" s="89"/>
      <c r="L2461" s="88"/>
      <c r="M2461" s="89"/>
    </row>
    <row r="2462" spans="7:13" x14ac:dyDescent="0.35">
      <c r="G2462" s="88"/>
      <c r="H2462" s="89"/>
      <c r="L2462" s="88"/>
      <c r="M2462" s="89"/>
    </row>
    <row r="2463" spans="7:13" x14ac:dyDescent="0.35">
      <c r="G2463" s="88"/>
      <c r="H2463" s="89"/>
      <c r="L2463" s="88"/>
      <c r="M2463" s="89"/>
    </row>
    <row r="2464" spans="7:13" x14ac:dyDescent="0.35">
      <c r="G2464" s="88"/>
      <c r="H2464" s="89"/>
      <c r="L2464" s="88"/>
      <c r="M2464" s="89"/>
    </row>
    <row r="2465" spans="7:13" x14ac:dyDescent="0.35">
      <c r="G2465" s="88"/>
      <c r="H2465" s="89"/>
      <c r="L2465" s="88"/>
      <c r="M2465" s="89"/>
    </row>
    <row r="2466" spans="7:13" x14ac:dyDescent="0.35">
      <c r="G2466" s="88"/>
      <c r="H2466" s="89"/>
      <c r="L2466" s="88"/>
      <c r="M2466" s="89"/>
    </row>
    <row r="2467" spans="7:13" x14ac:dyDescent="0.35">
      <c r="G2467" s="88"/>
      <c r="H2467" s="89"/>
      <c r="L2467" s="88"/>
      <c r="M2467" s="89"/>
    </row>
    <row r="2468" spans="7:13" x14ac:dyDescent="0.35">
      <c r="G2468" s="88"/>
      <c r="H2468" s="89"/>
      <c r="L2468" s="88"/>
      <c r="M2468" s="89"/>
    </row>
    <row r="2469" spans="7:13" x14ac:dyDescent="0.35">
      <c r="G2469" s="88"/>
      <c r="H2469" s="89"/>
      <c r="L2469" s="88"/>
      <c r="M2469" s="89"/>
    </row>
    <row r="2470" spans="7:13" x14ac:dyDescent="0.35">
      <c r="G2470" s="88"/>
      <c r="H2470" s="89"/>
      <c r="L2470" s="88"/>
      <c r="M2470" s="89"/>
    </row>
    <row r="2471" spans="7:13" x14ac:dyDescent="0.35">
      <c r="G2471" s="88"/>
      <c r="H2471" s="89"/>
      <c r="L2471" s="88"/>
      <c r="M2471" s="89"/>
    </row>
    <row r="2472" spans="7:13" x14ac:dyDescent="0.35">
      <c r="G2472" s="88"/>
      <c r="H2472" s="89"/>
      <c r="L2472" s="88"/>
      <c r="M2472" s="89"/>
    </row>
    <row r="2473" spans="7:13" x14ac:dyDescent="0.35">
      <c r="G2473" s="88"/>
      <c r="H2473" s="89"/>
      <c r="L2473" s="88"/>
      <c r="M2473" s="89"/>
    </row>
    <row r="2474" spans="7:13" x14ac:dyDescent="0.35">
      <c r="G2474" s="88"/>
      <c r="H2474" s="89"/>
      <c r="L2474" s="88"/>
      <c r="M2474" s="89"/>
    </row>
    <row r="2475" spans="7:13" x14ac:dyDescent="0.35">
      <c r="G2475" s="88"/>
      <c r="H2475" s="89"/>
      <c r="L2475" s="88"/>
      <c r="M2475" s="89"/>
    </row>
    <row r="2476" spans="7:13" x14ac:dyDescent="0.35">
      <c r="G2476" s="88"/>
      <c r="H2476" s="89"/>
      <c r="L2476" s="88"/>
      <c r="M2476" s="89"/>
    </row>
    <row r="2477" spans="7:13" x14ac:dyDescent="0.35">
      <c r="G2477" s="88"/>
      <c r="H2477" s="89"/>
      <c r="L2477" s="88"/>
      <c r="M2477" s="89"/>
    </row>
    <row r="2478" spans="7:13" x14ac:dyDescent="0.35">
      <c r="G2478" s="88"/>
      <c r="H2478" s="89"/>
      <c r="L2478" s="88"/>
      <c r="M2478" s="89"/>
    </row>
    <row r="2479" spans="7:13" x14ac:dyDescent="0.35">
      <c r="G2479" s="88"/>
      <c r="H2479" s="89"/>
      <c r="L2479" s="88"/>
      <c r="M2479" s="89"/>
    </row>
    <row r="2480" spans="7:13" x14ac:dyDescent="0.35">
      <c r="G2480" s="88"/>
      <c r="H2480" s="89"/>
      <c r="L2480" s="88"/>
      <c r="M2480" s="89"/>
    </row>
    <row r="2481" spans="7:13" x14ac:dyDescent="0.35">
      <c r="G2481" s="88"/>
      <c r="H2481" s="89"/>
      <c r="L2481" s="88"/>
      <c r="M2481" s="89"/>
    </row>
    <row r="2482" spans="7:13" x14ac:dyDescent="0.35">
      <c r="G2482" s="88"/>
      <c r="H2482" s="89"/>
      <c r="L2482" s="88"/>
      <c r="M2482" s="89"/>
    </row>
    <row r="2483" spans="7:13" x14ac:dyDescent="0.35">
      <c r="G2483" s="88"/>
      <c r="H2483" s="89"/>
      <c r="L2483" s="88"/>
      <c r="M2483" s="89"/>
    </row>
    <row r="2484" spans="7:13" x14ac:dyDescent="0.35">
      <c r="G2484" s="88"/>
      <c r="H2484" s="89"/>
      <c r="L2484" s="88"/>
      <c r="M2484" s="89"/>
    </row>
    <row r="2485" spans="7:13" x14ac:dyDescent="0.35">
      <c r="G2485" s="88"/>
      <c r="H2485" s="89"/>
      <c r="L2485" s="88"/>
      <c r="M2485" s="89"/>
    </row>
    <row r="2486" spans="7:13" x14ac:dyDescent="0.35">
      <c r="G2486" s="88"/>
      <c r="H2486" s="89"/>
      <c r="L2486" s="88"/>
      <c r="M2486" s="89"/>
    </row>
    <row r="2487" spans="7:13" x14ac:dyDescent="0.35">
      <c r="G2487" s="88"/>
      <c r="H2487" s="89"/>
      <c r="L2487" s="88"/>
      <c r="M2487" s="89"/>
    </row>
    <row r="2488" spans="7:13" x14ac:dyDescent="0.35">
      <c r="G2488" s="88"/>
      <c r="H2488" s="89"/>
      <c r="L2488" s="88"/>
      <c r="M2488" s="89"/>
    </row>
    <row r="2489" spans="7:13" x14ac:dyDescent="0.35">
      <c r="G2489" s="88"/>
      <c r="H2489" s="89"/>
      <c r="L2489" s="88"/>
      <c r="M2489" s="89"/>
    </row>
    <row r="2490" spans="7:13" x14ac:dyDescent="0.35">
      <c r="G2490" s="88"/>
      <c r="H2490" s="89"/>
      <c r="L2490" s="88"/>
      <c r="M2490" s="89"/>
    </row>
    <row r="2491" spans="7:13" x14ac:dyDescent="0.35">
      <c r="G2491" s="88"/>
      <c r="H2491" s="89"/>
      <c r="L2491" s="88"/>
      <c r="M2491" s="89"/>
    </row>
    <row r="2492" spans="7:13" x14ac:dyDescent="0.35">
      <c r="G2492" s="88"/>
      <c r="H2492" s="89"/>
      <c r="L2492" s="88"/>
      <c r="M2492" s="89"/>
    </row>
    <row r="2493" spans="7:13" x14ac:dyDescent="0.35">
      <c r="G2493" s="88"/>
      <c r="H2493" s="89"/>
      <c r="L2493" s="88"/>
      <c r="M2493" s="89"/>
    </row>
    <row r="2494" spans="7:13" x14ac:dyDescent="0.35">
      <c r="G2494" s="88"/>
      <c r="H2494" s="89"/>
      <c r="L2494" s="88"/>
      <c r="M2494" s="89"/>
    </row>
    <row r="2495" spans="7:13" x14ac:dyDescent="0.35">
      <c r="G2495" s="88"/>
      <c r="H2495" s="89"/>
      <c r="L2495" s="88"/>
      <c r="M2495" s="89"/>
    </row>
    <row r="2496" spans="7:13" x14ac:dyDescent="0.35">
      <c r="G2496" s="88"/>
      <c r="H2496" s="89"/>
      <c r="L2496" s="88"/>
      <c r="M2496" s="89"/>
    </row>
    <row r="2497" spans="7:13" x14ac:dyDescent="0.35">
      <c r="G2497" s="88"/>
      <c r="H2497" s="89"/>
      <c r="L2497" s="88"/>
      <c r="M2497" s="89"/>
    </row>
    <row r="2498" spans="7:13" x14ac:dyDescent="0.35">
      <c r="G2498" s="88"/>
      <c r="H2498" s="89"/>
      <c r="L2498" s="88"/>
      <c r="M2498" s="89"/>
    </row>
    <row r="2499" spans="7:13" x14ac:dyDescent="0.35">
      <c r="G2499" s="88"/>
      <c r="H2499" s="89"/>
      <c r="L2499" s="88"/>
      <c r="M2499" s="89"/>
    </row>
    <row r="2500" spans="7:13" x14ac:dyDescent="0.35">
      <c r="G2500" s="88"/>
      <c r="H2500" s="89"/>
      <c r="L2500" s="88"/>
      <c r="M2500" s="89"/>
    </row>
    <row r="2501" spans="7:13" x14ac:dyDescent="0.35">
      <c r="G2501" s="88"/>
      <c r="H2501" s="89"/>
      <c r="L2501" s="88"/>
      <c r="M2501" s="89"/>
    </row>
    <row r="2502" spans="7:13" x14ac:dyDescent="0.35">
      <c r="G2502" s="88"/>
      <c r="H2502" s="89"/>
      <c r="L2502" s="88"/>
      <c r="M2502" s="89"/>
    </row>
    <row r="2503" spans="7:13" x14ac:dyDescent="0.35">
      <c r="G2503" s="88"/>
      <c r="H2503" s="89"/>
      <c r="L2503" s="88"/>
      <c r="M2503" s="89"/>
    </row>
    <row r="2504" spans="7:13" x14ac:dyDescent="0.35">
      <c r="G2504" s="88"/>
      <c r="H2504" s="89"/>
      <c r="L2504" s="88"/>
      <c r="M2504" s="89"/>
    </row>
    <row r="2505" spans="7:13" x14ac:dyDescent="0.35">
      <c r="G2505" s="88"/>
      <c r="H2505" s="89"/>
      <c r="L2505" s="88"/>
      <c r="M2505" s="89"/>
    </row>
    <row r="2506" spans="7:13" x14ac:dyDescent="0.35">
      <c r="G2506" s="88"/>
      <c r="H2506" s="89"/>
      <c r="L2506" s="88"/>
      <c r="M2506" s="89"/>
    </row>
    <row r="2507" spans="7:13" x14ac:dyDescent="0.35">
      <c r="G2507" s="88"/>
      <c r="H2507" s="89"/>
      <c r="L2507" s="88"/>
      <c r="M2507" s="89"/>
    </row>
    <row r="2508" spans="7:13" x14ac:dyDescent="0.35">
      <c r="G2508" s="88"/>
      <c r="H2508" s="89"/>
      <c r="L2508" s="88"/>
      <c r="M2508" s="89"/>
    </row>
    <row r="2509" spans="7:13" x14ac:dyDescent="0.35">
      <c r="G2509" s="88"/>
      <c r="H2509" s="89"/>
      <c r="L2509" s="88"/>
      <c r="M2509" s="89"/>
    </row>
    <row r="2510" spans="7:13" x14ac:dyDescent="0.35">
      <c r="G2510" s="88"/>
      <c r="H2510" s="89"/>
      <c r="L2510" s="88"/>
      <c r="M2510" s="89"/>
    </row>
    <row r="2511" spans="7:13" x14ac:dyDescent="0.35">
      <c r="G2511" s="88"/>
      <c r="H2511" s="89"/>
      <c r="L2511" s="88"/>
      <c r="M2511" s="89"/>
    </row>
    <row r="2512" spans="7:13" x14ac:dyDescent="0.35">
      <c r="G2512" s="88"/>
      <c r="H2512" s="89"/>
      <c r="L2512" s="88"/>
      <c r="M2512" s="89"/>
    </row>
    <row r="2513" spans="7:13" x14ac:dyDescent="0.35">
      <c r="G2513" s="88"/>
      <c r="H2513" s="89"/>
      <c r="L2513" s="88"/>
      <c r="M2513" s="89"/>
    </row>
    <row r="2514" spans="7:13" x14ac:dyDescent="0.35">
      <c r="G2514" s="88"/>
      <c r="H2514" s="89"/>
      <c r="L2514" s="88"/>
      <c r="M2514" s="89"/>
    </row>
    <row r="2515" spans="7:13" x14ac:dyDescent="0.35">
      <c r="G2515" s="88"/>
      <c r="H2515" s="89"/>
      <c r="L2515" s="88"/>
      <c r="M2515" s="89"/>
    </row>
    <row r="2516" spans="7:13" x14ac:dyDescent="0.35">
      <c r="G2516" s="88"/>
      <c r="H2516" s="89"/>
      <c r="L2516" s="88"/>
      <c r="M2516" s="89"/>
    </row>
    <row r="2517" spans="7:13" x14ac:dyDescent="0.35">
      <c r="G2517" s="88"/>
      <c r="H2517" s="89"/>
      <c r="L2517" s="88"/>
      <c r="M2517" s="89"/>
    </row>
    <row r="2518" spans="7:13" x14ac:dyDescent="0.35">
      <c r="G2518" s="88"/>
      <c r="H2518" s="89"/>
      <c r="L2518" s="88"/>
      <c r="M2518" s="89"/>
    </row>
    <row r="2519" spans="7:13" x14ac:dyDescent="0.35">
      <c r="G2519" s="88"/>
      <c r="H2519" s="89"/>
      <c r="L2519" s="88"/>
      <c r="M2519" s="89"/>
    </row>
    <row r="2520" spans="7:13" x14ac:dyDescent="0.35">
      <c r="G2520" s="88"/>
      <c r="H2520" s="89"/>
      <c r="L2520" s="88"/>
      <c r="M2520" s="89"/>
    </row>
    <row r="2521" spans="7:13" x14ac:dyDescent="0.35">
      <c r="G2521" s="88"/>
      <c r="H2521" s="89"/>
      <c r="L2521" s="88"/>
      <c r="M2521" s="89"/>
    </row>
    <row r="2522" spans="7:13" x14ac:dyDescent="0.35">
      <c r="G2522" s="88"/>
      <c r="H2522" s="89"/>
      <c r="L2522" s="88"/>
      <c r="M2522" s="89"/>
    </row>
    <row r="2523" spans="7:13" x14ac:dyDescent="0.35">
      <c r="G2523" s="88"/>
      <c r="H2523" s="89"/>
      <c r="L2523" s="88"/>
      <c r="M2523" s="89"/>
    </row>
    <row r="2524" spans="7:13" x14ac:dyDescent="0.35">
      <c r="G2524" s="88"/>
      <c r="H2524" s="89"/>
      <c r="L2524" s="88"/>
      <c r="M2524" s="89"/>
    </row>
    <row r="2525" spans="7:13" x14ac:dyDescent="0.35">
      <c r="G2525" s="88"/>
      <c r="H2525" s="89"/>
      <c r="L2525" s="88"/>
      <c r="M2525" s="89"/>
    </row>
    <row r="2526" spans="7:13" x14ac:dyDescent="0.35">
      <c r="G2526" s="88"/>
      <c r="H2526" s="89"/>
      <c r="L2526" s="88"/>
      <c r="M2526" s="89"/>
    </row>
    <row r="2527" spans="7:13" x14ac:dyDescent="0.35">
      <c r="G2527" s="88"/>
      <c r="H2527" s="89"/>
      <c r="L2527" s="88"/>
      <c r="M2527" s="89"/>
    </row>
    <row r="2528" spans="7:13" x14ac:dyDescent="0.35">
      <c r="G2528" s="88"/>
      <c r="H2528" s="89"/>
      <c r="L2528" s="88"/>
      <c r="M2528" s="89"/>
    </row>
    <row r="2529" spans="7:13" x14ac:dyDescent="0.35">
      <c r="G2529" s="88"/>
      <c r="H2529" s="89"/>
      <c r="L2529" s="88"/>
      <c r="M2529" s="89"/>
    </row>
    <row r="2530" spans="7:13" x14ac:dyDescent="0.35">
      <c r="G2530" s="88"/>
      <c r="H2530" s="89"/>
      <c r="L2530" s="88"/>
      <c r="M2530" s="89"/>
    </row>
    <row r="2531" spans="7:13" x14ac:dyDescent="0.35">
      <c r="G2531" s="88"/>
      <c r="H2531" s="89"/>
      <c r="L2531" s="88"/>
      <c r="M2531" s="89"/>
    </row>
    <row r="2532" spans="7:13" x14ac:dyDescent="0.35">
      <c r="G2532" s="88"/>
      <c r="H2532" s="89"/>
      <c r="L2532" s="88"/>
      <c r="M2532" s="89"/>
    </row>
    <row r="2533" spans="7:13" x14ac:dyDescent="0.35">
      <c r="G2533" s="88"/>
      <c r="H2533" s="89"/>
      <c r="L2533" s="88"/>
      <c r="M2533" s="89"/>
    </row>
    <row r="2534" spans="7:13" x14ac:dyDescent="0.35">
      <c r="G2534" s="88"/>
      <c r="H2534" s="89"/>
      <c r="L2534" s="88"/>
      <c r="M2534" s="89"/>
    </row>
    <row r="2535" spans="7:13" x14ac:dyDescent="0.35">
      <c r="G2535" s="88"/>
      <c r="H2535" s="89"/>
      <c r="L2535" s="88"/>
      <c r="M2535" s="89"/>
    </row>
    <row r="2536" spans="7:13" x14ac:dyDescent="0.35">
      <c r="G2536" s="88"/>
      <c r="H2536" s="89"/>
      <c r="L2536" s="88"/>
      <c r="M2536" s="89"/>
    </row>
    <row r="2537" spans="7:13" x14ac:dyDescent="0.35">
      <c r="G2537" s="88"/>
      <c r="H2537" s="89"/>
      <c r="L2537" s="88"/>
      <c r="M2537" s="89"/>
    </row>
    <row r="2538" spans="7:13" x14ac:dyDescent="0.35">
      <c r="G2538" s="88"/>
      <c r="H2538" s="89"/>
      <c r="L2538" s="88"/>
      <c r="M2538" s="89"/>
    </row>
    <row r="2539" spans="7:13" x14ac:dyDescent="0.35">
      <c r="G2539" s="88"/>
      <c r="H2539" s="89"/>
      <c r="L2539" s="88"/>
      <c r="M2539" s="89"/>
    </row>
    <row r="2540" spans="7:13" x14ac:dyDescent="0.35">
      <c r="G2540" s="88"/>
      <c r="H2540" s="89"/>
      <c r="L2540" s="88"/>
      <c r="M2540" s="89"/>
    </row>
    <row r="2541" spans="7:13" x14ac:dyDescent="0.35">
      <c r="G2541" s="88"/>
      <c r="H2541" s="89"/>
      <c r="L2541" s="88"/>
      <c r="M2541" s="89"/>
    </row>
    <row r="2542" spans="7:13" x14ac:dyDescent="0.35">
      <c r="G2542" s="88"/>
      <c r="H2542" s="89"/>
      <c r="L2542" s="88"/>
      <c r="M2542" s="89"/>
    </row>
    <row r="2543" spans="7:13" x14ac:dyDescent="0.35">
      <c r="G2543" s="88"/>
      <c r="H2543" s="89"/>
      <c r="L2543" s="88"/>
      <c r="M2543" s="89"/>
    </row>
    <row r="2544" spans="7:13" x14ac:dyDescent="0.35">
      <c r="G2544" s="88"/>
      <c r="H2544" s="89"/>
      <c r="L2544" s="88"/>
      <c r="M2544" s="89"/>
    </row>
    <row r="2545" spans="7:13" x14ac:dyDescent="0.35">
      <c r="G2545" s="88"/>
      <c r="H2545" s="89"/>
      <c r="L2545" s="88"/>
      <c r="M2545" s="89"/>
    </row>
    <row r="2546" spans="7:13" x14ac:dyDescent="0.35">
      <c r="G2546" s="88"/>
      <c r="H2546" s="89"/>
      <c r="L2546" s="88"/>
      <c r="M2546" s="89"/>
    </row>
    <row r="2547" spans="7:13" x14ac:dyDescent="0.35">
      <c r="G2547" s="88"/>
      <c r="H2547" s="89"/>
      <c r="L2547" s="88"/>
      <c r="M2547" s="89"/>
    </row>
    <row r="2548" spans="7:13" x14ac:dyDescent="0.35">
      <c r="G2548" s="88"/>
      <c r="H2548" s="89"/>
      <c r="L2548" s="88"/>
      <c r="M2548" s="89"/>
    </row>
    <row r="2549" spans="7:13" x14ac:dyDescent="0.35">
      <c r="G2549" s="88"/>
      <c r="H2549" s="89"/>
      <c r="L2549" s="88"/>
      <c r="M2549" s="89"/>
    </row>
    <row r="2550" spans="7:13" x14ac:dyDescent="0.35">
      <c r="G2550" s="88"/>
      <c r="H2550" s="89"/>
      <c r="L2550" s="88"/>
      <c r="M2550" s="89"/>
    </row>
    <row r="2551" spans="7:13" x14ac:dyDescent="0.35">
      <c r="G2551" s="88"/>
      <c r="H2551" s="89"/>
      <c r="L2551" s="88"/>
      <c r="M2551" s="89"/>
    </row>
    <row r="2552" spans="7:13" x14ac:dyDescent="0.35">
      <c r="G2552" s="88"/>
      <c r="H2552" s="89"/>
      <c r="L2552" s="88"/>
      <c r="M2552" s="89"/>
    </row>
    <row r="2553" spans="7:13" x14ac:dyDescent="0.35">
      <c r="G2553" s="88"/>
      <c r="H2553" s="89"/>
      <c r="L2553" s="88"/>
      <c r="M2553" s="89"/>
    </row>
    <row r="2554" spans="7:13" x14ac:dyDescent="0.35">
      <c r="G2554" s="88"/>
      <c r="H2554" s="89"/>
      <c r="L2554" s="88"/>
      <c r="M2554" s="89"/>
    </row>
    <row r="2555" spans="7:13" x14ac:dyDescent="0.35">
      <c r="G2555" s="88"/>
      <c r="H2555" s="89"/>
      <c r="L2555" s="88"/>
      <c r="M2555" s="89"/>
    </row>
    <row r="2556" spans="7:13" x14ac:dyDescent="0.35">
      <c r="G2556" s="88"/>
      <c r="H2556" s="89"/>
      <c r="L2556" s="88"/>
      <c r="M2556" s="89"/>
    </row>
    <row r="2557" spans="7:13" x14ac:dyDescent="0.35">
      <c r="G2557" s="88"/>
      <c r="H2557" s="89"/>
      <c r="L2557" s="88"/>
      <c r="M2557" s="89"/>
    </row>
    <row r="2558" spans="7:13" x14ac:dyDescent="0.35">
      <c r="G2558" s="88"/>
      <c r="H2558" s="89"/>
      <c r="L2558" s="88"/>
      <c r="M2558" s="89"/>
    </row>
    <row r="2559" spans="7:13" x14ac:dyDescent="0.35">
      <c r="G2559" s="88"/>
      <c r="H2559" s="89"/>
      <c r="L2559" s="88"/>
      <c r="M2559" s="89"/>
    </row>
    <row r="2560" spans="7:13" x14ac:dyDescent="0.35">
      <c r="G2560" s="88"/>
      <c r="H2560" s="89"/>
      <c r="L2560" s="88"/>
      <c r="M2560" s="89"/>
    </row>
    <row r="2561" spans="7:13" x14ac:dyDescent="0.35">
      <c r="G2561" s="88"/>
      <c r="H2561" s="89"/>
      <c r="L2561" s="88"/>
      <c r="M2561" s="89"/>
    </row>
    <row r="2562" spans="7:13" x14ac:dyDescent="0.35">
      <c r="G2562" s="88"/>
      <c r="H2562" s="89"/>
      <c r="L2562" s="88"/>
      <c r="M2562" s="89"/>
    </row>
    <row r="2563" spans="7:13" x14ac:dyDescent="0.35">
      <c r="G2563" s="88"/>
      <c r="H2563" s="89"/>
      <c r="L2563" s="88"/>
      <c r="M2563" s="89"/>
    </row>
    <row r="2564" spans="7:13" x14ac:dyDescent="0.35">
      <c r="G2564" s="88"/>
      <c r="H2564" s="89"/>
      <c r="L2564" s="88"/>
      <c r="M2564" s="89"/>
    </row>
    <row r="2565" spans="7:13" x14ac:dyDescent="0.35">
      <c r="G2565" s="88"/>
      <c r="H2565" s="89"/>
      <c r="L2565" s="88"/>
      <c r="M2565" s="89"/>
    </row>
    <row r="2566" spans="7:13" x14ac:dyDescent="0.35">
      <c r="G2566" s="88"/>
      <c r="H2566" s="89"/>
      <c r="L2566" s="88"/>
      <c r="M2566" s="89"/>
    </row>
    <row r="2567" spans="7:13" x14ac:dyDescent="0.35">
      <c r="G2567" s="88"/>
      <c r="H2567" s="89"/>
      <c r="L2567" s="88"/>
      <c r="M2567" s="89"/>
    </row>
    <row r="2568" spans="7:13" x14ac:dyDescent="0.35">
      <c r="G2568" s="88"/>
      <c r="H2568" s="89"/>
      <c r="L2568" s="88"/>
      <c r="M2568" s="89"/>
    </row>
    <row r="2569" spans="7:13" x14ac:dyDescent="0.35">
      <c r="G2569" s="88"/>
      <c r="H2569" s="89"/>
      <c r="L2569" s="88"/>
      <c r="M2569" s="89"/>
    </row>
    <row r="2570" spans="7:13" x14ac:dyDescent="0.35">
      <c r="G2570" s="88"/>
      <c r="H2570" s="89"/>
      <c r="L2570" s="88"/>
      <c r="M2570" s="89"/>
    </row>
    <row r="2571" spans="7:13" x14ac:dyDescent="0.35">
      <c r="G2571" s="88"/>
      <c r="H2571" s="89"/>
      <c r="L2571" s="88"/>
      <c r="M2571" s="89"/>
    </row>
    <row r="2572" spans="7:13" x14ac:dyDescent="0.35">
      <c r="G2572" s="88"/>
      <c r="H2572" s="89"/>
      <c r="L2572" s="88"/>
      <c r="M2572" s="89"/>
    </row>
    <row r="2573" spans="7:13" x14ac:dyDescent="0.35">
      <c r="G2573" s="88"/>
      <c r="H2573" s="89"/>
      <c r="L2573" s="88"/>
      <c r="M2573" s="89"/>
    </row>
    <row r="2574" spans="7:13" x14ac:dyDescent="0.35">
      <c r="G2574" s="88"/>
      <c r="H2574" s="89"/>
      <c r="L2574" s="88"/>
      <c r="M2574" s="89"/>
    </row>
    <row r="2575" spans="7:13" x14ac:dyDescent="0.35">
      <c r="G2575" s="88"/>
      <c r="H2575" s="89"/>
      <c r="L2575" s="88"/>
      <c r="M2575" s="89"/>
    </row>
    <row r="2576" spans="7:13" x14ac:dyDescent="0.35">
      <c r="G2576" s="88"/>
      <c r="H2576" s="89"/>
      <c r="L2576" s="88"/>
      <c r="M2576" s="89"/>
    </row>
    <row r="2577" spans="7:13" x14ac:dyDescent="0.35">
      <c r="G2577" s="88"/>
      <c r="H2577" s="89"/>
      <c r="L2577" s="88"/>
      <c r="M2577" s="89"/>
    </row>
    <row r="2578" spans="7:13" x14ac:dyDescent="0.35">
      <c r="G2578" s="88"/>
      <c r="H2578" s="89"/>
      <c r="L2578" s="88"/>
      <c r="M2578" s="89"/>
    </row>
    <row r="2579" spans="7:13" x14ac:dyDescent="0.35">
      <c r="G2579" s="88"/>
      <c r="H2579" s="89"/>
      <c r="L2579" s="88"/>
      <c r="M2579" s="89"/>
    </row>
    <row r="2580" spans="7:13" x14ac:dyDescent="0.35">
      <c r="G2580" s="88"/>
      <c r="H2580" s="89"/>
      <c r="L2580" s="88"/>
      <c r="M2580" s="89"/>
    </row>
    <row r="2581" spans="7:13" x14ac:dyDescent="0.35">
      <c r="G2581" s="88"/>
      <c r="H2581" s="89"/>
      <c r="L2581" s="88"/>
      <c r="M2581" s="89"/>
    </row>
    <row r="2582" spans="7:13" x14ac:dyDescent="0.35">
      <c r="G2582" s="88"/>
      <c r="H2582" s="89"/>
      <c r="L2582" s="88"/>
      <c r="M2582" s="89"/>
    </row>
    <row r="2583" spans="7:13" x14ac:dyDescent="0.35">
      <c r="G2583" s="88"/>
      <c r="H2583" s="89"/>
      <c r="L2583" s="88"/>
      <c r="M2583" s="89"/>
    </row>
    <row r="2584" spans="7:13" x14ac:dyDescent="0.35">
      <c r="G2584" s="88"/>
      <c r="H2584" s="89"/>
      <c r="L2584" s="88"/>
      <c r="M2584" s="89"/>
    </row>
    <row r="2585" spans="7:13" x14ac:dyDescent="0.35">
      <c r="G2585" s="88"/>
      <c r="H2585" s="89"/>
      <c r="L2585" s="88"/>
      <c r="M2585" s="89"/>
    </row>
    <row r="2586" spans="7:13" x14ac:dyDescent="0.35">
      <c r="G2586" s="88"/>
      <c r="H2586" s="89"/>
      <c r="L2586" s="88"/>
      <c r="M2586" s="89"/>
    </row>
    <row r="2587" spans="7:13" x14ac:dyDescent="0.35">
      <c r="G2587" s="88"/>
      <c r="H2587" s="89"/>
      <c r="L2587" s="88"/>
      <c r="M2587" s="89"/>
    </row>
    <row r="2588" spans="7:13" x14ac:dyDescent="0.35">
      <c r="G2588" s="88"/>
      <c r="H2588" s="89"/>
      <c r="L2588" s="88"/>
      <c r="M2588" s="89"/>
    </row>
    <row r="2589" spans="7:13" x14ac:dyDescent="0.35">
      <c r="G2589" s="88"/>
      <c r="H2589" s="89"/>
      <c r="L2589" s="88"/>
      <c r="M2589" s="89"/>
    </row>
    <row r="2590" spans="7:13" x14ac:dyDescent="0.35">
      <c r="G2590" s="88"/>
      <c r="H2590" s="89"/>
      <c r="L2590" s="88"/>
      <c r="M2590" s="89"/>
    </row>
    <row r="2591" spans="7:13" x14ac:dyDescent="0.35">
      <c r="G2591" s="88"/>
      <c r="H2591" s="89"/>
      <c r="L2591" s="88"/>
      <c r="M2591" s="89"/>
    </row>
    <row r="2592" spans="7:13" x14ac:dyDescent="0.35">
      <c r="G2592" s="88"/>
      <c r="H2592" s="89"/>
      <c r="L2592" s="88"/>
      <c r="M2592" s="89"/>
    </row>
    <row r="2593" spans="7:13" x14ac:dyDescent="0.35">
      <c r="G2593" s="88"/>
      <c r="H2593" s="89"/>
      <c r="L2593" s="88"/>
      <c r="M2593" s="89"/>
    </row>
    <row r="2594" spans="7:13" x14ac:dyDescent="0.35">
      <c r="G2594" s="88"/>
      <c r="H2594" s="89"/>
      <c r="L2594" s="88"/>
      <c r="M2594" s="89"/>
    </row>
    <row r="2595" spans="7:13" x14ac:dyDescent="0.35">
      <c r="G2595" s="88"/>
      <c r="H2595" s="89"/>
      <c r="L2595" s="88"/>
      <c r="M2595" s="89"/>
    </row>
    <row r="2596" spans="7:13" x14ac:dyDescent="0.35">
      <c r="G2596" s="88"/>
      <c r="H2596" s="89"/>
      <c r="L2596" s="88"/>
      <c r="M2596" s="89"/>
    </row>
    <row r="2597" spans="7:13" x14ac:dyDescent="0.35">
      <c r="G2597" s="88"/>
      <c r="H2597" s="89"/>
      <c r="L2597" s="88"/>
      <c r="M2597" s="89"/>
    </row>
    <row r="2598" spans="7:13" x14ac:dyDescent="0.35">
      <c r="G2598" s="88"/>
      <c r="H2598" s="89"/>
      <c r="L2598" s="88"/>
      <c r="M2598" s="89"/>
    </row>
    <row r="2599" spans="7:13" x14ac:dyDescent="0.35">
      <c r="G2599" s="88"/>
      <c r="H2599" s="89"/>
      <c r="L2599" s="88"/>
      <c r="M2599" s="89"/>
    </row>
    <row r="2600" spans="7:13" x14ac:dyDescent="0.35">
      <c r="G2600" s="88"/>
      <c r="H2600" s="89"/>
      <c r="L2600" s="88"/>
      <c r="M2600" s="89"/>
    </row>
    <row r="2601" spans="7:13" x14ac:dyDescent="0.35">
      <c r="G2601" s="88"/>
      <c r="H2601" s="89"/>
      <c r="L2601" s="88"/>
      <c r="M2601" s="89"/>
    </row>
    <row r="2602" spans="7:13" x14ac:dyDescent="0.35">
      <c r="G2602" s="88"/>
      <c r="H2602" s="89"/>
      <c r="L2602" s="88"/>
      <c r="M2602" s="89"/>
    </row>
    <row r="2603" spans="7:13" x14ac:dyDescent="0.35">
      <c r="G2603" s="88"/>
      <c r="H2603" s="89"/>
      <c r="L2603" s="88"/>
      <c r="M2603" s="89"/>
    </row>
    <row r="2604" spans="7:13" x14ac:dyDescent="0.35">
      <c r="G2604" s="88"/>
      <c r="H2604" s="89"/>
      <c r="L2604" s="88"/>
      <c r="M2604" s="89"/>
    </row>
    <row r="2605" spans="7:13" x14ac:dyDescent="0.35">
      <c r="G2605" s="88"/>
      <c r="H2605" s="89"/>
      <c r="L2605" s="88"/>
      <c r="M2605" s="89"/>
    </row>
    <row r="2606" spans="7:13" x14ac:dyDescent="0.35">
      <c r="G2606" s="88"/>
      <c r="H2606" s="89"/>
      <c r="L2606" s="88"/>
      <c r="M2606" s="89"/>
    </row>
    <row r="2607" spans="7:13" x14ac:dyDescent="0.35">
      <c r="G2607" s="88"/>
      <c r="H2607" s="89"/>
      <c r="L2607" s="88"/>
      <c r="M2607" s="89"/>
    </row>
    <row r="2608" spans="7:13" x14ac:dyDescent="0.35">
      <c r="G2608" s="88"/>
      <c r="H2608" s="89"/>
      <c r="L2608" s="88"/>
      <c r="M2608" s="89"/>
    </row>
    <row r="2609" spans="7:13" x14ac:dyDescent="0.35">
      <c r="G2609" s="88"/>
      <c r="H2609" s="89"/>
      <c r="L2609" s="88"/>
      <c r="M2609" s="89"/>
    </row>
    <row r="2610" spans="7:13" x14ac:dyDescent="0.35">
      <c r="G2610" s="88"/>
      <c r="H2610" s="89"/>
      <c r="L2610" s="88"/>
      <c r="M2610" s="89"/>
    </row>
    <row r="2611" spans="7:13" x14ac:dyDescent="0.35">
      <c r="G2611" s="88"/>
      <c r="H2611" s="89"/>
      <c r="L2611" s="88"/>
      <c r="M2611" s="89"/>
    </row>
    <row r="2612" spans="7:13" x14ac:dyDescent="0.35">
      <c r="G2612" s="88"/>
      <c r="H2612" s="89"/>
      <c r="L2612" s="88"/>
      <c r="M2612" s="89"/>
    </row>
    <row r="2613" spans="7:13" x14ac:dyDescent="0.35">
      <c r="G2613" s="88"/>
      <c r="H2613" s="89"/>
      <c r="L2613" s="88"/>
      <c r="M2613" s="89"/>
    </row>
    <row r="2614" spans="7:13" x14ac:dyDescent="0.35">
      <c r="G2614" s="88"/>
      <c r="H2614" s="89"/>
      <c r="L2614" s="88"/>
      <c r="M2614" s="89"/>
    </row>
    <row r="2615" spans="7:13" x14ac:dyDescent="0.35">
      <c r="G2615" s="88"/>
      <c r="H2615" s="89"/>
      <c r="L2615" s="88"/>
      <c r="M2615" s="89"/>
    </row>
    <row r="2616" spans="7:13" x14ac:dyDescent="0.35">
      <c r="G2616" s="88"/>
      <c r="H2616" s="89"/>
      <c r="L2616" s="88"/>
      <c r="M2616" s="89"/>
    </row>
    <row r="2617" spans="7:13" x14ac:dyDescent="0.35">
      <c r="G2617" s="88"/>
      <c r="H2617" s="89"/>
      <c r="L2617" s="88"/>
      <c r="M2617" s="89"/>
    </row>
    <row r="2618" spans="7:13" x14ac:dyDescent="0.35">
      <c r="G2618" s="88"/>
      <c r="H2618" s="89"/>
      <c r="L2618" s="88"/>
      <c r="M2618" s="89"/>
    </row>
    <row r="2619" spans="7:13" x14ac:dyDescent="0.35">
      <c r="G2619" s="88"/>
      <c r="H2619" s="89"/>
      <c r="L2619" s="88"/>
      <c r="M2619" s="89"/>
    </row>
    <row r="2620" spans="7:13" x14ac:dyDescent="0.35">
      <c r="G2620" s="88"/>
      <c r="H2620" s="89"/>
      <c r="L2620" s="88"/>
      <c r="M2620" s="89"/>
    </row>
    <row r="2621" spans="7:13" x14ac:dyDescent="0.35">
      <c r="G2621" s="88"/>
      <c r="H2621" s="89"/>
      <c r="L2621" s="88"/>
      <c r="M2621" s="89"/>
    </row>
    <row r="2622" spans="7:13" x14ac:dyDescent="0.35">
      <c r="G2622" s="88"/>
      <c r="H2622" s="89"/>
      <c r="L2622" s="88"/>
      <c r="M2622" s="89"/>
    </row>
    <row r="2623" spans="7:13" x14ac:dyDescent="0.35">
      <c r="G2623" s="88"/>
      <c r="H2623" s="89"/>
      <c r="L2623" s="88"/>
      <c r="M2623" s="89"/>
    </row>
    <row r="2624" spans="7:13" x14ac:dyDescent="0.35">
      <c r="G2624" s="88"/>
      <c r="H2624" s="89"/>
      <c r="L2624" s="88"/>
      <c r="M2624" s="89"/>
    </row>
    <row r="2625" spans="7:13" x14ac:dyDescent="0.35">
      <c r="G2625" s="88"/>
      <c r="H2625" s="89"/>
      <c r="L2625" s="88"/>
      <c r="M2625" s="89"/>
    </row>
    <row r="2626" spans="7:13" x14ac:dyDescent="0.35">
      <c r="G2626" s="88"/>
      <c r="H2626" s="89"/>
      <c r="L2626" s="88"/>
      <c r="M2626" s="89"/>
    </row>
    <row r="2627" spans="7:13" x14ac:dyDescent="0.35">
      <c r="G2627" s="88"/>
      <c r="H2627" s="89"/>
      <c r="L2627" s="88"/>
      <c r="M2627" s="89"/>
    </row>
    <row r="2628" spans="7:13" x14ac:dyDescent="0.35">
      <c r="G2628" s="88"/>
      <c r="H2628" s="89"/>
      <c r="L2628" s="88"/>
      <c r="M2628" s="89"/>
    </row>
    <row r="2629" spans="7:13" x14ac:dyDescent="0.35">
      <c r="G2629" s="88"/>
      <c r="H2629" s="89"/>
      <c r="L2629" s="88"/>
      <c r="M2629" s="89"/>
    </row>
    <row r="2630" spans="7:13" x14ac:dyDescent="0.35">
      <c r="G2630" s="88"/>
      <c r="H2630" s="89"/>
      <c r="L2630" s="88"/>
      <c r="M2630" s="89"/>
    </row>
    <row r="2631" spans="7:13" x14ac:dyDescent="0.35">
      <c r="G2631" s="88"/>
      <c r="H2631" s="89"/>
      <c r="L2631" s="88"/>
      <c r="M2631" s="89"/>
    </row>
    <row r="2632" spans="7:13" x14ac:dyDescent="0.35">
      <c r="G2632" s="88"/>
      <c r="H2632" s="89"/>
      <c r="L2632" s="88"/>
      <c r="M2632" s="89"/>
    </row>
    <row r="2633" spans="7:13" x14ac:dyDescent="0.35">
      <c r="G2633" s="88"/>
      <c r="H2633" s="89"/>
      <c r="L2633" s="88"/>
      <c r="M2633" s="89"/>
    </row>
    <row r="2634" spans="7:13" x14ac:dyDescent="0.35">
      <c r="G2634" s="88"/>
      <c r="H2634" s="89"/>
      <c r="L2634" s="88"/>
      <c r="M2634" s="89"/>
    </row>
    <row r="2635" spans="7:13" x14ac:dyDescent="0.35">
      <c r="G2635" s="88"/>
      <c r="H2635" s="89"/>
      <c r="L2635" s="88"/>
      <c r="M2635" s="89"/>
    </row>
    <row r="2636" spans="7:13" x14ac:dyDescent="0.35">
      <c r="G2636" s="88"/>
      <c r="H2636" s="89"/>
      <c r="L2636" s="88"/>
      <c r="M2636" s="89"/>
    </row>
    <row r="2637" spans="7:13" x14ac:dyDescent="0.35">
      <c r="G2637" s="88"/>
      <c r="H2637" s="89"/>
      <c r="L2637" s="88"/>
      <c r="M2637" s="89"/>
    </row>
    <row r="2638" spans="7:13" x14ac:dyDescent="0.35">
      <c r="G2638" s="88"/>
      <c r="H2638" s="89"/>
      <c r="L2638" s="88"/>
      <c r="M2638" s="89"/>
    </row>
    <row r="2639" spans="7:13" x14ac:dyDescent="0.35">
      <c r="G2639" s="88"/>
      <c r="H2639" s="89"/>
      <c r="L2639" s="88"/>
      <c r="M2639" s="89"/>
    </row>
    <row r="2640" spans="7:13" x14ac:dyDescent="0.35">
      <c r="G2640" s="88"/>
      <c r="H2640" s="89"/>
      <c r="L2640" s="88"/>
      <c r="M2640" s="89"/>
    </row>
    <row r="2641" spans="7:13" x14ac:dyDescent="0.35">
      <c r="G2641" s="88"/>
      <c r="H2641" s="89"/>
      <c r="L2641" s="88"/>
      <c r="M2641" s="89"/>
    </row>
    <row r="2642" spans="7:13" x14ac:dyDescent="0.35">
      <c r="G2642" s="88"/>
      <c r="H2642" s="89"/>
      <c r="L2642" s="88"/>
      <c r="M2642" s="89"/>
    </row>
    <row r="2643" spans="7:13" x14ac:dyDescent="0.35">
      <c r="G2643" s="88"/>
      <c r="H2643" s="89"/>
      <c r="L2643" s="88"/>
      <c r="M2643" s="89"/>
    </row>
    <row r="2644" spans="7:13" x14ac:dyDescent="0.35">
      <c r="G2644" s="88"/>
      <c r="H2644" s="89"/>
      <c r="L2644" s="88"/>
      <c r="M2644" s="89"/>
    </row>
    <row r="2645" spans="7:13" x14ac:dyDescent="0.35">
      <c r="G2645" s="88"/>
      <c r="H2645" s="89"/>
      <c r="L2645" s="88"/>
      <c r="M2645" s="89"/>
    </row>
    <row r="2646" spans="7:13" x14ac:dyDescent="0.35">
      <c r="G2646" s="88"/>
      <c r="H2646" s="89"/>
      <c r="L2646" s="88"/>
      <c r="M2646" s="89"/>
    </row>
    <row r="2647" spans="7:13" x14ac:dyDescent="0.35">
      <c r="G2647" s="88"/>
      <c r="H2647" s="89"/>
      <c r="L2647" s="88"/>
      <c r="M2647" s="89"/>
    </row>
    <row r="2648" spans="7:13" x14ac:dyDescent="0.35">
      <c r="G2648" s="88"/>
      <c r="H2648" s="89"/>
      <c r="L2648" s="88"/>
      <c r="M2648" s="89"/>
    </row>
    <row r="2649" spans="7:13" x14ac:dyDescent="0.35">
      <c r="G2649" s="88"/>
      <c r="H2649" s="89"/>
      <c r="L2649" s="88"/>
      <c r="M2649" s="89"/>
    </row>
    <row r="2650" spans="7:13" x14ac:dyDescent="0.35">
      <c r="G2650" s="88"/>
      <c r="H2650" s="89"/>
      <c r="L2650" s="88"/>
      <c r="M2650" s="89"/>
    </row>
    <row r="2651" spans="7:13" x14ac:dyDescent="0.35">
      <c r="G2651" s="88"/>
      <c r="H2651" s="89"/>
      <c r="L2651" s="88"/>
      <c r="M2651" s="89"/>
    </row>
    <row r="2652" spans="7:13" x14ac:dyDescent="0.35">
      <c r="G2652" s="88"/>
      <c r="H2652" s="89"/>
      <c r="L2652" s="88"/>
      <c r="M2652" s="89"/>
    </row>
    <row r="2653" spans="7:13" x14ac:dyDescent="0.35">
      <c r="G2653" s="88"/>
      <c r="H2653" s="89"/>
      <c r="L2653" s="88"/>
      <c r="M2653" s="89"/>
    </row>
    <row r="2654" spans="7:13" x14ac:dyDescent="0.35">
      <c r="G2654" s="88"/>
      <c r="H2654" s="89"/>
      <c r="L2654" s="88"/>
      <c r="M2654" s="89"/>
    </row>
    <row r="2655" spans="7:13" x14ac:dyDescent="0.35">
      <c r="G2655" s="88"/>
      <c r="H2655" s="89"/>
      <c r="L2655" s="88"/>
      <c r="M2655" s="89"/>
    </row>
    <row r="2656" spans="7:13" x14ac:dyDescent="0.35">
      <c r="G2656" s="88"/>
      <c r="H2656" s="89"/>
      <c r="L2656" s="88"/>
      <c r="M2656" s="89"/>
    </row>
    <row r="2657" spans="7:13" x14ac:dyDescent="0.35">
      <c r="G2657" s="88"/>
      <c r="H2657" s="89"/>
      <c r="L2657" s="88"/>
      <c r="M2657" s="89"/>
    </row>
    <row r="2658" spans="7:13" x14ac:dyDescent="0.35">
      <c r="G2658" s="88"/>
      <c r="H2658" s="89"/>
      <c r="L2658" s="88"/>
      <c r="M2658" s="89"/>
    </row>
    <row r="2659" spans="7:13" x14ac:dyDescent="0.35">
      <c r="G2659" s="88"/>
      <c r="H2659" s="89"/>
      <c r="L2659" s="88"/>
      <c r="M2659" s="89"/>
    </row>
    <row r="2660" spans="7:13" x14ac:dyDescent="0.35">
      <c r="G2660" s="88"/>
      <c r="H2660" s="89"/>
      <c r="L2660" s="88"/>
      <c r="M2660" s="89"/>
    </row>
    <row r="2661" spans="7:13" x14ac:dyDescent="0.35">
      <c r="G2661" s="88"/>
      <c r="H2661" s="89"/>
      <c r="L2661" s="88"/>
      <c r="M2661" s="89"/>
    </row>
    <row r="2662" spans="7:13" x14ac:dyDescent="0.35">
      <c r="G2662" s="88"/>
      <c r="H2662" s="89"/>
      <c r="L2662" s="88"/>
      <c r="M2662" s="89"/>
    </row>
    <row r="2663" spans="7:13" x14ac:dyDescent="0.35">
      <c r="G2663" s="88"/>
      <c r="H2663" s="89"/>
      <c r="L2663" s="88"/>
      <c r="M2663" s="89"/>
    </row>
    <row r="2664" spans="7:13" x14ac:dyDescent="0.35">
      <c r="G2664" s="88"/>
      <c r="H2664" s="89"/>
      <c r="L2664" s="88"/>
      <c r="M2664" s="89"/>
    </row>
    <row r="2665" spans="7:13" x14ac:dyDescent="0.35">
      <c r="G2665" s="88"/>
      <c r="H2665" s="89"/>
      <c r="L2665" s="88"/>
      <c r="M2665" s="89"/>
    </row>
    <row r="2666" spans="7:13" x14ac:dyDescent="0.35">
      <c r="G2666" s="88"/>
      <c r="H2666" s="89"/>
      <c r="L2666" s="88"/>
      <c r="M2666" s="89"/>
    </row>
    <row r="2667" spans="7:13" x14ac:dyDescent="0.35">
      <c r="G2667" s="88"/>
      <c r="H2667" s="89"/>
      <c r="L2667" s="88"/>
      <c r="M2667" s="89"/>
    </row>
    <row r="2668" spans="7:13" x14ac:dyDescent="0.35">
      <c r="G2668" s="88"/>
      <c r="H2668" s="89"/>
      <c r="L2668" s="88"/>
      <c r="M2668" s="89"/>
    </row>
    <row r="2669" spans="7:13" x14ac:dyDescent="0.35">
      <c r="G2669" s="88"/>
      <c r="H2669" s="89"/>
      <c r="L2669" s="88"/>
      <c r="M2669" s="89"/>
    </row>
    <row r="2670" spans="7:13" x14ac:dyDescent="0.35">
      <c r="G2670" s="88"/>
      <c r="H2670" s="89"/>
      <c r="L2670" s="88"/>
      <c r="M2670" s="89"/>
    </row>
    <row r="2671" spans="7:13" x14ac:dyDescent="0.35">
      <c r="G2671" s="88"/>
      <c r="H2671" s="89"/>
      <c r="L2671" s="88"/>
      <c r="M2671" s="89"/>
    </row>
    <row r="2672" spans="7:13" x14ac:dyDescent="0.35">
      <c r="G2672" s="88"/>
      <c r="H2672" s="89"/>
      <c r="L2672" s="88"/>
      <c r="M2672" s="89"/>
    </row>
    <row r="2673" spans="7:13" x14ac:dyDescent="0.35">
      <c r="G2673" s="88"/>
      <c r="H2673" s="89"/>
      <c r="L2673" s="88"/>
      <c r="M2673" s="89"/>
    </row>
    <row r="2674" spans="7:13" x14ac:dyDescent="0.35">
      <c r="G2674" s="88"/>
      <c r="H2674" s="89"/>
      <c r="L2674" s="88"/>
      <c r="M2674" s="89"/>
    </row>
    <row r="2675" spans="7:13" x14ac:dyDescent="0.35">
      <c r="G2675" s="88"/>
      <c r="H2675" s="89"/>
      <c r="L2675" s="88"/>
      <c r="M2675" s="89"/>
    </row>
    <row r="2676" spans="7:13" x14ac:dyDescent="0.35">
      <c r="G2676" s="88"/>
      <c r="H2676" s="89"/>
      <c r="L2676" s="88"/>
      <c r="M2676" s="89"/>
    </row>
    <row r="2677" spans="7:13" x14ac:dyDescent="0.35">
      <c r="G2677" s="88"/>
      <c r="H2677" s="89"/>
      <c r="L2677" s="88"/>
      <c r="M2677" s="89"/>
    </row>
    <row r="2678" spans="7:13" x14ac:dyDescent="0.35">
      <c r="G2678" s="88"/>
      <c r="H2678" s="89"/>
      <c r="L2678" s="88"/>
      <c r="M2678" s="89"/>
    </row>
    <row r="2679" spans="7:13" x14ac:dyDescent="0.35">
      <c r="G2679" s="88"/>
      <c r="H2679" s="89"/>
      <c r="L2679" s="88"/>
      <c r="M2679" s="89"/>
    </row>
    <row r="2680" spans="7:13" x14ac:dyDescent="0.35">
      <c r="G2680" s="88"/>
      <c r="H2680" s="89"/>
      <c r="L2680" s="88"/>
      <c r="M2680" s="89"/>
    </row>
    <row r="2681" spans="7:13" x14ac:dyDescent="0.35">
      <c r="G2681" s="88"/>
      <c r="H2681" s="89"/>
      <c r="L2681" s="88"/>
      <c r="M2681" s="89"/>
    </row>
    <row r="2682" spans="7:13" x14ac:dyDescent="0.35">
      <c r="G2682" s="88"/>
      <c r="H2682" s="89"/>
      <c r="L2682" s="88"/>
      <c r="M2682" s="89"/>
    </row>
    <row r="2683" spans="7:13" x14ac:dyDescent="0.35">
      <c r="G2683" s="88"/>
      <c r="H2683" s="89"/>
      <c r="L2683" s="88"/>
      <c r="M2683" s="89"/>
    </row>
    <row r="2684" spans="7:13" x14ac:dyDescent="0.35">
      <c r="G2684" s="88"/>
      <c r="H2684" s="89"/>
      <c r="L2684" s="88"/>
      <c r="M2684" s="89"/>
    </row>
    <row r="2685" spans="7:13" x14ac:dyDescent="0.35">
      <c r="G2685" s="88"/>
      <c r="H2685" s="89"/>
      <c r="L2685" s="88"/>
      <c r="M2685" s="89"/>
    </row>
    <row r="2686" spans="7:13" x14ac:dyDescent="0.35">
      <c r="G2686" s="88"/>
      <c r="H2686" s="89"/>
      <c r="L2686" s="88"/>
      <c r="M2686" s="89"/>
    </row>
    <row r="2687" spans="7:13" x14ac:dyDescent="0.35">
      <c r="G2687" s="88"/>
      <c r="H2687" s="89"/>
      <c r="L2687" s="88"/>
      <c r="M2687" s="89"/>
    </row>
    <row r="2688" spans="7:13" x14ac:dyDescent="0.35">
      <c r="G2688" s="88"/>
      <c r="H2688" s="89"/>
      <c r="L2688" s="88"/>
      <c r="M2688" s="89"/>
    </row>
    <row r="2689" spans="7:13" x14ac:dyDescent="0.35">
      <c r="G2689" s="88"/>
      <c r="H2689" s="89"/>
      <c r="L2689" s="88"/>
      <c r="M2689" s="89"/>
    </row>
    <row r="2690" spans="7:13" x14ac:dyDescent="0.35">
      <c r="G2690" s="88"/>
      <c r="H2690" s="89"/>
      <c r="L2690" s="88"/>
      <c r="M2690" s="89"/>
    </row>
    <row r="2691" spans="7:13" x14ac:dyDescent="0.35">
      <c r="G2691" s="88"/>
      <c r="H2691" s="89"/>
      <c r="L2691" s="88"/>
      <c r="M2691" s="89"/>
    </row>
    <row r="2692" spans="7:13" x14ac:dyDescent="0.35">
      <c r="G2692" s="88"/>
      <c r="H2692" s="89"/>
      <c r="L2692" s="88"/>
      <c r="M2692" s="89"/>
    </row>
    <row r="2693" spans="7:13" x14ac:dyDescent="0.35">
      <c r="G2693" s="88"/>
      <c r="H2693" s="89"/>
      <c r="L2693" s="88"/>
      <c r="M2693" s="89"/>
    </row>
    <row r="2694" spans="7:13" x14ac:dyDescent="0.35">
      <c r="G2694" s="88"/>
      <c r="H2694" s="89"/>
      <c r="L2694" s="88"/>
      <c r="M2694" s="89"/>
    </row>
    <row r="2695" spans="7:13" x14ac:dyDescent="0.35">
      <c r="G2695" s="88"/>
      <c r="H2695" s="89"/>
      <c r="L2695" s="88"/>
      <c r="M2695" s="89"/>
    </row>
    <row r="2696" spans="7:13" x14ac:dyDescent="0.35">
      <c r="G2696" s="88"/>
      <c r="H2696" s="89"/>
      <c r="L2696" s="88"/>
      <c r="M2696" s="89"/>
    </row>
    <row r="2697" spans="7:13" x14ac:dyDescent="0.35">
      <c r="G2697" s="88"/>
      <c r="H2697" s="89"/>
      <c r="L2697" s="88"/>
      <c r="M2697" s="89"/>
    </row>
    <row r="2698" spans="7:13" x14ac:dyDescent="0.35">
      <c r="G2698" s="88"/>
      <c r="H2698" s="89"/>
      <c r="L2698" s="88"/>
      <c r="M2698" s="89"/>
    </row>
    <row r="2699" spans="7:13" x14ac:dyDescent="0.35">
      <c r="G2699" s="88"/>
      <c r="H2699" s="89"/>
      <c r="L2699" s="88"/>
      <c r="M2699" s="89"/>
    </row>
    <row r="2700" spans="7:13" x14ac:dyDescent="0.35">
      <c r="G2700" s="88"/>
      <c r="H2700" s="89"/>
      <c r="L2700" s="88"/>
      <c r="M2700" s="89"/>
    </row>
    <row r="2701" spans="7:13" x14ac:dyDescent="0.35">
      <c r="G2701" s="88"/>
      <c r="H2701" s="89"/>
      <c r="L2701" s="88"/>
      <c r="M2701" s="89"/>
    </row>
    <row r="2702" spans="7:13" x14ac:dyDescent="0.35">
      <c r="G2702" s="88"/>
      <c r="H2702" s="89"/>
      <c r="L2702" s="88"/>
      <c r="M2702" s="89"/>
    </row>
    <row r="2703" spans="7:13" x14ac:dyDescent="0.35">
      <c r="G2703" s="88"/>
      <c r="H2703" s="89"/>
      <c r="L2703" s="88"/>
      <c r="M2703" s="89"/>
    </row>
    <row r="2704" spans="7:13" x14ac:dyDescent="0.35">
      <c r="G2704" s="88"/>
      <c r="H2704" s="89"/>
      <c r="L2704" s="88"/>
      <c r="M2704" s="89"/>
    </row>
    <row r="2705" spans="7:13" x14ac:dyDescent="0.35">
      <c r="G2705" s="88"/>
      <c r="H2705" s="89"/>
      <c r="L2705" s="88"/>
      <c r="M2705" s="89"/>
    </row>
    <row r="2706" spans="7:13" x14ac:dyDescent="0.35">
      <c r="G2706" s="88"/>
      <c r="H2706" s="89"/>
      <c r="L2706" s="88"/>
      <c r="M2706" s="89"/>
    </row>
    <row r="2707" spans="7:13" x14ac:dyDescent="0.35">
      <c r="G2707" s="88"/>
      <c r="H2707" s="89"/>
      <c r="L2707" s="88"/>
      <c r="M2707" s="89"/>
    </row>
    <row r="2708" spans="7:13" x14ac:dyDescent="0.35">
      <c r="G2708" s="88"/>
      <c r="H2708" s="89"/>
      <c r="L2708" s="88"/>
      <c r="M2708" s="89"/>
    </row>
    <row r="2709" spans="7:13" x14ac:dyDescent="0.35">
      <c r="G2709" s="88"/>
      <c r="H2709" s="89"/>
      <c r="L2709" s="88"/>
      <c r="M2709" s="89"/>
    </row>
    <row r="2710" spans="7:13" x14ac:dyDescent="0.35">
      <c r="G2710" s="88"/>
      <c r="H2710" s="89"/>
      <c r="L2710" s="88"/>
      <c r="M2710" s="89"/>
    </row>
    <row r="2711" spans="7:13" x14ac:dyDescent="0.35">
      <c r="G2711" s="88"/>
      <c r="H2711" s="89"/>
      <c r="L2711" s="88"/>
      <c r="M2711" s="89"/>
    </row>
    <row r="2712" spans="7:13" x14ac:dyDescent="0.35">
      <c r="G2712" s="88"/>
      <c r="H2712" s="89"/>
      <c r="L2712" s="88"/>
      <c r="M2712" s="89"/>
    </row>
    <row r="2713" spans="7:13" x14ac:dyDescent="0.35">
      <c r="G2713" s="88"/>
      <c r="H2713" s="89"/>
      <c r="L2713" s="88"/>
      <c r="M2713" s="89"/>
    </row>
    <row r="2714" spans="7:13" x14ac:dyDescent="0.35">
      <c r="G2714" s="88"/>
      <c r="H2714" s="89"/>
      <c r="L2714" s="88"/>
      <c r="M2714" s="89"/>
    </row>
    <row r="2715" spans="7:13" x14ac:dyDescent="0.35">
      <c r="G2715" s="88"/>
      <c r="H2715" s="89"/>
      <c r="L2715" s="88"/>
      <c r="M2715" s="89"/>
    </row>
    <row r="2716" spans="7:13" x14ac:dyDescent="0.35">
      <c r="G2716" s="88"/>
      <c r="H2716" s="89"/>
      <c r="L2716" s="88"/>
      <c r="M2716" s="89"/>
    </row>
    <row r="2717" spans="7:13" x14ac:dyDescent="0.35">
      <c r="G2717" s="88"/>
      <c r="H2717" s="89"/>
      <c r="L2717" s="88"/>
      <c r="M2717" s="89"/>
    </row>
    <row r="2718" spans="7:13" x14ac:dyDescent="0.35">
      <c r="G2718" s="88"/>
      <c r="H2718" s="89"/>
      <c r="L2718" s="88"/>
      <c r="M2718" s="89"/>
    </row>
    <row r="2719" spans="7:13" x14ac:dyDescent="0.35">
      <c r="G2719" s="88"/>
      <c r="H2719" s="89"/>
      <c r="L2719" s="88"/>
      <c r="M2719" s="89"/>
    </row>
    <row r="2720" spans="7:13" x14ac:dyDescent="0.35">
      <c r="G2720" s="88"/>
      <c r="H2720" s="89"/>
      <c r="L2720" s="88"/>
      <c r="M2720" s="89"/>
    </row>
    <row r="2721" spans="7:13" x14ac:dyDescent="0.35">
      <c r="G2721" s="88"/>
      <c r="H2721" s="89"/>
      <c r="L2721" s="88"/>
      <c r="M2721" s="89"/>
    </row>
    <row r="2722" spans="7:13" x14ac:dyDescent="0.35">
      <c r="G2722" s="88"/>
      <c r="H2722" s="89"/>
      <c r="L2722" s="88"/>
      <c r="M2722" s="89"/>
    </row>
    <row r="2723" spans="7:13" x14ac:dyDescent="0.35">
      <c r="G2723" s="88"/>
      <c r="H2723" s="89"/>
      <c r="L2723" s="88"/>
      <c r="M2723" s="89"/>
    </row>
    <row r="2724" spans="7:13" x14ac:dyDescent="0.35">
      <c r="G2724" s="88"/>
      <c r="H2724" s="89"/>
      <c r="L2724" s="88"/>
      <c r="M2724" s="89"/>
    </row>
    <row r="2725" spans="7:13" x14ac:dyDescent="0.35">
      <c r="G2725" s="88"/>
      <c r="H2725" s="89"/>
      <c r="L2725" s="88"/>
      <c r="M2725" s="89"/>
    </row>
    <row r="2726" spans="7:13" x14ac:dyDescent="0.35">
      <c r="G2726" s="88"/>
      <c r="H2726" s="89"/>
      <c r="L2726" s="88"/>
      <c r="M2726" s="89"/>
    </row>
    <row r="2727" spans="7:13" x14ac:dyDescent="0.35">
      <c r="G2727" s="88"/>
      <c r="H2727" s="89"/>
      <c r="L2727" s="88"/>
      <c r="M2727" s="89"/>
    </row>
    <row r="2728" spans="7:13" x14ac:dyDescent="0.35">
      <c r="G2728" s="88"/>
      <c r="H2728" s="89"/>
      <c r="L2728" s="88"/>
      <c r="M2728" s="89"/>
    </row>
    <row r="2729" spans="7:13" x14ac:dyDescent="0.35">
      <c r="G2729" s="88"/>
      <c r="H2729" s="89"/>
      <c r="L2729" s="88"/>
      <c r="M2729" s="89"/>
    </row>
    <row r="2730" spans="7:13" x14ac:dyDescent="0.35">
      <c r="G2730" s="88"/>
      <c r="H2730" s="89"/>
      <c r="L2730" s="88"/>
      <c r="M2730" s="89"/>
    </row>
    <row r="2731" spans="7:13" x14ac:dyDescent="0.35">
      <c r="G2731" s="88"/>
      <c r="H2731" s="89"/>
      <c r="L2731" s="88"/>
      <c r="M2731" s="89"/>
    </row>
    <row r="2732" spans="7:13" x14ac:dyDescent="0.35">
      <c r="G2732" s="88"/>
      <c r="H2732" s="89"/>
      <c r="L2732" s="88"/>
      <c r="M2732" s="89"/>
    </row>
    <row r="2733" spans="7:13" x14ac:dyDescent="0.35">
      <c r="G2733" s="88"/>
      <c r="H2733" s="89"/>
      <c r="L2733" s="88"/>
      <c r="M2733" s="89"/>
    </row>
    <row r="2734" spans="7:13" x14ac:dyDescent="0.35">
      <c r="G2734" s="88"/>
      <c r="H2734" s="89"/>
      <c r="L2734" s="88"/>
      <c r="M2734" s="89"/>
    </row>
    <row r="2735" spans="7:13" x14ac:dyDescent="0.35">
      <c r="G2735" s="88"/>
      <c r="H2735" s="89"/>
      <c r="L2735" s="88"/>
      <c r="M2735" s="89"/>
    </row>
    <row r="2736" spans="7:13" x14ac:dyDescent="0.35">
      <c r="G2736" s="88"/>
      <c r="H2736" s="89"/>
      <c r="L2736" s="88"/>
      <c r="M2736" s="89"/>
    </row>
    <row r="2737" spans="7:13" x14ac:dyDescent="0.35">
      <c r="G2737" s="88"/>
      <c r="H2737" s="89"/>
      <c r="L2737" s="88"/>
      <c r="M2737" s="89"/>
    </row>
    <row r="2738" spans="7:13" x14ac:dyDescent="0.35">
      <c r="G2738" s="88"/>
      <c r="H2738" s="89"/>
      <c r="L2738" s="88"/>
      <c r="M2738" s="89"/>
    </row>
    <row r="2739" spans="7:13" x14ac:dyDescent="0.35">
      <c r="G2739" s="88"/>
      <c r="H2739" s="89"/>
      <c r="L2739" s="88"/>
      <c r="M2739" s="89"/>
    </row>
    <row r="2740" spans="7:13" x14ac:dyDescent="0.35">
      <c r="G2740" s="88"/>
      <c r="H2740" s="89"/>
      <c r="L2740" s="88"/>
      <c r="M2740" s="89"/>
    </row>
    <row r="2741" spans="7:13" x14ac:dyDescent="0.35">
      <c r="G2741" s="88"/>
      <c r="H2741" s="89"/>
      <c r="L2741" s="88"/>
      <c r="M2741" s="89"/>
    </row>
    <row r="2742" spans="7:13" x14ac:dyDescent="0.35">
      <c r="G2742" s="88"/>
      <c r="H2742" s="89"/>
      <c r="L2742" s="88"/>
      <c r="M2742" s="89"/>
    </row>
    <row r="2743" spans="7:13" x14ac:dyDescent="0.35">
      <c r="G2743" s="88"/>
      <c r="H2743" s="89"/>
      <c r="L2743" s="88"/>
      <c r="M2743" s="89"/>
    </row>
    <row r="2744" spans="7:13" x14ac:dyDescent="0.35">
      <c r="G2744" s="88"/>
      <c r="H2744" s="89"/>
      <c r="L2744" s="88"/>
      <c r="M2744" s="89"/>
    </row>
    <row r="2745" spans="7:13" x14ac:dyDescent="0.35">
      <c r="G2745" s="88"/>
      <c r="H2745" s="89"/>
      <c r="L2745" s="88"/>
      <c r="M2745" s="89"/>
    </row>
    <row r="2746" spans="7:13" x14ac:dyDescent="0.35">
      <c r="G2746" s="88"/>
      <c r="H2746" s="89"/>
      <c r="L2746" s="88"/>
      <c r="M2746" s="89"/>
    </row>
    <row r="2747" spans="7:13" x14ac:dyDescent="0.35">
      <c r="G2747" s="88"/>
      <c r="H2747" s="89"/>
      <c r="L2747" s="88"/>
      <c r="M2747" s="89"/>
    </row>
    <row r="2748" spans="7:13" x14ac:dyDescent="0.35">
      <c r="G2748" s="88"/>
      <c r="H2748" s="89"/>
      <c r="L2748" s="88"/>
      <c r="M2748" s="89"/>
    </row>
    <row r="2749" spans="7:13" x14ac:dyDescent="0.35">
      <c r="G2749" s="88"/>
      <c r="H2749" s="89"/>
      <c r="L2749" s="88"/>
      <c r="M2749" s="89"/>
    </row>
    <row r="2750" spans="7:13" x14ac:dyDescent="0.35">
      <c r="G2750" s="88"/>
      <c r="H2750" s="89"/>
      <c r="L2750" s="88"/>
      <c r="M2750" s="89"/>
    </row>
    <row r="2751" spans="7:13" x14ac:dyDescent="0.35">
      <c r="G2751" s="88"/>
      <c r="H2751" s="89"/>
      <c r="L2751" s="88"/>
      <c r="M2751" s="89"/>
    </row>
    <row r="2752" spans="7:13" x14ac:dyDescent="0.35">
      <c r="G2752" s="88"/>
      <c r="H2752" s="89"/>
      <c r="L2752" s="88"/>
      <c r="M2752" s="89"/>
    </row>
    <row r="2753" spans="7:13" x14ac:dyDescent="0.35">
      <c r="G2753" s="88"/>
      <c r="H2753" s="89"/>
      <c r="L2753" s="88"/>
      <c r="M2753" s="89"/>
    </row>
    <row r="2754" spans="7:13" x14ac:dyDescent="0.35">
      <c r="G2754" s="88"/>
      <c r="H2754" s="89"/>
      <c r="L2754" s="88"/>
      <c r="M2754" s="89"/>
    </row>
    <row r="2755" spans="7:13" x14ac:dyDescent="0.35">
      <c r="G2755" s="88"/>
      <c r="H2755" s="89"/>
      <c r="L2755" s="88"/>
      <c r="M2755" s="89"/>
    </row>
    <row r="2756" spans="7:13" x14ac:dyDescent="0.35">
      <c r="G2756" s="88"/>
      <c r="H2756" s="89"/>
      <c r="L2756" s="88"/>
      <c r="M2756" s="89"/>
    </row>
    <row r="2757" spans="7:13" x14ac:dyDescent="0.35">
      <c r="G2757" s="88"/>
      <c r="H2757" s="89"/>
      <c r="L2757" s="88"/>
      <c r="M2757" s="89"/>
    </row>
    <row r="2758" spans="7:13" x14ac:dyDescent="0.35">
      <c r="G2758" s="88"/>
      <c r="H2758" s="89"/>
      <c r="L2758" s="88"/>
      <c r="M2758" s="89"/>
    </row>
    <row r="2759" spans="7:13" x14ac:dyDescent="0.35">
      <c r="G2759" s="88"/>
      <c r="H2759" s="89"/>
      <c r="L2759" s="88"/>
      <c r="M2759" s="89"/>
    </row>
    <row r="2760" spans="7:13" x14ac:dyDescent="0.35">
      <c r="G2760" s="88"/>
      <c r="H2760" s="89"/>
      <c r="L2760" s="88"/>
      <c r="M2760" s="89"/>
    </row>
    <row r="2761" spans="7:13" x14ac:dyDescent="0.35">
      <c r="G2761" s="88"/>
      <c r="H2761" s="89"/>
      <c r="L2761" s="88"/>
      <c r="M2761" s="89"/>
    </row>
    <row r="2762" spans="7:13" x14ac:dyDescent="0.35">
      <c r="G2762" s="88"/>
      <c r="H2762" s="89"/>
      <c r="L2762" s="88"/>
      <c r="M2762" s="89"/>
    </row>
    <row r="2763" spans="7:13" x14ac:dyDescent="0.35">
      <c r="G2763" s="88"/>
      <c r="H2763" s="89"/>
      <c r="L2763" s="88"/>
      <c r="M2763" s="89"/>
    </row>
    <row r="2764" spans="7:13" x14ac:dyDescent="0.35">
      <c r="G2764" s="88"/>
      <c r="H2764" s="89"/>
      <c r="L2764" s="88"/>
      <c r="M2764" s="89"/>
    </row>
    <row r="2765" spans="7:13" x14ac:dyDescent="0.35">
      <c r="G2765" s="88"/>
      <c r="H2765" s="89"/>
      <c r="L2765" s="88"/>
      <c r="M2765" s="89"/>
    </row>
    <row r="2766" spans="7:13" x14ac:dyDescent="0.35">
      <c r="G2766" s="88"/>
      <c r="H2766" s="89"/>
      <c r="L2766" s="88"/>
      <c r="M2766" s="89"/>
    </row>
    <row r="2767" spans="7:13" x14ac:dyDescent="0.35">
      <c r="G2767" s="88"/>
      <c r="H2767" s="89"/>
      <c r="L2767" s="88"/>
      <c r="M2767" s="89"/>
    </row>
    <row r="2768" spans="7:13" x14ac:dyDescent="0.35">
      <c r="G2768" s="88"/>
      <c r="H2768" s="89"/>
      <c r="L2768" s="88"/>
      <c r="M2768" s="89"/>
    </row>
    <row r="2769" spans="7:13" x14ac:dyDescent="0.35">
      <c r="G2769" s="88"/>
      <c r="H2769" s="89"/>
      <c r="L2769" s="88"/>
      <c r="M2769" s="89"/>
    </row>
    <row r="2770" spans="7:13" x14ac:dyDescent="0.35">
      <c r="G2770" s="88"/>
      <c r="H2770" s="89"/>
      <c r="L2770" s="88"/>
      <c r="M2770" s="89"/>
    </row>
    <row r="2771" spans="7:13" x14ac:dyDescent="0.35">
      <c r="G2771" s="88"/>
      <c r="H2771" s="89"/>
      <c r="L2771" s="88"/>
      <c r="M2771" s="89"/>
    </row>
    <row r="2772" spans="7:13" x14ac:dyDescent="0.35">
      <c r="G2772" s="88"/>
      <c r="H2772" s="89"/>
      <c r="L2772" s="88"/>
      <c r="M2772" s="89"/>
    </row>
    <row r="2773" spans="7:13" x14ac:dyDescent="0.35">
      <c r="G2773" s="88"/>
      <c r="H2773" s="89"/>
      <c r="L2773" s="88"/>
      <c r="M2773" s="89"/>
    </row>
    <row r="2774" spans="7:13" x14ac:dyDescent="0.35">
      <c r="G2774" s="88"/>
      <c r="H2774" s="89"/>
      <c r="L2774" s="88"/>
      <c r="M2774" s="89"/>
    </row>
    <row r="2775" spans="7:13" x14ac:dyDescent="0.35">
      <c r="G2775" s="88"/>
      <c r="H2775" s="89"/>
      <c r="L2775" s="88"/>
      <c r="M2775" s="89"/>
    </row>
    <row r="2776" spans="7:13" x14ac:dyDescent="0.35">
      <c r="G2776" s="88"/>
      <c r="H2776" s="89"/>
      <c r="L2776" s="88"/>
      <c r="M2776" s="89"/>
    </row>
    <row r="2777" spans="7:13" x14ac:dyDescent="0.35">
      <c r="G2777" s="88"/>
      <c r="H2777" s="89"/>
      <c r="L2777" s="88"/>
      <c r="M2777" s="89"/>
    </row>
    <row r="2778" spans="7:13" x14ac:dyDescent="0.35">
      <c r="G2778" s="88"/>
      <c r="H2778" s="89"/>
      <c r="L2778" s="88"/>
      <c r="M2778" s="89"/>
    </row>
    <row r="2779" spans="7:13" x14ac:dyDescent="0.35">
      <c r="G2779" s="88"/>
      <c r="H2779" s="89"/>
      <c r="L2779" s="88"/>
      <c r="M2779" s="89"/>
    </row>
    <row r="2780" spans="7:13" x14ac:dyDescent="0.35">
      <c r="G2780" s="88"/>
      <c r="H2780" s="89"/>
      <c r="L2780" s="88"/>
      <c r="M2780" s="89"/>
    </row>
    <row r="2781" spans="7:13" x14ac:dyDescent="0.35">
      <c r="G2781" s="88"/>
      <c r="H2781" s="89"/>
      <c r="L2781" s="88"/>
      <c r="M2781" s="89"/>
    </row>
    <row r="2782" spans="7:13" x14ac:dyDescent="0.35">
      <c r="G2782" s="88"/>
      <c r="H2782" s="89"/>
      <c r="L2782" s="88"/>
      <c r="M2782" s="89"/>
    </row>
    <row r="2783" spans="7:13" x14ac:dyDescent="0.35">
      <c r="G2783" s="88"/>
      <c r="H2783" s="89"/>
      <c r="L2783" s="88"/>
      <c r="M2783" s="89"/>
    </row>
    <row r="2784" spans="7:13" x14ac:dyDescent="0.35">
      <c r="G2784" s="88"/>
      <c r="H2784" s="89"/>
      <c r="L2784" s="88"/>
      <c r="M2784" s="89"/>
    </row>
    <row r="2785" spans="7:13" x14ac:dyDescent="0.35">
      <c r="G2785" s="88"/>
      <c r="H2785" s="89"/>
      <c r="L2785" s="88"/>
      <c r="M2785" s="89"/>
    </row>
    <row r="2786" spans="7:13" x14ac:dyDescent="0.35">
      <c r="G2786" s="88"/>
      <c r="H2786" s="89"/>
      <c r="L2786" s="88"/>
      <c r="M2786" s="89"/>
    </row>
    <row r="2787" spans="7:13" x14ac:dyDescent="0.35">
      <c r="G2787" s="88"/>
      <c r="H2787" s="89"/>
      <c r="L2787" s="88"/>
      <c r="M2787" s="89"/>
    </row>
    <row r="2788" spans="7:13" x14ac:dyDescent="0.35">
      <c r="G2788" s="88"/>
      <c r="H2788" s="89"/>
      <c r="L2788" s="88"/>
      <c r="M2788" s="89"/>
    </row>
    <row r="2789" spans="7:13" x14ac:dyDescent="0.35">
      <c r="G2789" s="88"/>
      <c r="H2789" s="89"/>
      <c r="L2789" s="88"/>
      <c r="M2789" s="89"/>
    </row>
    <row r="2790" spans="7:13" x14ac:dyDescent="0.35">
      <c r="G2790" s="88"/>
      <c r="H2790" s="89"/>
      <c r="L2790" s="88"/>
      <c r="M2790" s="89"/>
    </row>
    <row r="2791" spans="7:13" x14ac:dyDescent="0.35">
      <c r="G2791" s="88"/>
      <c r="H2791" s="89"/>
      <c r="L2791" s="88"/>
      <c r="M2791" s="89"/>
    </row>
    <row r="2792" spans="7:13" x14ac:dyDescent="0.35">
      <c r="G2792" s="88"/>
      <c r="H2792" s="89"/>
      <c r="L2792" s="88"/>
      <c r="M2792" s="89"/>
    </row>
    <row r="2793" spans="7:13" x14ac:dyDescent="0.35">
      <c r="G2793" s="88"/>
      <c r="H2793" s="89"/>
      <c r="L2793" s="88"/>
      <c r="M2793" s="89"/>
    </row>
    <row r="2794" spans="7:13" x14ac:dyDescent="0.35">
      <c r="G2794" s="88"/>
      <c r="H2794" s="89"/>
      <c r="L2794" s="88"/>
      <c r="M2794" s="89"/>
    </row>
    <row r="2795" spans="7:13" x14ac:dyDescent="0.35">
      <c r="G2795" s="88"/>
      <c r="H2795" s="89"/>
      <c r="L2795" s="88"/>
      <c r="M2795" s="89"/>
    </row>
    <row r="2796" spans="7:13" x14ac:dyDescent="0.35">
      <c r="G2796" s="88"/>
      <c r="H2796" s="89"/>
      <c r="L2796" s="88"/>
      <c r="M2796" s="89"/>
    </row>
    <row r="2797" spans="7:13" x14ac:dyDescent="0.35">
      <c r="G2797" s="88"/>
      <c r="H2797" s="89"/>
      <c r="L2797" s="88"/>
      <c r="M2797" s="89"/>
    </row>
    <row r="2798" spans="7:13" x14ac:dyDescent="0.35">
      <c r="G2798" s="88"/>
      <c r="H2798" s="89"/>
      <c r="L2798" s="88"/>
      <c r="M2798" s="89"/>
    </row>
    <row r="2799" spans="7:13" x14ac:dyDescent="0.35">
      <c r="G2799" s="88"/>
      <c r="H2799" s="89"/>
      <c r="L2799" s="88"/>
      <c r="M2799" s="89"/>
    </row>
    <row r="2800" spans="7:13" x14ac:dyDescent="0.35">
      <c r="G2800" s="88"/>
      <c r="H2800" s="89"/>
      <c r="L2800" s="88"/>
      <c r="M2800" s="89"/>
    </row>
    <row r="2801" spans="7:13" x14ac:dyDescent="0.35">
      <c r="G2801" s="88"/>
      <c r="H2801" s="89"/>
      <c r="L2801" s="88"/>
      <c r="M2801" s="89"/>
    </row>
    <row r="2802" spans="7:13" x14ac:dyDescent="0.35">
      <c r="G2802" s="88"/>
      <c r="H2802" s="89"/>
      <c r="L2802" s="88"/>
      <c r="M2802" s="89"/>
    </row>
    <row r="2803" spans="7:13" x14ac:dyDescent="0.35">
      <c r="G2803" s="88"/>
      <c r="H2803" s="89"/>
      <c r="L2803" s="88"/>
      <c r="M2803" s="89"/>
    </row>
    <row r="2804" spans="7:13" x14ac:dyDescent="0.35">
      <c r="G2804" s="88"/>
      <c r="H2804" s="89"/>
      <c r="L2804" s="88"/>
      <c r="M2804" s="89"/>
    </row>
    <row r="2805" spans="7:13" x14ac:dyDescent="0.35">
      <c r="G2805" s="88"/>
      <c r="H2805" s="89"/>
      <c r="L2805" s="88"/>
      <c r="M2805" s="89"/>
    </row>
    <row r="2806" spans="7:13" x14ac:dyDescent="0.35">
      <c r="G2806" s="88"/>
      <c r="H2806" s="89"/>
      <c r="L2806" s="88"/>
      <c r="M2806" s="89"/>
    </row>
    <row r="2807" spans="7:13" x14ac:dyDescent="0.35">
      <c r="G2807" s="88"/>
      <c r="H2807" s="89"/>
      <c r="L2807" s="88"/>
      <c r="M2807" s="89"/>
    </row>
    <row r="2808" spans="7:13" x14ac:dyDescent="0.35">
      <c r="G2808" s="88"/>
      <c r="H2808" s="89"/>
      <c r="L2808" s="88"/>
      <c r="M2808" s="89"/>
    </row>
    <row r="2809" spans="7:13" x14ac:dyDescent="0.35">
      <c r="G2809" s="88"/>
      <c r="H2809" s="89"/>
      <c r="L2809" s="88"/>
      <c r="M2809" s="89"/>
    </row>
    <row r="2810" spans="7:13" x14ac:dyDescent="0.35">
      <c r="G2810" s="88"/>
      <c r="H2810" s="89"/>
      <c r="L2810" s="88"/>
      <c r="M2810" s="89"/>
    </row>
    <row r="2811" spans="7:13" x14ac:dyDescent="0.35">
      <c r="G2811" s="88"/>
      <c r="H2811" s="89"/>
      <c r="L2811" s="88"/>
      <c r="M2811" s="89"/>
    </row>
    <row r="2812" spans="7:13" x14ac:dyDescent="0.35">
      <c r="G2812" s="88"/>
      <c r="H2812" s="89"/>
      <c r="L2812" s="88"/>
      <c r="M2812" s="89"/>
    </row>
    <row r="2813" spans="7:13" x14ac:dyDescent="0.35">
      <c r="G2813" s="88"/>
      <c r="H2813" s="89"/>
      <c r="L2813" s="88"/>
      <c r="M2813" s="89"/>
    </row>
    <row r="2814" spans="7:13" x14ac:dyDescent="0.35">
      <c r="G2814" s="88"/>
      <c r="H2814" s="89"/>
      <c r="L2814" s="88"/>
      <c r="M2814" s="89"/>
    </row>
    <row r="2815" spans="7:13" x14ac:dyDescent="0.35">
      <c r="G2815" s="88"/>
      <c r="H2815" s="89"/>
      <c r="L2815" s="88"/>
      <c r="M2815" s="89"/>
    </row>
    <row r="2816" spans="7:13" x14ac:dyDescent="0.35">
      <c r="G2816" s="88"/>
      <c r="H2816" s="89"/>
      <c r="L2816" s="88"/>
      <c r="M2816" s="89"/>
    </row>
    <row r="2817" spans="7:13" x14ac:dyDescent="0.35">
      <c r="G2817" s="88"/>
      <c r="H2817" s="89"/>
      <c r="L2817" s="88"/>
      <c r="M2817" s="89"/>
    </row>
    <row r="2818" spans="7:13" x14ac:dyDescent="0.35">
      <c r="G2818" s="88"/>
      <c r="H2818" s="89"/>
      <c r="L2818" s="88"/>
      <c r="M2818" s="89"/>
    </row>
    <row r="2819" spans="7:13" x14ac:dyDescent="0.35">
      <c r="G2819" s="88"/>
      <c r="H2819" s="89"/>
      <c r="L2819" s="88"/>
      <c r="M2819" s="89"/>
    </row>
    <row r="2820" spans="7:13" x14ac:dyDescent="0.35">
      <c r="G2820" s="88"/>
      <c r="H2820" s="89"/>
      <c r="L2820" s="88"/>
      <c r="M2820" s="89"/>
    </row>
    <row r="2821" spans="7:13" x14ac:dyDescent="0.35">
      <c r="G2821" s="88"/>
      <c r="H2821" s="89"/>
      <c r="L2821" s="88"/>
      <c r="M2821" s="89"/>
    </row>
    <row r="2822" spans="7:13" x14ac:dyDescent="0.35">
      <c r="G2822" s="88"/>
      <c r="H2822" s="89"/>
      <c r="L2822" s="88"/>
      <c r="M2822" s="89"/>
    </row>
    <row r="2823" spans="7:13" x14ac:dyDescent="0.35">
      <c r="G2823" s="88"/>
      <c r="H2823" s="89"/>
      <c r="L2823" s="88"/>
      <c r="M2823" s="89"/>
    </row>
    <row r="2824" spans="7:13" x14ac:dyDescent="0.35">
      <c r="G2824" s="88"/>
      <c r="H2824" s="89"/>
      <c r="L2824" s="88"/>
      <c r="M2824" s="89"/>
    </row>
    <row r="2825" spans="7:13" x14ac:dyDescent="0.35">
      <c r="G2825" s="88"/>
      <c r="H2825" s="89"/>
      <c r="L2825" s="88"/>
      <c r="M2825" s="89"/>
    </row>
    <row r="2826" spans="7:13" x14ac:dyDescent="0.35">
      <c r="G2826" s="88"/>
      <c r="H2826" s="89"/>
      <c r="L2826" s="88"/>
      <c r="M2826" s="89"/>
    </row>
    <row r="2827" spans="7:13" x14ac:dyDescent="0.35">
      <c r="G2827" s="88"/>
      <c r="H2827" s="89"/>
      <c r="L2827" s="88"/>
      <c r="M2827" s="89"/>
    </row>
    <row r="2828" spans="7:13" x14ac:dyDescent="0.35">
      <c r="G2828" s="88"/>
      <c r="H2828" s="89"/>
      <c r="L2828" s="88"/>
      <c r="M2828" s="89"/>
    </row>
    <row r="2829" spans="7:13" x14ac:dyDescent="0.35">
      <c r="G2829" s="88"/>
      <c r="H2829" s="89"/>
      <c r="L2829" s="88"/>
      <c r="M2829" s="89"/>
    </row>
    <row r="2830" spans="7:13" x14ac:dyDescent="0.35">
      <c r="G2830" s="88"/>
      <c r="H2830" s="89"/>
      <c r="L2830" s="88"/>
      <c r="M2830" s="89"/>
    </row>
    <row r="2831" spans="7:13" x14ac:dyDescent="0.35">
      <c r="G2831" s="88"/>
      <c r="H2831" s="89"/>
      <c r="L2831" s="88"/>
      <c r="M2831" s="89"/>
    </row>
    <row r="2832" spans="7:13" x14ac:dyDescent="0.35">
      <c r="G2832" s="88"/>
      <c r="H2832" s="89"/>
      <c r="L2832" s="88"/>
      <c r="M2832" s="89"/>
    </row>
    <row r="2833" spans="7:13" x14ac:dyDescent="0.35">
      <c r="G2833" s="88"/>
      <c r="H2833" s="89"/>
      <c r="L2833" s="88"/>
      <c r="M2833" s="89"/>
    </row>
    <row r="2834" spans="7:13" x14ac:dyDescent="0.35">
      <c r="G2834" s="88"/>
      <c r="H2834" s="89"/>
      <c r="L2834" s="88"/>
      <c r="M2834" s="89"/>
    </row>
    <row r="2835" spans="7:13" x14ac:dyDescent="0.35">
      <c r="G2835" s="88"/>
      <c r="H2835" s="89"/>
      <c r="L2835" s="88"/>
      <c r="M2835" s="89"/>
    </row>
    <row r="2836" spans="7:13" x14ac:dyDescent="0.35">
      <c r="G2836" s="88"/>
      <c r="H2836" s="89"/>
      <c r="L2836" s="88"/>
      <c r="M2836" s="89"/>
    </row>
    <row r="2837" spans="7:13" x14ac:dyDescent="0.35">
      <c r="G2837" s="88"/>
      <c r="H2837" s="89"/>
      <c r="L2837" s="88"/>
      <c r="M2837" s="89"/>
    </row>
    <row r="2838" spans="7:13" x14ac:dyDescent="0.35">
      <c r="G2838" s="88"/>
      <c r="H2838" s="89"/>
      <c r="L2838" s="88"/>
      <c r="M2838" s="89"/>
    </row>
    <row r="2839" spans="7:13" x14ac:dyDescent="0.35">
      <c r="G2839" s="88"/>
      <c r="H2839" s="89"/>
      <c r="L2839" s="88"/>
      <c r="M2839" s="89"/>
    </row>
    <row r="2840" spans="7:13" x14ac:dyDescent="0.35">
      <c r="G2840" s="88"/>
      <c r="H2840" s="89"/>
      <c r="L2840" s="88"/>
      <c r="M2840" s="89"/>
    </row>
    <row r="2841" spans="7:13" x14ac:dyDescent="0.35">
      <c r="G2841" s="88"/>
      <c r="H2841" s="89"/>
      <c r="L2841" s="88"/>
      <c r="M2841" s="89"/>
    </row>
    <row r="2842" spans="7:13" x14ac:dyDescent="0.35">
      <c r="G2842" s="88"/>
      <c r="H2842" s="89"/>
      <c r="L2842" s="88"/>
      <c r="M2842" s="89"/>
    </row>
    <row r="2843" spans="7:13" x14ac:dyDescent="0.35">
      <c r="G2843" s="88"/>
      <c r="H2843" s="89"/>
      <c r="L2843" s="88"/>
      <c r="M2843" s="89"/>
    </row>
    <row r="2844" spans="7:13" x14ac:dyDescent="0.35">
      <c r="G2844" s="88"/>
      <c r="H2844" s="89"/>
      <c r="L2844" s="88"/>
      <c r="M2844" s="89"/>
    </row>
    <row r="2845" spans="7:13" x14ac:dyDescent="0.35">
      <c r="G2845" s="88"/>
      <c r="H2845" s="89"/>
      <c r="L2845" s="88"/>
      <c r="M2845" s="89"/>
    </row>
    <row r="2846" spans="7:13" x14ac:dyDescent="0.35">
      <c r="G2846" s="88"/>
      <c r="H2846" s="89"/>
      <c r="L2846" s="88"/>
      <c r="M2846" s="89"/>
    </row>
    <row r="2847" spans="7:13" x14ac:dyDescent="0.35">
      <c r="G2847" s="88"/>
      <c r="H2847" s="89"/>
      <c r="L2847" s="88"/>
      <c r="M2847" s="89"/>
    </row>
    <row r="2848" spans="7:13" x14ac:dyDescent="0.35">
      <c r="G2848" s="88"/>
      <c r="H2848" s="89"/>
      <c r="L2848" s="88"/>
      <c r="M2848" s="89"/>
    </row>
    <row r="2849" spans="7:13" x14ac:dyDescent="0.35">
      <c r="G2849" s="88"/>
      <c r="H2849" s="89"/>
      <c r="L2849" s="88"/>
      <c r="M2849" s="89"/>
    </row>
    <row r="2850" spans="7:13" x14ac:dyDescent="0.35">
      <c r="G2850" s="88"/>
      <c r="H2850" s="89"/>
      <c r="L2850" s="88"/>
      <c r="M2850" s="89"/>
    </row>
    <row r="2851" spans="7:13" x14ac:dyDescent="0.35">
      <c r="G2851" s="88"/>
      <c r="H2851" s="89"/>
      <c r="L2851" s="88"/>
      <c r="M2851" s="89"/>
    </row>
    <row r="2852" spans="7:13" x14ac:dyDescent="0.35">
      <c r="G2852" s="88"/>
      <c r="H2852" s="89"/>
      <c r="L2852" s="88"/>
      <c r="M2852" s="89"/>
    </row>
    <row r="2853" spans="7:13" x14ac:dyDescent="0.35">
      <c r="G2853" s="88"/>
      <c r="H2853" s="89"/>
      <c r="L2853" s="88"/>
      <c r="M2853" s="89"/>
    </row>
    <row r="2854" spans="7:13" x14ac:dyDescent="0.35">
      <c r="G2854" s="88"/>
      <c r="H2854" s="89"/>
      <c r="L2854" s="88"/>
      <c r="M2854" s="89"/>
    </row>
    <row r="2855" spans="7:13" x14ac:dyDescent="0.35">
      <c r="G2855" s="88"/>
      <c r="H2855" s="89"/>
      <c r="L2855" s="88"/>
      <c r="M2855" s="89"/>
    </row>
    <row r="2856" spans="7:13" x14ac:dyDescent="0.35">
      <c r="G2856" s="88"/>
      <c r="H2856" s="89"/>
      <c r="L2856" s="88"/>
      <c r="M2856" s="89"/>
    </row>
    <row r="2857" spans="7:13" x14ac:dyDescent="0.35">
      <c r="G2857" s="88"/>
      <c r="H2857" s="89"/>
      <c r="L2857" s="88"/>
      <c r="M2857" s="89"/>
    </row>
    <row r="2858" spans="7:13" x14ac:dyDescent="0.35">
      <c r="G2858" s="88"/>
      <c r="H2858" s="89"/>
      <c r="L2858" s="88"/>
      <c r="M2858" s="89"/>
    </row>
    <row r="2859" spans="7:13" x14ac:dyDescent="0.35">
      <c r="G2859" s="88"/>
      <c r="H2859" s="89"/>
      <c r="L2859" s="88"/>
      <c r="M2859" s="89"/>
    </row>
    <row r="2860" spans="7:13" x14ac:dyDescent="0.35">
      <c r="G2860" s="88"/>
      <c r="H2860" s="89"/>
      <c r="L2860" s="88"/>
      <c r="M2860" s="89"/>
    </row>
    <row r="2861" spans="7:13" x14ac:dyDescent="0.35">
      <c r="G2861" s="88"/>
      <c r="H2861" s="89"/>
      <c r="L2861" s="88"/>
      <c r="M2861" s="89"/>
    </row>
    <row r="2862" spans="7:13" x14ac:dyDescent="0.35">
      <c r="G2862" s="88"/>
      <c r="H2862" s="89"/>
      <c r="L2862" s="88"/>
      <c r="M2862" s="89"/>
    </row>
    <row r="2863" spans="7:13" x14ac:dyDescent="0.35">
      <c r="G2863" s="88"/>
      <c r="H2863" s="89"/>
      <c r="L2863" s="88"/>
      <c r="M2863" s="89"/>
    </row>
    <row r="2864" spans="7:13" x14ac:dyDescent="0.35">
      <c r="G2864" s="88"/>
      <c r="H2864" s="89"/>
      <c r="L2864" s="88"/>
      <c r="M2864" s="89"/>
    </row>
    <row r="2865" spans="7:13" x14ac:dyDescent="0.35">
      <c r="G2865" s="88"/>
      <c r="H2865" s="89"/>
      <c r="L2865" s="88"/>
      <c r="M2865" s="89"/>
    </row>
    <row r="2866" spans="7:13" x14ac:dyDescent="0.35">
      <c r="G2866" s="88"/>
      <c r="H2866" s="89"/>
      <c r="L2866" s="88"/>
      <c r="M2866" s="89"/>
    </row>
    <row r="2867" spans="7:13" x14ac:dyDescent="0.35">
      <c r="G2867" s="88"/>
      <c r="H2867" s="89"/>
      <c r="L2867" s="88"/>
      <c r="M2867" s="89"/>
    </row>
    <row r="2868" spans="7:13" x14ac:dyDescent="0.35">
      <c r="G2868" s="88"/>
      <c r="H2868" s="89"/>
      <c r="L2868" s="88"/>
      <c r="M2868" s="89"/>
    </row>
    <row r="2869" spans="7:13" x14ac:dyDescent="0.35">
      <c r="G2869" s="88"/>
      <c r="H2869" s="89"/>
      <c r="L2869" s="88"/>
      <c r="M2869" s="89"/>
    </row>
    <row r="2870" spans="7:13" x14ac:dyDescent="0.35">
      <c r="G2870" s="88"/>
      <c r="H2870" s="89"/>
      <c r="L2870" s="88"/>
      <c r="M2870" s="89"/>
    </row>
    <row r="2871" spans="7:13" x14ac:dyDescent="0.35">
      <c r="G2871" s="88"/>
      <c r="H2871" s="89"/>
      <c r="L2871" s="88"/>
      <c r="M2871" s="89"/>
    </row>
    <row r="2872" spans="7:13" x14ac:dyDescent="0.35">
      <c r="G2872" s="88"/>
      <c r="H2872" s="89"/>
      <c r="L2872" s="88"/>
      <c r="M2872" s="89"/>
    </row>
    <row r="2873" spans="7:13" x14ac:dyDescent="0.35">
      <c r="G2873" s="88"/>
      <c r="H2873" s="89"/>
      <c r="L2873" s="88"/>
      <c r="M2873" s="89"/>
    </row>
    <row r="2874" spans="7:13" x14ac:dyDescent="0.35">
      <c r="G2874" s="88"/>
      <c r="H2874" s="89"/>
      <c r="L2874" s="88"/>
      <c r="M2874" s="89"/>
    </row>
    <row r="2875" spans="7:13" x14ac:dyDescent="0.35">
      <c r="G2875" s="88"/>
      <c r="H2875" s="89"/>
      <c r="L2875" s="88"/>
      <c r="M2875" s="89"/>
    </row>
    <row r="2876" spans="7:13" x14ac:dyDescent="0.35">
      <c r="G2876" s="88"/>
      <c r="H2876" s="89"/>
      <c r="L2876" s="88"/>
      <c r="M2876" s="89"/>
    </row>
    <row r="2877" spans="7:13" x14ac:dyDescent="0.35">
      <c r="G2877" s="88"/>
      <c r="H2877" s="89"/>
      <c r="L2877" s="88"/>
      <c r="M2877" s="89"/>
    </row>
    <row r="2878" spans="7:13" x14ac:dyDescent="0.35">
      <c r="G2878" s="88"/>
      <c r="H2878" s="89"/>
      <c r="L2878" s="88"/>
      <c r="M2878" s="89"/>
    </row>
    <row r="2879" spans="7:13" x14ac:dyDescent="0.35">
      <c r="G2879" s="88"/>
      <c r="H2879" s="89"/>
      <c r="L2879" s="88"/>
      <c r="M2879" s="89"/>
    </row>
    <row r="2880" spans="7:13" x14ac:dyDescent="0.35">
      <c r="G2880" s="88"/>
      <c r="H2880" s="89"/>
      <c r="L2880" s="88"/>
      <c r="M2880" s="89"/>
    </row>
    <row r="2881" spans="7:13" x14ac:dyDescent="0.35">
      <c r="G2881" s="88"/>
      <c r="H2881" s="89"/>
      <c r="L2881" s="88"/>
      <c r="M2881" s="89"/>
    </row>
    <row r="2882" spans="7:13" x14ac:dyDescent="0.35">
      <c r="G2882" s="88"/>
      <c r="H2882" s="89"/>
      <c r="L2882" s="88"/>
      <c r="M2882" s="89"/>
    </row>
    <row r="2883" spans="7:13" x14ac:dyDescent="0.35">
      <c r="G2883" s="88"/>
      <c r="H2883" s="89"/>
      <c r="L2883" s="88"/>
      <c r="M2883" s="89"/>
    </row>
    <row r="2884" spans="7:13" x14ac:dyDescent="0.35">
      <c r="G2884" s="88"/>
      <c r="H2884" s="89"/>
      <c r="L2884" s="88"/>
      <c r="M2884" s="89"/>
    </row>
    <row r="2885" spans="7:13" x14ac:dyDescent="0.35">
      <c r="G2885" s="88"/>
      <c r="H2885" s="89"/>
      <c r="L2885" s="88"/>
      <c r="M2885" s="89"/>
    </row>
    <row r="2886" spans="7:13" x14ac:dyDescent="0.35">
      <c r="G2886" s="88"/>
      <c r="H2886" s="89"/>
      <c r="L2886" s="88"/>
      <c r="M2886" s="89"/>
    </row>
    <row r="2887" spans="7:13" x14ac:dyDescent="0.35">
      <c r="G2887" s="88"/>
      <c r="H2887" s="89"/>
      <c r="L2887" s="88"/>
      <c r="M2887" s="89"/>
    </row>
    <row r="2888" spans="7:13" x14ac:dyDescent="0.35">
      <c r="G2888" s="88"/>
      <c r="H2888" s="89"/>
      <c r="L2888" s="88"/>
      <c r="M2888" s="89"/>
    </row>
    <row r="2889" spans="7:13" x14ac:dyDescent="0.35">
      <c r="G2889" s="88"/>
      <c r="H2889" s="89"/>
      <c r="L2889" s="88"/>
      <c r="M2889" s="89"/>
    </row>
    <row r="2890" spans="7:13" x14ac:dyDescent="0.35">
      <c r="G2890" s="88"/>
      <c r="H2890" s="89"/>
      <c r="L2890" s="88"/>
      <c r="M2890" s="89"/>
    </row>
    <row r="2891" spans="7:13" x14ac:dyDescent="0.35">
      <c r="G2891" s="88"/>
      <c r="H2891" s="89"/>
      <c r="L2891" s="88"/>
      <c r="M2891" s="89"/>
    </row>
    <row r="2892" spans="7:13" x14ac:dyDescent="0.35">
      <c r="G2892" s="88"/>
      <c r="H2892" s="89"/>
      <c r="L2892" s="88"/>
      <c r="M2892" s="89"/>
    </row>
    <row r="2893" spans="7:13" x14ac:dyDescent="0.35">
      <c r="G2893" s="88"/>
      <c r="H2893" s="89"/>
      <c r="L2893" s="88"/>
      <c r="M2893" s="89"/>
    </row>
    <row r="2894" spans="7:13" x14ac:dyDescent="0.35">
      <c r="G2894" s="88"/>
      <c r="H2894" s="89"/>
      <c r="L2894" s="88"/>
      <c r="M2894" s="89"/>
    </row>
    <row r="2895" spans="7:13" x14ac:dyDescent="0.35">
      <c r="G2895" s="88"/>
      <c r="H2895" s="89"/>
      <c r="L2895" s="88"/>
      <c r="M2895" s="89"/>
    </row>
    <row r="2896" spans="7:13" x14ac:dyDescent="0.35">
      <c r="G2896" s="88"/>
      <c r="H2896" s="89"/>
      <c r="L2896" s="88"/>
      <c r="M2896" s="89"/>
    </row>
    <row r="2897" spans="7:13" x14ac:dyDescent="0.35">
      <c r="G2897" s="88"/>
      <c r="H2897" s="89"/>
      <c r="L2897" s="88"/>
      <c r="M2897" s="89"/>
    </row>
    <row r="2898" spans="7:13" x14ac:dyDescent="0.35">
      <c r="G2898" s="88"/>
      <c r="H2898" s="89"/>
      <c r="L2898" s="88"/>
      <c r="M2898" s="89"/>
    </row>
    <row r="2899" spans="7:13" x14ac:dyDescent="0.35">
      <c r="G2899" s="88"/>
      <c r="H2899" s="89"/>
      <c r="L2899" s="88"/>
      <c r="M2899" s="89"/>
    </row>
    <row r="2900" spans="7:13" x14ac:dyDescent="0.35">
      <c r="G2900" s="88"/>
      <c r="H2900" s="89"/>
      <c r="L2900" s="88"/>
      <c r="M2900" s="89"/>
    </row>
    <row r="2901" spans="7:13" x14ac:dyDescent="0.35">
      <c r="G2901" s="88"/>
      <c r="H2901" s="89"/>
      <c r="L2901" s="88"/>
      <c r="M2901" s="89"/>
    </row>
    <row r="2902" spans="7:13" x14ac:dyDescent="0.35">
      <c r="G2902" s="88"/>
      <c r="H2902" s="89"/>
      <c r="L2902" s="88"/>
      <c r="M2902" s="89"/>
    </row>
    <row r="2903" spans="7:13" x14ac:dyDescent="0.35">
      <c r="G2903" s="88"/>
      <c r="H2903" s="89"/>
      <c r="L2903" s="88"/>
      <c r="M2903" s="89"/>
    </row>
    <row r="2904" spans="7:13" x14ac:dyDescent="0.35">
      <c r="G2904" s="88"/>
      <c r="H2904" s="89"/>
      <c r="L2904" s="88"/>
      <c r="M2904" s="89"/>
    </row>
    <row r="2905" spans="7:13" x14ac:dyDescent="0.35">
      <c r="G2905" s="88"/>
      <c r="H2905" s="89"/>
      <c r="L2905" s="88"/>
      <c r="M2905" s="89"/>
    </row>
    <row r="2906" spans="7:13" x14ac:dyDescent="0.35">
      <c r="G2906" s="88"/>
      <c r="H2906" s="89"/>
      <c r="L2906" s="88"/>
      <c r="M2906" s="89"/>
    </row>
    <row r="2907" spans="7:13" x14ac:dyDescent="0.35">
      <c r="G2907" s="88"/>
      <c r="H2907" s="89"/>
      <c r="L2907" s="88"/>
      <c r="M2907" s="89"/>
    </row>
    <row r="2908" spans="7:13" x14ac:dyDescent="0.35">
      <c r="G2908" s="88"/>
      <c r="H2908" s="89"/>
      <c r="L2908" s="88"/>
      <c r="M2908" s="89"/>
    </row>
    <row r="2909" spans="7:13" x14ac:dyDescent="0.35">
      <c r="G2909" s="88"/>
      <c r="H2909" s="89"/>
      <c r="L2909" s="88"/>
      <c r="M2909" s="89"/>
    </row>
    <row r="2910" spans="7:13" x14ac:dyDescent="0.35">
      <c r="G2910" s="88"/>
      <c r="H2910" s="89"/>
      <c r="L2910" s="88"/>
      <c r="M2910" s="89"/>
    </row>
    <row r="2911" spans="7:13" x14ac:dyDescent="0.35">
      <c r="G2911" s="88"/>
      <c r="H2911" s="89"/>
      <c r="L2911" s="88"/>
      <c r="M2911" s="89"/>
    </row>
    <row r="2912" spans="7:13" x14ac:dyDescent="0.35">
      <c r="G2912" s="88"/>
      <c r="H2912" s="89"/>
      <c r="L2912" s="88"/>
      <c r="M2912" s="89"/>
    </row>
    <row r="2913" spans="7:13" x14ac:dyDescent="0.35">
      <c r="G2913" s="88"/>
      <c r="H2913" s="89"/>
      <c r="L2913" s="88"/>
      <c r="M2913" s="89"/>
    </row>
    <row r="2914" spans="7:13" x14ac:dyDescent="0.35">
      <c r="G2914" s="88"/>
      <c r="H2914" s="89"/>
      <c r="L2914" s="88"/>
      <c r="M2914" s="89"/>
    </row>
    <row r="2915" spans="7:13" x14ac:dyDescent="0.35">
      <c r="G2915" s="88"/>
      <c r="H2915" s="89"/>
      <c r="L2915" s="88"/>
      <c r="M2915" s="89"/>
    </row>
    <row r="2916" spans="7:13" x14ac:dyDescent="0.35">
      <c r="G2916" s="88"/>
      <c r="H2916" s="89"/>
      <c r="L2916" s="88"/>
      <c r="M2916" s="89"/>
    </row>
    <row r="2917" spans="7:13" x14ac:dyDescent="0.35">
      <c r="G2917" s="88"/>
      <c r="H2917" s="89"/>
      <c r="L2917" s="88"/>
      <c r="M2917" s="89"/>
    </row>
    <row r="2918" spans="7:13" x14ac:dyDescent="0.35">
      <c r="G2918" s="88"/>
      <c r="H2918" s="89"/>
      <c r="L2918" s="88"/>
      <c r="M2918" s="89"/>
    </row>
    <row r="2919" spans="7:13" x14ac:dyDescent="0.35">
      <c r="G2919" s="88"/>
      <c r="H2919" s="89"/>
      <c r="L2919" s="88"/>
      <c r="M2919" s="89"/>
    </row>
    <row r="2920" spans="7:13" x14ac:dyDescent="0.35">
      <c r="G2920" s="88"/>
      <c r="H2920" s="89"/>
      <c r="L2920" s="88"/>
      <c r="M2920" s="89"/>
    </row>
    <row r="2921" spans="7:13" x14ac:dyDescent="0.35">
      <c r="G2921" s="88"/>
      <c r="H2921" s="89"/>
      <c r="L2921" s="88"/>
      <c r="M2921" s="89"/>
    </row>
    <row r="2922" spans="7:13" x14ac:dyDescent="0.35">
      <c r="G2922" s="88"/>
      <c r="H2922" s="89"/>
      <c r="L2922" s="88"/>
      <c r="M2922" s="89"/>
    </row>
    <row r="2923" spans="7:13" x14ac:dyDescent="0.35">
      <c r="G2923" s="88"/>
      <c r="H2923" s="89"/>
      <c r="L2923" s="88"/>
      <c r="M2923" s="89"/>
    </row>
    <row r="2924" spans="7:13" x14ac:dyDescent="0.35">
      <c r="G2924" s="88"/>
      <c r="H2924" s="89"/>
      <c r="L2924" s="88"/>
      <c r="M2924" s="89"/>
    </row>
    <row r="2925" spans="7:13" x14ac:dyDescent="0.35">
      <c r="G2925" s="88"/>
      <c r="H2925" s="89"/>
      <c r="L2925" s="88"/>
      <c r="M2925" s="89"/>
    </row>
    <row r="2926" spans="7:13" x14ac:dyDescent="0.35">
      <c r="G2926" s="88"/>
      <c r="H2926" s="89"/>
      <c r="L2926" s="88"/>
      <c r="M2926" s="89"/>
    </row>
    <row r="2927" spans="7:13" x14ac:dyDescent="0.35">
      <c r="G2927" s="88"/>
      <c r="H2927" s="89"/>
      <c r="L2927" s="88"/>
      <c r="M2927" s="89"/>
    </row>
    <row r="2928" spans="7:13" x14ac:dyDescent="0.35">
      <c r="G2928" s="88"/>
      <c r="H2928" s="89"/>
      <c r="L2928" s="88"/>
      <c r="M2928" s="89"/>
    </row>
    <row r="2929" spans="7:13" x14ac:dyDescent="0.35">
      <c r="G2929" s="88"/>
      <c r="H2929" s="89"/>
      <c r="L2929" s="88"/>
      <c r="M2929" s="89"/>
    </row>
    <row r="2930" spans="7:13" x14ac:dyDescent="0.35">
      <c r="G2930" s="88"/>
      <c r="H2930" s="89"/>
      <c r="L2930" s="88"/>
      <c r="M2930" s="89"/>
    </row>
    <row r="2931" spans="7:13" x14ac:dyDescent="0.35">
      <c r="G2931" s="88"/>
      <c r="H2931" s="89"/>
      <c r="L2931" s="88"/>
      <c r="M2931" s="89"/>
    </row>
    <row r="2932" spans="7:13" x14ac:dyDescent="0.35">
      <c r="G2932" s="88"/>
      <c r="H2932" s="89"/>
      <c r="L2932" s="88"/>
      <c r="M2932" s="89"/>
    </row>
    <row r="2933" spans="7:13" x14ac:dyDescent="0.35">
      <c r="G2933" s="88"/>
      <c r="H2933" s="89"/>
      <c r="L2933" s="88"/>
      <c r="M2933" s="89"/>
    </row>
    <row r="2934" spans="7:13" x14ac:dyDescent="0.35">
      <c r="G2934" s="88"/>
      <c r="H2934" s="89"/>
      <c r="L2934" s="88"/>
      <c r="M2934" s="89"/>
    </row>
    <row r="2935" spans="7:13" x14ac:dyDescent="0.35">
      <c r="G2935" s="88"/>
      <c r="H2935" s="89"/>
      <c r="L2935" s="88"/>
      <c r="M2935" s="89"/>
    </row>
    <row r="2936" spans="7:13" x14ac:dyDescent="0.35">
      <c r="G2936" s="88"/>
      <c r="H2936" s="89"/>
      <c r="L2936" s="88"/>
      <c r="M2936" s="89"/>
    </row>
    <row r="2937" spans="7:13" x14ac:dyDescent="0.35">
      <c r="G2937" s="88"/>
      <c r="H2937" s="89"/>
      <c r="L2937" s="88"/>
      <c r="M2937" s="89"/>
    </row>
    <row r="2938" spans="7:13" x14ac:dyDescent="0.35">
      <c r="G2938" s="88"/>
      <c r="H2938" s="89"/>
      <c r="L2938" s="88"/>
      <c r="M2938" s="89"/>
    </row>
    <row r="2939" spans="7:13" x14ac:dyDescent="0.35">
      <c r="G2939" s="88"/>
      <c r="H2939" s="89"/>
      <c r="L2939" s="88"/>
      <c r="M2939" s="89"/>
    </row>
    <row r="2940" spans="7:13" x14ac:dyDescent="0.35">
      <c r="G2940" s="88"/>
      <c r="H2940" s="89"/>
      <c r="L2940" s="88"/>
      <c r="M2940" s="89"/>
    </row>
    <row r="2941" spans="7:13" x14ac:dyDescent="0.35">
      <c r="G2941" s="88"/>
      <c r="H2941" s="89"/>
      <c r="L2941" s="88"/>
      <c r="M2941" s="89"/>
    </row>
    <row r="2942" spans="7:13" x14ac:dyDescent="0.35">
      <c r="G2942" s="88"/>
      <c r="H2942" s="89"/>
      <c r="L2942" s="88"/>
      <c r="M2942" s="89"/>
    </row>
    <row r="2943" spans="7:13" x14ac:dyDescent="0.35">
      <c r="G2943" s="88"/>
      <c r="H2943" s="89"/>
      <c r="L2943" s="88"/>
      <c r="M2943" s="89"/>
    </row>
    <row r="2944" spans="7:13" x14ac:dyDescent="0.35">
      <c r="G2944" s="88"/>
      <c r="H2944" s="89"/>
      <c r="L2944" s="88"/>
      <c r="M2944" s="89"/>
    </row>
    <row r="2945" spans="7:13" x14ac:dyDescent="0.35">
      <c r="G2945" s="88"/>
      <c r="H2945" s="89"/>
      <c r="L2945" s="88"/>
      <c r="M2945" s="89"/>
    </row>
    <row r="2946" spans="7:13" x14ac:dyDescent="0.35">
      <c r="G2946" s="88"/>
      <c r="H2946" s="89"/>
      <c r="L2946" s="88"/>
      <c r="M2946" s="89"/>
    </row>
    <row r="2947" spans="7:13" x14ac:dyDescent="0.35">
      <c r="G2947" s="88"/>
      <c r="H2947" s="89"/>
      <c r="L2947" s="88"/>
      <c r="M2947" s="89"/>
    </row>
    <row r="2948" spans="7:13" x14ac:dyDescent="0.35">
      <c r="G2948" s="88"/>
      <c r="H2948" s="89"/>
      <c r="L2948" s="88"/>
      <c r="M2948" s="89"/>
    </row>
    <row r="2949" spans="7:13" x14ac:dyDescent="0.35">
      <c r="G2949" s="88"/>
      <c r="H2949" s="89"/>
      <c r="L2949" s="88"/>
      <c r="M2949" s="89"/>
    </row>
    <row r="2950" spans="7:13" x14ac:dyDescent="0.35">
      <c r="G2950" s="88"/>
      <c r="H2950" s="89"/>
      <c r="L2950" s="88"/>
      <c r="M2950" s="89"/>
    </row>
    <row r="2951" spans="7:13" x14ac:dyDescent="0.35">
      <c r="G2951" s="88"/>
      <c r="H2951" s="89"/>
      <c r="L2951" s="88"/>
      <c r="M2951" s="89"/>
    </row>
    <row r="2952" spans="7:13" x14ac:dyDescent="0.35">
      <c r="G2952" s="88"/>
      <c r="H2952" s="89"/>
      <c r="L2952" s="88"/>
      <c r="M2952" s="89"/>
    </row>
    <row r="2953" spans="7:13" x14ac:dyDescent="0.35">
      <c r="G2953" s="88"/>
      <c r="H2953" s="89"/>
      <c r="L2953" s="88"/>
      <c r="M2953" s="89"/>
    </row>
    <row r="2954" spans="7:13" x14ac:dyDescent="0.35">
      <c r="G2954" s="88"/>
      <c r="H2954" s="89"/>
      <c r="L2954" s="88"/>
      <c r="M2954" s="89"/>
    </row>
    <row r="2955" spans="7:13" x14ac:dyDescent="0.35">
      <c r="G2955" s="88"/>
      <c r="H2955" s="89"/>
      <c r="L2955" s="88"/>
      <c r="M2955" s="89"/>
    </row>
    <row r="2956" spans="7:13" x14ac:dyDescent="0.35">
      <c r="G2956" s="88"/>
      <c r="H2956" s="89"/>
      <c r="L2956" s="88"/>
      <c r="M2956" s="89"/>
    </row>
    <row r="2957" spans="7:13" x14ac:dyDescent="0.35">
      <c r="G2957" s="88"/>
      <c r="H2957" s="89"/>
      <c r="L2957" s="88"/>
      <c r="M2957" s="89"/>
    </row>
    <row r="2958" spans="7:13" x14ac:dyDescent="0.35">
      <c r="G2958" s="88"/>
      <c r="H2958" s="89"/>
      <c r="L2958" s="88"/>
      <c r="M2958" s="89"/>
    </row>
    <row r="2959" spans="7:13" x14ac:dyDescent="0.35">
      <c r="G2959" s="88"/>
      <c r="H2959" s="89"/>
      <c r="L2959" s="88"/>
      <c r="M2959" s="89"/>
    </row>
    <row r="2960" spans="7:13" x14ac:dyDescent="0.35">
      <c r="G2960" s="88"/>
      <c r="H2960" s="89"/>
      <c r="L2960" s="88"/>
      <c r="M2960" s="89"/>
    </row>
    <row r="2961" spans="7:13" x14ac:dyDescent="0.35">
      <c r="G2961" s="88"/>
      <c r="H2961" s="89"/>
      <c r="L2961" s="88"/>
      <c r="M2961" s="89"/>
    </row>
    <row r="2962" spans="7:13" x14ac:dyDescent="0.35">
      <c r="G2962" s="88"/>
      <c r="H2962" s="89"/>
      <c r="L2962" s="88"/>
      <c r="M2962" s="89"/>
    </row>
    <row r="2963" spans="7:13" x14ac:dyDescent="0.35">
      <c r="G2963" s="88"/>
      <c r="H2963" s="89"/>
      <c r="L2963" s="88"/>
      <c r="M2963" s="89"/>
    </row>
    <row r="2964" spans="7:13" x14ac:dyDescent="0.35">
      <c r="G2964" s="88"/>
      <c r="H2964" s="89"/>
      <c r="L2964" s="88"/>
      <c r="M2964" s="89"/>
    </row>
    <row r="2965" spans="7:13" x14ac:dyDescent="0.35">
      <c r="G2965" s="88"/>
      <c r="H2965" s="89"/>
      <c r="L2965" s="88"/>
      <c r="M2965" s="89"/>
    </row>
    <row r="2966" spans="7:13" x14ac:dyDescent="0.35">
      <c r="G2966" s="88"/>
      <c r="H2966" s="89"/>
      <c r="L2966" s="88"/>
      <c r="M2966" s="89"/>
    </row>
    <row r="2967" spans="7:13" x14ac:dyDescent="0.35">
      <c r="G2967" s="88"/>
      <c r="H2967" s="89"/>
      <c r="L2967" s="88"/>
      <c r="M2967" s="89"/>
    </row>
    <row r="2968" spans="7:13" x14ac:dyDescent="0.35">
      <c r="G2968" s="88"/>
      <c r="H2968" s="89"/>
      <c r="L2968" s="88"/>
      <c r="M2968" s="89"/>
    </row>
    <row r="2969" spans="7:13" x14ac:dyDescent="0.35">
      <c r="G2969" s="88"/>
      <c r="H2969" s="89"/>
      <c r="L2969" s="88"/>
      <c r="M2969" s="89"/>
    </row>
    <row r="2970" spans="7:13" x14ac:dyDescent="0.35">
      <c r="G2970" s="88"/>
      <c r="H2970" s="89"/>
      <c r="L2970" s="88"/>
      <c r="M2970" s="89"/>
    </row>
    <row r="2971" spans="7:13" x14ac:dyDescent="0.35">
      <c r="G2971" s="88"/>
      <c r="H2971" s="89"/>
      <c r="L2971" s="88"/>
      <c r="M2971" s="89"/>
    </row>
    <row r="2972" spans="7:13" x14ac:dyDescent="0.35">
      <c r="G2972" s="88"/>
      <c r="H2972" s="89"/>
      <c r="L2972" s="88"/>
      <c r="M2972" s="89"/>
    </row>
    <row r="2973" spans="7:13" x14ac:dyDescent="0.35">
      <c r="G2973" s="88"/>
      <c r="H2973" s="89"/>
      <c r="L2973" s="88"/>
      <c r="M2973" s="89"/>
    </row>
    <row r="2974" spans="7:13" x14ac:dyDescent="0.35">
      <c r="G2974" s="88"/>
      <c r="H2974" s="89"/>
      <c r="L2974" s="88"/>
      <c r="M2974" s="89"/>
    </row>
    <row r="2975" spans="7:13" x14ac:dyDescent="0.35">
      <c r="G2975" s="88"/>
      <c r="H2975" s="89"/>
      <c r="L2975" s="88"/>
      <c r="M2975" s="89"/>
    </row>
    <row r="2976" spans="7:13" x14ac:dyDescent="0.35">
      <c r="G2976" s="88"/>
      <c r="H2976" s="89"/>
      <c r="L2976" s="88"/>
      <c r="M2976" s="89"/>
    </row>
    <row r="2977" spans="7:13" x14ac:dyDescent="0.35">
      <c r="G2977" s="88"/>
      <c r="H2977" s="89"/>
      <c r="L2977" s="88"/>
      <c r="M2977" s="89"/>
    </row>
    <row r="2978" spans="7:13" x14ac:dyDescent="0.35">
      <c r="G2978" s="88"/>
      <c r="H2978" s="89"/>
      <c r="L2978" s="88"/>
      <c r="M2978" s="89"/>
    </row>
    <row r="2979" spans="7:13" x14ac:dyDescent="0.35">
      <c r="G2979" s="88"/>
      <c r="H2979" s="89"/>
      <c r="L2979" s="88"/>
      <c r="M2979" s="89"/>
    </row>
    <row r="2980" spans="7:13" x14ac:dyDescent="0.35">
      <c r="G2980" s="88"/>
      <c r="H2980" s="89"/>
      <c r="L2980" s="88"/>
      <c r="M2980" s="89"/>
    </row>
    <row r="2981" spans="7:13" x14ac:dyDescent="0.35">
      <c r="G2981" s="88"/>
      <c r="H2981" s="89"/>
      <c r="L2981" s="88"/>
      <c r="M2981" s="89"/>
    </row>
    <row r="2982" spans="7:13" x14ac:dyDescent="0.35">
      <c r="G2982" s="88"/>
      <c r="H2982" s="89"/>
      <c r="L2982" s="88"/>
      <c r="M2982" s="89"/>
    </row>
    <row r="2983" spans="7:13" x14ac:dyDescent="0.35">
      <c r="G2983" s="88"/>
      <c r="H2983" s="89"/>
      <c r="L2983" s="88"/>
      <c r="M2983" s="89"/>
    </row>
    <row r="2984" spans="7:13" x14ac:dyDescent="0.35">
      <c r="G2984" s="88"/>
      <c r="H2984" s="89"/>
      <c r="L2984" s="88"/>
      <c r="M2984" s="89"/>
    </row>
    <row r="2985" spans="7:13" x14ac:dyDescent="0.35">
      <c r="G2985" s="88"/>
      <c r="H2985" s="89"/>
      <c r="L2985" s="88"/>
      <c r="M2985" s="89"/>
    </row>
    <row r="2986" spans="7:13" x14ac:dyDescent="0.35">
      <c r="G2986" s="88"/>
      <c r="H2986" s="89"/>
      <c r="L2986" s="88"/>
      <c r="M2986" s="89"/>
    </row>
    <row r="2987" spans="7:13" x14ac:dyDescent="0.35">
      <c r="G2987" s="88"/>
      <c r="H2987" s="89"/>
      <c r="L2987" s="88"/>
      <c r="M2987" s="89"/>
    </row>
    <row r="2988" spans="7:13" x14ac:dyDescent="0.35">
      <c r="G2988" s="88"/>
      <c r="H2988" s="89"/>
      <c r="L2988" s="88"/>
      <c r="M2988" s="89"/>
    </row>
    <row r="2989" spans="7:13" x14ac:dyDescent="0.35">
      <c r="G2989" s="88"/>
      <c r="H2989" s="89"/>
      <c r="L2989" s="88"/>
      <c r="M2989" s="89"/>
    </row>
    <row r="2990" spans="7:13" x14ac:dyDescent="0.35">
      <c r="G2990" s="88"/>
      <c r="H2990" s="89"/>
      <c r="L2990" s="88"/>
      <c r="M2990" s="89"/>
    </row>
    <row r="2991" spans="7:13" x14ac:dyDescent="0.35">
      <c r="G2991" s="88"/>
      <c r="H2991" s="89"/>
      <c r="L2991" s="88"/>
      <c r="M2991" s="89"/>
    </row>
    <row r="2992" spans="7:13" x14ac:dyDescent="0.35">
      <c r="G2992" s="88"/>
      <c r="H2992" s="89"/>
      <c r="L2992" s="88"/>
      <c r="M2992" s="89"/>
    </row>
    <row r="2993" spans="7:13" x14ac:dyDescent="0.35">
      <c r="G2993" s="88"/>
      <c r="H2993" s="89"/>
      <c r="L2993" s="88"/>
      <c r="M2993" s="89"/>
    </row>
    <row r="2994" spans="7:13" x14ac:dyDescent="0.35">
      <c r="G2994" s="88"/>
      <c r="H2994" s="89"/>
      <c r="L2994" s="88"/>
      <c r="M2994" s="89"/>
    </row>
    <row r="2995" spans="7:13" x14ac:dyDescent="0.35">
      <c r="G2995" s="88"/>
      <c r="H2995" s="89"/>
      <c r="L2995" s="88"/>
      <c r="M2995" s="89"/>
    </row>
    <row r="2996" spans="7:13" x14ac:dyDescent="0.35">
      <c r="G2996" s="88"/>
      <c r="H2996" s="89"/>
      <c r="L2996" s="88"/>
      <c r="M2996" s="89"/>
    </row>
    <row r="2997" spans="7:13" x14ac:dyDescent="0.35">
      <c r="G2997" s="88"/>
      <c r="H2997" s="89"/>
      <c r="L2997" s="88"/>
      <c r="M2997" s="89"/>
    </row>
    <row r="2998" spans="7:13" x14ac:dyDescent="0.35">
      <c r="G2998" s="88"/>
      <c r="H2998" s="89"/>
      <c r="L2998" s="88"/>
      <c r="M2998" s="89"/>
    </row>
    <row r="2999" spans="7:13" x14ac:dyDescent="0.35">
      <c r="G2999" s="88"/>
      <c r="H2999" s="89"/>
      <c r="L2999" s="88"/>
      <c r="M2999" s="89"/>
    </row>
    <row r="3000" spans="7:13" x14ac:dyDescent="0.35">
      <c r="G3000" s="88"/>
      <c r="H3000" s="89"/>
      <c r="L3000" s="88"/>
      <c r="M3000" s="89"/>
    </row>
    <row r="3001" spans="7:13" x14ac:dyDescent="0.35">
      <c r="G3001" s="88"/>
      <c r="H3001" s="89"/>
      <c r="L3001" s="88"/>
      <c r="M3001" s="89"/>
    </row>
    <row r="3002" spans="7:13" x14ac:dyDescent="0.35">
      <c r="G3002" s="88"/>
      <c r="H3002" s="89"/>
      <c r="L3002" s="88"/>
      <c r="M3002" s="89"/>
    </row>
    <row r="3003" spans="7:13" x14ac:dyDescent="0.35">
      <c r="G3003" s="88"/>
      <c r="H3003" s="89"/>
      <c r="L3003" s="88"/>
      <c r="M3003" s="89"/>
    </row>
    <row r="3004" spans="7:13" x14ac:dyDescent="0.35">
      <c r="G3004" s="88"/>
      <c r="H3004" s="89"/>
      <c r="L3004" s="88"/>
      <c r="M3004" s="89"/>
    </row>
    <row r="3005" spans="7:13" x14ac:dyDescent="0.35">
      <c r="G3005" s="88"/>
      <c r="H3005" s="89"/>
      <c r="L3005" s="88"/>
      <c r="M3005" s="89"/>
    </row>
    <row r="3006" spans="7:13" x14ac:dyDescent="0.35">
      <c r="G3006" s="88"/>
      <c r="H3006" s="89"/>
      <c r="L3006" s="88"/>
      <c r="M3006" s="89"/>
    </row>
    <row r="3007" spans="7:13" x14ac:dyDescent="0.35">
      <c r="G3007" s="88"/>
      <c r="H3007" s="89"/>
      <c r="L3007" s="88"/>
      <c r="M3007" s="89"/>
    </row>
    <row r="3008" spans="7:13" x14ac:dyDescent="0.35">
      <c r="G3008" s="88"/>
      <c r="H3008" s="89"/>
      <c r="L3008" s="88"/>
      <c r="M3008" s="89"/>
    </row>
    <row r="3009" spans="7:13" x14ac:dyDescent="0.35">
      <c r="G3009" s="88"/>
      <c r="H3009" s="89"/>
      <c r="L3009" s="88"/>
      <c r="M3009" s="89"/>
    </row>
    <row r="3010" spans="7:13" x14ac:dyDescent="0.35">
      <c r="G3010" s="88"/>
      <c r="H3010" s="89"/>
      <c r="L3010" s="88"/>
      <c r="M3010" s="89"/>
    </row>
    <row r="3011" spans="7:13" x14ac:dyDescent="0.35">
      <c r="G3011" s="88"/>
      <c r="H3011" s="89"/>
      <c r="L3011" s="88"/>
      <c r="M3011" s="89"/>
    </row>
    <row r="3012" spans="7:13" x14ac:dyDescent="0.35">
      <c r="G3012" s="88"/>
      <c r="H3012" s="89"/>
      <c r="L3012" s="88"/>
      <c r="M3012" s="89"/>
    </row>
    <row r="3013" spans="7:13" x14ac:dyDescent="0.35">
      <c r="G3013" s="88"/>
      <c r="H3013" s="89"/>
      <c r="L3013" s="88"/>
      <c r="M3013" s="89"/>
    </row>
    <row r="3014" spans="7:13" x14ac:dyDescent="0.35">
      <c r="G3014" s="88"/>
      <c r="H3014" s="89"/>
      <c r="L3014" s="88"/>
      <c r="M3014" s="89"/>
    </row>
    <row r="3015" spans="7:13" x14ac:dyDescent="0.35">
      <c r="G3015" s="88"/>
      <c r="H3015" s="89"/>
      <c r="L3015" s="88"/>
      <c r="M3015" s="89"/>
    </row>
    <row r="3016" spans="7:13" x14ac:dyDescent="0.35">
      <c r="G3016" s="88"/>
      <c r="H3016" s="89"/>
      <c r="L3016" s="88"/>
      <c r="M3016" s="89"/>
    </row>
    <row r="3017" spans="7:13" x14ac:dyDescent="0.35">
      <c r="G3017" s="88"/>
      <c r="H3017" s="89"/>
      <c r="L3017" s="88"/>
      <c r="M3017" s="89"/>
    </row>
    <row r="3018" spans="7:13" x14ac:dyDescent="0.35">
      <c r="G3018" s="88"/>
      <c r="H3018" s="89"/>
      <c r="L3018" s="88"/>
      <c r="M3018" s="89"/>
    </row>
    <row r="3019" spans="7:13" x14ac:dyDescent="0.35">
      <c r="G3019" s="88"/>
      <c r="H3019" s="89"/>
      <c r="L3019" s="88"/>
      <c r="M3019" s="89"/>
    </row>
    <row r="3020" spans="7:13" x14ac:dyDescent="0.35">
      <c r="G3020" s="88"/>
      <c r="H3020" s="89"/>
      <c r="L3020" s="88"/>
      <c r="M3020" s="89"/>
    </row>
    <row r="3021" spans="7:13" x14ac:dyDescent="0.35">
      <c r="G3021" s="88"/>
      <c r="H3021" s="89"/>
      <c r="L3021" s="88"/>
      <c r="M3021" s="89"/>
    </row>
    <row r="3022" spans="7:13" x14ac:dyDescent="0.35">
      <c r="G3022" s="88"/>
      <c r="H3022" s="89"/>
      <c r="L3022" s="88"/>
      <c r="M3022" s="89"/>
    </row>
    <row r="3023" spans="7:13" x14ac:dyDescent="0.35">
      <c r="G3023" s="88"/>
      <c r="H3023" s="89"/>
      <c r="L3023" s="88"/>
      <c r="M3023" s="89"/>
    </row>
    <row r="3024" spans="7:13" x14ac:dyDescent="0.35">
      <c r="G3024" s="88"/>
      <c r="H3024" s="89"/>
      <c r="L3024" s="88"/>
      <c r="M3024" s="89"/>
    </row>
    <row r="3025" spans="7:13" x14ac:dyDescent="0.35">
      <c r="G3025" s="88"/>
      <c r="H3025" s="89"/>
      <c r="L3025" s="88"/>
      <c r="M3025" s="89"/>
    </row>
    <row r="3026" spans="7:13" x14ac:dyDescent="0.35">
      <c r="G3026" s="88"/>
      <c r="H3026" s="89"/>
      <c r="L3026" s="88"/>
      <c r="M3026" s="89"/>
    </row>
    <row r="3027" spans="7:13" x14ac:dyDescent="0.35">
      <c r="G3027" s="88"/>
      <c r="H3027" s="89"/>
      <c r="L3027" s="88"/>
      <c r="M3027" s="89"/>
    </row>
    <row r="3028" spans="7:13" x14ac:dyDescent="0.35">
      <c r="G3028" s="88"/>
      <c r="H3028" s="89"/>
      <c r="L3028" s="88"/>
      <c r="M3028" s="89"/>
    </row>
    <row r="3029" spans="7:13" x14ac:dyDescent="0.35">
      <c r="G3029" s="88"/>
      <c r="H3029" s="89"/>
      <c r="L3029" s="88"/>
      <c r="M3029" s="89"/>
    </row>
    <row r="3030" spans="7:13" x14ac:dyDescent="0.35">
      <c r="G3030" s="88"/>
      <c r="H3030" s="89"/>
      <c r="L3030" s="88"/>
      <c r="M3030" s="89"/>
    </row>
    <row r="3031" spans="7:13" x14ac:dyDescent="0.35">
      <c r="G3031" s="88"/>
      <c r="H3031" s="89"/>
      <c r="L3031" s="88"/>
      <c r="M3031" s="89"/>
    </row>
    <row r="3032" spans="7:13" x14ac:dyDescent="0.35">
      <c r="G3032" s="88"/>
      <c r="H3032" s="89"/>
      <c r="L3032" s="88"/>
      <c r="M3032" s="89"/>
    </row>
    <row r="3033" spans="7:13" x14ac:dyDescent="0.35">
      <c r="G3033" s="88"/>
      <c r="H3033" s="89"/>
      <c r="L3033" s="88"/>
      <c r="M3033" s="89"/>
    </row>
    <row r="3034" spans="7:13" x14ac:dyDescent="0.35">
      <c r="G3034" s="88"/>
      <c r="H3034" s="89"/>
      <c r="L3034" s="88"/>
      <c r="M3034" s="89"/>
    </row>
    <row r="3035" spans="7:13" x14ac:dyDescent="0.35">
      <c r="G3035" s="88"/>
      <c r="H3035" s="89"/>
      <c r="L3035" s="88"/>
      <c r="M3035" s="89"/>
    </row>
    <row r="3036" spans="7:13" x14ac:dyDescent="0.35">
      <c r="G3036" s="88"/>
      <c r="H3036" s="89"/>
      <c r="L3036" s="88"/>
      <c r="M3036" s="89"/>
    </row>
    <row r="3037" spans="7:13" x14ac:dyDescent="0.35">
      <c r="G3037" s="88"/>
      <c r="H3037" s="89"/>
      <c r="L3037" s="88"/>
      <c r="M3037" s="89"/>
    </row>
    <row r="3038" spans="7:13" x14ac:dyDescent="0.35">
      <c r="G3038" s="88"/>
      <c r="H3038" s="89"/>
      <c r="L3038" s="88"/>
      <c r="M3038" s="89"/>
    </row>
    <row r="3039" spans="7:13" x14ac:dyDescent="0.35">
      <c r="G3039" s="88"/>
      <c r="H3039" s="89"/>
      <c r="L3039" s="88"/>
      <c r="M3039" s="89"/>
    </row>
    <row r="3040" spans="7:13" x14ac:dyDescent="0.35">
      <c r="G3040" s="88"/>
      <c r="H3040" s="89"/>
      <c r="L3040" s="88"/>
      <c r="M3040" s="89"/>
    </row>
    <row r="3041" spans="7:13" x14ac:dyDescent="0.35">
      <c r="G3041" s="88"/>
      <c r="H3041" s="89"/>
      <c r="L3041" s="88"/>
      <c r="M3041" s="89"/>
    </row>
    <row r="3042" spans="7:13" x14ac:dyDescent="0.35">
      <c r="G3042" s="88"/>
      <c r="H3042" s="89"/>
      <c r="L3042" s="88"/>
      <c r="M3042" s="89"/>
    </row>
    <row r="3043" spans="7:13" x14ac:dyDescent="0.35">
      <c r="G3043" s="88"/>
      <c r="H3043" s="89"/>
      <c r="L3043" s="88"/>
      <c r="M3043" s="89"/>
    </row>
    <row r="3044" spans="7:13" x14ac:dyDescent="0.35">
      <c r="G3044" s="88"/>
      <c r="H3044" s="89"/>
      <c r="L3044" s="88"/>
      <c r="M3044" s="89"/>
    </row>
    <row r="3045" spans="7:13" x14ac:dyDescent="0.35">
      <c r="G3045" s="88"/>
      <c r="H3045" s="89"/>
      <c r="L3045" s="88"/>
      <c r="M3045" s="89"/>
    </row>
    <row r="3046" spans="7:13" x14ac:dyDescent="0.35">
      <c r="G3046" s="88"/>
      <c r="H3046" s="89"/>
      <c r="L3046" s="88"/>
      <c r="M3046" s="89"/>
    </row>
    <row r="3047" spans="7:13" x14ac:dyDescent="0.35">
      <c r="G3047" s="88"/>
      <c r="H3047" s="89"/>
      <c r="L3047" s="88"/>
      <c r="M3047" s="89"/>
    </row>
    <row r="3048" spans="7:13" x14ac:dyDescent="0.35">
      <c r="G3048" s="88"/>
      <c r="H3048" s="89"/>
      <c r="L3048" s="88"/>
      <c r="M3048" s="89"/>
    </row>
    <row r="3049" spans="7:13" x14ac:dyDescent="0.35">
      <c r="G3049" s="88"/>
      <c r="H3049" s="89"/>
      <c r="L3049" s="88"/>
      <c r="M3049" s="89"/>
    </row>
    <row r="3050" spans="7:13" x14ac:dyDescent="0.35">
      <c r="G3050" s="88"/>
      <c r="H3050" s="89"/>
      <c r="L3050" s="88"/>
      <c r="M3050" s="89"/>
    </row>
    <row r="3051" spans="7:13" x14ac:dyDescent="0.35">
      <c r="G3051" s="88"/>
      <c r="H3051" s="89"/>
      <c r="L3051" s="88"/>
      <c r="M3051" s="89"/>
    </row>
    <row r="3052" spans="7:13" x14ac:dyDescent="0.35">
      <c r="G3052" s="88"/>
      <c r="H3052" s="89"/>
      <c r="L3052" s="88"/>
      <c r="M3052" s="89"/>
    </row>
    <row r="3053" spans="7:13" x14ac:dyDescent="0.35">
      <c r="G3053" s="88"/>
      <c r="H3053" s="89"/>
      <c r="L3053" s="88"/>
      <c r="M3053" s="89"/>
    </row>
    <row r="3054" spans="7:13" x14ac:dyDescent="0.35">
      <c r="G3054" s="88"/>
      <c r="H3054" s="89"/>
      <c r="L3054" s="88"/>
      <c r="M3054" s="89"/>
    </row>
    <row r="3055" spans="7:13" x14ac:dyDescent="0.35">
      <c r="G3055" s="88"/>
      <c r="H3055" s="89"/>
      <c r="L3055" s="88"/>
      <c r="M3055" s="89"/>
    </row>
    <row r="3056" spans="7:13" x14ac:dyDescent="0.35">
      <c r="G3056" s="88"/>
      <c r="H3056" s="89"/>
      <c r="L3056" s="88"/>
      <c r="M3056" s="89"/>
    </row>
    <row r="3057" spans="7:13" x14ac:dyDescent="0.35">
      <c r="G3057" s="88"/>
      <c r="H3057" s="89"/>
      <c r="L3057" s="88"/>
      <c r="M3057" s="89"/>
    </row>
    <row r="3058" spans="7:13" x14ac:dyDescent="0.35">
      <c r="G3058" s="88"/>
      <c r="H3058" s="89"/>
      <c r="L3058" s="88"/>
      <c r="M3058" s="89"/>
    </row>
    <row r="3059" spans="7:13" x14ac:dyDescent="0.35">
      <c r="G3059" s="88"/>
      <c r="H3059" s="89"/>
      <c r="L3059" s="88"/>
      <c r="M3059" s="89"/>
    </row>
    <row r="3060" spans="7:13" x14ac:dyDescent="0.35">
      <c r="G3060" s="88"/>
      <c r="H3060" s="89"/>
      <c r="L3060" s="88"/>
      <c r="M3060" s="89"/>
    </row>
    <row r="3061" spans="7:13" x14ac:dyDescent="0.35">
      <c r="G3061" s="88"/>
      <c r="H3061" s="89"/>
      <c r="L3061" s="88"/>
      <c r="M3061" s="89"/>
    </row>
    <row r="3062" spans="7:13" x14ac:dyDescent="0.35">
      <c r="G3062" s="88"/>
      <c r="H3062" s="89"/>
      <c r="L3062" s="88"/>
      <c r="M3062" s="89"/>
    </row>
    <row r="3063" spans="7:13" x14ac:dyDescent="0.35">
      <c r="G3063" s="88"/>
      <c r="H3063" s="89"/>
      <c r="L3063" s="88"/>
      <c r="M3063" s="89"/>
    </row>
    <row r="3064" spans="7:13" x14ac:dyDescent="0.35">
      <c r="G3064" s="88"/>
      <c r="H3064" s="89"/>
      <c r="L3064" s="88"/>
      <c r="M3064" s="89"/>
    </row>
    <row r="3065" spans="7:13" x14ac:dyDescent="0.35">
      <c r="G3065" s="88"/>
      <c r="H3065" s="89"/>
      <c r="L3065" s="88"/>
      <c r="M3065" s="89"/>
    </row>
    <row r="3066" spans="7:13" x14ac:dyDescent="0.35">
      <c r="G3066" s="88"/>
      <c r="H3066" s="89"/>
      <c r="L3066" s="88"/>
      <c r="M3066" s="89"/>
    </row>
    <row r="3067" spans="7:13" x14ac:dyDescent="0.35">
      <c r="G3067" s="88"/>
      <c r="H3067" s="89"/>
      <c r="L3067" s="88"/>
      <c r="M3067" s="89"/>
    </row>
    <row r="3068" spans="7:13" x14ac:dyDescent="0.35">
      <c r="G3068" s="88"/>
      <c r="H3068" s="89"/>
      <c r="L3068" s="88"/>
      <c r="M3068" s="89"/>
    </row>
    <row r="3069" spans="7:13" x14ac:dyDescent="0.35">
      <c r="G3069" s="88"/>
      <c r="H3069" s="89"/>
      <c r="L3069" s="88"/>
      <c r="M3069" s="89"/>
    </row>
    <row r="3070" spans="7:13" x14ac:dyDescent="0.35">
      <c r="G3070" s="88"/>
      <c r="H3070" s="89"/>
      <c r="L3070" s="88"/>
      <c r="M3070" s="89"/>
    </row>
    <row r="3071" spans="7:13" x14ac:dyDescent="0.35">
      <c r="G3071" s="88"/>
      <c r="H3071" s="89"/>
      <c r="L3071" s="88"/>
      <c r="M3071" s="89"/>
    </row>
    <row r="3072" spans="7:13" x14ac:dyDescent="0.35">
      <c r="G3072" s="88"/>
      <c r="H3072" s="89"/>
      <c r="L3072" s="88"/>
      <c r="M3072" s="89"/>
    </row>
    <row r="3073" spans="7:13" x14ac:dyDescent="0.35">
      <c r="G3073" s="88"/>
      <c r="H3073" s="89"/>
      <c r="L3073" s="88"/>
      <c r="M3073" s="89"/>
    </row>
    <row r="3074" spans="7:13" x14ac:dyDescent="0.35">
      <c r="G3074" s="88"/>
      <c r="H3074" s="89"/>
      <c r="L3074" s="88"/>
      <c r="M3074" s="89"/>
    </row>
    <row r="3075" spans="7:13" x14ac:dyDescent="0.35">
      <c r="G3075" s="88"/>
      <c r="H3075" s="89"/>
      <c r="L3075" s="88"/>
      <c r="M3075" s="89"/>
    </row>
    <row r="3076" spans="7:13" x14ac:dyDescent="0.35">
      <c r="G3076" s="88"/>
      <c r="H3076" s="89"/>
      <c r="L3076" s="88"/>
      <c r="M3076" s="89"/>
    </row>
    <row r="3077" spans="7:13" x14ac:dyDescent="0.35">
      <c r="G3077" s="88"/>
      <c r="H3077" s="89"/>
      <c r="L3077" s="88"/>
      <c r="M3077" s="89"/>
    </row>
    <row r="3078" spans="7:13" x14ac:dyDescent="0.35">
      <c r="G3078" s="88"/>
      <c r="H3078" s="89"/>
      <c r="L3078" s="88"/>
      <c r="M3078" s="89"/>
    </row>
    <row r="3079" spans="7:13" x14ac:dyDescent="0.35">
      <c r="G3079" s="88"/>
      <c r="H3079" s="89"/>
      <c r="L3079" s="88"/>
      <c r="M3079" s="89"/>
    </row>
    <row r="3080" spans="7:13" x14ac:dyDescent="0.35">
      <c r="G3080" s="88"/>
      <c r="H3080" s="89"/>
      <c r="L3080" s="88"/>
      <c r="M3080" s="89"/>
    </row>
    <row r="3081" spans="7:13" x14ac:dyDescent="0.35">
      <c r="G3081" s="88"/>
      <c r="H3081" s="89"/>
      <c r="L3081" s="88"/>
      <c r="M3081" s="89"/>
    </row>
    <row r="3082" spans="7:13" x14ac:dyDescent="0.35">
      <c r="G3082" s="88"/>
      <c r="H3082" s="89"/>
      <c r="L3082" s="88"/>
      <c r="M3082" s="89"/>
    </row>
    <row r="3083" spans="7:13" x14ac:dyDescent="0.35">
      <c r="G3083" s="88"/>
      <c r="H3083" s="89"/>
      <c r="L3083" s="88"/>
      <c r="M3083" s="89"/>
    </row>
    <row r="3084" spans="7:13" x14ac:dyDescent="0.35">
      <c r="G3084" s="88"/>
      <c r="H3084" s="89"/>
      <c r="L3084" s="88"/>
      <c r="M3084" s="89"/>
    </row>
    <row r="3085" spans="7:13" x14ac:dyDescent="0.35">
      <c r="G3085" s="88"/>
      <c r="H3085" s="89"/>
      <c r="L3085" s="88"/>
      <c r="M3085" s="89"/>
    </row>
    <row r="3086" spans="7:13" x14ac:dyDescent="0.35">
      <c r="G3086" s="88"/>
      <c r="H3086" s="89"/>
      <c r="L3086" s="88"/>
      <c r="M3086" s="89"/>
    </row>
    <row r="3087" spans="7:13" x14ac:dyDescent="0.35">
      <c r="G3087" s="88"/>
      <c r="H3087" s="89"/>
      <c r="L3087" s="88"/>
      <c r="M3087" s="89"/>
    </row>
    <row r="3088" spans="7:13" x14ac:dyDescent="0.35">
      <c r="G3088" s="88"/>
      <c r="H3088" s="89"/>
      <c r="L3088" s="88"/>
      <c r="M3088" s="89"/>
    </row>
    <row r="3089" spans="7:13" x14ac:dyDescent="0.35">
      <c r="G3089" s="88"/>
      <c r="H3089" s="89"/>
      <c r="L3089" s="88"/>
      <c r="M3089" s="89"/>
    </row>
    <row r="3090" spans="7:13" x14ac:dyDescent="0.35">
      <c r="G3090" s="88"/>
      <c r="H3090" s="89"/>
      <c r="L3090" s="88"/>
      <c r="M3090" s="89"/>
    </row>
    <row r="3091" spans="7:13" x14ac:dyDescent="0.35">
      <c r="G3091" s="88"/>
      <c r="H3091" s="89"/>
      <c r="L3091" s="88"/>
      <c r="M3091" s="89"/>
    </row>
    <row r="3092" spans="7:13" x14ac:dyDescent="0.35">
      <c r="G3092" s="88"/>
      <c r="H3092" s="89"/>
      <c r="L3092" s="88"/>
      <c r="M3092" s="89"/>
    </row>
    <row r="3093" spans="7:13" x14ac:dyDescent="0.35">
      <c r="G3093" s="88"/>
      <c r="H3093" s="89"/>
      <c r="L3093" s="88"/>
      <c r="M3093" s="89"/>
    </row>
    <row r="3094" spans="7:13" x14ac:dyDescent="0.35">
      <c r="G3094" s="88"/>
      <c r="H3094" s="89"/>
      <c r="L3094" s="88"/>
      <c r="M3094" s="89"/>
    </row>
    <row r="3095" spans="7:13" x14ac:dyDescent="0.35">
      <c r="G3095" s="88"/>
      <c r="H3095" s="89"/>
      <c r="L3095" s="88"/>
      <c r="M3095" s="89"/>
    </row>
    <row r="3096" spans="7:13" x14ac:dyDescent="0.35">
      <c r="G3096" s="88"/>
      <c r="H3096" s="89"/>
      <c r="L3096" s="88"/>
      <c r="M3096" s="89"/>
    </row>
    <row r="3097" spans="7:13" x14ac:dyDescent="0.35">
      <c r="G3097" s="88"/>
      <c r="H3097" s="89"/>
      <c r="L3097" s="88"/>
      <c r="M3097" s="89"/>
    </row>
    <row r="3098" spans="7:13" x14ac:dyDescent="0.35">
      <c r="G3098" s="88"/>
      <c r="H3098" s="89"/>
      <c r="L3098" s="88"/>
      <c r="M3098" s="89"/>
    </row>
    <row r="3099" spans="7:13" x14ac:dyDescent="0.35">
      <c r="G3099" s="88"/>
      <c r="H3099" s="89"/>
      <c r="L3099" s="88"/>
      <c r="M3099" s="89"/>
    </row>
    <row r="3100" spans="7:13" x14ac:dyDescent="0.35">
      <c r="G3100" s="88"/>
      <c r="H3100" s="89"/>
      <c r="L3100" s="88"/>
      <c r="M3100" s="89"/>
    </row>
    <row r="3101" spans="7:13" x14ac:dyDescent="0.35">
      <c r="G3101" s="88"/>
      <c r="H3101" s="89"/>
      <c r="L3101" s="88"/>
      <c r="M3101" s="89"/>
    </row>
    <row r="3102" spans="7:13" x14ac:dyDescent="0.35">
      <c r="G3102" s="88"/>
      <c r="H3102" s="89"/>
      <c r="L3102" s="88"/>
      <c r="M3102" s="89"/>
    </row>
    <row r="3103" spans="7:13" x14ac:dyDescent="0.35">
      <c r="G3103" s="88"/>
      <c r="H3103" s="89"/>
      <c r="L3103" s="88"/>
      <c r="M3103" s="89"/>
    </row>
    <row r="3104" spans="7:13" x14ac:dyDescent="0.35">
      <c r="G3104" s="88"/>
      <c r="H3104" s="89"/>
      <c r="L3104" s="88"/>
      <c r="M3104" s="89"/>
    </row>
    <row r="3105" spans="7:13" x14ac:dyDescent="0.35">
      <c r="G3105" s="88"/>
      <c r="H3105" s="89"/>
      <c r="L3105" s="88"/>
      <c r="M3105" s="89"/>
    </row>
    <row r="3106" spans="7:13" x14ac:dyDescent="0.35">
      <c r="G3106" s="88"/>
      <c r="H3106" s="89"/>
      <c r="L3106" s="88"/>
      <c r="M3106" s="89"/>
    </row>
    <row r="3107" spans="7:13" x14ac:dyDescent="0.35">
      <c r="G3107" s="88"/>
      <c r="H3107" s="89"/>
      <c r="L3107" s="88"/>
      <c r="M3107" s="89"/>
    </row>
    <row r="3108" spans="7:13" x14ac:dyDescent="0.35">
      <c r="G3108" s="88"/>
      <c r="H3108" s="89"/>
      <c r="L3108" s="88"/>
      <c r="M3108" s="89"/>
    </row>
    <row r="3109" spans="7:13" x14ac:dyDescent="0.35">
      <c r="G3109" s="88"/>
      <c r="H3109" s="89"/>
      <c r="L3109" s="88"/>
      <c r="M3109" s="89"/>
    </row>
    <row r="3110" spans="7:13" x14ac:dyDescent="0.35">
      <c r="G3110" s="88"/>
      <c r="H3110" s="89"/>
      <c r="L3110" s="88"/>
      <c r="M3110" s="89"/>
    </row>
    <row r="3111" spans="7:13" x14ac:dyDescent="0.35">
      <c r="G3111" s="88"/>
      <c r="H3111" s="89"/>
      <c r="L3111" s="88"/>
      <c r="M3111" s="89"/>
    </row>
    <row r="3112" spans="7:13" x14ac:dyDescent="0.35">
      <c r="G3112" s="88"/>
      <c r="H3112" s="89"/>
      <c r="L3112" s="88"/>
      <c r="M3112" s="89"/>
    </row>
    <row r="3113" spans="7:13" x14ac:dyDescent="0.35">
      <c r="G3113" s="88"/>
      <c r="H3113" s="89"/>
      <c r="L3113" s="88"/>
      <c r="M3113" s="89"/>
    </row>
    <row r="3114" spans="7:13" x14ac:dyDescent="0.35">
      <c r="G3114" s="88"/>
      <c r="H3114" s="89"/>
      <c r="L3114" s="88"/>
      <c r="M3114" s="89"/>
    </row>
    <row r="3115" spans="7:13" x14ac:dyDescent="0.35">
      <c r="G3115" s="88"/>
      <c r="H3115" s="89"/>
      <c r="L3115" s="88"/>
      <c r="M3115" s="89"/>
    </row>
    <row r="3116" spans="7:13" x14ac:dyDescent="0.35">
      <c r="G3116" s="88"/>
      <c r="H3116" s="89"/>
      <c r="L3116" s="88"/>
      <c r="M3116" s="89"/>
    </row>
    <row r="3117" spans="7:13" x14ac:dyDescent="0.35">
      <c r="G3117" s="88"/>
      <c r="H3117" s="89"/>
      <c r="L3117" s="88"/>
      <c r="M3117" s="89"/>
    </row>
    <row r="3118" spans="7:13" x14ac:dyDescent="0.35">
      <c r="G3118" s="88"/>
      <c r="H3118" s="89"/>
      <c r="L3118" s="88"/>
      <c r="M3118" s="89"/>
    </row>
    <row r="3119" spans="7:13" x14ac:dyDescent="0.35">
      <c r="G3119" s="88"/>
      <c r="H3119" s="89"/>
      <c r="L3119" s="88"/>
      <c r="M3119" s="89"/>
    </row>
    <row r="3120" spans="7:13" x14ac:dyDescent="0.35">
      <c r="G3120" s="88"/>
      <c r="H3120" s="89"/>
      <c r="L3120" s="88"/>
      <c r="M3120" s="89"/>
    </row>
    <row r="3121" spans="7:13" x14ac:dyDescent="0.35">
      <c r="G3121" s="88"/>
      <c r="H3121" s="89"/>
      <c r="L3121" s="88"/>
      <c r="M3121" s="89"/>
    </row>
    <row r="3122" spans="7:13" x14ac:dyDescent="0.35">
      <c r="G3122" s="88"/>
      <c r="H3122" s="89"/>
      <c r="L3122" s="88"/>
      <c r="M3122" s="89"/>
    </row>
    <row r="3123" spans="7:13" x14ac:dyDescent="0.35">
      <c r="G3123" s="88"/>
      <c r="H3123" s="89"/>
      <c r="L3123" s="88"/>
      <c r="M3123" s="89"/>
    </row>
    <row r="3124" spans="7:13" x14ac:dyDescent="0.35">
      <c r="G3124" s="88"/>
      <c r="H3124" s="89"/>
      <c r="L3124" s="88"/>
      <c r="M3124" s="89"/>
    </row>
    <row r="3125" spans="7:13" x14ac:dyDescent="0.35">
      <c r="G3125" s="88"/>
      <c r="H3125" s="89"/>
      <c r="L3125" s="88"/>
      <c r="M3125" s="89"/>
    </row>
    <row r="3126" spans="7:13" x14ac:dyDescent="0.35">
      <c r="G3126" s="88"/>
      <c r="H3126" s="89"/>
      <c r="L3126" s="88"/>
      <c r="M3126" s="89"/>
    </row>
    <row r="3127" spans="7:13" x14ac:dyDescent="0.35">
      <c r="G3127" s="88"/>
      <c r="H3127" s="89"/>
      <c r="L3127" s="88"/>
      <c r="M3127" s="89"/>
    </row>
    <row r="3128" spans="7:13" x14ac:dyDescent="0.35">
      <c r="G3128" s="88"/>
      <c r="H3128" s="89"/>
      <c r="L3128" s="88"/>
      <c r="M3128" s="89"/>
    </row>
    <row r="3129" spans="7:13" x14ac:dyDescent="0.35">
      <c r="G3129" s="88"/>
      <c r="H3129" s="89"/>
      <c r="L3129" s="88"/>
      <c r="M3129" s="89"/>
    </row>
    <row r="3130" spans="7:13" x14ac:dyDescent="0.35">
      <c r="G3130" s="88"/>
      <c r="H3130" s="89"/>
      <c r="L3130" s="88"/>
      <c r="M3130" s="89"/>
    </row>
    <row r="3131" spans="7:13" x14ac:dyDescent="0.35">
      <c r="G3131" s="88"/>
      <c r="H3131" s="89"/>
      <c r="L3131" s="88"/>
      <c r="M3131" s="89"/>
    </row>
    <row r="3132" spans="7:13" x14ac:dyDescent="0.35">
      <c r="G3132" s="88"/>
      <c r="H3132" s="89"/>
      <c r="L3132" s="88"/>
      <c r="M3132" s="89"/>
    </row>
    <row r="3133" spans="7:13" x14ac:dyDescent="0.35">
      <c r="G3133" s="88"/>
      <c r="H3133" s="89"/>
      <c r="L3133" s="88"/>
      <c r="M3133" s="89"/>
    </row>
    <row r="3134" spans="7:13" x14ac:dyDescent="0.35">
      <c r="G3134" s="88"/>
      <c r="H3134" s="89"/>
      <c r="L3134" s="88"/>
      <c r="M3134" s="89"/>
    </row>
    <row r="3135" spans="7:13" x14ac:dyDescent="0.35">
      <c r="G3135" s="88"/>
      <c r="H3135" s="89"/>
      <c r="L3135" s="88"/>
      <c r="M3135" s="89"/>
    </row>
    <row r="3136" spans="7:13" x14ac:dyDescent="0.35">
      <c r="G3136" s="88"/>
      <c r="H3136" s="89"/>
      <c r="L3136" s="88"/>
      <c r="M3136" s="89"/>
    </row>
    <row r="3137" spans="7:13" x14ac:dyDescent="0.35">
      <c r="G3137" s="88"/>
      <c r="H3137" s="89"/>
      <c r="L3137" s="88"/>
      <c r="M3137" s="89"/>
    </row>
    <row r="3138" spans="7:13" x14ac:dyDescent="0.35">
      <c r="G3138" s="88"/>
      <c r="H3138" s="89"/>
      <c r="L3138" s="88"/>
      <c r="M3138" s="89"/>
    </row>
    <row r="3139" spans="7:13" x14ac:dyDescent="0.35">
      <c r="G3139" s="88"/>
      <c r="H3139" s="89"/>
      <c r="L3139" s="88"/>
      <c r="M3139" s="89"/>
    </row>
    <row r="3140" spans="7:13" x14ac:dyDescent="0.35">
      <c r="G3140" s="88"/>
      <c r="H3140" s="89"/>
      <c r="L3140" s="88"/>
      <c r="M3140" s="89"/>
    </row>
    <row r="3141" spans="7:13" x14ac:dyDescent="0.35">
      <c r="G3141" s="88"/>
      <c r="H3141" s="89"/>
      <c r="L3141" s="88"/>
      <c r="M3141" s="89"/>
    </row>
    <row r="3142" spans="7:13" x14ac:dyDescent="0.35">
      <c r="G3142" s="88"/>
      <c r="H3142" s="89"/>
      <c r="L3142" s="88"/>
      <c r="M3142" s="89"/>
    </row>
    <row r="3143" spans="7:13" x14ac:dyDescent="0.35">
      <c r="G3143" s="88"/>
      <c r="H3143" s="89"/>
      <c r="L3143" s="88"/>
      <c r="M3143" s="89"/>
    </row>
    <row r="3144" spans="7:13" x14ac:dyDescent="0.35">
      <c r="G3144" s="88"/>
      <c r="H3144" s="89"/>
      <c r="L3144" s="88"/>
      <c r="M3144" s="89"/>
    </row>
    <row r="3145" spans="7:13" x14ac:dyDescent="0.35">
      <c r="G3145" s="88"/>
      <c r="H3145" s="89"/>
      <c r="L3145" s="88"/>
      <c r="M3145" s="89"/>
    </row>
    <row r="3146" spans="7:13" x14ac:dyDescent="0.35">
      <c r="G3146" s="88"/>
      <c r="H3146" s="89"/>
      <c r="L3146" s="88"/>
      <c r="M3146" s="89"/>
    </row>
    <row r="3147" spans="7:13" x14ac:dyDescent="0.35">
      <c r="G3147" s="88"/>
      <c r="H3147" s="89"/>
      <c r="L3147" s="88"/>
      <c r="M3147" s="89"/>
    </row>
    <row r="3148" spans="7:13" x14ac:dyDescent="0.35">
      <c r="G3148" s="88"/>
      <c r="H3148" s="89"/>
      <c r="L3148" s="88"/>
      <c r="M3148" s="89"/>
    </row>
    <row r="3149" spans="7:13" x14ac:dyDescent="0.35">
      <c r="G3149" s="88"/>
      <c r="H3149" s="89"/>
      <c r="L3149" s="88"/>
      <c r="M3149" s="89"/>
    </row>
    <row r="3150" spans="7:13" x14ac:dyDescent="0.35">
      <c r="G3150" s="88"/>
      <c r="H3150" s="89"/>
      <c r="L3150" s="88"/>
      <c r="M3150" s="89"/>
    </row>
    <row r="3151" spans="7:13" x14ac:dyDescent="0.35">
      <c r="G3151" s="88"/>
      <c r="H3151" s="89"/>
      <c r="L3151" s="88"/>
      <c r="M3151" s="89"/>
    </row>
    <row r="3152" spans="7:13" x14ac:dyDescent="0.35">
      <c r="G3152" s="88"/>
      <c r="H3152" s="89"/>
      <c r="L3152" s="88"/>
      <c r="M3152" s="89"/>
    </row>
    <row r="3153" spans="7:13" x14ac:dyDescent="0.35">
      <c r="G3153" s="88"/>
      <c r="H3153" s="89"/>
      <c r="L3153" s="88"/>
      <c r="M3153" s="89"/>
    </row>
    <row r="3154" spans="7:13" x14ac:dyDescent="0.35">
      <c r="G3154" s="88"/>
      <c r="H3154" s="89"/>
      <c r="L3154" s="88"/>
      <c r="M3154" s="89"/>
    </row>
    <row r="3155" spans="7:13" x14ac:dyDescent="0.35">
      <c r="G3155" s="88"/>
      <c r="H3155" s="89"/>
      <c r="L3155" s="88"/>
      <c r="M3155" s="89"/>
    </row>
    <row r="3156" spans="7:13" x14ac:dyDescent="0.35">
      <c r="G3156" s="88"/>
      <c r="H3156" s="89"/>
      <c r="L3156" s="88"/>
      <c r="M3156" s="89"/>
    </row>
    <row r="3157" spans="7:13" x14ac:dyDescent="0.35">
      <c r="G3157" s="88"/>
      <c r="H3157" s="89"/>
      <c r="L3157" s="88"/>
      <c r="M3157" s="89"/>
    </row>
    <row r="3158" spans="7:13" x14ac:dyDescent="0.35">
      <c r="G3158" s="88"/>
      <c r="H3158" s="89"/>
      <c r="L3158" s="88"/>
      <c r="M3158" s="89"/>
    </row>
    <row r="3159" spans="7:13" x14ac:dyDescent="0.35">
      <c r="G3159" s="88"/>
      <c r="H3159" s="89"/>
      <c r="L3159" s="88"/>
      <c r="M3159" s="89"/>
    </row>
    <row r="3160" spans="7:13" x14ac:dyDescent="0.35">
      <c r="G3160" s="88"/>
      <c r="H3160" s="89"/>
      <c r="L3160" s="88"/>
      <c r="M3160" s="89"/>
    </row>
    <row r="3161" spans="7:13" x14ac:dyDescent="0.35">
      <c r="G3161" s="88"/>
      <c r="H3161" s="89"/>
      <c r="L3161" s="88"/>
      <c r="M3161" s="89"/>
    </row>
    <row r="3162" spans="7:13" x14ac:dyDescent="0.35">
      <c r="G3162" s="88"/>
      <c r="H3162" s="89"/>
      <c r="L3162" s="88"/>
      <c r="M3162" s="89"/>
    </row>
    <row r="3163" spans="7:13" x14ac:dyDescent="0.35">
      <c r="G3163" s="88"/>
      <c r="H3163" s="89"/>
      <c r="L3163" s="88"/>
      <c r="M3163" s="89"/>
    </row>
    <row r="3164" spans="7:13" x14ac:dyDescent="0.35">
      <c r="G3164" s="88"/>
      <c r="H3164" s="89"/>
      <c r="L3164" s="88"/>
      <c r="M3164" s="89"/>
    </row>
    <row r="3165" spans="7:13" x14ac:dyDescent="0.35">
      <c r="G3165" s="88"/>
      <c r="H3165" s="89"/>
      <c r="L3165" s="88"/>
      <c r="M3165" s="89"/>
    </row>
    <row r="3166" spans="7:13" x14ac:dyDescent="0.35">
      <c r="G3166" s="88"/>
      <c r="H3166" s="89"/>
      <c r="L3166" s="88"/>
      <c r="M3166" s="89"/>
    </row>
    <row r="3167" spans="7:13" x14ac:dyDescent="0.35">
      <c r="G3167" s="88"/>
      <c r="H3167" s="89"/>
      <c r="L3167" s="88"/>
      <c r="M3167" s="89"/>
    </row>
    <row r="3168" spans="7:13" x14ac:dyDescent="0.35">
      <c r="G3168" s="88"/>
      <c r="H3168" s="89"/>
      <c r="L3168" s="88"/>
      <c r="M3168" s="89"/>
    </row>
    <row r="3169" spans="7:13" x14ac:dyDescent="0.35">
      <c r="G3169" s="88"/>
      <c r="H3169" s="89"/>
      <c r="L3169" s="88"/>
      <c r="M3169" s="89"/>
    </row>
    <row r="3170" spans="7:13" x14ac:dyDescent="0.35">
      <c r="G3170" s="88"/>
      <c r="H3170" s="89"/>
      <c r="L3170" s="88"/>
      <c r="M3170" s="89"/>
    </row>
    <row r="3171" spans="7:13" x14ac:dyDescent="0.35">
      <c r="G3171" s="88"/>
      <c r="H3171" s="89"/>
      <c r="L3171" s="88"/>
      <c r="M3171" s="89"/>
    </row>
    <row r="3172" spans="7:13" x14ac:dyDescent="0.35">
      <c r="G3172" s="88"/>
      <c r="H3172" s="89"/>
      <c r="L3172" s="88"/>
      <c r="M3172" s="89"/>
    </row>
    <row r="3173" spans="7:13" x14ac:dyDescent="0.35">
      <c r="G3173" s="88"/>
      <c r="H3173" s="89"/>
      <c r="L3173" s="88"/>
      <c r="M3173" s="89"/>
    </row>
    <row r="3174" spans="7:13" x14ac:dyDescent="0.35">
      <c r="G3174" s="88"/>
      <c r="H3174" s="89"/>
      <c r="L3174" s="88"/>
      <c r="M3174" s="89"/>
    </row>
    <row r="3175" spans="7:13" x14ac:dyDescent="0.35">
      <c r="G3175" s="88"/>
      <c r="H3175" s="89"/>
      <c r="L3175" s="88"/>
      <c r="M3175" s="89"/>
    </row>
    <row r="3176" spans="7:13" x14ac:dyDescent="0.35">
      <c r="G3176" s="88"/>
      <c r="H3176" s="89"/>
      <c r="L3176" s="88"/>
      <c r="M3176" s="89"/>
    </row>
    <row r="3177" spans="7:13" x14ac:dyDescent="0.35">
      <c r="G3177" s="88"/>
      <c r="H3177" s="89"/>
      <c r="L3177" s="88"/>
      <c r="M3177" s="89"/>
    </row>
    <row r="3178" spans="7:13" x14ac:dyDescent="0.35">
      <c r="G3178" s="88"/>
      <c r="H3178" s="89"/>
      <c r="L3178" s="88"/>
      <c r="M3178" s="89"/>
    </row>
    <row r="3179" spans="7:13" x14ac:dyDescent="0.35">
      <c r="G3179" s="88"/>
      <c r="H3179" s="89"/>
      <c r="L3179" s="88"/>
      <c r="M3179" s="89"/>
    </row>
    <row r="3180" spans="7:13" x14ac:dyDescent="0.35">
      <c r="G3180" s="88"/>
      <c r="H3180" s="89"/>
      <c r="L3180" s="88"/>
      <c r="M3180" s="89"/>
    </row>
    <row r="3181" spans="7:13" x14ac:dyDescent="0.35">
      <c r="G3181" s="88"/>
      <c r="H3181" s="89"/>
      <c r="L3181" s="88"/>
      <c r="M3181" s="89"/>
    </row>
    <row r="3182" spans="7:13" x14ac:dyDescent="0.35">
      <c r="G3182" s="88"/>
      <c r="H3182" s="89"/>
      <c r="L3182" s="88"/>
      <c r="M3182" s="89"/>
    </row>
    <row r="3183" spans="7:13" x14ac:dyDescent="0.35">
      <c r="G3183" s="88"/>
      <c r="H3183" s="89"/>
      <c r="L3183" s="88"/>
      <c r="M3183" s="89"/>
    </row>
    <row r="3184" spans="7:13" x14ac:dyDescent="0.35">
      <c r="G3184" s="88"/>
      <c r="H3184" s="89"/>
      <c r="L3184" s="88"/>
      <c r="M3184" s="89"/>
    </row>
    <row r="3185" spans="7:13" x14ac:dyDescent="0.35">
      <c r="G3185" s="88"/>
      <c r="H3185" s="89"/>
      <c r="L3185" s="88"/>
      <c r="M3185" s="89"/>
    </row>
    <row r="3186" spans="7:13" x14ac:dyDescent="0.35">
      <c r="G3186" s="88"/>
      <c r="H3186" s="89"/>
      <c r="L3186" s="88"/>
      <c r="M3186" s="89"/>
    </row>
    <row r="3187" spans="7:13" x14ac:dyDescent="0.35">
      <c r="G3187" s="88"/>
      <c r="H3187" s="89"/>
      <c r="L3187" s="88"/>
      <c r="M3187" s="89"/>
    </row>
    <row r="3188" spans="7:13" x14ac:dyDescent="0.35">
      <c r="G3188" s="88"/>
      <c r="H3188" s="89"/>
      <c r="L3188" s="88"/>
      <c r="M3188" s="89"/>
    </row>
    <row r="3189" spans="7:13" x14ac:dyDescent="0.35">
      <c r="G3189" s="88"/>
      <c r="H3189" s="89"/>
      <c r="L3189" s="88"/>
      <c r="M3189" s="89"/>
    </row>
    <row r="3190" spans="7:13" x14ac:dyDescent="0.35">
      <c r="G3190" s="88"/>
      <c r="H3190" s="89"/>
      <c r="L3190" s="88"/>
      <c r="M3190" s="89"/>
    </row>
    <row r="3191" spans="7:13" x14ac:dyDescent="0.35">
      <c r="G3191" s="88"/>
      <c r="H3191" s="89"/>
      <c r="L3191" s="88"/>
      <c r="M3191" s="89"/>
    </row>
    <row r="3192" spans="7:13" x14ac:dyDescent="0.35">
      <c r="G3192" s="88"/>
      <c r="H3192" s="89"/>
      <c r="L3192" s="88"/>
      <c r="M3192" s="89"/>
    </row>
    <row r="3193" spans="7:13" x14ac:dyDescent="0.35">
      <c r="G3193" s="88"/>
      <c r="H3193" s="89"/>
      <c r="L3193" s="88"/>
      <c r="M3193" s="89"/>
    </row>
    <row r="3194" spans="7:13" x14ac:dyDescent="0.35">
      <c r="G3194" s="88"/>
      <c r="H3194" s="89"/>
      <c r="L3194" s="88"/>
      <c r="M3194" s="89"/>
    </row>
    <row r="3195" spans="7:13" x14ac:dyDescent="0.35">
      <c r="G3195" s="88"/>
      <c r="H3195" s="89"/>
      <c r="L3195" s="88"/>
      <c r="M3195" s="89"/>
    </row>
    <row r="3196" spans="7:13" x14ac:dyDescent="0.35">
      <c r="G3196" s="88"/>
      <c r="H3196" s="89"/>
      <c r="L3196" s="88"/>
      <c r="M3196" s="89"/>
    </row>
    <row r="3197" spans="7:13" x14ac:dyDescent="0.35">
      <c r="G3197" s="88"/>
      <c r="H3197" s="89"/>
      <c r="L3197" s="88"/>
      <c r="M3197" s="89"/>
    </row>
    <row r="3198" spans="7:13" x14ac:dyDescent="0.35">
      <c r="G3198" s="88"/>
      <c r="H3198" s="89"/>
      <c r="L3198" s="88"/>
      <c r="M3198" s="89"/>
    </row>
    <row r="3199" spans="7:13" x14ac:dyDescent="0.35">
      <c r="G3199" s="88"/>
      <c r="H3199" s="89"/>
      <c r="L3199" s="88"/>
      <c r="M3199" s="89"/>
    </row>
    <row r="3200" spans="7:13" x14ac:dyDescent="0.35">
      <c r="G3200" s="88"/>
      <c r="H3200" s="89"/>
      <c r="L3200" s="88"/>
      <c r="M3200" s="89"/>
    </row>
    <row r="3201" spans="7:13" x14ac:dyDescent="0.35">
      <c r="G3201" s="88"/>
      <c r="H3201" s="89"/>
      <c r="L3201" s="88"/>
      <c r="M3201" s="89"/>
    </row>
    <row r="3202" spans="7:13" x14ac:dyDescent="0.35">
      <c r="G3202" s="88"/>
      <c r="H3202" s="89"/>
      <c r="L3202" s="88"/>
      <c r="M3202" s="89"/>
    </row>
    <row r="3203" spans="7:13" x14ac:dyDescent="0.35">
      <c r="G3203" s="88"/>
      <c r="H3203" s="89"/>
      <c r="L3203" s="88"/>
      <c r="M3203" s="89"/>
    </row>
    <row r="3204" spans="7:13" x14ac:dyDescent="0.35">
      <c r="G3204" s="88"/>
      <c r="H3204" s="89"/>
      <c r="L3204" s="88"/>
      <c r="M3204" s="89"/>
    </row>
    <row r="3205" spans="7:13" x14ac:dyDescent="0.35">
      <c r="G3205" s="88"/>
      <c r="H3205" s="89"/>
      <c r="L3205" s="88"/>
      <c r="M3205" s="89"/>
    </row>
    <row r="3206" spans="7:13" x14ac:dyDescent="0.35">
      <c r="G3206" s="88"/>
      <c r="H3206" s="89"/>
      <c r="L3206" s="88"/>
      <c r="M3206" s="89"/>
    </row>
    <row r="3207" spans="7:13" x14ac:dyDescent="0.35">
      <c r="G3207" s="88"/>
      <c r="H3207" s="89"/>
      <c r="L3207" s="88"/>
      <c r="M3207" s="89"/>
    </row>
    <row r="3208" spans="7:13" x14ac:dyDescent="0.35">
      <c r="G3208" s="88"/>
      <c r="H3208" s="89"/>
      <c r="L3208" s="88"/>
      <c r="M3208" s="89"/>
    </row>
    <row r="3209" spans="7:13" x14ac:dyDescent="0.35">
      <c r="G3209" s="88"/>
      <c r="H3209" s="89"/>
      <c r="L3209" s="88"/>
      <c r="M3209" s="89"/>
    </row>
    <row r="3210" spans="7:13" x14ac:dyDescent="0.35">
      <c r="G3210" s="88"/>
      <c r="H3210" s="89"/>
      <c r="L3210" s="88"/>
      <c r="M3210" s="89"/>
    </row>
    <row r="3211" spans="7:13" x14ac:dyDescent="0.35">
      <c r="G3211" s="88"/>
      <c r="H3211" s="89"/>
      <c r="L3211" s="88"/>
      <c r="M3211" s="89"/>
    </row>
    <row r="3212" spans="7:13" x14ac:dyDescent="0.35">
      <c r="G3212" s="88"/>
      <c r="H3212" s="89"/>
      <c r="L3212" s="88"/>
      <c r="M3212" s="89"/>
    </row>
    <row r="3213" spans="7:13" x14ac:dyDescent="0.35">
      <c r="G3213" s="88"/>
      <c r="H3213" s="89"/>
      <c r="L3213" s="88"/>
      <c r="M3213" s="89"/>
    </row>
    <row r="3214" spans="7:13" x14ac:dyDescent="0.35">
      <c r="G3214" s="88"/>
      <c r="H3214" s="89"/>
      <c r="L3214" s="88"/>
      <c r="M3214" s="89"/>
    </row>
    <row r="3215" spans="7:13" x14ac:dyDescent="0.35">
      <c r="G3215" s="88"/>
      <c r="H3215" s="89"/>
      <c r="L3215" s="88"/>
      <c r="M3215" s="89"/>
    </row>
    <row r="3216" spans="7:13" x14ac:dyDescent="0.35">
      <c r="G3216" s="88"/>
      <c r="H3216" s="89"/>
      <c r="L3216" s="88"/>
      <c r="M3216" s="89"/>
    </row>
    <row r="3217" spans="7:13" x14ac:dyDescent="0.35">
      <c r="G3217" s="88"/>
      <c r="H3217" s="89"/>
      <c r="L3217" s="88"/>
      <c r="M3217" s="89"/>
    </row>
    <row r="3218" spans="7:13" x14ac:dyDescent="0.35">
      <c r="G3218" s="88"/>
      <c r="H3218" s="89"/>
      <c r="L3218" s="88"/>
      <c r="M3218" s="89"/>
    </row>
    <row r="3219" spans="7:13" x14ac:dyDescent="0.35">
      <c r="G3219" s="88"/>
      <c r="H3219" s="89"/>
      <c r="L3219" s="88"/>
      <c r="M3219" s="89"/>
    </row>
    <row r="3220" spans="7:13" x14ac:dyDescent="0.35">
      <c r="G3220" s="88"/>
      <c r="H3220" s="89"/>
      <c r="L3220" s="88"/>
      <c r="M3220" s="89"/>
    </row>
    <row r="3221" spans="7:13" x14ac:dyDescent="0.35">
      <c r="G3221" s="88"/>
      <c r="H3221" s="89"/>
      <c r="L3221" s="88"/>
      <c r="M3221" s="89"/>
    </row>
    <row r="3222" spans="7:13" x14ac:dyDescent="0.35">
      <c r="G3222" s="88"/>
      <c r="H3222" s="89"/>
      <c r="L3222" s="88"/>
      <c r="M3222" s="89"/>
    </row>
    <row r="3223" spans="7:13" x14ac:dyDescent="0.35">
      <c r="G3223" s="88"/>
      <c r="H3223" s="89"/>
      <c r="L3223" s="88"/>
      <c r="M3223" s="89"/>
    </row>
    <row r="3224" spans="7:13" x14ac:dyDescent="0.35">
      <c r="G3224" s="88"/>
      <c r="H3224" s="89"/>
      <c r="L3224" s="88"/>
      <c r="M3224" s="89"/>
    </row>
    <row r="3225" spans="7:13" x14ac:dyDescent="0.35">
      <c r="G3225" s="88"/>
      <c r="H3225" s="89"/>
      <c r="L3225" s="88"/>
      <c r="M3225" s="89"/>
    </row>
    <row r="3226" spans="7:13" x14ac:dyDescent="0.35">
      <c r="G3226" s="88"/>
      <c r="H3226" s="89"/>
      <c r="L3226" s="88"/>
      <c r="M3226" s="89"/>
    </row>
    <row r="3227" spans="7:13" x14ac:dyDescent="0.35">
      <c r="G3227" s="88"/>
      <c r="H3227" s="89"/>
      <c r="L3227" s="88"/>
      <c r="M3227" s="89"/>
    </row>
    <row r="3228" spans="7:13" x14ac:dyDescent="0.35">
      <c r="G3228" s="88"/>
      <c r="H3228" s="89"/>
      <c r="L3228" s="88"/>
      <c r="M3228" s="89"/>
    </row>
    <row r="3229" spans="7:13" x14ac:dyDescent="0.35">
      <c r="G3229" s="88"/>
      <c r="H3229" s="89"/>
      <c r="L3229" s="88"/>
      <c r="M3229" s="89"/>
    </row>
    <row r="3230" spans="7:13" x14ac:dyDescent="0.35">
      <c r="G3230" s="88"/>
      <c r="H3230" s="89"/>
      <c r="L3230" s="88"/>
      <c r="M3230" s="89"/>
    </row>
    <row r="3231" spans="7:13" x14ac:dyDescent="0.35">
      <c r="G3231" s="88"/>
      <c r="H3231" s="89"/>
      <c r="L3231" s="88"/>
      <c r="M3231" s="89"/>
    </row>
    <row r="3232" spans="7:13" x14ac:dyDescent="0.35">
      <c r="G3232" s="88"/>
      <c r="H3232" s="89"/>
      <c r="L3232" s="88"/>
      <c r="M3232" s="89"/>
    </row>
    <row r="3233" spans="7:13" x14ac:dyDescent="0.35">
      <c r="G3233" s="88"/>
      <c r="H3233" s="89"/>
      <c r="L3233" s="88"/>
      <c r="M3233" s="89"/>
    </row>
    <row r="3234" spans="7:13" x14ac:dyDescent="0.35">
      <c r="G3234" s="88"/>
      <c r="H3234" s="89"/>
      <c r="L3234" s="88"/>
      <c r="M3234" s="89"/>
    </row>
    <row r="3235" spans="7:13" x14ac:dyDescent="0.35">
      <c r="G3235" s="88"/>
      <c r="H3235" s="89"/>
      <c r="L3235" s="88"/>
      <c r="M3235" s="89"/>
    </row>
    <row r="3236" spans="7:13" x14ac:dyDescent="0.35">
      <c r="G3236" s="88"/>
      <c r="H3236" s="89"/>
      <c r="L3236" s="88"/>
      <c r="M3236" s="89"/>
    </row>
    <row r="3237" spans="7:13" x14ac:dyDescent="0.35">
      <c r="G3237" s="88"/>
      <c r="H3237" s="89"/>
      <c r="L3237" s="88"/>
      <c r="M3237" s="89"/>
    </row>
    <row r="3238" spans="7:13" x14ac:dyDescent="0.35">
      <c r="G3238" s="88"/>
      <c r="H3238" s="89"/>
      <c r="L3238" s="88"/>
      <c r="M3238" s="89"/>
    </row>
    <row r="3239" spans="7:13" x14ac:dyDescent="0.35">
      <c r="G3239" s="88"/>
      <c r="H3239" s="89"/>
      <c r="L3239" s="88"/>
      <c r="M3239" s="89"/>
    </row>
    <row r="3240" spans="7:13" x14ac:dyDescent="0.35">
      <c r="G3240" s="88"/>
      <c r="H3240" s="89"/>
      <c r="L3240" s="88"/>
      <c r="M3240" s="89"/>
    </row>
    <row r="3241" spans="7:13" x14ac:dyDescent="0.35">
      <c r="G3241" s="88"/>
      <c r="H3241" s="89"/>
      <c r="L3241" s="88"/>
      <c r="M3241" s="89"/>
    </row>
    <row r="3242" spans="7:13" x14ac:dyDescent="0.35">
      <c r="G3242" s="88"/>
      <c r="H3242" s="89"/>
      <c r="L3242" s="88"/>
      <c r="M3242" s="89"/>
    </row>
    <row r="3243" spans="7:13" x14ac:dyDescent="0.35">
      <c r="G3243" s="88"/>
      <c r="H3243" s="89"/>
      <c r="L3243" s="88"/>
      <c r="M3243" s="89"/>
    </row>
    <row r="3244" spans="7:13" x14ac:dyDescent="0.35">
      <c r="G3244" s="88"/>
      <c r="H3244" s="89"/>
      <c r="L3244" s="88"/>
      <c r="M3244" s="89"/>
    </row>
    <row r="3245" spans="7:13" x14ac:dyDescent="0.35">
      <c r="G3245" s="88"/>
      <c r="H3245" s="89"/>
      <c r="L3245" s="88"/>
      <c r="M3245" s="89"/>
    </row>
    <row r="3246" spans="7:13" x14ac:dyDescent="0.35">
      <c r="G3246" s="88"/>
      <c r="H3246" s="89"/>
      <c r="L3246" s="88"/>
      <c r="M3246" s="89"/>
    </row>
    <row r="3247" spans="7:13" x14ac:dyDescent="0.35">
      <c r="G3247" s="88"/>
      <c r="H3247" s="89"/>
      <c r="L3247" s="88"/>
      <c r="M3247" s="89"/>
    </row>
    <row r="3248" spans="7:13" x14ac:dyDescent="0.35">
      <c r="G3248" s="88"/>
      <c r="H3248" s="89"/>
      <c r="L3248" s="88"/>
      <c r="M3248" s="89"/>
    </row>
    <row r="3249" spans="7:13" x14ac:dyDescent="0.35">
      <c r="G3249" s="88"/>
      <c r="H3249" s="89"/>
      <c r="L3249" s="88"/>
      <c r="M3249" s="89"/>
    </row>
    <row r="3250" spans="7:13" x14ac:dyDescent="0.35">
      <c r="G3250" s="88"/>
      <c r="H3250" s="89"/>
      <c r="L3250" s="88"/>
      <c r="M3250" s="89"/>
    </row>
    <row r="3251" spans="7:13" x14ac:dyDescent="0.35">
      <c r="G3251" s="88"/>
      <c r="H3251" s="89"/>
      <c r="L3251" s="88"/>
      <c r="M3251" s="89"/>
    </row>
    <row r="3252" spans="7:13" x14ac:dyDescent="0.35">
      <c r="G3252" s="88"/>
      <c r="H3252" s="89"/>
      <c r="L3252" s="88"/>
      <c r="M3252" s="89"/>
    </row>
    <row r="3253" spans="7:13" x14ac:dyDescent="0.35">
      <c r="G3253" s="88"/>
      <c r="H3253" s="89"/>
      <c r="L3253" s="88"/>
      <c r="M3253" s="89"/>
    </row>
    <row r="3254" spans="7:13" x14ac:dyDescent="0.35">
      <c r="G3254" s="88"/>
      <c r="H3254" s="89"/>
      <c r="L3254" s="88"/>
      <c r="M3254" s="89"/>
    </row>
    <row r="3255" spans="7:13" x14ac:dyDescent="0.35">
      <c r="G3255" s="88"/>
      <c r="H3255" s="89"/>
      <c r="L3255" s="88"/>
      <c r="M3255" s="89"/>
    </row>
    <row r="3256" spans="7:13" x14ac:dyDescent="0.35">
      <c r="G3256" s="88"/>
      <c r="H3256" s="89"/>
      <c r="L3256" s="88"/>
      <c r="M3256" s="89"/>
    </row>
    <row r="3257" spans="7:13" x14ac:dyDescent="0.35">
      <c r="G3257" s="88"/>
      <c r="H3257" s="89"/>
      <c r="L3257" s="88"/>
      <c r="M3257" s="89"/>
    </row>
    <row r="3258" spans="7:13" x14ac:dyDescent="0.35">
      <c r="G3258" s="88"/>
      <c r="H3258" s="89"/>
      <c r="L3258" s="88"/>
      <c r="M3258" s="89"/>
    </row>
    <row r="3259" spans="7:13" x14ac:dyDescent="0.35">
      <c r="G3259" s="88"/>
      <c r="H3259" s="89"/>
      <c r="L3259" s="88"/>
      <c r="M3259" s="89"/>
    </row>
    <row r="3260" spans="7:13" x14ac:dyDescent="0.35">
      <c r="G3260" s="88"/>
      <c r="H3260" s="89"/>
      <c r="L3260" s="88"/>
      <c r="M3260" s="89"/>
    </row>
    <row r="3261" spans="7:13" x14ac:dyDescent="0.35">
      <c r="G3261" s="88"/>
      <c r="H3261" s="89"/>
      <c r="L3261" s="88"/>
      <c r="M3261" s="89"/>
    </row>
    <row r="3262" spans="7:13" x14ac:dyDescent="0.35">
      <c r="G3262" s="88"/>
      <c r="H3262" s="89"/>
      <c r="L3262" s="88"/>
      <c r="M3262" s="89"/>
    </row>
    <row r="3263" spans="7:13" x14ac:dyDescent="0.35">
      <c r="G3263" s="88"/>
      <c r="H3263" s="89"/>
      <c r="L3263" s="88"/>
      <c r="M3263" s="89"/>
    </row>
    <row r="3264" spans="7:13" x14ac:dyDescent="0.35">
      <c r="G3264" s="88"/>
      <c r="H3264" s="89"/>
      <c r="L3264" s="88"/>
      <c r="M3264" s="89"/>
    </row>
    <row r="3265" spans="7:13" x14ac:dyDescent="0.35">
      <c r="G3265" s="88"/>
      <c r="H3265" s="89"/>
      <c r="L3265" s="88"/>
      <c r="M3265" s="89"/>
    </row>
    <row r="3266" spans="7:13" x14ac:dyDescent="0.35">
      <c r="G3266" s="88"/>
      <c r="H3266" s="89"/>
      <c r="L3266" s="88"/>
      <c r="M3266" s="89"/>
    </row>
    <row r="3267" spans="7:13" x14ac:dyDescent="0.35">
      <c r="G3267" s="88"/>
      <c r="H3267" s="89"/>
      <c r="L3267" s="88"/>
      <c r="M3267" s="89"/>
    </row>
    <row r="3268" spans="7:13" x14ac:dyDescent="0.35">
      <c r="G3268" s="88"/>
      <c r="H3268" s="89"/>
      <c r="L3268" s="88"/>
      <c r="M3268" s="89"/>
    </row>
    <row r="3269" spans="7:13" x14ac:dyDescent="0.35">
      <c r="G3269" s="88"/>
      <c r="H3269" s="89"/>
      <c r="L3269" s="88"/>
      <c r="M3269" s="89"/>
    </row>
    <row r="3270" spans="7:13" x14ac:dyDescent="0.35">
      <c r="G3270" s="88"/>
      <c r="H3270" s="89"/>
      <c r="L3270" s="88"/>
      <c r="M3270" s="89"/>
    </row>
    <row r="3271" spans="7:13" x14ac:dyDescent="0.35">
      <c r="G3271" s="88"/>
      <c r="H3271" s="89"/>
      <c r="L3271" s="88"/>
      <c r="M3271" s="89"/>
    </row>
    <row r="3272" spans="7:13" x14ac:dyDescent="0.35">
      <c r="G3272" s="88"/>
      <c r="H3272" s="89"/>
      <c r="L3272" s="88"/>
      <c r="M3272" s="89"/>
    </row>
    <row r="3273" spans="7:13" x14ac:dyDescent="0.35">
      <c r="G3273" s="88"/>
      <c r="H3273" s="89"/>
      <c r="L3273" s="88"/>
      <c r="M3273" s="89"/>
    </row>
    <row r="3274" spans="7:13" x14ac:dyDescent="0.35">
      <c r="G3274" s="88"/>
      <c r="H3274" s="89"/>
      <c r="L3274" s="88"/>
      <c r="M3274" s="89"/>
    </row>
    <row r="3275" spans="7:13" x14ac:dyDescent="0.35">
      <c r="G3275" s="88"/>
      <c r="H3275" s="89"/>
      <c r="L3275" s="88"/>
      <c r="M3275" s="89"/>
    </row>
    <row r="3276" spans="7:13" x14ac:dyDescent="0.35">
      <c r="G3276" s="88"/>
      <c r="H3276" s="89"/>
      <c r="L3276" s="88"/>
      <c r="M3276" s="89"/>
    </row>
    <row r="3277" spans="7:13" x14ac:dyDescent="0.35">
      <c r="G3277" s="88"/>
      <c r="H3277" s="89"/>
      <c r="L3277" s="88"/>
      <c r="M3277" s="89"/>
    </row>
    <row r="3278" spans="7:13" x14ac:dyDescent="0.35">
      <c r="G3278" s="88"/>
      <c r="H3278" s="89"/>
      <c r="L3278" s="88"/>
      <c r="M3278" s="89"/>
    </row>
    <row r="3279" spans="7:13" x14ac:dyDescent="0.35">
      <c r="G3279" s="88"/>
      <c r="H3279" s="89"/>
      <c r="L3279" s="88"/>
      <c r="M3279" s="89"/>
    </row>
    <row r="3280" spans="7:13" x14ac:dyDescent="0.35">
      <c r="G3280" s="88"/>
      <c r="H3280" s="89"/>
      <c r="L3280" s="88"/>
      <c r="M3280" s="89"/>
    </row>
    <row r="3281" spans="7:13" x14ac:dyDescent="0.35">
      <c r="G3281" s="88"/>
      <c r="H3281" s="89"/>
      <c r="L3281" s="88"/>
      <c r="M3281" s="89"/>
    </row>
    <row r="3282" spans="7:13" x14ac:dyDescent="0.35">
      <c r="G3282" s="88"/>
      <c r="H3282" s="89"/>
      <c r="L3282" s="88"/>
      <c r="M3282" s="89"/>
    </row>
    <row r="3283" spans="7:13" x14ac:dyDescent="0.35">
      <c r="G3283" s="88"/>
      <c r="H3283" s="89"/>
      <c r="L3283" s="88"/>
      <c r="M3283" s="89"/>
    </row>
    <row r="3284" spans="7:13" x14ac:dyDescent="0.35">
      <c r="G3284" s="88"/>
      <c r="H3284" s="89"/>
      <c r="L3284" s="88"/>
      <c r="M3284" s="89"/>
    </row>
    <row r="3285" spans="7:13" x14ac:dyDescent="0.35">
      <c r="G3285" s="88"/>
      <c r="H3285" s="89"/>
      <c r="L3285" s="88"/>
      <c r="M3285" s="89"/>
    </row>
    <row r="3286" spans="7:13" x14ac:dyDescent="0.35">
      <c r="G3286" s="88"/>
      <c r="H3286" s="89"/>
      <c r="L3286" s="88"/>
      <c r="M3286" s="89"/>
    </row>
    <row r="3287" spans="7:13" x14ac:dyDescent="0.35">
      <c r="G3287" s="88"/>
      <c r="H3287" s="89"/>
      <c r="L3287" s="88"/>
      <c r="M3287" s="89"/>
    </row>
    <row r="3288" spans="7:13" x14ac:dyDescent="0.35">
      <c r="G3288" s="88"/>
      <c r="H3288" s="89"/>
      <c r="L3288" s="88"/>
      <c r="M3288" s="89"/>
    </row>
    <row r="3289" spans="7:13" x14ac:dyDescent="0.35">
      <c r="G3289" s="88"/>
      <c r="H3289" s="89"/>
      <c r="L3289" s="88"/>
      <c r="M3289" s="89"/>
    </row>
    <row r="3290" spans="7:13" x14ac:dyDescent="0.35">
      <c r="G3290" s="88"/>
      <c r="H3290" s="89"/>
      <c r="L3290" s="88"/>
      <c r="M3290" s="89"/>
    </row>
    <row r="3291" spans="7:13" x14ac:dyDescent="0.35">
      <c r="G3291" s="88"/>
      <c r="H3291" s="89"/>
      <c r="L3291" s="88"/>
      <c r="M3291" s="89"/>
    </row>
    <row r="3292" spans="7:13" x14ac:dyDescent="0.35">
      <c r="G3292" s="88"/>
      <c r="H3292" s="89"/>
      <c r="L3292" s="88"/>
      <c r="M3292" s="89"/>
    </row>
    <row r="3293" spans="7:13" x14ac:dyDescent="0.35">
      <c r="G3293" s="88"/>
      <c r="H3293" s="89"/>
      <c r="L3293" s="88"/>
      <c r="M3293" s="89"/>
    </row>
    <row r="3294" spans="7:13" x14ac:dyDescent="0.35">
      <c r="G3294" s="88"/>
      <c r="H3294" s="89"/>
      <c r="L3294" s="88"/>
      <c r="M3294" s="89"/>
    </row>
    <row r="3295" spans="7:13" x14ac:dyDescent="0.35">
      <c r="G3295" s="88"/>
      <c r="H3295" s="89"/>
      <c r="L3295" s="88"/>
      <c r="M3295" s="89"/>
    </row>
    <row r="3296" spans="7:13" x14ac:dyDescent="0.35">
      <c r="G3296" s="88"/>
      <c r="H3296" s="89"/>
      <c r="L3296" s="88"/>
      <c r="M3296" s="89"/>
    </row>
    <row r="3297" spans="7:13" x14ac:dyDescent="0.35">
      <c r="G3297" s="88"/>
      <c r="H3297" s="89"/>
      <c r="L3297" s="88"/>
      <c r="M3297" s="89"/>
    </row>
    <row r="3298" spans="7:13" x14ac:dyDescent="0.35">
      <c r="G3298" s="88"/>
      <c r="H3298" s="89"/>
      <c r="L3298" s="88"/>
      <c r="M3298" s="89"/>
    </row>
    <row r="3299" spans="7:13" x14ac:dyDescent="0.35">
      <c r="G3299" s="88"/>
      <c r="H3299" s="89"/>
      <c r="L3299" s="88"/>
      <c r="M3299" s="89"/>
    </row>
    <row r="3300" spans="7:13" x14ac:dyDescent="0.35">
      <c r="G3300" s="88"/>
      <c r="H3300" s="89"/>
      <c r="L3300" s="88"/>
      <c r="M3300" s="89"/>
    </row>
    <row r="3301" spans="7:13" x14ac:dyDescent="0.35">
      <c r="G3301" s="88"/>
      <c r="H3301" s="89"/>
      <c r="L3301" s="88"/>
      <c r="M3301" s="89"/>
    </row>
    <row r="3302" spans="7:13" x14ac:dyDescent="0.35">
      <c r="G3302" s="88"/>
      <c r="H3302" s="89"/>
      <c r="L3302" s="88"/>
      <c r="M3302" s="89"/>
    </row>
    <row r="3303" spans="7:13" x14ac:dyDescent="0.35">
      <c r="G3303" s="88"/>
      <c r="H3303" s="89"/>
      <c r="L3303" s="88"/>
      <c r="M3303" s="89"/>
    </row>
    <row r="3304" spans="7:13" x14ac:dyDescent="0.35">
      <c r="G3304" s="88"/>
      <c r="H3304" s="89"/>
      <c r="L3304" s="88"/>
      <c r="M3304" s="89"/>
    </row>
    <row r="3305" spans="7:13" x14ac:dyDescent="0.35">
      <c r="G3305" s="88"/>
      <c r="H3305" s="89"/>
      <c r="L3305" s="88"/>
      <c r="M3305" s="89"/>
    </row>
    <row r="3306" spans="7:13" x14ac:dyDescent="0.35">
      <c r="G3306" s="88"/>
      <c r="H3306" s="89"/>
      <c r="L3306" s="88"/>
      <c r="M3306" s="89"/>
    </row>
    <row r="3307" spans="7:13" x14ac:dyDescent="0.35">
      <c r="G3307" s="88"/>
      <c r="H3307" s="89"/>
      <c r="L3307" s="88"/>
      <c r="M3307" s="89"/>
    </row>
    <row r="3308" spans="7:13" x14ac:dyDescent="0.35">
      <c r="G3308" s="88"/>
      <c r="H3308" s="89"/>
      <c r="L3308" s="88"/>
      <c r="M3308" s="89"/>
    </row>
    <row r="3309" spans="7:13" x14ac:dyDescent="0.35">
      <c r="G3309" s="88"/>
      <c r="H3309" s="89"/>
      <c r="L3309" s="88"/>
      <c r="M3309" s="89"/>
    </row>
    <row r="3310" spans="7:13" x14ac:dyDescent="0.35">
      <c r="G3310" s="88"/>
      <c r="H3310" s="89"/>
      <c r="L3310" s="88"/>
      <c r="M3310" s="89"/>
    </row>
    <row r="3311" spans="7:13" x14ac:dyDescent="0.35">
      <c r="G3311" s="88"/>
      <c r="H3311" s="89"/>
      <c r="L3311" s="88"/>
      <c r="M3311" s="89"/>
    </row>
    <row r="3312" spans="7:13" x14ac:dyDescent="0.35">
      <c r="G3312" s="88"/>
      <c r="H3312" s="89"/>
      <c r="L3312" s="88"/>
      <c r="M3312" s="89"/>
    </row>
    <row r="3313" spans="7:13" x14ac:dyDescent="0.35">
      <c r="G3313" s="88"/>
      <c r="H3313" s="89"/>
      <c r="L3313" s="88"/>
      <c r="M3313" s="89"/>
    </row>
    <row r="3314" spans="7:13" x14ac:dyDescent="0.35">
      <c r="G3314" s="88"/>
      <c r="H3314" s="89"/>
      <c r="L3314" s="88"/>
      <c r="M3314" s="89"/>
    </row>
    <row r="3315" spans="7:13" x14ac:dyDescent="0.35">
      <c r="G3315" s="88"/>
      <c r="H3315" s="89"/>
      <c r="L3315" s="88"/>
      <c r="M3315" s="89"/>
    </row>
    <row r="3316" spans="7:13" x14ac:dyDescent="0.35">
      <c r="G3316" s="88"/>
      <c r="H3316" s="89"/>
      <c r="L3316" s="88"/>
      <c r="M3316" s="89"/>
    </row>
    <row r="3317" spans="7:13" x14ac:dyDescent="0.35">
      <c r="G3317" s="88"/>
      <c r="H3317" s="89"/>
      <c r="L3317" s="88"/>
      <c r="M3317" s="89"/>
    </row>
    <row r="3318" spans="7:13" x14ac:dyDescent="0.35">
      <c r="G3318" s="88"/>
      <c r="H3318" s="89"/>
      <c r="L3318" s="88"/>
      <c r="M3318" s="89"/>
    </row>
    <row r="3319" spans="7:13" x14ac:dyDescent="0.35">
      <c r="G3319" s="88"/>
      <c r="H3319" s="89"/>
      <c r="L3319" s="88"/>
      <c r="M3319" s="89"/>
    </row>
    <row r="3320" spans="7:13" x14ac:dyDescent="0.35">
      <c r="G3320" s="88"/>
      <c r="H3320" s="89"/>
      <c r="L3320" s="88"/>
      <c r="M3320" s="89"/>
    </row>
    <row r="3321" spans="7:13" x14ac:dyDescent="0.35">
      <c r="G3321" s="88"/>
      <c r="H3321" s="89"/>
      <c r="L3321" s="88"/>
      <c r="M3321" s="89"/>
    </row>
    <row r="3322" spans="7:13" x14ac:dyDescent="0.35">
      <c r="G3322" s="88"/>
      <c r="H3322" s="89"/>
      <c r="L3322" s="88"/>
      <c r="M3322" s="89"/>
    </row>
    <row r="3323" spans="7:13" x14ac:dyDescent="0.35">
      <c r="G3323" s="88"/>
      <c r="H3323" s="89"/>
      <c r="L3323" s="88"/>
      <c r="M3323" s="89"/>
    </row>
    <row r="3324" spans="7:13" x14ac:dyDescent="0.35">
      <c r="G3324" s="88"/>
      <c r="H3324" s="89"/>
      <c r="L3324" s="88"/>
      <c r="M3324" s="89"/>
    </row>
    <row r="3325" spans="7:13" x14ac:dyDescent="0.35">
      <c r="G3325" s="88"/>
      <c r="H3325" s="89"/>
      <c r="L3325" s="88"/>
      <c r="M3325" s="89"/>
    </row>
    <row r="3326" spans="7:13" x14ac:dyDescent="0.35">
      <c r="G3326" s="88"/>
      <c r="H3326" s="89"/>
      <c r="L3326" s="88"/>
      <c r="M3326" s="89"/>
    </row>
    <row r="3327" spans="7:13" x14ac:dyDescent="0.35">
      <c r="G3327" s="88"/>
      <c r="H3327" s="89"/>
      <c r="L3327" s="88"/>
      <c r="M3327" s="89"/>
    </row>
    <row r="3328" spans="7:13" x14ac:dyDescent="0.35">
      <c r="G3328" s="88"/>
      <c r="H3328" s="89"/>
      <c r="L3328" s="88"/>
      <c r="M3328" s="89"/>
    </row>
    <row r="3329" spans="7:13" x14ac:dyDescent="0.35">
      <c r="G3329" s="88"/>
      <c r="H3329" s="89"/>
      <c r="L3329" s="88"/>
      <c r="M3329" s="89"/>
    </row>
    <row r="3330" spans="7:13" x14ac:dyDescent="0.35">
      <c r="G3330" s="88"/>
      <c r="H3330" s="89"/>
      <c r="L3330" s="88"/>
      <c r="M3330" s="89"/>
    </row>
    <row r="3331" spans="7:13" x14ac:dyDescent="0.35">
      <c r="G3331" s="88"/>
      <c r="H3331" s="89"/>
      <c r="L3331" s="88"/>
      <c r="M3331" s="89"/>
    </row>
    <row r="3332" spans="7:13" x14ac:dyDescent="0.35">
      <c r="G3332" s="88"/>
      <c r="H3332" s="89"/>
      <c r="L3332" s="88"/>
      <c r="M3332" s="89"/>
    </row>
    <row r="3333" spans="7:13" x14ac:dyDescent="0.35">
      <c r="G3333" s="88"/>
      <c r="H3333" s="89"/>
      <c r="L3333" s="88"/>
      <c r="M3333" s="89"/>
    </row>
    <row r="3334" spans="7:13" x14ac:dyDescent="0.35">
      <c r="G3334" s="88"/>
      <c r="H3334" s="89"/>
      <c r="L3334" s="88"/>
      <c r="M3334" s="89"/>
    </row>
    <row r="3335" spans="7:13" x14ac:dyDescent="0.35">
      <c r="G3335" s="88"/>
      <c r="H3335" s="89"/>
      <c r="L3335" s="88"/>
      <c r="M3335" s="89"/>
    </row>
    <row r="3336" spans="7:13" x14ac:dyDescent="0.35">
      <c r="G3336" s="88"/>
      <c r="H3336" s="89"/>
      <c r="L3336" s="88"/>
      <c r="M3336" s="89"/>
    </row>
    <row r="3337" spans="7:13" x14ac:dyDescent="0.35">
      <c r="G3337" s="88"/>
      <c r="H3337" s="89"/>
      <c r="L3337" s="88"/>
      <c r="M3337" s="89"/>
    </row>
    <row r="3338" spans="7:13" x14ac:dyDescent="0.35">
      <c r="G3338" s="88"/>
      <c r="H3338" s="89"/>
      <c r="L3338" s="88"/>
      <c r="M3338" s="89"/>
    </row>
    <row r="3339" spans="7:13" x14ac:dyDescent="0.35">
      <c r="G3339" s="88"/>
      <c r="H3339" s="89"/>
      <c r="L3339" s="88"/>
      <c r="M3339" s="89"/>
    </row>
    <row r="3340" spans="7:13" x14ac:dyDescent="0.35">
      <c r="G3340" s="88"/>
      <c r="H3340" s="89"/>
      <c r="L3340" s="88"/>
      <c r="M3340" s="89"/>
    </row>
    <row r="3341" spans="7:13" x14ac:dyDescent="0.35">
      <c r="G3341" s="88"/>
      <c r="H3341" s="89"/>
      <c r="L3341" s="88"/>
      <c r="M3341" s="89"/>
    </row>
    <row r="3342" spans="7:13" x14ac:dyDescent="0.35">
      <c r="G3342" s="88"/>
      <c r="H3342" s="89"/>
      <c r="L3342" s="88"/>
      <c r="M3342" s="89"/>
    </row>
    <row r="3343" spans="7:13" x14ac:dyDescent="0.35">
      <c r="G3343" s="88"/>
      <c r="H3343" s="89"/>
      <c r="L3343" s="88"/>
      <c r="M3343" s="89"/>
    </row>
    <row r="3344" spans="7:13" x14ac:dyDescent="0.35">
      <c r="G3344" s="88"/>
      <c r="H3344" s="89"/>
      <c r="L3344" s="88"/>
      <c r="M3344" s="89"/>
    </row>
    <row r="3345" spans="7:13" x14ac:dyDescent="0.35">
      <c r="G3345" s="88"/>
      <c r="H3345" s="89"/>
      <c r="L3345" s="88"/>
      <c r="M3345" s="89"/>
    </row>
    <row r="3346" spans="7:13" x14ac:dyDescent="0.35">
      <c r="G3346" s="88"/>
      <c r="H3346" s="89"/>
      <c r="L3346" s="88"/>
      <c r="M3346" s="89"/>
    </row>
    <row r="3347" spans="7:13" x14ac:dyDescent="0.35">
      <c r="G3347" s="88"/>
      <c r="H3347" s="89"/>
      <c r="L3347" s="88"/>
      <c r="M3347" s="89"/>
    </row>
    <row r="3348" spans="7:13" x14ac:dyDescent="0.35">
      <c r="G3348" s="88"/>
      <c r="H3348" s="89"/>
      <c r="L3348" s="88"/>
      <c r="M3348" s="89"/>
    </row>
    <row r="3349" spans="7:13" x14ac:dyDescent="0.35">
      <c r="G3349" s="88"/>
      <c r="H3349" s="89"/>
      <c r="L3349" s="88"/>
      <c r="M3349" s="89"/>
    </row>
    <row r="3350" spans="7:13" x14ac:dyDescent="0.35">
      <c r="G3350" s="88"/>
      <c r="H3350" s="89"/>
      <c r="L3350" s="88"/>
      <c r="M3350" s="89"/>
    </row>
    <row r="3351" spans="7:13" x14ac:dyDescent="0.35">
      <c r="G3351" s="88"/>
      <c r="H3351" s="89"/>
      <c r="L3351" s="88"/>
      <c r="M3351" s="89"/>
    </row>
    <row r="3352" spans="7:13" x14ac:dyDescent="0.35">
      <c r="G3352" s="88"/>
      <c r="H3352" s="89"/>
      <c r="L3352" s="88"/>
      <c r="M3352" s="89"/>
    </row>
    <row r="3353" spans="7:13" x14ac:dyDescent="0.35">
      <c r="G3353" s="88"/>
      <c r="H3353" s="89"/>
      <c r="L3353" s="88"/>
      <c r="M3353" s="89"/>
    </row>
    <row r="3354" spans="7:13" x14ac:dyDescent="0.35">
      <c r="G3354" s="88"/>
      <c r="H3354" s="89"/>
      <c r="L3354" s="88"/>
      <c r="M3354" s="89"/>
    </row>
    <row r="3355" spans="7:13" x14ac:dyDescent="0.35">
      <c r="G3355" s="88"/>
      <c r="H3355" s="89"/>
      <c r="L3355" s="88"/>
      <c r="M3355" s="89"/>
    </row>
    <row r="3356" spans="7:13" x14ac:dyDescent="0.35">
      <c r="G3356" s="88"/>
      <c r="H3356" s="89"/>
      <c r="L3356" s="88"/>
      <c r="M3356" s="89"/>
    </row>
    <row r="3357" spans="7:13" x14ac:dyDescent="0.35">
      <c r="G3357" s="88"/>
      <c r="H3357" s="89"/>
      <c r="L3357" s="88"/>
      <c r="M3357" s="89"/>
    </row>
    <row r="3358" spans="7:13" x14ac:dyDescent="0.35">
      <c r="G3358" s="88"/>
      <c r="H3358" s="89"/>
      <c r="L3358" s="88"/>
      <c r="M3358" s="89"/>
    </row>
    <row r="3359" spans="7:13" x14ac:dyDescent="0.35">
      <c r="G3359" s="88"/>
      <c r="H3359" s="89"/>
      <c r="L3359" s="88"/>
      <c r="M3359" s="89"/>
    </row>
    <row r="3360" spans="7:13" x14ac:dyDescent="0.35">
      <c r="G3360" s="88"/>
      <c r="H3360" s="89"/>
      <c r="L3360" s="88"/>
      <c r="M3360" s="89"/>
    </row>
    <row r="3361" spans="7:13" x14ac:dyDescent="0.35">
      <c r="G3361" s="88"/>
      <c r="H3361" s="89"/>
      <c r="L3361" s="88"/>
      <c r="M3361" s="89"/>
    </row>
    <row r="3362" spans="7:13" x14ac:dyDescent="0.35">
      <c r="G3362" s="88"/>
      <c r="H3362" s="89"/>
      <c r="L3362" s="88"/>
      <c r="M3362" s="89"/>
    </row>
    <row r="3363" spans="7:13" x14ac:dyDescent="0.35">
      <c r="G3363" s="88"/>
      <c r="H3363" s="89"/>
      <c r="L3363" s="88"/>
      <c r="M3363" s="89"/>
    </row>
    <row r="3364" spans="7:13" x14ac:dyDescent="0.35">
      <c r="G3364" s="88"/>
      <c r="H3364" s="89"/>
      <c r="L3364" s="88"/>
      <c r="M3364" s="89"/>
    </row>
    <row r="3365" spans="7:13" x14ac:dyDescent="0.35">
      <c r="G3365" s="88"/>
      <c r="H3365" s="89"/>
      <c r="L3365" s="88"/>
      <c r="M3365" s="89"/>
    </row>
    <row r="3366" spans="7:13" x14ac:dyDescent="0.35">
      <c r="G3366" s="88"/>
      <c r="H3366" s="89"/>
      <c r="L3366" s="88"/>
      <c r="M3366" s="89"/>
    </row>
    <row r="3367" spans="7:13" x14ac:dyDescent="0.35">
      <c r="G3367" s="88"/>
      <c r="H3367" s="89"/>
      <c r="L3367" s="88"/>
      <c r="M3367" s="89"/>
    </row>
    <row r="3368" spans="7:13" x14ac:dyDescent="0.35">
      <c r="G3368" s="88"/>
      <c r="H3368" s="89"/>
      <c r="L3368" s="88"/>
      <c r="M3368" s="89"/>
    </row>
    <row r="3369" spans="7:13" x14ac:dyDescent="0.35">
      <c r="G3369" s="88"/>
      <c r="H3369" s="89"/>
      <c r="L3369" s="88"/>
      <c r="M3369" s="89"/>
    </row>
    <row r="3370" spans="7:13" x14ac:dyDescent="0.35">
      <c r="G3370" s="88"/>
      <c r="H3370" s="89"/>
      <c r="L3370" s="88"/>
      <c r="M3370" s="89"/>
    </row>
    <row r="3371" spans="7:13" x14ac:dyDescent="0.35">
      <c r="G3371" s="88"/>
      <c r="H3371" s="89"/>
      <c r="L3371" s="88"/>
      <c r="M3371" s="89"/>
    </row>
    <row r="3372" spans="7:13" x14ac:dyDescent="0.35">
      <c r="G3372" s="88"/>
      <c r="H3372" s="89"/>
      <c r="L3372" s="88"/>
      <c r="M3372" s="89"/>
    </row>
    <row r="3373" spans="7:13" x14ac:dyDescent="0.35">
      <c r="G3373" s="88"/>
      <c r="H3373" s="89"/>
      <c r="L3373" s="88"/>
      <c r="M3373" s="89"/>
    </row>
    <row r="3374" spans="7:13" x14ac:dyDescent="0.35">
      <c r="G3374" s="88"/>
      <c r="H3374" s="89"/>
      <c r="L3374" s="88"/>
      <c r="M3374" s="89"/>
    </row>
    <row r="3375" spans="7:13" x14ac:dyDescent="0.35">
      <c r="G3375" s="88"/>
      <c r="H3375" s="89"/>
      <c r="L3375" s="88"/>
      <c r="M3375" s="89"/>
    </row>
    <row r="3376" spans="7:13" x14ac:dyDescent="0.35">
      <c r="G3376" s="88"/>
      <c r="H3376" s="89"/>
      <c r="L3376" s="88"/>
      <c r="M3376" s="89"/>
    </row>
    <row r="3377" spans="7:13" x14ac:dyDescent="0.35">
      <c r="G3377" s="88"/>
      <c r="H3377" s="89"/>
      <c r="L3377" s="88"/>
      <c r="M3377" s="89"/>
    </row>
    <row r="3378" spans="7:13" x14ac:dyDescent="0.35">
      <c r="G3378" s="88"/>
      <c r="H3378" s="89"/>
      <c r="L3378" s="88"/>
      <c r="M3378" s="89"/>
    </row>
    <row r="3379" spans="7:13" x14ac:dyDescent="0.35">
      <c r="G3379" s="88"/>
      <c r="H3379" s="89"/>
      <c r="L3379" s="88"/>
      <c r="M3379" s="89"/>
    </row>
    <row r="3380" spans="7:13" x14ac:dyDescent="0.35">
      <c r="G3380" s="88"/>
      <c r="H3380" s="89"/>
      <c r="L3380" s="88"/>
      <c r="M3380" s="89"/>
    </row>
    <row r="3381" spans="7:13" x14ac:dyDescent="0.35">
      <c r="G3381" s="88"/>
      <c r="H3381" s="89"/>
      <c r="L3381" s="88"/>
      <c r="M3381" s="89"/>
    </row>
    <row r="3382" spans="7:13" x14ac:dyDescent="0.35">
      <c r="G3382" s="88"/>
      <c r="H3382" s="89"/>
      <c r="L3382" s="88"/>
      <c r="M3382" s="89"/>
    </row>
    <row r="3383" spans="7:13" x14ac:dyDescent="0.35">
      <c r="G3383" s="88"/>
      <c r="H3383" s="89"/>
      <c r="L3383" s="88"/>
      <c r="M3383" s="89"/>
    </row>
    <row r="3384" spans="7:13" x14ac:dyDescent="0.35">
      <c r="G3384" s="88"/>
      <c r="H3384" s="89"/>
      <c r="L3384" s="88"/>
      <c r="M3384" s="89"/>
    </row>
    <row r="3385" spans="7:13" x14ac:dyDescent="0.35">
      <c r="G3385" s="88"/>
      <c r="H3385" s="89"/>
      <c r="L3385" s="88"/>
      <c r="M3385" s="89"/>
    </row>
    <row r="3386" spans="7:13" x14ac:dyDescent="0.35">
      <c r="G3386" s="88"/>
      <c r="H3386" s="89"/>
      <c r="L3386" s="88"/>
      <c r="M3386" s="89"/>
    </row>
    <row r="3387" spans="7:13" x14ac:dyDescent="0.35">
      <c r="G3387" s="88"/>
      <c r="H3387" s="89"/>
      <c r="L3387" s="88"/>
      <c r="M3387" s="89"/>
    </row>
    <row r="3388" spans="7:13" x14ac:dyDescent="0.35">
      <c r="G3388" s="88"/>
      <c r="H3388" s="89"/>
      <c r="L3388" s="88"/>
      <c r="M3388" s="89"/>
    </row>
    <row r="3389" spans="7:13" x14ac:dyDescent="0.35">
      <c r="G3389" s="88"/>
      <c r="H3389" s="89"/>
      <c r="L3389" s="88"/>
      <c r="M3389" s="89"/>
    </row>
    <row r="3390" spans="7:13" x14ac:dyDescent="0.35">
      <c r="G3390" s="88"/>
      <c r="H3390" s="89"/>
      <c r="L3390" s="88"/>
      <c r="M3390" s="89"/>
    </row>
    <row r="3391" spans="7:13" x14ac:dyDescent="0.35">
      <c r="G3391" s="88"/>
      <c r="H3391" s="89"/>
      <c r="L3391" s="88"/>
      <c r="M3391" s="89"/>
    </row>
    <row r="3392" spans="7:13" x14ac:dyDescent="0.35">
      <c r="G3392" s="88"/>
      <c r="H3392" s="89"/>
      <c r="L3392" s="88"/>
      <c r="M3392" s="89"/>
    </row>
    <row r="3393" spans="7:13" x14ac:dyDescent="0.35">
      <c r="G3393" s="88"/>
      <c r="H3393" s="89"/>
      <c r="L3393" s="88"/>
      <c r="M3393" s="89"/>
    </row>
    <row r="3394" spans="7:13" x14ac:dyDescent="0.35">
      <c r="G3394" s="88"/>
      <c r="H3394" s="89"/>
      <c r="L3394" s="88"/>
      <c r="M3394" s="89"/>
    </row>
    <row r="3395" spans="7:13" x14ac:dyDescent="0.35">
      <c r="G3395" s="88"/>
      <c r="H3395" s="89"/>
      <c r="L3395" s="88"/>
      <c r="M3395" s="89"/>
    </row>
    <row r="3396" spans="7:13" x14ac:dyDescent="0.35">
      <c r="G3396" s="88"/>
      <c r="H3396" s="89"/>
      <c r="L3396" s="88"/>
      <c r="M3396" s="89"/>
    </row>
    <row r="3397" spans="7:13" x14ac:dyDescent="0.35">
      <c r="G3397" s="88"/>
      <c r="H3397" s="89"/>
      <c r="L3397" s="88"/>
      <c r="M3397" s="89"/>
    </row>
    <row r="3398" spans="7:13" x14ac:dyDescent="0.35">
      <c r="G3398" s="88"/>
      <c r="H3398" s="89"/>
      <c r="L3398" s="88"/>
      <c r="M3398" s="89"/>
    </row>
    <row r="3399" spans="7:13" x14ac:dyDescent="0.35">
      <c r="G3399" s="88"/>
      <c r="H3399" s="89"/>
      <c r="L3399" s="88"/>
      <c r="M3399" s="89"/>
    </row>
    <row r="3400" spans="7:13" x14ac:dyDescent="0.35">
      <c r="G3400" s="88"/>
      <c r="H3400" s="89"/>
      <c r="L3400" s="88"/>
      <c r="M3400" s="89"/>
    </row>
    <row r="3401" spans="7:13" x14ac:dyDescent="0.35">
      <c r="G3401" s="88"/>
      <c r="H3401" s="89"/>
      <c r="L3401" s="88"/>
      <c r="M3401" s="89"/>
    </row>
    <row r="3402" spans="7:13" x14ac:dyDescent="0.35">
      <c r="G3402" s="88"/>
      <c r="H3402" s="89"/>
      <c r="L3402" s="88"/>
      <c r="M3402" s="89"/>
    </row>
    <row r="3403" spans="7:13" x14ac:dyDescent="0.35">
      <c r="G3403" s="88"/>
      <c r="H3403" s="89"/>
      <c r="L3403" s="88"/>
      <c r="M3403" s="89"/>
    </row>
    <row r="3404" spans="7:13" x14ac:dyDescent="0.35">
      <c r="G3404" s="88"/>
      <c r="H3404" s="89"/>
      <c r="L3404" s="88"/>
      <c r="M3404" s="89"/>
    </row>
    <row r="3405" spans="7:13" x14ac:dyDescent="0.35">
      <c r="G3405" s="88"/>
      <c r="H3405" s="89"/>
      <c r="L3405" s="88"/>
      <c r="M3405" s="89"/>
    </row>
    <row r="3406" spans="7:13" x14ac:dyDescent="0.35">
      <c r="G3406" s="88"/>
      <c r="H3406" s="89"/>
      <c r="L3406" s="88"/>
      <c r="M3406" s="89"/>
    </row>
    <row r="3407" spans="7:13" x14ac:dyDescent="0.35">
      <c r="G3407" s="88"/>
      <c r="H3407" s="89"/>
      <c r="L3407" s="88"/>
      <c r="M3407" s="89"/>
    </row>
    <row r="3408" spans="7:13" x14ac:dyDescent="0.35">
      <c r="G3408" s="88"/>
      <c r="H3408" s="89"/>
      <c r="L3408" s="88"/>
      <c r="M3408" s="89"/>
    </row>
    <row r="3409" spans="7:13" x14ac:dyDescent="0.35">
      <c r="G3409" s="88"/>
      <c r="H3409" s="89"/>
      <c r="L3409" s="88"/>
      <c r="M3409" s="89"/>
    </row>
    <row r="3410" spans="7:13" x14ac:dyDescent="0.35">
      <c r="G3410" s="88"/>
      <c r="H3410" s="89"/>
      <c r="L3410" s="88"/>
      <c r="M3410" s="89"/>
    </row>
    <row r="3411" spans="7:13" x14ac:dyDescent="0.35">
      <c r="G3411" s="88"/>
      <c r="H3411" s="89"/>
      <c r="L3411" s="88"/>
      <c r="M3411" s="89"/>
    </row>
    <row r="3412" spans="7:13" x14ac:dyDescent="0.35">
      <c r="G3412" s="88"/>
      <c r="H3412" s="89"/>
      <c r="L3412" s="88"/>
      <c r="M3412" s="89"/>
    </row>
    <row r="3413" spans="7:13" x14ac:dyDescent="0.35">
      <c r="G3413" s="88"/>
      <c r="H3413" s="89"/>
      <c r="L3413" s="88"/>
      <c r="M3413" s="89"/>
    </row>
    <row r="3414" spans="7:13" x14ac:dyDescent="0.35">
      <c r="G3414" s="88"/>
      <c r="H3414" s="89"/>
      <c r="L3414" s="88"/>
      <c r="M3414" s="89"/>
    </row>
    <row r="3415" spans="7:13" x14ac:dyDescent="0.35">
      <c r="G3415" s="88"/>
      <c r="H3415" s="89"/>
      <c r="L3415" s="88"/>
      <c r="M3415" s="89"/>
    </row>
    <row r="3416" spans="7:13" x14ac:dyDescent="0.35">
      <c r="G3416" s="88"/>
      <c r="H3416" s="89"/>
      <c r="L3416" s="88"/>
      <c r="M3416" s="89"/>
    </row>
    <row r="3417" spans="7:13" x14ac:dyDescent="0.35">
      <c r="G3417" s="88"/>
      <c r="H3417" s="89"/>
      <c r="L3417" s="88"/>
      <c r="M3417" s="89"/>
    </row>
    <row r="3418" spans="7:13" x14ac:dyDescent="0.35">
      <c r="G3418" s="88"/>
      <c r="H3418" s="89"/>
      <c r="L3418" s="88"/>
      <c r="M3418" s="89"/>
    </row>
    <row r="3419" spans="7:13" x14ac:dyDescent="0.35">
      <c r="G3419" s="88"/>
      <c r="H3419" s="89"/>
      <c r="L3419" s="88"/>
      <c r="M3419" s="89"/>
    </row>
    <row r="3420" spans="7:13" x14ac:dyDescent="0.35">
      <c r="G3420" s="88"/>
      <c r="H3420" s="89"/>
      <c r="L3420" s="88"/>
      <c r="M3420" s="89"/>
    </row>
    <row r="3421" spans="7:13" x14ac:dyDescent="0.35">
      <c r="G3421" s="88"/>
      <c r="H3421" s="89"/>
      <c r="L3421" s="88"/>
      <c r="M3421" s="89"/>
    </row>
    <row r="3422" spans="7:13" x14ac:dyDescent="0.35">
      <c r="G3422" s="88"/>
      <c r="H3422" s="89"/>
      <c r="L3422" s="88"/>
      <c r="M3422" s="89"/>
    </row>
    <row r="3423" spans="7:13" x14ac:dyDescent="0.35">
      <c r="G3423" s="88"/>
      <c r="H3423" s="89"/>
      <c r="L3423" s="88"/>
      <c r="M3423" s="89"/>
    </row>
    <row r="3424" spans="7:13" x14ac:dyDescent="0.35">
      <c r="G3424" s="88"/>
      <c r="H3424" s="89"/>
      <c r="L3424" s="88"/>
      <c r="M3424" s="89"/>
    </row>
    <row r="3425" spans="7:13" x14ac:dyDescent="0.35">
      <c r="G3425" s="88"/>
      <c r="H3425" s="89"/>
      <c r="L3425" s="88"/>
      <c r="M3425" s="89"/>
    </row>
    <row r="3426" spans="7:13" x14ac:dyDescent="0.35">
      <c r="G3426" s="88"/>
      <c r="H3426" s="89"/>
      <c r="L3426" s="88"/>
      <c r="M3426" s="89"/>
    </row>
    <row r="3427" spans="7:13" x14ac:dyDescent="0.35">
      <c r="G3427" s="88"/>
      <c r="H3427" s="89"/>
      <c r="L3427" s="88"/>
      <c r="M3427" s="89"/>
    </row>
    <row r="3428" spans="7:13" x14ac:dyDescent="0.35">
      <c r="G3428" s="88"/>
      <c r="H3428" s="89"/>
      <c r="L3428" s="88"/>
      <c r="M3428" s="89"/>
    </row>
    <row r="3429" spans="7:13" x14ac:dyDescent="0.35">
      <c r="G3429" s="88"/>
      <c r="H3429" s="89"/>
      <c r="L3429" s="88"/>
      <c r="M3429" s="89"/>
    </row>
    <row r="3430" spans="7:13" x14ac:dyDescent="0.35">
      <c r="G3430" s="88"/>
      <c r="H3430" s="89"/>
      <c r="L3430" s="88"/>
      <c r="M3430" s="89"/>
    </row>
    <row r="3431" spans="7:13" x14ac:dyDescent="0.35">
      <c r="G3431" s="88"/>
      <c r="H3431" s="89"/>
      <c r="L3431" s="88"/>
      <c r="M3431" s="89"/>
    </row>
    <row r="3432" spans="7:13" x14ac:dyDescent="0.35">
      <c r="G3432" s="88"/>
      <c r="H3432" s="89"/>
      <c r="L3432" s="88"/>
      <c r="M3432" s="89"/>
    </row>
    <row r="3433" spans="7:13" x14ac:dyDescent="0.35">
      <c r="G3433" s="88"/>
      <c r="H3433" s="89"/>
      <c r="L3433" s="88"/>
      <c r="M3433" s="89"/>
    </row>
    <row r="3434" spans="7:13" x14ac:dyDescent="0.35">
      <c r="G3434" s="88"/>
      <c r="H3434" s="89"/>
      <c r="L3434" s="88"/>
      <c r="M3434" s="89"/>
    </row>
    <row r="3435" spans="7:13" x14ac:dyDescent="0.35">
      <c r="G3435" s="88"/>
      <c r="H3435" s="89"/>
      <c r="L3435" s="88"/>
      <c r="M3435" s="89"/>
    </row>
    <row r="3436" spans="7:13" x14ac:dyDescent="0.35">
      <c r="G3436" s="88"/>
      <c r="H3436" s="89"/>
      <c r="L3436" s="88"/>
      <c r="M3436" s="89"/>
    </row>
    <row r="3437" spans="7:13" x14ac:dyDescent="0.35">
      <c r="G3437" s="88"/>
      <c r="H3437" s="89"/>
      <c r="L3437" s="88"/>
      <c r="M3437" s="89"/>
    </row>
    <row r="3438" spans="7:13" x14ac:dyDescent="0.35">
      <c r="G3438" s="88"/>
      <c r="H3438" s="89"/>
      <c r="L3438" s="88"/>
      <c r="M3438" s="89"/>
    </row>
    <row r="3439" spans="7:13" x14ac:dyDescent="0.35">
      <c r="G3439" s="88"/>
      <c r="H3439" s="89"/>
      <c r="L3439" s="88"/>
      <c r="M3439" s="89"/>
    </row>
    <row r="3440" spans="7:13" x14ac:dyDescent="0.35">
      <c r="G3440" s="88"/>
      <c r="H3440" s="89"/>
      <c r="L3440" s="88"/>
      <c r="M3440" s="89"/>
    </row>
    <row r="3441" spans="7:13" x14ac:dyDescent="0.35">
      <c r="G3441" s="88"/>
      <c r="H3441" s="89"/>
      <c r="L3441" s="88"/>
      <c r="M3441" s="89"/>
    </row>
    <row r="3442" spans="7:13" x14ac:dyDescent="0.35">
      <c r="G3442" s="88"/>
      <c r="H3442" s="89"/>
      <c r="L3442" s="88"/>
      <c r="M3442" s="89"/>
    </row>
    <row r="3443" spans="7:13" x14ac:dyDescent="0.35">
      <c r="G3443" s="88"/>
      <c r="H3443" s="89"/>
      <c r="L3443" s="88"/>
      <c r="M3443" s="89"/>
    </row>
    <row r="3444" spans="7:13" x14ac:dyDescent="0.35">
      <c r="G3444" s="88"/>
      <c r="H3444" s="89"/>
      <c r="L3444" s="88"/>
      <c r="M3444" s="89"/>
    </row>
    <row r="3445" spans="7:13" x14ac:dyDescent="0.35">
      <c r="G3445" s="88"/>
      <c r="H3445" s="89"/>
      <c r="L3445" s="88"/>
      <c r="M3445" s="89"/>
    </row>
    <row r="3446" spans="7:13" x14ac:dyDescent="0.35">
      <c r="G3446" s="88"/>
      <c r="H3446" s="89"/>
      <c r="L3446" s="88"/>
      <c r="M3446" s="89"/>
    </row>
    <row r="3447" spans="7:13" x14ac:dyDescent="0.35">
      <c r="G3447" s="88"/>
      <c r="H3447" s="89"/>
      <c r="L3447" s="88"/>
      <c r="M3447" s="89"/>
    </row>
    <row r="3448" spans="7:13" x14ac:dyDescent="0.35">
      <c r="G3448" s="88"/>
      <c r="H3448" s="89"/>
      <c r="L3448" s="88"/>
      <c r="M3448" s="89"/>
    </row>
    <row r="3449" spans="7:13" x14ac:dyDescent="0.35">
      <c r="G3449" s="88"/>
      <c r="H3449" s="89"/>
      <c r="L3449" s="88"/>
      <c r="M3449" s="89"/>
    </row>
    <row r="3450" spans="7:13" x14ac:dyDescent="0.35">
      <c r="G3450" s="88"/>
      <c r="H3450" s="89"/>
      <c r="L3450" s="88"/>
      <c r="M3450" s="89"/>
    </row>
    <row r="3451" spans="7:13" x14ac:dyDescent="0.35">
      <c r="G3451" s="88"/>
      <c r="H3451" s="89"/>
      <c r="L3451" s="88"/>
      <c r="M3451" s="89"/>
    </row>
    <row r="3452" spans="7:13" x14ac:dyDescent="0.35">
      <c r="G3452" s="88"/>
      <c r="H3452" s="89"/>
      <c r="L3452" s="88"/>
      <c r="M3452" s="89"/>
    </row>
    <row r="3453" spans="7:13" x14ac:dyDescent="0.35">
      <c r="G3453" s="88"/>
      <c r="H3453" s="89"/>
      <c r="L3453" s="88"/>
      <c r="M3453" s="89"/>
    </row>
    <row r="3454" spans="7:13" x14ac:dyDescent="0.35">
      <c r="G3454" s="88"/>
      <c r="H3454" s="89"/>
      <c r="L3454" s="88"/>
      <c r="M3454" s="89"/>
    </row>
    <row r="3455" spans="7:13" x14ac:dyDescent="0.35">
      <c r="G3455" s="88"/>
      <c r="H3455" s="89"/>
      <c r="L3455" s="88"/>
      <c r="M3455" s="89"/>
    </row>
    <row r="3456" spans="7:13" x14ac:dyDescent="0.35">
      <c r="G3456" s="88"/>
      <c r="H3456" s="89"/>
      <c r="L3456" s="88"/>
      <c r="M3456" s="89"/>
    </row>
    <row r="3457" spans="7:13" x14ac:dyDescent="0.35">
      <c r="G3457" s="88"/>
      <c r="H3457" s="89"/>
      <c r="L3457" s="88"/>
      <c r="M3457" s="89"/>
    </row>
    <row r="3458" spans="7:13" x14ac:dyDescent="0.35">
      <c r="G3458" s="88"/>
      <c r="H3458" s="89"/>
      <c r="L3458" s="88"/>
      <c r="M3458" s="89"/>
    </row>
    <row r="3459" spans="7:13" x14ac:dyDescent="0.35">
      <c r="G3459" s="88"/>
      <c r="H3459" s="89"/>
      <c r="L3459" s="88"/>
      <c r="M3459" s="89"/>
    </row>
    <row r="3460" spans="7:13" x14ac:dyDescent="0.35">
      <c r="G3460" s="88"/>
      <c r="H3460" s="89"/>
      <c r="L3460" s="88"/>
      <c r="M3460" s="89"/>
    </row>
    <row r="3461" spans="7:13" x14ac:dyDescent="0.35">
      <c r="G3461" s="88"/>
      <c r="H3461" s="89"/>
      <c r="L3461" s="88"/>
      <c r="M3461" s="89"/>
    </row>
    <row r="3462" spans="7:13" x14ac:dyDescent="0.35">
      <c r="G3462" s="88"/>
      <c r="H3462" s="89"/>
      <c r="L3462" s="88"/>
      <c r="M3462" s="89"/>
    </row>
    <row r="3463" spans="7:13" x14ac:dyDescent="0.35">
      <c r="G3463" s="88"/>
      <c r="H3463" s="89"/>
      <c r="L3463" s="88"/>
      <c r="M3463" s="89"/>
    </row>
    <row r="3464" spans="7:13" x14ac:dyDescent="0.35">
      <c r="G3464" s="88"/>
      <c r="H3464" s="89"/>
      <c r="L3464" s="88"/>
      <c r="M3464" s="89"/>
    </row>
    <row r="3465" spans="7:13" x14ac:dyDescent="0.35">
      <c r="G3465" s="88"/>
      <c r="H3465" s="89"/>
      <c r="L3465" s="88"/>
      <c r="M3465" s="89"/>
    </row>
    <row r="3466" spans="7:13" x14ac:dyDescent="0.35">
      <c r="G3466" s="88"/>
      <c r="H3466" s="89"/>
      <c r="L3466" s="88"/>
      <c r="M3466" s="89"/>
    </row>
    <row r="3467" spans="7:13" x14ac:dyDescent="0.35">
      <c r="G3467" s="88"/>
      <c r="H3467" s="89"/>
      <c r="L3467" s="88"/>
      <c r="M3467" s="89"/>
    </row>
    <row r="3468" spans="7:13" x14ac:dyDescent="0.35">
      <c r="G3468" s="88"/>
      <c r="H3468" s="89"/>
      <c r="L3468" s="88"/>
      <c r="M3468" s="89"/>
    </row>
    <row r="3469" spans="7:13" x14ac:dyDescent="0.35">
      <c r="G3469" s="88"/>
      <c r="H3469" s="89"/>
      <c r="L3469" s="88"/>
      <c r="M3469" s="89"/>
    </row>
    <row r="3470" spans="7:13" x14ac:dyDescent="0.35">
      <c r="G3470" s="88"/>
      <c r="H3470" s="89"/>
      <c r="L3470" s="88"/>
      <c r="M3470" s="89"/>
    </row>
    <row r="3471" spans="7:13" x14ac:dyDescent="0.35">
      <c r="G3471" s="88"/>
      <c r="H3471" s="89"/>
      <c r="L3471" s="88"/>
      <c r="M3471" s="89"/>
    </row>
    <row r="3472" spans="7:13" x14ac:dyDescent="0.35">
      <c r="G3472" s="88"/>
      <c r="H3472" s="89"/>
      <c r="L3472" s="88"/>
      <c r="M3472" s="89"/>
    </row>
    <row r="3473" spans="7:13" x14ac:dyDescent="0.35">
      <c r="G3473" s="88"/>
      <c r="H3473" s="89"/>
      <c r="L3473" s="88"/>
      <c r="M3473" s="89"/>
    </row>
    <row r="3474" spans="7:13" x14ac:dyDescent="0.35">
      <c r="G3474" s="88"/>
      <c r="H3474" s="89"/>
      <c r="L3474" s="88"/>
      <c r="M3474" s="89"/>
    </row>
    <row r="3475" spans="7:13" x14ac:dyDescent="0.35">
      <c r="G3475" s="88"/>
      <c r="H3475" s="89"/>
      <c r="L3475" s="88"/>
      <c r="M3475" s="89"/>
    </row>
    <row r="3476" spans="7:13" x14ac:dyDescent="0.35">
      <c r="G3476" s="88"/>
      <c r="H3476" s="89"/>
      <c r="L3476" s="88"/>
      <c r="M3476" s="89"/>
    </row>
    <row r="3477" spans="7:13" x14ac:dyDescent="0.35">
      <c r="G3477" s="88"/>
      <c r="H3477" s="89"/>
      <c r="L3477" s="88"/>
      <c r="M3477" s="89"/>
    </row>
    <row r="3478" spans="7:13" x14ac:dyDescent="0.35">
      <c r="G3478" s="88"/>
      <c r="H3478" s="89"/>
      <c r="L3478" s="88"/>
      <c r="M3478" s="89"/>
    </row>
    <row r="3479" spans="7:13" x14ac:dyDescent="0.35">
      <c r="G3479" s="88"/>
      <c r="H3479" s="89"/>
      <c r="L3479" s="88"/>
      <c r="M3479" s="89"/>
    </row>
    <row r="3480" spans="7:13" x14ac:dyDescent="0.35">
      <c r="G3480" s="88"/>
      <c r="H3480" s="89"/>
      <c r="L3480" s="88"/>
      <c r="M3480" s="89"/>
    </row>
    <row r="3481" spans="7:13" x14ac:dyDescent="0.35">
      <c r="G3481" s="88"/>
      <c r="H3481" s="89"/>
      <c r="L3481" s="88"/>
      <c r="M3481" s="89"/>
    </row>
    <row r="3482" spans="7:13" x14ac:dyDescent="0.35">
      <c r="G3482" s="88"/>
      <c r="H3482" s="89"/>
      <c r="L3482" s="88"/>
      <c r="M3482" s="89"/>
    </row>
    <row r="3483" spans="7:13" x14ac:dyDescent="0.35">
      <c r="G3483" s="88"/>
      <c r="H3483" s="89"/>
      <c r="L3483" s="88"/>
      <c r="M3483" s="89"/>
    </row>
    <row r="3484" spans="7:13" x14ac:dyDescent="0.35">
      <c r="G3484" s="88"/>
      <c r="H3484" s="89"/>
      <c r="L3484" s="88"/>
      <c r="M3484" s="89"/>
    </row>
    <row r="3485" spans="7:13" x14ac:dyDescent="0.35">
      <c r="G3485" s="88"/>
      <c r="H3485" s="89"/>
      <c r="L3485" s="88"/>
      <c r="M3485" s="89"/>
    </row>
    <row r="3486" spans="7:13" x14ac:dyDescent="0.35">
      <c r="G3486" s="88"/>
      <c r="H3486" s="89"/>
      <c r="L3486" s="88"/>
      <c r="M3486" s="89"/>
    </row>
    <row r="3487" spans="7:13" x14ac:dyDescent="0.35">
      <c r="G3487" s="88"/>
      <c r="H3487" s="89"/>
      <c r="L3487" s="88"/>
      <c r="M3487" s="89"/>
    </row>
    <row r="3488" spans="7:13" x14ac:dyDescent="0.35">
      <c r="G3488" s="88"/>
      <c r="H3488" s="89"/>
      <c r="L3488" s="88"/>
      <c r="M3488" s="89"/>
    </row>
    <row r="3489" spans="7:13" x14ac:dyDescent="0.35">
      <c r="G3489" s="88"/>
      <c r="H3489" s="89"/>
      <c r="L3489" s="88"/>
      <c r="M3489" s="89"/>
    </row>
    <row r="3490" spans="7:13" x14ac:dyDescent="0.35">
      <c r="G3490" s="88"/>
      <c r="H3490" s="89"/>
      <c r="L3490" s="88"/>
      <c r="M3490" s="89"/>
    </row>
    <row r="3491" spans="7:13" x14ac:dyDescent="0.35">
      <c r="G3491" s="88"/>
      <c r="H3491" s="89"/>
      <c r="L3491" s="88"/>
      <c r="M3491" s="89"/>
    </row>
    <row r="3492" spans="7:13" x14ac:dyDescent="0.35">
      <c r="G3492" s="88"/>
      <c r="H3492" s="89"/>
      <c r="L3492" s="88"/>
      <c r="M3492" s="89"/>
    </row>
    <row r="3493" spans="7:13" x14ac:dyDescent="0.35">
      <c r="G3493" s="88"/>
      <c r="H3493" s="89"/>
      <c r="L3493" s="88"/>
      <c r="M3493" s="89"/>
    </row>
    <row r="3494" spans="7:13" x14ac:dyDescent="0.35">
      <c r="G3494" s="88"/>
      <c r="H3494" s="89"/>
      <c r="L3494" s="88"/>
      <c r="M3494" s="89"/>
    </row>
    <row r="3495" spans="7:13" x14ac:dyDescent="0.35">
      <c r="G3495" s="88"/>
      <c r="H3495" s="89"/>
      <c r="L3495" s="88"/>
      <c r="M3495" s="89"/>
    </row>
    <row r="3496" spans="7:13" x14ac:dyDescent="0.35">
      <c r="G3496" s="88"/>
      <c r="H3496" s="89"/>
      <c r="L3496" s="88"/>
      <c r="M3496" s="89"/>
    </row>
    <row r="3497" spans="7:13" x14ac:dyDescent="0.35">
      <c r="G3497" s="88"/>
      <c r="H3497" s="89"/>
      <c r="L3497" s="88"/>
      <c r="M3497" s="89"/>
    </row>
    <row r="3498" spans="7:13" x14ac:dyDescent="0.35">
      <c r="G3498" s="88"/>
      <c r="H3498" s="89"/>
      <c r="L3498" s="88"/>
      <c r="M3498" s="89"/>
    </row>
    <row r="3499" spans="7:13" x14ac:dyDescent="0.35">
      <c r="G3499" s="88"/>
      <c r="H3499" s="89"/>
      <c r="L3499" s="88"/>
      <c r="M3499" s="89"/>
    </row>
    <row r="3500" spans="7:13" x14ac:dyDescent="0.35">
      <c r="G3500" s="88"/>
      <c r="H3500" s="89"/>
      <c r="L3500" s="88"/>
      <c r="M3500" s="89"/>
    </row>
    <row r="3501" spans="7:13" x14ac:dyDescent="0.35">
      <c r="G3501" s="88"/>
      <c r="H3501" s="89"/>
      <c r="L3501" s="88"/>
      <c r="M3501" s="89"/>
    </row>
    <row r="3502" spans="7:13" x14ac:dyDescent="0.35">
      <c r="G3502" s="88"/>
      <c r="H3502" s="89"/>
      <c r="L3502" s="88"/>
      <c r="M3502" s="89"/>
    </row>
    <row r="3503" spans="7:13" x14ac:dyDescent="0.35">
      <c r="G3503" s="88"/>
      <c r="H3503" s="89"/>
      <c r="L3503" s="88"/>
      <c r="M3503" s="89"/>
    </row>
    <row r="3504" spans="7:13" x14ac:dyDescent="0.35">
      <c r="G3504" s="88"/>
      <c r="H3504" s="89"/>
      <c r="L3504" s="88"/>
      <c r="M3504" s="89"/>
    </row>
    <row r="3505" spans="7:13" x14ac:dyDescent="0.35">
      <c r="G3505" s="88"/>
      <c r="H3505" s="89"/>
      <c r="L3505" s="88"/>
      <c r="M3505" s="89"/>
    </row>
    <row r="3506" spans="7:13" x14ac:dyDescent="0.35">
      <c r="G3506" s="88"/>
      <c r="H3506" s="89"/>
      <c r="L3506" s="88"/>
      <c r="M3506" s="89"/>
    </row>
    <row r="3507" spans="7:13" x14ac:dyDescent="0.35">
      <c r="G3507" s="88"/>
      <c r="H3507" s="89"/>
      <c r="L3507" s="88"/>
      <c r="M3507" s="89"/>
    </row>
    <row r="3508" spans="7:13" x14ac:dyDescent="0.35">
      <c r="G3508" s="88"/>
      <c r="H3508" s="89"/>
      <c r="L3508" s="88"/>
      <c r="M3508" s="89"/>
    </row>
    <row r="3509" spans="7:13" x14ac:dyDescent="0.35">
      <c r="G3509" s="88"/>
      <c r="H3509" s="89"/>
      <c r="L3509" s="88"/>
      <c r="M3509" s="89"/>
    </row>
    <row r="3510" spans="7:13" x14ac:dyDescent="0.35">
      <c r="G3510" s="88"/>
      <c r="H3510" s="89"/>
      <c r="L3510" s="88"/>
      <c r="M3510" s="89"/>
    </row>
    <row r="3511" spans="7:13" x14ac:dyDescent="0.35">
      <c r="G3511" s="88"/>
      <c r="H3511" s="89"/>
      <c r="L3511" s="88"/>
      <c r="M3511" s="89"/>
    </row>
    <row r="3512" spans="7:13" x14ac:dyDescent="0.35">
      <c r="G3512" s="88"/>
      <c r="H3512" s="89"/>
      <c r="L3512" s="88"/>
      <c r="M3512" s="89"/>
    </row>
    <row r="3513" spans="7:13" x14ac:dyDescent="0.35">
      <c r="G3513" s="88"/>
      <c r="H3513" s="89"/>
      <c r="L3513" s="88"/>
      <c r="M3513" s="89"/>
    </row>
    <row r="3514" spans="7:13" x14ac:dyDescent="0.35">
      <c r="G3514" s="88"/>
      <c r="H3514" s="89"/>
      <c r="L3514" s="88"/>
      <c r="M3514" s="89"/>
    </row>
    <row r="3515" spans="7:13" x14ac:dyDescent="0.35">
      <c r="G3515" s="88"/>
      <c r="H3515" s="89"/>
      <c r="L3515" s="88"/>
      <c r="M3515" s="89"/>
    </row>
    <row r="3516" spans="7:13" x14ac:dyDescent="0.35">
      <c r="G3516" s="88"/>
      <c r="H3516" s="89"/>
      <c r="L3516" s="88"/>
      <c r="M3516" s="89"/>
    </row>
    <row r="3517" spans="7:13" x14ac:dyDescent="0.35">
      <c r="G3517" s="88"/>
      <c r="H3517" s="89"/>
      <c r="L3517" s="88"/>
      <c r="M3517" s="89"/>
    </row>
    <row r="3518" spans="7:13" x14ac:dyDescent="0.35">
      <c r="G3518" s="88"/>
      <c r="H3518" s="89"/>
      <c r="L3518" s="88"/>
      <c r="M3518" s="89"/>
    </row>
    <row r="3519" spans="7:13" x14ac:dyDescent="0.35">
      <c r="G3519" s="88"/>
      <c r="H3519" s="89"/>
      <c r="L3519" s="88"/>
      <c r="M3519" s="89"/>
    </row>
    <row r="3520" spans="7:13" x14ac:dyDescent="0.35">
      <c r="G3520" s="88"/>
      <c r="H3520" s="89"/>
      <c r="L3520" s="88"/>
      <c r="M3520" s="89"/>
    </row>
    <row r="3521" spans="7:13" x14ac:dyDescent="0.35">
      <c r="G3521" s="88"/>
      <c r="H3521" s="89"/>
      <c r="L3521" s="88"/>
      <c r="M3521" s="89"/>
    </row>
    <row r="3522" spans="7:13" x14ac:dyDescent="0.35">
      <c r="G3522" s="88"/>
      <c r="H3522" s="89"/>
      <c r="L3522" s="88"/>
      <c r="M3522" s="89"/>
    </row>
    <row r="3523" spans="7:13" x14ac:dyDescent="0.35">
      <c r="G3523" s="88"/>
      <c r="H3523" s="89"/>
      <c r="L3523" s="88"/>
      <c r="M3523" s="89"/>
    </row>
    <row r="3524" spans="7:13" x14ac:dyDescent="0.35">
      <c r="G3524" s="88"/>
      <c r="H3524" s="89"/>
      <c r="L3524" s="88"/>
      <c r="M3524" s="89"/>
    </row>
    <row r="3525" spans="7:13" x14ac:dyDescent="0.35">
      <c r="G3525" s="88"/>
      <c r="H3525" s="89"/>
      <c r="L3525" s="88"/>
      <c r="M3525" s="89"/>
    </row>
    <row r="3526" spans="7:13" x14ac:dyDescent="0.35">
      <c r="G3526" s="88"/>
      <c r="H3526" s="89"/>
      <c r="L3526" s="88"/>
      <c r="M3526" s="89"/>
    </row>
    <row r="3527" spans="7:13" x14ac:dyDescent="0.35">
      <c r="G3527" s="88"/>
      <c r="H3527" s="89"/>
      <c r="L3527" s="88"/>
      <c r="M3527" s="89"/>
    </row>
    <row r="3528" spans="7:13" x14ac:dyDescent="0.35">
      <c r="G3528" s="88"/>
      <c r="H3528" s="89"/>
      <c r="L3528" s="88"/>
      <c r="M3528" s="89"/>
    </row>
    <row r="3529" spans="7:13" x14ac:dyDescent="0.35">
      <c r="G3529" s="88"/>
      <c r="H3529" s="89"/>
      <c r="L3529" s="88"/>
      <c r="M3529" s="89"/>
    </row>
    <row r="3530" spans="7:13" x14ac:dyDescent="0.35">
      <c r="G3530" s="88"/>
      <c r="H3530" s="89"/>
      <c r="L3530" s="88"/>
      <c r="M3530" s="89"/>
    </row>
    <row r="3531" spans="7:13" x14ac:dyDescent="0.35">
      <c r="G3531" s="88"/>
      <c r="H3531" s="89"/>
      <c r="L3531" s="88"/>
      <c r="M3531" s="89"/>
    </row>
    <row r="3532" spans="7:13" x14ac:dyDescent="0.35">
      <c r="G3532" s="88"/>
      <c r="H3532" s="89"/>
      <c r="L3532" s="88"/>
      <c r="M3532" s="89"/>
    </row>
    <row r="3533" spans="7:13" x14ac:dyDescent="0.35">
      <c r="G3533" s="88"/>
      <c r="H3533" s="89"/>
      <c r="L3533" s="88"/>
      <c r="M3533" s="89"/>
    </row>
    <row r="3534" spans="7:13" x14ac:dyDescent="0.35">
      <c r="G3534" s="88"/>
      <c r="H3534" s="89"/>
      <c r="L3534" s="88"/>
      <c r="M3534" s="89"/>
    </row>
    <row r="3535" spans="7:13" x14ac:dyDescent="0.35">
      <c r="G3535" s="88"/>
      <c r="H3535" s="89"/>
      <c r="L3535" s="88"/>
      <c r="M3535" s="89"/>
    </row>
    <row r="3536" spans="7:13" x14ac:dyDescent="0.35">
      <c r="G3536" s="88"/>
      <c r="H3536" s="89"/>
      <c r="L3536" s="88"/>
      <c r="M3536" s="89"/>
    </row>
    <row r="3537" spans="7:13" x14ac:dyDescent="0.35">
      <c r="G3537" s="88"/>
      <c r="H3537" s="89"/>
      <c r="L3537" s="88"/>
      <c r="M3537" s="89"/>
    </row>
    <row r="3538" spans="7:13" x14ac:dyDescent="0.35">
      <c r="G3538" s="88"/>
      <c r="H3538" s="89"/>
      <c r="L3538" s="88"/>
      <c r="M3538" s="89"/>
    </row>
    <row r="3539" spans="7:13" x14ac:dyDescent="0.35">
      <c r="G3539" s="88"/>
      <c r="H3539" s="89"/>
      <c r="L3539" s="88"/>
      <c r="M3539" s="89"/>
    </row>
    <row r="3540" spans="7:13" x14ac:dyDescent="0.35">
      <c r="G3540" s="88"/>
      <c r="H3540" s="89"/>
      <c r="L3540" s="88"/>
      <c r="M3540" s="89"/>
    </row>
    <row r="3541" spans="7:13" x14ac:dyDescent="0.35">
      <c r="G3541" s="88"/>
      <c r="H3541" s="89"/>
      <c r="L3541" s="88"/>
      <c r="M3541" s="89"/>
    </row>
    <row r="3542" spans="7:13" x14ac:dyDescent="0.35">
      <c r="G3542" s="88"/>
      <c r="H3542" s="89"/>
      <c r="L3542" s="88"/>
      <c r="M3542" s="89"/>
    </row>
    <row r="3543" spans="7:13" x14ac:dyDescent="0.35">
      <c r="G3543" s="88"/>
      <c r="H3543" s="89"/>
      <c r="L3543" s="88"/>
      <c r="M3543" s="89"/>
    </row>
    <row r="3544" spans="7:13" x14ac:dyDescent="0.35">
      <c r="G3544" s="88"/>
      <c r="H3544" s="89"/>
      <c r="L3544" s="88"/>
      <c r="M3544" s="89"/>
    </row>
    <row r="3545" spans="7:13" x14ac:dyDescent="0.35">
      <c r="G3545" s="88"/>
      <c r="H3545" s="89"/>
      <c r="L3545" s="88"/>
      <c r="M3545" s="89"/>
    </row>
    <row r="3546" spans="7:13" x14ac:dyDescent="0.35">
      <c r="G3546" s="88"/>
      <c r="H3546" s="89"/>
      <c r="L3546" s="88"/>
      <c r="M3546" s="89"/>
    </row>
    <row r="3547" spans="7:13" x14ac:dyDescent="0.35">
      <c r="G3547" s="88"/>
      <c r="H3547" s="89"/>
      <c r="L3547" s="88"/>
      <c r="M3547" s="89"/>
    </row>
    <row r="3548" spans="7:13" x14ac:dyDescent="0.35">
      <c r="G3548" s="88"/>
      <c r="H3548" s="89"/>
      <c r="L3548" s="88"/>
      <c r="M3548" s="89"/>
    </row>
    <row r="3549" spans="7:13" x14ac:dyDescent="0.35">
      <c r="G3549" s="88"/>
      <c r="H3549" s="89"/>
      <c r="L3549" s="88"/>
      <c r="M3549" s="89"/>
    </row>
    <row r="3550" spans="7:13" x14ac:dyDescent="0.35">
      <c r="G3550" s="88"/>
      <c r="H3550" s="89"/>
      <c r="L3550" s="88"/>
      <c r="M3550" s="89"/>
    </row>
    <row r="3551" spans="7:13" x14ac:dyDescent="0.35">
      <c r="G3551" s="88"/>
      <c r="H3551" s="89"/>
      <c r="L3551" s="88"/>
      <c r="M3551" s="89"/>
    </row>
    <row r="3552" spans="7:13" x14ac:dyDescent="0.35">
      <c r="G3552" s="88"/>
      <c r="H3552" s="89"/>
      <c r="L3552" s="88"/>
      <c r="M3552" s="89"/>
    </row>
    <row r="3553" spans="7:13" x14ac:dyDescent="0.35">
      <c r="G3553" s="88"/>
      <c r="H3553" s="89"/>
      <c r="L3553" s="88"/>
      <c r="M3553" s="89"/>
    </row>
    <row r="3554" spans="7:13" x14ac:dyDescent="0.35">
      <c r="G3554" s="88"/>
      <c r="H3554" s="89"/>
      <c r="L3554" s="88"/>
      <c r="M3554" s="89"/>
    </row>
    <row r="3555" spans="7:13" x14ac:dyDescent="0.35">
      <c r="G3555" s="88"/>
      <c r="H3555" s="89"/>
      <c r="L3555" s="88"/>
      <c r="M3555" s="89"/>
    </row>
    <row r="3556" spans="7:13" x14ac:dyDescent="0.35">
      <c r="G3556" s="88"/>
      <c r="H3556" s="89"/>
      <c r="L3556" s="88"/>
      <c r="M3556" s="89"/>
    </row>
    <row r="3557" spans="7:13" x14ac:dyDescent="0.35">
      <c r="G3557" s="88"/>
      <c r="H3557" s="89"/>
      <c r="L3557" s="88"/>
      <c r="M3557" s="89"/>
    </row>
    <row r="3558" spans="7:13" x14ac:dyDescent="0.35">
      <c r="G3558" s="88"/>
      <c r="H3558" s="89"/>
      <c r="L3558" s="88"/>
      <c r="M3558" s="89"/>
    </row>
    <row r="3559" spans="7:13" x14ac:dyDescent="0.35">
      <c r="G3559" s="88"/>
      <c r="H3559" s="89"/>
      <c r="L3559" s="88"/>
      <c r="M3559" s="89"/>
    </row>
    <row r="3560" spans="7:13" x14ac:dyDescent="0.35">
      <c r="G3560" s="88"/>
      <c r="H3560" s="89"/>
      <c r="L3560" s="88"/>
      <c r="M3560" s="89"/>
    </row>
    <row r="3561" spans="7:13" x14ac:dyDescent="0.35">
      <c r="G3561" s="88"/>
      <c r="H3561" s="89"/>
      <c r="L3561" s="88"/>
      <c r="M3561" s="89"/>
    </row>
    <row r="3562" spans="7:13" x14ac:dyDescent="0.35">
      <c r="G3562" s="88"/>
      <c r="H3562" s="89"/>
      <c r="L3562" s="88"/>
      <c r="M3562" s="89"/>
    </row>
    <row r="3563" spans="7:13" x14ac:dyDescent="0.35">
      <c r="G3563" s="88"/>
      <c r="H3563" s="89"/>
      <c r="L3563" s="88"/>
      <c r="M3563" s="89"/>
    </row>
    <row r="3564" spans="7:13" x14ac:dyDescent="0.35">
      <c r="G3564" s="88"/>
      <c r="H3564" s="89"/>
      <c r="L3564" s="88"/>
      <c r="M3564" s="89"/>
    </row>
    <row r="3565" spans="7:13" x14ac:dyDescent="0.35">
      <c r="G3565" s="88"/>
      <c r="H3565" s="89"/>
      <c r="L3565" s="88"/>
      <c r="M3565" s="89"/>
    </row>
    <row r="3566" spans="7:13" x14ac:dyDescent="0.35">
      <c r="G3566" s="88"/>
      <c r="H3566" s="89"/>
      <c r="L3566" s="88"/>
      <c r="M3566" s="89"/>
    </row>
    <row r="3567" spans="7:13" x14ac:dyDescent="0.35">
      <c r="G3567" s="88"/>
      <c r="H3567" s="89"/>
      <c r="L3567" s="88"/>
      <c r="M3567" s="89"/>
    </row>
    <row r="3568" spans="7:13" x14ac:dyDescent="0.35">
      <c r="G3568" s="88"/>
      <c r="H3568" s="89"/>
      <c r="L3568" s="88"/>
      <c r="M3568" s="89"/>
    </row>
    <row r="3569" spans="7:13" x14ac:dyDescent="0.35">
      <c r="G3569" s="88"/>
      <c r="H3569" s="89"/>
      <c r="L3569" s="88"/>
      <c r="M3569" s="89"/>
    </row>
    <row r="3570" spans="7:13" x14ac:dyDescent="0.35">
      <c r="G3570" s="88"/>
      <c r="H3570" s="89"/>
      <c r="L3570" s="88"/>
      <c r="M3570" s="89"/>
    </row>
    <row r="3571" spans="7:13" x14ac:dyDescent="0.35">
      <c r="G3571" s="88"/>
      <c r="H3571" s="89"/>
      <c r="L3571" s="88"/>
      <c r="M3571" s="89"/>
    </row>
    <row r="3572" spans="7:13" x14ac:dyDescent="0.35">
      <c r="G3572" s="88"/>
      <c r="H3572" s="89"/>
      <c r="L3572" s="88"/>
      <c r="M3572" s="89"/>
    </row>
    <row r="3573" spans="7:13" x14ac:dyDescent="0.35">
      <c r="G3573" s="88"/>
      <c r="H3573" s="89"/>
      <c r="L3573" s="88"/>
      <c r="M3573" s="89"/>
    </row>
    <row r="3574" spans="7:13" x14ac:dyDescent="0.35">
      <c r="G3574" s="88"/>
      <c r="H3574" s="89"/>
      <c r="L3574" s="88"/>
      <c r="M3574" s="89"/>
    </row>
    <row r="3575" spans="7:13" x14ac:dyDescent="0.35">
      <c r="G3575" s="88"/>
      <c r="H3575" s="89"/>
      <c r="L3575" s="88"/>
      <c r="M3575" s="89"/>
    </row>
    <row r="3576" spans="7:13" x14ac:dyDescent="0.35">
      <c r="G3576" s="88"/>
      <c r="H3576" s="89"/>
      <c r="L3576" s="88"/>
      <c r="M3576" s="89"/>
    </row>
    <row r="3577" spans="7:13" x14ac:dyDescent="0.35">
      <c r="G3577" s="88"/>
      <c r="H3577" s="89"/>
      <c r="L3577" s="88"/>
      <c r="M3577" s="89"/>
    </row>
    <row r="3578" spans="7:13" x14ac:dyDescent="0.35">
      <c r="G3578" s="88"/>
      <c r="H3578" s="89"/>
      <c r="L3578" s="88"/>
      <c r="M3578" s="89"/>
    </row>
    <row r="3579" spans="7:13" x14ac:dyDescent="0.35">
      <c r="G3579" s="88"/>
      <c r="H3579" s="89"/>
      <c r="L3579" s="88"/>
      <c r="M3579" s="89"/>
    </row>
    <row r="3580" spans="7:13" x14ac:dyDescent="0.35">
      <c r="G3580" s="88"/>
      <c r="H3580" s="89"/>
      <c r="L3580" s="88"/>
      <c r="M3580" s="89"/>
    </row>
    <row r="3581" spans="7:13" x14ac:dyDescent="0.35">
      <c r="G3581" s="88"/>
      <c r="H3581" s="89"/>
      <c r="L3581" s="88"/>
      <c r="M3581" s="89"/>
    </row>
    <row r="3582" spans="7:13" x14ac:dyDescent="0.35">
      <c r="G3582" s="88"/>
      <c r="H3582" s="89"/>
      <c r="L3582" s="88"/>
      <c r="M3582" s="89"/>
    </row>
    <row r="3583" spans="7:13" x14ac:dyDescent="0.35">
      <c r="G3583" s="88"/>
      <c r="H3583" s="89"/>
      <c r="L3583" s="88"/>
      <c r="M3583" s="89"/>
    </row>
    <row r="3584" spans="7:13" x14ac:dyDescent="0.35">
      <c r="G3584" s="88"/>
      <c r="H3584" s="89"/>
      <c r="L3584" s="88"/>
      <c r="M3584" s="89"/>
    </row>
    <row r="3585" spans="7:13" x14ac:dyDescent="0.35">
      <c r="G3585" s="88"/>
      <c r="H3585" s="89"/>
      <c r="L3585" s="88"/>
      <c r="M3585" s="89"/>
    </row>
    <row r="3586" spans="7:13" x14ac:dyDescent="0.35">
      <c r="G3586" s="88"/>
      <c r="H3586" s="89"/>
      <c r="L3586" s="88"/>
      <c r="M3586" s="89"/>
    </row>
    <row r="3587" spans="7:13" x14ac:dyDescent="0.35">
      <c r="G3587" s="88"/>
      <c r="H3587" s="89"/>
      <c r="L3587" s="88"/>
      <c r="M3587" s="89"/>
    </row>
    <row r="3588" spans="7:13" x14ac:dyDescent="0.35">
      <c r="G3588" s="88"/>
      <c r="H3588" s="89"/>
      <c r="L3588" s="88"/>
      <c r="M3588" s="89"/>
    </row>
    <row r="3589" spans="7:13" x14ac:dyDescent="0.35">
      <c r="G3589" s="88"/>
      <c r="H3589" s="89"/>
      <c r="L3589" s="88"/>
      <c r="M3589" s="89"/>
    </row>
    <row r="3590" spans="7:13" x14ac:dyDescent="0.35">
      <c r="G3590" s="88"/>
      <c r="H3590" s="89"/>
      <c r="L3590" s="88"/>
      <c r="M3590" s="89"/>
    </row>
    <row r="3591" spans="7:13" x14ac:dyDescent="0.35">
      <c r="G3591" s="88"/>
      <c r="H3591" s="89"/>
      <c r="L3591" s="88"/>
      <c r="M3591" s="89"/>
    </row>
    <row r="3592" spans="7:13" x14ac:dyDescent="0.35">
      <c r="G3592" s="88"/>
      <c r="H3592" s="89"/>
      <c r="L3592" s="88"/>
      <c r="M3592" s="89"/>
    </row>
    <row r="3593" spans="7:13" x14ac:dyDescent="0.35">
      <c r="G3593" s="88"/>
      <c r="H3593" s="89"/>
      <c r="L3593" s="88"/>
      <c r="M3593" s="89"/>
    </row>
    <row r="3594" spans="7:13" x14ac:dyDescent="0.35">
      <c r="G3594" s="88"/>
      <c r="H3594" s="89"/>
      <c r="L3594" s="88"/>
      <c r="M3594" s="89"/>
    </row>
    <row r="3595" spans="7:13" x14ac:dyDescent="0.35">
      <c r="G3595" s="88"/>
      <c r="H3595" s="89"/>
      <c r="L3595" s="88"/>
      <c r="M3595" s="89"/>
    </row>
    <row r="3596" spans="7:13" x14ac:dyDescent="0.35">
      <c r="G3596" s="88"/>
      <c r="H3596" s="89"/>
      <c r="L3596" s="88"/>
      <c r="M3596" s="89"/>
    </row>
    <row r="3597" spans="7:13" x14ac:dyDescent="0.35">
      <c r="G3597" s="88"/>
      <c r="H3597" s="89"/>
      <c r="L3597" s="88"/>
      <c r="M3597" s="89"/>
    </row>
    <row r="3598" spans="7:13" x14ac:dyDescent="0.35">
      <c r="G3598" s="88"/>
      <c r="H3598" s="89"/>
      <c r="L3598" s="88"/>
      <c r="M3598" s="89"/>
    </row>
    <row r="3599" spans="7:13" x14ac:dyDescent="0.35">
      <c r="G3599" s="88"/>
      <c r="H3599" s="89"/>
      <c r="L3599" s="88"/>
      <c r="M3599" s="89"/>
    </row>
    <row r="3600" spans="7:13" x14ac:dyDescent="0.35">
      <c r="G3600" s="88"/>
      <c r="H3600" s="89"/>
      <c r="L3600" s="88"/>
      <c r="M3600" s="89"/>
    </row>
    <row r="3601" spans="7:13" x14ac:dyDescent="0.35">
      <c r="G3601" s="88"/>
      <c r="H3601" s="89"/>
      <c r="L3601" s="88"/>
      <c r="M3601" s="89"/>
    </row>
    <row r="3602" spans="7:13" x14ac:dyDescent="0.35">
      <c r="G3602" s="88"/>
      <c r="H3602" s="89"/>
      <c r="L3602" s="88"/>
      <c r="M3602" s="89"/>
    </row>
    <row r="3603" spans="7:13" x14ac:dyDescent="0.35">
      <c r="G3603" s="88"/>
      <c r="H3603" s="89"/>
      <c r="L3603" s="88"/>
      <c r="M3603" s="89"/>
    </row>
    <row r="3604" spans="7:13" x14ac:dyDescent="0.35">
      <c r="G3604" s="88"/>
      <c r="H3604" s="89"/>
      <c r="L3604" s="88"/>
      <c r="M3604" s="89"/>
    </row>
    <row r="3605" spans="7:13" x14ac:dyDescent="0.35">
      <c r="G3605" s="88"/>
      <c r="H3605" s="89"/>
      <c r="L3605" s="88"/>
      <c r="M3605" s="89"/>
    </row>
    <row r="3606" spans="7:13" x14ac:dyDescent="0.35">
      <c r="G3606" s="88"/>
      <c r="H3606" s="89"/>
      <c r="L3606" s="88"/>
      <c r="M3606" s="89"/>
    </row>
    <row r="3607" spans="7:13" x14ac:dyDescent="0.35">
      <c r="G3607" s="88"/>
      <c r="H3607" s="89"/>
      <c r="L3607" s="88"/>
      <c r="M3607" s="89"/>
    </row>
    <row r="3608" spans="7:13" x14ac:dyDescent="0.35">
      <c r="G3608" s="88"/>
      <c r="H3608" s="89"/>
      <c r="L3608" s="88"/>
      <c r="M3608" s="89"/>
    </row>
    <row r="3609" spans="7:13" x14ac:dyDescent="0.35">
      <c r="G3609" s="88"/>
      <c r="H3609" s="89"/>
      <c r="L3609" s="88"/>
      <c r="M3609" s="89"/>
    </row>
    <row r="3610" spans="7:13" x14ac:dyDescent="0.35">
      <c r="G3610" s="88"/>
      <c r="H3610" s="89"/>
      <c r="L3610" s="88"/>
      <c r="M3610" s="89"/>
    </row>
    <row r="3611" spans="7:13" x14ac:dyDescent="0.35">
      <c r="G3611" s="88"/>
      <c r="H3611" s="89"/>
      <c r="L3611" s="88"/>
      <c r="M3611" s="89"/>
    </row>
    <row r="3612" spans="7:13" x14ac:dyDescent="0.35">
      <c r="G3612" s="88"/>
      <c r="H3612" s="89"/>
      <c r="L3612" s="88"/>
      <c r="M3612" s="89"/>
    </row>
    <row r="3613" spans="7:13" x14ac:dyDescent="0.35">
      <c r="G3613" s="88"/>
      <c r="H3613" s="89"/>
      <c r="L3613" s="88"/>
      <c r="M3613" s="89"/>
    </row>
    <row r="3614" spans="7:13" x14ac:dyDescent="0.35">
      <c r="G3614" s="88"/>
      <c r="H3614" s="89"/>
      <c r="L3614" s="88"/>
      <c r="M3614" s="89"/>
    </row>
    <row r="3615" spans="7:13" x14ac:dyDescent="0.35">
      <c r="G3615" s="88"/>
      <c r="H3615" s="89"/>
      <c r="L3615" s="88"/>
      <c r="M3615" s="89"/>
    </row>
    <row r="3616" spans="7:13" x14ac:dyDescent="0.35">
      <c r="G3616" s="88"/>
      <c r="H3616" s="89"/>
      <c r="L3616" s="88"/>
      <c r="M3616" s="89"/>
    </row>
    <row r="3617" spans="7:13" x14ac:dyDescent="0.35">
      <c r="G3617" s="88"/>
      <c r="H3617" s="89"/>
      <c r="L3617" s="88"/>
      <c r="M3617" s="89"/>
    </row>
    <row r="3618" spans="7:13" x14ac:dyDescent="0.35">
      <c r="G3618" s="88"/>
      <c r="H3618" s="89"/>
      <c r="L3618" s="88"/>
      <c r="M3618" s="89"/>
    </row>
    <row r="3619" spans="7:13" x14ac:dyDescent="0.35">
      <c r="G3619" s="88"/>
      <c r="H3619" s="89"/>
      <c r="L3619" s="88"/>
      <c r="M3619" s="89"/>
    </row>
    <row r="3620" spans="7:13" x14ac:dyDescent="0.35">
      <c r="G3620" s="88"/>
      <c r="H3620" s="89"/>
      <c r="L3620" s="88"/>
      <c r="M3620" s="89"/>
    </row>
    <row r="3621" spans="7:13" x14ac:dyDescent="0.35">
      <c r="G3621" s="88"/>
      <c r="H3621" s="89"/>
      <c r="L3621" s="88"/>
      <c r="M3621" s="89"/>
    </row>
    <row r="3622" spans="7:13" x14ac:dyDescent="0.35">
      <c r="G3622" s="88"/>
      <c r="H3622" s="89"/>
      <c r="L3622" s="88"/>
      <c r="M3622" s="89"/>
    </row>
    <row r="3623" spans="7:13" x14ac:dyDescent="0.35">
      <c r="G3623" s="88"/>
      <c r="H3623" s="89"/>
      <c r="L3623" s="88"/>
      <c r="M3623" s="89"/>
    </row>
    <row r="3624" spans="7:13" x14ac:dyDescent="0.35">
      <c r="G3624" s="88"/>
      <c r="H3624" s="89"/>
      <c r="L3624" s="88"/>
      <c r="M3624" s="89"/>
    </row>
    <row r="3625" spans="7:13" x14ac:dyDescent="0.35">
      <c r="G3625" s="88"/>
      <c r="H3625" s="89"/>
      <c r="L3625" s="88"/>
      <c r="M3625" s="89"/>
    </row>
    <row r="3626" spans="7:13" x14ac:dyDescent="0.35">
      <c r="G3626" s="88"/>
      <c r="H3626" s="89"/>
      <c r="L3626" s="88"/>
      <c r="M3626" s="89"/>
    </row>
    <row r="3627" spans="7:13" x14ac:dyDescent="0.35">
      <c r="G3627" s="88"/>
      <c r="H3627" s="89"/>
      <c r="L3627" s="88"/>
      <c r="M3627" s="89"/>
    </row>
    <row r="3628" spans="7:13" x14ac:dyDescent="0.35">
      <c r="G3628" s="88"/>
      <c r="H3628" s="89"/>
      <c r="L3628" s="88"/>
      <c r="M3628" s="89"/>
    </row>
    <row r="3629" spans="7:13" x14ac:dyDescent="0.35">
      <c r="G3629" s="88"/>
      <c r="H3629" s="89"/>
      <c r="L3629" s="88"/>
      <c r="M3629" s="89"/>
    </row>
    <row r="3630" spans="7:13" x14ac:dyDescent="0.35">
      <c r="G3630" s="88"/>
      <c r="H3630" s="89"/>
      <c r="L3630" s="88"/>
      <c r="M3630" s="89"/>
    </row>
    <row r="3631" spans="7:13" x14ac:dyDescent="0.35">
      <c r="G3631" s="88"/>
      <c r="H3631" s="89"/>
      <c r="L3631" s="88"/>
      <c r="M3631" s="89"/>
    </row>
    <row r="3632" spans="7:13" x14ac:dyDescent="0.35">
      <c r="G3632" s="88"/>
      <c r="H3632" s="89"/>
      <c r="L3632" s="88"/>
      <c r="M3632" s="89"/>
    </row>
    <row r="3633" spans="7:13" x14ac:dyDescent="0.35">
      <c r="G3633" s="88"/>
      <c r="H3633" s="89"/>
      <c r="L3633" s="88"/>
      <c r="M3633" s="89"/>
    </row>
    <row r="3634" spans="7:13" x14ac:dyDescent="0.35">
      <c r="G3634" s="88"/>
      <c r="H3634" s="89"/>
      <c r="L3634" s="88"/>
      <c r="M3634" s="89"/>
    </row>
    <row r="3635" spans="7:13" x14ac:dyDescent="0.35">
      <c r="G3635" s="88"/>
      <c r="H3635" s="89"/>
      <c r="L3635" s="88"/>
      <c r="M3635" s="89"/>
    </row>
    <row r="3636" spans="7:13" x14ac:dyDescent="0.35">
      <c r="G3636" s="88"/>
      <c r="H3636" s="89"/>
      <c r="L3636" s="88"/>
      <c r="M3636" s="89"/>
    </row>
    <row r="3637" spans="7:13" x14ac:dyDescent="0.35">
      <c r="G3637" s="88"/>
      <c r="H3637" s="89"/>
      <c r="L3637" s="88"/>
      <c r="M3637" s="89"/>
    </row>
    <row r="3638" spans="7:13" x14ac:dyDescent="0.35">
      <c r="G3638" s="88"/>
      <c r="H3638" s="89"/>
      <c r="L3638" s="88"/>
      <c r="M3638" s="89"/>
    </row>
    <row r="3639" spans="7:13" x14ac:dyDescent="0.35">
      <c r="G3639" s="88"/>
      <c r="H3639" s="89"/>
      <c r="L3639" s="88"/>
      <c r="M3639" s="89"/>
    </row>
    <row r="3640" spans="7:13" x14ac:dyDescent="0.35">
      <c r="G3640" s="88"/>
      <c r="H3640" s="89"/>
      <c r="L3640" s="88"/>
      <c r="M3640" s="89"/>
    </row>
    <row r="3641" spans="7:13" x14ac:dyDescent="0.35">
      <c r="G3641" s="88"/>
      <c r="H3641" s="89"/>
      <c r="L3641" s="88"/>
      <c r="M3641" s="89"/>
    </row>
    <row r="3642" spans="7:13" x14ac:dyDescent="0.35">
      <c r="G3642" s="88"/>
      <c r="H3642" s="89"/>
      <c r="L3642" s="88"/>
      <c r="M3642" s="89"/>
    </row>
    <row r="3643" spans="7:13" x14ac:dyDescent="0.35">
      <c r="G3643" s="88"/>
      <c r="H3643" s="89"/>
      <c r="L3643" s="88"/>
      <c r="M3643" s="89"/>
    </row>
    <row r="3644" spans="7:13" x14ac:dyDescent="0.35">
      <c r="G3644" s="88"/>
      <c r="H3644" s="89"/>
      <c r="L3644" s="88"/>
      <c r="M3644" s="89"/>
    </row>
    <row r="3645" spans="7:13" x14ac:dyDescent="0.35">
      <c r="G3645" s="88"/>
      <c r="H3645" s="89"/>
      <c r="L3645" s="88"/>
      <c r="M3645" s="89"/>
    </row>
    <row r="3646" spans="7:13" x14ac:dyDescent="0.35">
      <c r="G3646" s="88"/>
      <c r="H3646" s="89"/>
      <c r="L3646" s="88"/>
      <c r="M3646" s="89"/>
    </row>
    <row r="3647" spans="7:13" x14ac:dyDescent="0.35">
      <c r="G3647" s="88"/>
      <c r="H3647" s="89"/>
      <c r="L3647" s="88"/>
      <c r="M3647" s="89"/>
    </row>
    <row r="3648" spans="7:13" x14ac:dyDescent="0.35">
      <c r="G3648" s="88"/>
      <c r="H3648" s="89"/>
      <c r="L3648" s="88"/>
      <c r="M3648" s="89"/>
    </row>
    <row r="3649" spans="7:13" x14ac:dyDescent="0.35">
      <c r="G3649" s="88"/>
      <c r="H3649" s="89"/>
      <c r="L3649" s="88"/>
      <c r="M3649" s="89"/>
    </row>
    <row r="3650" spans="7:13" x14ac:dyDescent="0.35">
      <c r="G3650" s="88"/>
      <c r="H3650" s="89"/>
      <c r="L3650" s="88"/>
      <c r="M3650" s="89"/>
    </row>
    <row r="3651" spans="7:13" x14ac:dyDescent="0.35">
      <c r="G3651" s="88"/>
      <c r="H3651" s="89"/>
      <c r="L3651" s="88"/>
      <c r="M3651" s="89"/>
    </row>
    <row r="3652" spans="7:13" x14ac:dyDescent="0.35">
      <c r="G3652" s="88"/>
      <c r="H3652" s="89"/>
      <c r="L3652" s="88"/>
      <c r="M3652" s="89"/>
    </row>
    <row r="3653" spans="7:13" x14ac:dyDescent="0.35">
      <c r="G3653" s="88"/>
      <c r="H3653" s="89"/>
      <c r="L3653" s="88"/>
      <c r="M3653" s="89"/>
    </row>
    <row r="3654" spans="7:13" x14ac:dyDescent="0.35">
      <c r="G3654" s="88"/>
      <c r="H3654" s="89"/>
      <c r="L3654" s="88"/>
      <c r="M3654" s="89"/>
    </row>
    <row r="3655" spans="7:13" x14ac:dyDescent="0.35">
      <c r="G3655" s="88"/>
      <c r="H3655" s="89"/>
      <c r="L3655" s="88"/>
      <c r="M3655" s="89"/>
    </row>
    <row r="3656" spans="7:13" x14ac:dyDescent="0.35">
      <c r="G3656" s="88"/>
      <c r="H3656" s="89"/>
      <c r="L3656" s="88"/>
      <c r="M3656" s="89"/>
    </row>
    <row r="3657" spans="7:13" x14ac:dyDescent="0.35">
      <c r="G3657" s="88"/>
      <c r="H3657" s="89"/>
      <c r="L3657" s="88"/>
      <c r="M3657" s="89"/>
    </row>
    <row r="3658" spans="7:13" x14ac:dyDescent="0.35">
      <c r="G3658" s="88"/>
      <c r="H3658" s="89"/>
      <c r="L3658" s="88"/>
      <c r="M3658" s="89"/>
    </row>
    <row r="3659" spans="7:13" x14ac:dyDescent="0.35">
      <c r="G3659" s="88"/>
      <c r="H3659" s="89"/>
      <c r="L3659" s="88"/>
      <c r="M3659" s="89"/>
    </row>
    <row r="3660" spans="7:13" x14ac:dyDescent="0.35">
      <c r="G3660" s="88"/>
      <c r="H3660" s="89"/>
      <c r="L3660" s="88"/>
      <c r="M3660" s="89"/>
    </row>
    <row r="3661" spans="7:13" x14ac:dyDescent="0.35">
      <c r="G3661" s="88"/>
      <c r="H3661" s="89"/>
      <c r="L3661" s="88"/>
      <c r="M3661" s="89"/>
    </row>
    <row r="3662" spans="7:13" x14ac:dyDescent="0.35">
      <c r="G3662" s="88"/>
      <c r="H3662" s="89"/>
      <c r="L3662" s="88"/>
      <c r="M3662" s="89"/>
    </row>
    <row r="3663" spans="7:13" x14ac:dyDescent="0.35">
      <c r="G3663" s="88"/>
      <c r="H3663" s="89"/>
      <c r="L3663" s="88"/>
      <c r="M3663" s="89"/>
    </row>
    <row r="3664" spans="7:13" x14ac:dyDescent="0.35">
      <c r="G3664" s="88"/>
      <c r="H3664" s="89"/>
      <c r="L3664" s="88"/>
      <c r="M3664" s="89"/>
    </row>
    <row r="3665" spans="7:13" x14ac:dyDescent="0.35">
      <c r="G3665" s="88"/>
      <c r="H3665" s="89"/>
      <c r="L3665" s="88"/>
      <c r="M3665" s="89"/>
    </row>
    <row r="3666" spans="7:13" x14ac:dyDescent="0.35">
      <c r="G3666" s="88"/>
      <c r="H3666" s="89"/>
      <c r="L3666" s="88"/>
      <c r="M3666" s="89"/>
    </row>
    <row r="3667" spans="7:13" x14ac:dyDescent="0.35">
      <c r="G3667" s="88"/>
      <c r="H3667" s="89"/>
      <c r="L3667" s="88"/>
      <c r="M3667" s="89"/>
    </row>
    <row r="3668" spans="7:13" x14ac:dyDescent="0.35">
      <c r="G3668" s="88"/>
      <c r="H3668" s="89"/>
      <c r="L3668" s="88"/>
      <c r="M3668" s="89"/>
    </row>
    <row r="3669" spans="7:13" x14ac:dyDescent="0.35">
      <c r="G3669" s="88"/>
      <c r="H3669" s="89"/>
      <c r="L3669" s="88"/>
      <c r="M3669" s="89"/>
    </row>
    <row r="3670" spans="7:13" x14ac:dyDescent="0.35">
      <c r="G3670" s="88"/>
      <c r="H3670" s="89"/>
      <c r="L3670" s="88"/>
      <c r="M3670" s="89"/>
    </row>
    <row r="3671" spans="7:13" x14ac:dyDescent="0.35">
      <c r="G3671" s="88"/>
      <c r="H3671" s="89"/>
      <c r="L3671" s="88"/>
      <c r="M3671" s="89"/>
    </row>
    <row r="3672" spans="7:13" x14ac:dyDescent="0.35">
      <c r="G3672" s="88"/>
      <c r="H3672" s="89"/>
      <c r="L3672" s="88"/>
      <c r="M3672" s="89"/>
    </row>
    <row r="3673" spans="7:13" x14ac:dyDescent="0.35">
      <c r="G3673" s="88"/>
      <c r="H3673" s="89"/>
      <c r="L3673" s="88"/>
      <c r="M3673" s="89"/>
    </row>
    <row r="3674" spans="7:13" x14ac:dyDescent="0.35">
      <c r="G3674" s="88"/>
      <c r="H3674" s="89"/>
      <c r="L3674" s="88"/>
      <c r="M3674" s="89"/>
    </row>
    <row r="3675" spans="7:13" x14ac:dyDescent="0.35">
      <c r="G3675" s="88"/>
      <c r="H3675" s="89"/>
      <c r="L3675" s="88"/>
      <c r="M3675" s="89"/>
    </row>
    <row r="3676" spans="7:13" x14ac:dyDescent="0.35">
      <c r="G3676" s="88"/>
      <c r="H3676" s="89"/>
      <c r="L3676" s="88"/>
      <c r="M3676" s="89"/>
    </row>
    <row r="3677" spans="7:13" x14ac:dyDescent="0.35">
      <c r="G3677" s="88"/>
      <c r="H3677" s="89"/>
      <c r="L3677" s="88"/>
      <c r="M3677" s="89"/>
    </row>
    <row r="3678" spans="7:13" x14ac:dyDescent="0.35">
      <c r="G3678" s="88"/>
      <c r="H3678" s="89"/>
      <c r="L3678" s="88"/>
      <c r="M3678" s="89"/>
    </row>
    <row r="3679" spans="7:13" x14ac:dyDescent="0.35">
      <c r="G3679" s="88"/>
      <c r="H3679" s="89"/>
      <c r="L3679" s="88"/>
      <c r="M3679" s="89"/>
    </row>
    <row r="3680" spans="7:13" x14ac:dyDescent="0.35">
      <c r="G3680" s="88"/>
      <c r="H3680" s="89"/>
      <c r="L3680" s="88"/>
      <c r="M3680" s="89"/>
    </row>
    <row r="3681" spans="7:13" x14ac:dyDescent="0.35">
      <c r="G3681" s="88"/>
      <c r="H3681" s="89"/>
      <c r="L3681" s="88"/>
      <c r="M3681" s="89"/>
    </row>
    <row r="3682" spans="7:13" x14ac:dyDescent="0.35">
      <c r="G3682" s="88"/>
      <c r="H3682" s="89"/>
      <c r="L3682" s="88"/>
      <c r="M3682" s="89"/>
    </row>
    <row r="3683" spans="7:13" x14ac:dyDescent="0.35">
      <c r="G3683" s="88"/>
      <c r="H3683" s="89"/>
      <c r="L3683" s="88"/>
      <c r="M3683" s="89"/>
    </row>
    <row r="3684" spans="7:13" x14ac:dyDescent="0.35">
      <c r="G3684" s="88"/>
      <c r="H3684" s="89"/>
      <c r="L3684" s="88"/>
      <c r="M3684" s="89"/>
    </row>
    <row r="3685" spans="7:13" x14ac:dyDescent="0.35">
      <c r="G3685" s="88"/>
      <c r="H3685" s="89"/>
      <c r="L3685" s="88"/>
      <c r="M3685" s="89"/>
    </row>
    <row r="3686" spans="7:13" x14ac:dyDescent="0.35">
      <c r="G3686" s="88"/>
      <c r="H3686" s="89"/>
      <c r="L3686" s="88"/>
      <c r="M3686" s="89"/>
    </row>
    <row r="3687" spans="7:13" x14ac:dyDescent="0.35">
      <c r="G3687" s="88"/>
      <c r="H3687" s="89"/>
      <c r="L3687" s="88"/>
      <c r="M3687" s="89"/>
    </row>
    <row r="3688" spans="7:13" x14ac:dyDescent="0.35">
      <c r="G3688" s="88"/>
      <c r="H3688" s="89"/>
      <c r="L3688" s="88"/>
      <c r="M3688" s="89"/>
    </row>
    <row r="3689" spans="7:13" x14ac:dyDescent="0.35">
      <c r="G3689" s="88"/>
      <c r="H3689" s="89"/>
      <c r="L3689" s="88"/>
      <c r="M3689" s="89"/>
    </row>
    <row r="3690" spans="7:13" x14ac:dyDescent="0.35">
      <c r="G3690" s="88"/>
      <c r="H3690" s="89"/>
      <c r="L3690" s="88"/>
      <c r="M3690" s="89"/>
    </row>
    <row r="3691" spans="7:13" x14ac:dyDescent="0.35">
      <c r="G3691" s="88"/>
      <c r="H3691" s="89"/>
      <c r="L3691" s="88"/>
      <c r="M3691" s="89"/>
    </row>
    <row r="3692" spans="7:13" x14ac:dyDescent="0.35">
      <c r="G3692" s="88"/>
      <c r="H3692" s="89"/>
      <c r="L3692" s="88"/>
      <c r="M3692" s="89"/>
    </row>
    <row r="3693" spans="7:13" x14ac:dyDescent="0.35">
      <c r="G3693" s="88"/>
      <c r="H3693" s="89"/>
      <c r="L3693" s="88"/>
      <c r="M3693" s="89"/>
    </row>
    <row r="3694" spans="7:13" x14ac:dyDescent="0.35">
      <c r="G3694" s="88"/>
      <c r="H3694" s="89"/>
      <c r="L3694" s="88"/>
      <c r="M3694" s="89"/>
    </row>
    <row r="3695" spans="7:13" x14ac:dyDescent="0.35">
      <c r="G3695" s="88"/>
      <c r="H3695" s="89"/>
      <c r="L3695" s="88"/>
      <c r="M3695" s="89"/>
    </row>
    <row r="3696" spans="7:13" x14ac:dyDescent="0.35">
      <c r="G3696" s="88"/>
      <c r="H3696" s="89"/>
      <c r="L3696" s="88"/>
      <c r="M3696" s="89"/>
    </row>
    <row r="3697" spans="7:13" x14ac:dyDescent="0.35">
      <c r="G3697" s="88"/>
      <c r="H3697" s="89"/>
      <c r="L3697" s="88"/>
      <c r="M3697" s="89"/>
    </row>
    <row r="3698" spans="7:13" x14ac:dyDescent="0.35">
      <c r="G3698" s="88"/>
      <c r="H3698" s="89"/>
      <c r="L3698" s="88"/>
      <c r="M3698" s="89"/>
    </row>
    <row r="3699" spans="7:13" x14ac:dyDescent="0.35">
      <c r="G3699" s="88"/>
      <c r="H3699" s="89"/>
      <c r="L3699" s="88"/>
      <c r="M3699" s="89"/>
    </row>
    <row r="3700" spans="7:13" x14ac:dyDescent="0.35">
      <c r="G3700" s="88"/>
      <c r="H3700" s="89"/>
      <c r="L3700" s="88"/>
      <c r="M3700" s="89"/>
    </row>
    <row r="3701" spans="7:13" x14ac:dyDescent="0.35">
      <c r="G3701" s="88"/>
      <c r="H3701" s="89"/>
      <c r="L3701" s="88"/>
      <c r="M3701" s="89"/>
    </row>
    <row r="3702" spans="7:13" x14ac:dyDescent="0.35">
      <c r="G3702" s="88"/>
      <c r="H3702" s="89"/>
      <c r="L3702" s="88"/>
      <c r="M3702" s="89"/>
    </row>
    <row r="3703" spans="7:13" x14ac:dyDescent="0.35">
      <c r="G3703" s="88"/>
      <c r="H3703" s="89"/>
      <c r="L3703" s="88"/>
      <c r="M3703" s="89"/>
    </row>
    <row r="3704" spans="7:13" x14ac:dyDescent="0.35">
      <c r="G3704" s="88"/>
      <c r="H3704" s="89"/>
      <c r="L3704" s="88"/>
      <c r="M3704" s="89"/>
    </row>
    <row r="3705" spans="7:13" x14ac:dyDescent="0.35">
      <c r="G3705" s="88"/>
      <c r="H3705" s="89"/>
      <c r="L3705" s="88"/>
      <c r="M3705" s="89"/>
    </row>
    <row r="3706" spans="7:13" x14ac:dyDescent="0.35">
      <c r="G3706" s="88"/>
      <c r="H3706" s="89"/>
      <c r="L3706" s="88"/>
      <c r="M3706" s="89"/>
    </row>
    <row r="3707" spans="7:13" x14ac:dyDescent="0.35">
      <c r="G3707" s="88"/>
      <c r="H3707" s="89"/>
      <c r="L3707" s="88"/>
      <c r="M3707" s="89"/>
    </row>
    <row r="3708" spans="7:13" x14ac:dyDescent="0.35">
      <c r="G3708" s="88"/>
      <c r="H3708" s="89"/>
      <c r="L3708" s="88"/>
      <c r="M3708" s="89"/>
    </row>
    <row r="3709" spans="7:13" x14ac:dyDescent="0.35">
      <c r="G3709" s="88"/>
      <c r="H3709" s="89"/>
      <c r="L3709" s="88"/>
      <c r="M3709" s="89"/>
    </row>
    <row r="3710" spans="7:13" x14ac:dyDescent="0.35">
      <c r="G3710" s="88"/>
      <c r="H3710" s="89"/>
      <c r="L3710" s="88"/>
      <c r="M3710" s="89"/>
    </row>
    <row r="3711" spans="7:13" x14ac:dyDescent="0.35">
      <c r="G3711" s="88"/>
      <c r="H3711" s="89"/>
      <c r="L3711" s="88"/>
      <c r="M3711" s="89"/>
    </row>
    <row r="3712" spans="7:13" x14ac:dyDescent="0.35">
      <c r="G3712" s="88"/>
      <c r="H3712" s="89"/>
      <c r="L3712" s="88"/>
      <c r="M3712" s="89"/>
    </row>
    <row r="3713" spans="7:13" x14ac:dyDescent="0.35">
      <c r="G3713" s="88"/>
      <c r="H3713" s="89"/>
      <c r="L3713" s="88"/>
      <c r="M3713" s="89"/>
    </row>
    <row r="3714" spans="7:13" x14ac:dyDescent="0.35">
      <c r="G3714" s="88"/>
      <c r="H3714" s="89"/>
      <c r="L3714" s="88"/>
      <c r="M3714" s="89"/>
    </row>
    <row r="3715" spans="7:13" x14ac:dyDescent="0.35">
      <c r="G3715" s="88"/>
      <c r="H3715" s="89"/>
      <c r="L3715" s="88"/>
      <c r="M3715" s="89"/>
    </row>
    <row r="3716" spans="7:13" x14ac:dyDescent="0.35">
      <c r="G3716" s="88"/>
      <c r="H3716" s="89"/>
      <c r="L3716" s="88"/>
      <c r="M3716" s="89"/>
    </row>
    <row r="3717" spans="7:13" x14ac:dyDescent="0.35">
      <c r="G3717" s="88"/>
      <c r="H3717" s="89"/>
      <c r="L3717" s="88"/>
      <c r="M3717" s="89"/>
    </row>
    <row r="3718" spans="7:13" x14ac:dyDescent="0.35">
      <c r="G3718" s="88"/>
      <c r="H3718" s="89"/>
      <c r="L3718" s="88"/>
      <c r="M3718" s="89"/>
    </row>
    <row r="3719" spans="7:13" x14ac:dyDescent="0.35">
      <c r="G3719" s="88"/>
      <c r="H3719" s="89"/>
      <c r="L3719" s="88"/>
      <c r="M3719" s="89"/>
    </row>
    <row r="3720" spans="7:13" x14ac:dyDescent="0.35">
      <c r="G3720" s="88"/>
      <c r="H3720" s="89"/>
      <c r="L3720" s="88"/>
      <c r="M3720" s="89"/>
    </row>
    <row r="3721" spans="7:13" x14ac:dyDescent="0.35">
      <c r="G3721" s="88"/>
      <c r="H3721" s="89"/>
      <c r="L3721" s="88"/>
      <c r="M3721" s="89"/>
    </row>
    <row r="3722" spans="7:13" x14ac:dyDescent="0.35">
      <c r="G3722" s="88"/>
      <c r="H3722" s="89"/>
      <c r="L3722" s="88"/>
      <c r="M3722" s="89"/>
    </row>
    <row r="3723" spans="7:13" x14ac:dyDescent="0.35">
      <c r="G3723" s="88"/>
      <c r="H3723" s="89"/>
      <c r="L3723" s="88"/>
      <c r="M3723" s="89"/>
    </row>
    <row r="3724" spans="7:13" x14ac:dyDescent="0.35">
      <c r="G3724" s="88"/>
      <c r="H3724" s="89"/>
      <c r="L3724" s="88"/>
      <c r="M3724" s="89"/>
    </row>
    <row r="3725" spans="7:13" x14ac:dyDescent="0.35">
      <c r="G3725" s="88"/>
      <c r="H3725" s="89"/>
      <c r="L3725" s="88"/>
      <c r="M3725" s="89"/>
    </row>
    <row r="3726" spans="7:13" x14ac:dyDescent="0.35">
      <c r="G3726" s="88"/>
      <c r="H3726" s="89"/>
      <c r="L3726" s="88"/>
      <c r="M3726" s="89"/>
    </row>
    <row r="3727" spans="7:13" x14ac:dyDescent="0.35">
      <c r="G3727" s="88"/>
      <c r="H3727" s="89"/>
      <c r="L3727" s="88"/>
      <c r="M3727" s="89"/>
    </row>
    <row r="3728" spans="7:13" x14ac:dyDescent="0.35">
      <c r="G3728" s="88"/>
      <c r="H3728" s="89"/>
      <c r="L3728" s="88"/>
      <c r="M3728" s="89"/>
    </row>
    <row r="3729" spans="7:13" x14ac:dyDescent="0.35">
      <c r="G3729" s="88"/>
      <c r="H3729" s="89"/>
      <c r="L3729" s="88"/>
      <c r="M3729" s="89"/>
    </row>
    <row r="3730" spans="7:13" x14ac:dyDescent="0.35">
      <c r="G3730" s="88"/>
      <c r="H3730" s="89"/>
      <c r="L3730" s="88"/>
      <c r="M3730" s="89"/>
    </row>
    <row r="3731" spans="7:13" x14ac:dyDescent="0.35">
      <c r="G3731" s="88"/>
      <c r="H3731" s="89"/>
      <c r="L3731" s="88"/>
      <c r="M3731" s="89"/>
    </row>
    <row r="3732" spans="7:13" x14ac:dyDescent="0.35">
      <c r="G3732" s="88"/>
      <c r="H3732" s="89"/>
      <c r="L3732" s="88"/>
      <c r="M3732" s="89"/>
    </row>
    <row r="3733" spans="7:13" x14ac:dyDescent="0.35">
      <c r="G3733" s="88"/>
      <c r="H3733" s="89"/>
      <c r="L3733" s="88"/>
      <c r="M3733" s="89"/>
    </row>
    <row r="3734" spans="7:13" x14ac:dyDescent="0.35">
      <c r="G3734" s="88"/>
      <c r="H3734" s="89"/>
      <c r="L3734" s="88"/>
      <c r="M3734" s="89"/>
    </row>
    <row r="3735" spans="7:13" x14ac:dyDescent="0.35">
      <c r="G3735" s="88"/>
      <c r="H3735" s="89"/>
      <c r="L3735" s="88"/>
      <c r="M3735" s="89"/>
    </row>
    <row r="3736" spans="7:13" x14ac:dyDescent="0.35">
      <c r="G3736" s="88"/>
      <c r="H3736" s="89"/>
      <c r="L3736" s="88"/>
      <c r="M3736" s="89"/>
    </row>
    <row r="3737" spans="7:13" x14ac:dyDescent="0.35">
      <c r="G3737" s="88"/>
      <c r="H3737" s="89"/>
      <c r="L3737" s="88"/>
      <c r="M3737" s="89"/>
    </row>
    <row r="3738" spans="7:13" x14ac:dyDescent="0.35">
      <c r="G3738" s="88"/>
      <c r="H3738" s="89"/>
      <c r="L3738" s="88"/>
      <c r="M3738" s="89"/>
    </row>
    <row r="3739" spans="7:13" x14ac:dyDescent="0.35">
      <c r="G3739" s="88"/>
      <c r="H3739" s="89"/>
      <c r="L3739" s="88"/>
      <c r="M3739" s="89"/>
    </row>
    <row r="3740" spans="7:13" x14ac:dyDescent="0.35">
      <c r="G3740" s="88"/>
      <c r="H3740" s="89"/>
      <c r="L3740" s="88"/>
      <c r="M3740" s="89"/>
    </row>
    <row r="3741" spans="7:13" x14ac:dyDescent="0.35">
      <c r="G3741" s="88"/>
      <c r="H3741" s="89"/>
      <c r="L3741" s="88"/>
      <c r="M3741" s="89"/>
    </row>
    <row r="3742" spans="7:13" x14ac:dyDescent="0.35">
      <c r="G3742" s="88"/>
      <c r="H3742" s="89"/>
      <c r="L3742" s="88"/>
      <c r="M3742" s="89"/>
    </row>
    <row r="3743" spans="7:13" x14ac:dyDescent="0.35">
      <c r="G3743" s="88"/>
      <c r="H3743" s="89"/>
      <c r="L3743" s="88"/>
      <c r="M3743" s="89"/>
    </row>
    <row r="3744" spans="7:13" x14ac:dyDescent="0.35">
      <c r="G3744" s="88"/>
      <c r="H3744" s="89"/>
      <c r="L3744" s="88"/>
      <c r="M3744" s="89"/>
    </row>
    <row r="3745" spans="7:13" x14ac:dyDescent="0.35">
      <c r="G3745" s="88"/>
      <c r="H3745" s="89"/>
      <c r="L3745" s="88"/>
      <c r="M3745" s="89"/>
    </row>
    <row r="3746" spans="7:13" x14ac:dyDescent="0.35">
      <c r="G3746" s="88"/>
      <c r="H3746" s="89"/>
      <c r="L3746" s="88"/>
      <c r="M3746" s="89"/>
    </row>
    <row r="3747" spans="7:13" x14ac:dyDescent="0.35">
      <c r="G3747" s="88"/>
      <c r="H3747" s="89"/>
      <c r="L3747" s="88"/>
      <c r="M3747" s="89"/>
    </row>
    <row r="3748" spans="7:13" x14ac:dyDescent="0.35">
      <c r="G3748" s="88"/>
      <c r="H3748" s="89"/>
      <c r="L3748" s="88"/>
      <c r="M3748" s="89"/>
    </row>
    <row r="3749" spans="7:13" x14ac:dyDescent="0.35">
      <c r="G3749" s="88"/>
      <c r="H3749" s="89"/>
      <c r="L3749" s="88"/>
      <c r="M3749" s="89"/>
    </row>
    <row r="3750" spans="7:13" x14ac:dyDescent="0.35">
      <c r="G3750" s="88"/>
      <c r="H3750" s="89"/>
      <c r="L3750" s="88"/>
      <c r="M3750" s="89"/>
    </row>
    <row r="3751" spans="7:13" x14ac:dyDescent="0.35">
      <c r="G3751" s="88"/>
      <c r="H3751" s="89"/>
      <c r="L3751" s="88"/>
      <c r="M3751" s="89"/>
    </row>
    <row r="3752" spans="7:13" x14ac:dyDescent="0.35">
      <c r="G3752" s="88"/>
      <c r="H3752" s="89"/>
      <c r="L3752" s="88"/>
      <c r="M3752" s="89"/>
    </row>
    <row r="3753" spans="7:13" x14ac:dyDescent="0.35">
      <c r="G3753" s="88"/>
      <c r="H3753" s="89"/>
      <c r="L3753" s="88"/>
      <c r="M3753" s="89"/>
    </row>
    <row r="3754" spans="7:13" x14ac:dyDescent="0.35">
      <c r="G3754" s="88"/>
      <c r="H3754" s="89"/>
      <c r="L3754" s="88"/>
      <c r="M3754" s="89"/>
    </row>
    <row r="3755" spans="7:13" x14ac:dyDescent="0.35">
      <c r="G3755" s="88"/>
      <c r="H3755" s="89"/>
      <c r="L3755" s="88"/>
      <c r="M3755" s="89"/>
    </row>
    <row r="3756" spans="7:13" x14ac:dyDescent="0.35">
      <c r="G3756" s="88"/>
      <c r="H3756" s="89"/>
      <c r="L3756" s="88"/>
      <c r="M3756" s="89"/>
    </row>
    <row r="3757" spans="7:13" x14ac:dyDescent="0.35">
      <c r="G3757" s="88"/>
      <c r="H3757" s="89"/>
      <c r="L3757" s="88"/>
      <c r="M3757" s="89"/>
    </row>
    <row r="3758" spans="7:13" x14ac:dyDescent="0.35">
      <c r="G3758" s="88"/>
      <c r="H3758" s="89"/>
      <c r="L3758" s="88"/>
      <c r="M3758" s="89"/>
    </row>
    <row r="3759" spans="7:13" x14ac:dyDescent="0.35">
      <c r="G3759" s="88"/>
      <c r="H3759" s="89"/>
      <c r="L3759" s="88"/>
      <c r="M3759" s="89"/>
    </row>
    <row r="3760" spans="7:13" x14ac:dyDescent="0.35">
      <c r="G3760" s="88"/>
      <c r="H3760" s="89"/>
      <c r="L3760" s="88"/>
      <c r="M3760" s="89"/>
    </row>
    <row r="3761" spans="7:13" x14ac:dyDescent="0.35">
      <c r="G3761" s="88"/>
      <c r="H3761" s="89"/>
      <c r="L3761" s="88"/>
      <c r="M3761" s="89"/>
    </row>
    <row r="3762" spans="7:13" x14ac:dyDescent="0.35">
      <c r="G3762" s="88"/>
      <c r="H3762" s="89"/>
      <c r="L3762" s="88"/>
      <c r="M3762" s="89"/>
    </row>
    <row r="3763" spans="7:13" x14ac:dyDescent="0.35">
      <c r="G3763" s="88"/>
      <c r="H3763" s="89"/>
      <c r="L3763" s="88"/>
      <c r="M3763" s="89"/>
    </row>
    <row r="3764" spans="7:13" x14ac:dyDescent="0.35">
      <c r="G3764" s="88"/>
      <c r="H3764" s="89"/>
      <c r="L3764" s="88"/>
      <c r="M3764" s="89"/>
    </row>
    <row r="3765" spans="7:13" x14ac:dyDescent="0.35">
      <c r="G3765" s="88"/>
      <c r="H3765" s="89"/>
      <c r="L3765" s="88"/>
      <c r="M3765" s="89"/>
    </row>
    <row r="3766" spans="7:13" x14ac:dyDescent="0.35">
      <c r="G3766" s="88"/>
      <c r="H3766" s="89"/>
      <c r="L3766" s="88"/>
      <c r="M3766" s="89"/>
    </row>
    <row r="3767" spans="7:13" x14ac:dyDescent="0.35">
      <c r="G3767" s="88"/>
      <c r="H3767" s="89"/>
      <c r="L3767" s="88"/>
      <c r="M3767" s="89"/>
    </row>
    <row r="3768" spans="7:13" x14ac:dyDescent="0.35">
      <c r="G3768" s="88"/>
      <c r="H3768" s="89"/>
      <c r="L3768" s="88"/>
      <c r="M3768" s="89"/>
    </row>
    <row r="3769" spans="7:13" x14ac:dyDescent="0.35">
      <c r="G3769" s="88"/>
      <c r="H3769" s="89"/>
      <c r="L3769" s="88"/>
      <c r="M3769" s="89"/>
    </row>
    <row r="3770" spans="7:13" x14ac:dyDescent="0.35">
      <c r="G3770" s="88"/>
      <c r="H3770" s="89"/>
      <c r="L3770" s="88"/>
      <c r="M3770" s="89"/>
    </row>
    <row r="3771" spans="7:13" x14ac:dyDescent="0.35">
      <c r="G3771" s="88"/>
      <c r="H3771" s="89"/>
      <c r="L3771" s="88"/>
      <c r="M3771" s="89"/>
    </row>
    <row r="3772" spans="7:13" x14ac:dyDescent="0.35">
      <c r="G3772" s="88"/>
      <c r="H3772" s="89"/>
      <c r="L3772" s="88"/>
      <c r="M3772" s="89"/>
    </row>
    <row r="3773" spans="7:13" x14ac:dyDescent="0.35">
      <c r="G3773" s="88"/>
      <c r="H3773" s="89"/>
      <c r="L3773" s="88"/>
      <c r="M3773" s="89"/>
    </row>
    <row r="3774" spans="7:13" x14ac:dyDescent="0.35">
      <c r="G3774" s="88"/>
      <c r="H3774" s="89"/>
      <c r="L3774" s="88"/>
      <c r="M3774" s="89"/>
    </row>
    <row r="3775" spans="7:13" x14ac:dyDescent="0.35">
      <c r="G3775" s="88"/>
      <c r="H3775" s="89"/>
      <c r="L3775" s="88"/>
      <c r="M3775" s="89"/>
    </row>
    <row r="3776" spans="7:13" x14ac:dyDescent="0.35">
      <c r="G3776" s="88"/>
      <c r="H3776" s="89"/>
      <c r="L3776" s="88"/>
      <c r="M3776" s="89"/>
    </row>
    <row r="3777" spans="7:13" x14ac:dyDescent="0.35">
      <c r="G3777" s="88"/>
      <c r="H3777" s="89"/>
      <c r="L3777" s="88"/>
      <c r="M3777" s="89"/>
    </row>
    <row r="3778" spans="7:13" x14ac:dyDescent="0.35">
      <c r="G3778" s="88"/>
      <c r="H3778" s="89"/>
      <c r="L3778" s="88"/>
      <c r="M3778" s="89"/>
    </row>
    <row r="3779" spans="7:13" x14ac:dyDescent="0.35">
      <c r="G3779" s="88"/>
      <c r="H3779" s="89"/>
      <c r="L3779" s="88"/>
      <c r="M3779" s="89"/>
    </row>
    <row r="3780" spans="7:13" x14ac:dyDescent="0.35">
      <c r="G3780" s="88"/>
      <c r="H3780" s="89"/>
      <c r="L3780" s="88"/>
      <c r="M3780" s="89"/>
    </row>
    <row r="3781" spans="7:13" x14ac:dyDescent="0.35">
      <c r="G3781" s="88"/>
      <c r="H3781" s="89"/>
      <c r="L3781" s="88"/>
      <c r="M3781" s="89"/>
    </row>
    <row r="3782" spans="7:13" x14ac:dyDescent="0.35">
      <c r="G3782" s="88"/>
      <c r="H3782" s="89"/>
      <c r="L3782" s="88"/>
      <c r="M3782" s="89"/>
    </row>
    <row r="3783" spans="7:13" x14ac:dyDescent="0.35">
      <c r="G3783" s="88"/>
      <c r="H3783" s="89"/>
      <c r="L3783" s="88"/>
      <c r="M3783" s="89"/>
    </row>
    <row r="3784" spans="7:13" x14ac:dyDescent="0.35">
      <c r="G3784" s="88"/>
      <c r="H3784" s="89"/>
      <c r="L3784" s="88"/>
      <c r="M3784" s="89"/>
    </row>
    <row r="3785" spans="7:13" x14ac:dyDescent="0.35">
      <c r="G3785" s="88"/>
      <c r="H3785" s="89"/>
      <c r="L3785" s="88"/>
      <c r="M3785" s="89"/>
    </row>
    <row r="3786" spans="7:13" x14ac:dyDescent="0.35">
      <c r="G3786" s="88"/>
      <c r="H3786" s="89"/>
      <c r="L3786" s="88"/>
      <c r="M3786" s="89"/>
    </row>
    <row r="3787" spans="7:13" x14ac:dyDescent="0.35">
      <c r="G3787" s="88"/>
      <c r="H3787" s="89"/>
      <c r="L3787" s="88"/>
      <c r="M3787" s="89"/>
    </row>
    <row r="3788" spans="7:13" x14ac:dyDescent="0.35">
      <c r="G3788" s="88"/>
      <c r="H3788" s="89"/>
      <c r="L3788" s="88"/>
      <c r="M3788" s="89"/>
    </row>
    <row r="3789" spans="7:13" x14ac:dyDescent="0.35">
      <c r="G3789" s="88"/>
      <c r="H3789" s="89"/>
      <c r="L3789" s="88"/>
      <c r="M3789" s="89"/>
    </row>
    <row r="3790" spans="7:13" x14ac:dyDescent="0.35">
      <c r="G3790" s="88"/>
      <c r="H3790" s="89"/>
      <c r="L3790" s="88"/>
      <c r="M3790" s="89"/>
    </row>
    <row r="3791" spans="7:13" x14ac:dyDescent="0.35">
      <c r="G3791" s="88"/>
      <c r="H3791" s="89"/>
      <c r="L3791" s="88"/>
      <c r="M3791" s="89"/>
    </row>
    <row r="3792" spans="7:13" x14ac:dyDescent="0.35">
      <c r="G3792" s="88"/>
      <c r="H3792" s="89"/>
      <c r="L3792" s="88"/>
      <c r="M3792" s="89"/>
    </row>
    <row r="3793" spans="7:13" x14ac:dyDescent="0.35">
      <c r="G3793" s="88"/>
      <c r="H3793" s="89"/>
      <c r="L3793" s="88"/>
      <c r="M3793" s="89"/>
    </row>
    <row r="3794" spans="7:13" x14ac:dyDescent="0.35">
      <c r="G3794" s="88"/>
      <c r="H3794" s="89"/>
      <c r="L3794" s="88"/>
      <c r="M3794" s="89"/>
    </row>
    <row r="3795" spans="7:13" x14ac:dyDescent="0.35">
      <c r="G3795" s="88"/>
      <c r="H3795" s="89"/>
      <c r="L3795" s="88"/>
      <c r="M3795" s="89"/>
    </row>
    <row r="3796" spans="7:13" x14ac:dyDescent="0.35">
      <c r="G3796" s="88"/>
      <c r="H3796" s="89"/>
      <c r="L3796" s="88"/>
      <c r="M3796" s="89"/>
    </row>
    <row r="3797" spans="7:13" x14ac:dyDescent="0.35">
      <c r="G3797" s="88"/>
      <c r="H3797" s="89"/>
      <c r="L3797" s="88"/>
      <c r="M3797" s="89"/>
    </row>
    <row r="3798" spans="7:13" x14ac:dyDescent="0.35">
      <c r="G3798" s="88"/>
      <c r="H3798" s="89"/>
      <c r="L3798" s="88"/>
      <c r="M3798" s="89"/>
    </row>
    <row r="3799" spans="7:13" x14ac:dyDescent="0.35">
      <c r="G3799" s="88"/>
      <c r="H3799" s="89"/>
      <c r="L3799" s="88"/>
      <c r="M3799" s="89"/>
    </row>
    <row r="3800" spans="7:13" x14ac:dyDescent="0.35">
      <c r="G3800" s="88"/>
      <c r="H3800" s="89"/>
      <c r="L3800" s="88"/>
      <c r="M3800" s="89"/>
    </row>
    <row r="3801" spans="7:13" x14ac:dyDescent="0.35">
      <c r="G3801" s="88"/>
      <c r="H3801" s="89"/>
      <c r="L3801" s="88"/>
      <c r="M3801" s="89"/>
    </row>
    <row r="3802" spans="7:13" x14ac:dyDescent="0.35">
      <c r="G3802" s="88"/>
      <c r="H3802" s="89"/>
      <c r="L3802" s="88"/>
      <c r="M3802" s="89"/>
    </row>
    <row r="3803" spans="7:13" x14ac:dyDescent="0.35">
      <c r="G3803" s="88"/>
      <c r="H3803" s="89"/>
      <c r="L3803" s="88"/>
      <c r="M3803" s="89"/>
    </row>
    <row r="3804" spans="7:13" x14ac:dyDescent="0.35">
      <c r="G3804" s="88"/>
      <c r="H3804" s="89"/>
      <c r="L3804" s="88"/>
      <c r="M3804" s="89"/>
    </row>
    <row r="3805" spans="7:13" x14ac:dyDescent="0.35">
      <c r="G3805" s="88"/>
      <c r="H3805" s="89"/>
      <c r="L3805" s="88"/>
      <c r="M3805" s="89"/>
    </row>
    <row r="3806" spans="7:13" x14ac:dyDescent="0.35">
      <c r="G3806" s="88"/>
      <c r="H3806" s="89"/>
      <c r="L3806" s="88"/>
      <c r="M3806" s="89"/>
    </row>
    <row r="3807" spans="7:13" x14ac:dyDescent="0.35">
      <c r="G3807" s="88"/>
      <c r="H3807" s="89"/>
      <c r="L3807" s="88"/>
      <c r="M3807" s="89"/>
    </row>
    <row r="3808" spans="7:13" x14ac:dyDescent="0.35">
      <c r="G3808" s="88"/>
      <c r="H3808" s="89"/>
      <c r="L3808" s="88"/>
      <c r="M3808" s="89"/>
    </row>
    <row r="3809" spans="7:13" x14ac:dyDescent="0.35">
      <c r="G3809" s="88"/>
      <c r="H3809" s="89"/>
      <c r="L3809" s="88"/>
      <c r="M3809" s="89"/>
    </row>
    <row r="3810" spans="7:13" x14ac:dyDescent="0.35">
      <c r="G3810" s="88"/>
      <c r="H3810" s="89"/>
      <c r="L3810" s="88"/>
      <c r="M3810" s="89"/>
    </row>
    <row r="3811" spans="7:13" x14ac:dyDescent="0.35">
      <c r="G3811" s="88"/>
      <c r="H3811" s="89"/>
      <c r="L3811" s="88"/>
      <c r="M3811" s="89"/>
    </row>
    <row r="3812" spans="7:13" x14ac:dyDescent="0.35">
      <c r="G3812" s="88"/>
      <c r="H3812" s="89"/>
      <c r="L3812" s="88"/>
      <c r="M3812" s="89"/>
    </row>
    <row r="3813" spans="7:13" x14ac:dyDescent="0.35">
      <c r="G3813" s="88"/>
      <c r="H3813" s="89"/>
      <c r="L3813" s="88"/>
      <c r="M3813" s="89"/>
    </row>
    <row r="3814" spans="7:13" x14ac:dyDescent="0.35">
      <c r="G3814" s="88"/>
      <c r="H3814" s="89"/>
      <c r="L3814" s="88"/>
      <c r="M3814" s="89"/>
    </row>
    <row r="3815" spans="7:13" x14ac:dyDescent="0.35">
      <c r="G3815" s="88"/>
      <c r="H3815" s="89"/>
      <c r="L3815" s="88"/>
      <c r="M3815" s="89"/>
    </row>
    <row r="3816" spans="7:13" x14ac:dyDescent="0.35">
      <c r="G3816" s="88"/>
      <c r="H3816" s="89"/>
      <c r="L3816" s="88"/>
      <c r="M3816" s="89"/>
    </row>
    <row r="3817" spans="7:13" x14ac:dyDescent="0.35">
      <c r="G3817" s="88"/>
      <c r="H3817" s="89"/>
      <c r="L3817" s="88"/>
      <c r="M3817" s="89"/>
    </row>
    <row r="3818" spans="7:13" x14ac:dyDescent="0.35">
      <c r="G3818" s="88"/>
      <c r="H3818" s="89"/>
      <c r="L3818" s="88"/>
      <c r="M3818" s="89"/>
    </row>
    <row r="3819" spans="7:13" x14ac:dyDescent="0.35">
      <c r="G3819" s="88"/>
      <c r="H3819" s="89"/>
      <c r="L3819" s="88"/>
      <c r="M3819" s="89"/>
    </row>
    <row r="3820" spans="7:13" x14ac:dyDescent="0.35">
      <c r="G3820" s="88"/>
      <c r="H3820" s="89"/>
      <c r="L3820" s="88"/>
      <c r="M3820" s="89"/>
    </row>
    <row r="3821" spans="7:13" x14ac:dyDescent="0.35">
      <c r="G3821" s="88"/>
      <c r="H3821" s="89"/>
      <c r="L3821" s="88"/>
      <c r="M3821" s="89"/>
    </row>
    <row r="3822" spans="7:13" x14ac:dyDescent="0.35">
      <c r="G3822" s="88"/>
      <c r="H3822" s="89"/>
      <c r="L3822" s="88"/>
      <c r="M3822" s="89"/>
    </row>
    <row r="3823" spans="7:13" x14ac:dyDescent="0.35">
      <c r="G3823" s="88"/>
      <c r="H3823" s="89"/>
      <c r="L3823" s="88"/>
      <c r="M3823" s="89"/>
    </row>
    <row r="3824" spans="7:13" x14ac:dyDescent="0.35">
      <c r="G3824" s="88"/>
      <c r="H3824" s="89"/>
      <c r="L3824" s="88"/>
      <c r="M3824" s="89"/>
    </row>
    <row r="3825" spans="7:13" x14ac:dyDescent="0.35">
      <c r="G3825" s="88"/>
      <c r="H3825" s="89"/>
      <c r="L3825" s="88"/>
      <c r="M3825" s="89"/>
    </row>
    <row r="3826" spans="7:13" x14ac:dyDescent="0.35">
      <c r="G3826" s="88"/>
      <c r="H3826" s="89"/>
      <c r="L3826" s="88"/>
      <c r="M3826" s="89"/>
    </row>
    <row r="3827" spans="7:13" x14ac:dyDescent="0.35">
      <c r="G3827" s="88"/>
      <c r="H3827" s="89"/>
      <c r="L3827" s="88"/>
      <c r="M3827" s="89"/>
    </row>
    <row r="3828" spans="7:13" x14ac:dyDescent="0.35">
      <c r="G3828" s="88"/>
      <c r="H3828" s="89"/>
      <c r="L3828" s="88"/>
      <c r="M3828" s="89"/>
    </row>
    <row r="3829" spans="7:13" x14ac:dyDescent="0.35">
      <c r="G3829" s="88"/>
      <c r="H3829" s="89"/>
      <c r="L3829" s="88"/>
      <c r="M3829" s="89"/>
    </row>
    <row r="3830" spans="7:13" x14ac:dyDescent="0.35">
      <c r="G3830" s="88"/>
      <c r="H3830" s="89"/>
      <c r="L3830" s="88"/>
      <c r="M3830" s="89"/>
    </row>
    <row r="3831" spans="7:13" x14ac:dyDescent="0.35">
      <c r="G3831" s="88"/>
      <c r="H3831" s="89"/>
      <c r="L3831" s="88"/>
      <c r="M3831" s="89"/>
    </row>
    <row r="3832" spans="7:13" x14ac:dyDescent="0.35">
      <c r="G3832" s="88"/>
      <c r="H3832" s="89"/>
      <c r="L3832" s="88"/>
      <c r="M3832" s="89"/>
    </row>
    <row r="3833" spans="7:13" x14ac:dyDescent="0.35">
      <c r="G3833" s="88"/>
      <c r="H3833" s="89"/>
      <c r="L3833" s="88"/>
      <c r="M3833" s="89"/>
    </row>
    <row r="3834" spans="7:13" x14ac:dyDescent="0.35">
      <c r="G3834" s="88"/>
      <c r="H3834" s="89"/>
      <c r="L3834" s="88"/>
      <c r="M3834" s="89"/>
    </row>
    <row r="3835" spans="7:13" x14ac:dyDescent="0.35">
      <c r="G3835" s="88"/>
      <c r="H3835" s="89"/>
      <c r="L3835" s="88"/>
      <c r="M3835" s="89"/>
    </row>
    <row r="3836" spans="7:13" x14ac:dyDescent="0.35">
      <c r="G3836" s="88"/>
      <c r="H3836" s="89"/>
      <c r="L3836" s="88"/>
      <c r="M3836" s="89"/>
    </row>
    <row r="3837" spans="7:13" x14ac:dyDescent="0.35">
      <c r="G3837" s="88"/>
      <c r="H3837" s="89"/>
      <c r="L3837" s="88"/>
      <c r="M3837" s="89"/>
    </row>
    <row r="3838" spans="7:13" x14ac:dyDescent="0.35">
      <c r="G3838" s="88"/>
      <c r="H3838" s="89"/>
      <c r="L3838" s="88"/>
      <c r="M3838" s="89"/>
    </row>
    <row r="3839" spans="7:13" x14ac:dyDescent="0.35">
      <c r="G3839" s="88"/>
      <c r="H3839" s="89"/>
      <c r="L3839" s="88"/>
      <c r="M3839" s="89"/>
    </row>
    <row r="3840" spans="7:13" x14ac:dyDescent="0.35">
      <c r="G3840" s="88"/>
      <c r="H3840" s="89"/>
      <c r="L3840" s="88"/>
      <c r="M3840" s="89"/>
    </row>
    <row r="3841" spans="7:13" x14ac:dyDescent="0.35">
      <c r="G3841" s="88"/>
      <c r="H3841" s="89"/>
      <c r="L3841" s="88"/>
      <c r="M3841" s="89"/>
    </row>
    <row r="3842" spans="7:13" x14ac:dyDescent="0.35">
      <c r="G3842" s="88"/>
      <c r="H3842" s="89"/>
      <c r="L3842" s="88"/>
      <c r="M3842" s="89"/>
    </row>
    <row r="3843" spans="7:13" x14ac:dyDescent="0.35">
      <c r="G3843" s="88"/>
      <c r="H3843" s="89"/>
      <c r="L3843" s="88"/>
      <c r="M3843" s="89"/>
    </row>
    <row r="3844" spans="7:13" x14ac:dyDescent="0.35">
      <c r="G3844" s="88"/>
      <c r="H3844" s="89"/>
      <c r="L3844" s="88"/>
      <c r="M3844" s="89"/>
    </row>
    <row r="3845" spans="7:13" x14ac:dyDescent="0.35">
      <c r="G3845" s="88"/>
      <c r="H3845" s="89"/>
      <c r="L3845" s="88"/>
      <c r="M3845" s="89"/>
    </row>
    <row r="3846" spans="7:13" x14ac:dyDescent="0.35">
      <c r="G3846" s="88"/>
      <c r="H3846" s="89"/>
      <c r="L3846" s="88"/>
      <c r="M3846" s="89"/>
    </row>
    <row r="3847" spans="7:13" x14ac:dyDescent="0.35">
      <c r="G3847" s="88"/>
      <c r="H3847" s="89"/>
      <c r="L3847" s="88"/>
      <c r="M3847" s="89"/>
    </row>
    <row r="3848" spans="7:13" x14ac:dyDescent="0.35">
      <c r="G3848" s="88"/>
      <c r="H3848" s="89"/>
      <c r="L3848" s="88"/>
      <c r="M3848" s="89"/>
    </row>
    <row r="3849" spans="7:13" x14ac:dyDescent="0.35">
      <c r="G3849" s="88"/>
      <c r="H3849" s="89"/>
      <c r="L3849" s="88"/>
      <c r="M3849" s="89"/>
    </row>
    <row r="3850" spans="7:13" x14ac:dyDescent="0.35">
      <c r="G3850" s="88"/>
      <c r="H3850" s="89"/>
      <c r="L3850" s="88"/>
      <c r="M3850" s="89"/>
    </row>
    <row r="3851" spans="7:13" x14ac:dyDescent="0.35">
      <c r="G3851" s="88"/>
      <c r="H3851" s="89"/>
      <c r="L3851" s="88"/>
      <c r="M3851" s="89"/>
    </row>
    <row r="3852" spans="7:13" x14ac:dyDescent="0.35">
      <c r="G3852" s="88"/>
      <c r="H3852" s="89"/>
      <c r="L3852" s="88"/>
      <c r="M3852" s="89"/>
    </row>
    <row r="3853" spans="7:13" x14ac:dyDescent="0.35">
      <c r="G3853" s="88"/>
      <c r="H3853" s="89"/>
      <c r="L3853" s="88"/>
      <c r="M3853" s="89"/>
    </row>
    <row r="3854" spans="7:13" x14ac:dyDescent="0.35">
      <c r="G3854" s="88"/>
      <c r="H3854" s="89"/>
      <c r="L3854" s="88"/>
      <c r="M3854" s="89"/>
    </row>
    <row r="3855" spans="7:13" x14ac:dyDescent="0.35">
      <c r="G3855" s="88"/>
      <c r="H3855" s="89"/>
      <c r="L3855" s="88"/>
      <c r="M3855" s="89"/>
    </row>
    <row r="3856" spans="7:13" x14ac:dyDescent="0.35">
      <c r="G3856" s="88"/>
      <c r="H3856" s="89"/>
      <c r="L3856" s="88"/>
      <c r="M3856" s="89"/>
    </row>
    <row r="3857" spans="7:13" x14ac:dyDescent="0.35">
      <c r="G3857" s="88"/>
      <c r="H3857" s="89"/>
      <c r="L3857" s="88"/>
      <c r="M3857" s="89"/>
    </row>
    <row r="3858" spans="7:13" x14ac:dyDescent="0.35">
      <c r="G3858" s="88"/>
      <c r="H3858" s="89"/>
      <c r="L3858" s="88"/>
      <c r="M3858" s="89"/>
    </row>
    <row r="3859" spans="7:13" x14ac:dyDescent="0.35">
      <c r="G3859" s="88"/>
      <c r="H3859" s="89"/>
      <c r="L3859" s="88"/>
      <c r="M3859" s="89"/>
    </row>
    <row r="3860" spans="7:13" x14ac:dyDescent="0.35">
      <c r="G3860" s="88"/>
      <c r="H3860" s="89"/>
      <c r="L3860" s="88"/>
      <c r="M3860" s="89"/>
    </row>
    <row r="3861" spans="7:13" x14ac:dyDescent="0.35">
      <c r="G3861" s="88"/>
      <c r="H3861" s="89"/>
      <c r="L3861" s="88"/>
      <c r="M3861" s="89"/>
    </row>
    <row r="3862" spans="7:13" x14ac:dyDescent="0.35">
      <c r="G3862" s="88"/>
      <c r="H3862" s="89"/>
      <c r="L3862" s="88"/>
      <c r="M3862" s="89"/>
    </row>
    <row r="3863" spans="7:13" x14ac:dyDescent="0.35">
      <c r="G3863" s="88"/>
      <c r="H3863" s="89"/>
      <c r="L3863" s="88"/>
      <c r="M3863" s="89"/>
    </row>
    <row r="3864" spans="7:13" x14ac:dyDescent="0.35">
      <c r="G3864" s="88"/>
      <c r="H3864" s="89"/>
      <c r="L3864" s="88"/>
      <c r="M3864" s="89"/>
    </row>
    <row r="3865" spans="7:13" x14ac:dyDescent="0.35">
      <c r="G3865" s="88"/>
      <c r="H3865" s="89"/>
      <c r="L3865" s="88"/>
      <c r="M3865" s="89"/>
    </row>
    <row r="3866" spans="7:13" x14ac:dyDescent="0.35">
      <c r="G3866" s="88"/>
      <c r="H3866" s="89"/>
      <c r="L3866" s="88"/>
      <c r="M3866" s="89"/>
    </row>
    <row r="3867" spans="7:13" x14ac:dyDescent="0.35">
      <c r="G3867" s="88"/>
      <c r="H3867" s="89"/>
      <c r="L3867" s="88"/>
      <c r="M3867" s="89"/>
    </row>
    <row r="3868" spans="7:13" x14ac:dyDescent="0.35">
      <c r="G3868" s="88"/>
      <c r="H3868" s="89"/>
      <c r="L3868" s="88"/>
      <c r="M3868" s="89"/>
    </row>
    <row r="3869" spans="7:13" x14ac:dyDescent="0.35">
      <c r="G3869" s="88"/>
      <c r="H3869" s="89"/>
      <c r="L3869" s="88"/>
      <c r="M3869" s="89"/>
    </row>
    <row r="3870" spans="7:13" x14ac:dyDescent="0.35">
      <c r="G3870" s="88"/>
      <c r="H3870" s="89"/>
      <c r="L3870" s="88"/>
      <c r="M3870" s="89"/>
    </row>
    <row r="3871" spans="7:13" x14ac:dyDescent="0.35">
      <c r="G3871" s="88"/>
      <c r="H3871" s="89"/>
      <c r="L3871" s="88"/>
      <c r="M3871" s="89"/>
    </row>
    <row r="3872" spans="7:13" x14ac:dyDescent="0.35">
      <c r="G3872" s="88"/>
      <c r="H3872" s="89"/>
      <c r="L3872" s="88"/>
      <c r="M3872" s="89"/>
    </row>
    <row r="3873" spans="7:13" x14ac:dyDescent="0.35">
      <c r="G3873" s="88"/>
      <c r="H3873" s="89"/>
      <c r="L3873" s="88"/>
      <c r="M3873" s="89"/>
    </row>
    <row r="3874" spans="7:13" x14ac:dyDescent="0.35">
      <c r="G3874" s="88"/>
      <c r="H3874" s="89"/>
      <c r="L3874" s="88"/>
      <c r="M3874" s="89"/>
    </row>
    <row r="3875" spans="7:13" x14ac:dyDescent="0.35">
      <c r="G3875" s="88"/>
      <c r="H3875" s="89"/>
      <c r="L3875" s="88"/>
      <c r="M3875" s="89"/>
    </row>
    <row r="3876" spans="7:13" x14ac:dyDescent="0.35">
      <c r="G3876" s="88"/>
      <c r="H3876" s="89"/>
      <c r="L3876" s="88"/>
      <c r="M3876" s="89"/>
    </row>
    <row r="3877" spans="7:13" x14ac:dyDescent="0.35">
      <c r="G3877" s="88"/>
      <c r="H3877" s="89"/>
      <c r="L3877" s="88"/>
      <c r="M3877" s="89"/>
    </row>
    <row r="3878" spans="7:13" x14ac:dyDescent="0.35">
      <c r="G3878" s="88"/>
      <c r="H3878" s="89"/>
      <c r="L3878" s="88"/>
      <c r="M3878" s="89"/>
    </row>
    <row r="3879" spans="7:13" x14ac:dyDescent="0.35">
      <c r="G3879" s="88"/>
      <c r="H3879" s="89"/>
      <c r="L3879" s="88"/>
      <c r="M3879" s="89"/>
    </row>
    <row r="3880" spans="7:13" x14ac:dyDescent="0.35">
      <c r="G3880" s="88"/>
      <c r="H3880" s="89"/>
      <c r="L3880" s="88"/>
      <c r="M3880" s="89"/>
    </row>
    <row r="3881" spans="7:13" x14ac:dyDescent="0.35">
      <c r="G3881" s="88"/>
      <c r="H3881" s="89"/>
      <c r="L3881" s="88"/>
      <c r="M3881" s="89"/>
    </row>
    <row r="3882" spans="7:13" x14ac:dyDescent="0.35">
      <c r="G3882" s="88"/>
      <c r="H3882" s="89"/>
      <c r="L3882" s="88"/>
      <c r="M3882" s="89"/>
    </row>
    <row r="3883" spans="7:13" x14ac:dyDescent="0.35">
      <c r="G3883" s="88"/>
      <c r="H3883" s="89"/>
      <c r="L3883" s="88"/>
      <c r="M3883" s="89"/>
    </row>
    <row r="3884" spans="7:13" x14ac:dyDescent="0.35">
      <c r="G3884" s="88"/>
      <c r="H3884" s="89"/>
      <c r="L3884" s="88"/>
      <c r="M3884" s="89"/>
    </row>
    <row r="3885" spans="7:13" x14ac:dyDescent="0.35">
      <c r="G3885" s="88"/>
      <c r="H3885" s="89"/>
      <c r="L3885" s="88"/>
      <c r="M3885" s="89"/>
    </row>
    <row r="3886" spans="7:13" x14ac:dyDescent="0.35">
      <c r="G3886" s="88"/>
      <c r="H3886" s="89"/>
      <c r="L3886" s="88"/>
      <c r="M3886" s="89"/>
    </row>
    <row r="3887" spans="7:13" x14ac:dyDescent="0.35">
      <c r="G3887" s="88"/>
      <c r="H3887" s="89"/>
      <c r="L3887" s="88"/>
      <c r="M3887" s="89"/>
    </row>
    <row r="3888" spans="7:13" x14ac:dyDescent="0.35">
      <c r="G3888" s="88"/>
      <c r="H3888" s="89"/>
      <c r="L3888" s="88"/>
      <c r="M3888" s="89"/>
    </row>
    <row r="3889" spans="7:13" x14ac:dyDescent="0.35">
      <c r="G3889" s="88"/>
      <c r="H3889" s="89"/>
      <c r="L3889" s="88"/>
      <c r="M3889" s="89"/>
    </row>
    <row r="3890" spans="7:13" x14ac:dyDescent="0.35">
      <c r="G3890" s="88"/>
      <c r="H3890" s="89"/>
      <c r="L3890" s="88"/>
      <c r="M3890" s="89"/>
    </row>
    <row r="3891" spans="7:13" x14ac:dyDescent="0.35">
      <c r="G3891" s="88"/>
      <c r="H3891" s="89"/>
      <c r="L3891" s="88"/>
      <c r="M3891" s="89"/>
    </row>
    <row r="3892" spans="7:13" x14ac:dyDescent="0.35">
      <c r="G3892" s="88"/>
      <c r="H3892" s="89"/>
      <c r="L3892" s="88"/>
      <c r="M3892" s="89"/>
    </row>
    <row r="3893" spans="7:13" x14ac:dyDescent="0.35">
      <c r="G3893" s="88"/>
      <c r="H3893" s="89"/>
      <c r="L3893" s="88"/>
      <c r="M3893" s="89"/>
    </row>
    <row r="3894" spans="7:13" x14ac:dyDescent="0.35">
      <c r="G3894" s="88"/>
      <c r="H3894" s="89"/>
      <c r="L3894" s="88"/>
      <c r="M3894" s="89"/>
    </row>
    <row r="3895" spans="7:13" x14ac:dyDescent="0.35">
      <c r="G3895" s="88"/>
      <c r="H3895" s="89"/>
      <c r="L3895" s="88"/>
      <c r="M3895" s="89"/>
    </row>
    <row r="3896" spans="7:13" x14ac:dyDescent="0.35">
      <c r="G3896" s="88"/>
      <c r="H3896" s="89"/>
      <c r="L3896" s="88"/>
      <c r="M3896" s="89"/>
    </row>
    <row r="3897" spans="7:13" x14ac:dyDescent="0.35">
      <c r="G3897" s="88"/>
      <c r="H3897" s="89"/>
      <c r="L3897" s="88"/>
      <c r="M3897" s="89"/>
    </row>
    <row r="3898" spans="7:13" x14ac:dyDescent="0.35">
      <c r="G3898" s="88"/>
      <c r="H3898" s="89"/>
      <c r="L3898" s="88"/>
      <c r="M3898" s="89"/>
    </row>
    <row r="3899" spans="7:13" x14ac:dyDescent="0.35">
      <c r="G3899" s="88"/>
      <c r="H3899" s="89"/>
      <c r="L3899" s="88"/>
      <c r="M3899" s="89"/>
    </row>
    <row r="3900" spans="7:13" x14ac:dyDescent="0.35">
      <c r="G3900" s="88"/>
      <c r="H3900" s="89"/>
      <c r="L3900" s="88"/>
      <c r="M3900" s="89"/>
    </row>
    <row r="3901" spans="7:13" x14ac:dyDescent="0.35">
      <c r="G3901" s="88"/>
      <c r="H3901" s="89"/>
      <c r="L3901" s="88"/>
      <c r="M3901" s="89"/>
    </row>
    <row r="3902" spans="7:13" x14ac:dyDescent="0.35">
      <c r="G3902" s="88"/>
      <c r="H3902" s="89"/>
      <c r="L3902" s="88"/>
      <c r="M3902" s="89"/>
    </row>
    <row r="3903" spans="7:13" x14ac:dyDescent="0.35">
      <c r="G3903" s="88"/>
      <c r="H3903" s="89"/>
      <c r="L3903" s="88"/>
      <c r="M3903" s="89"/>
    </row>
    <row r="3904" spans="7:13" x14ac:dyDescent="0.35">
      <c r="G3904" s="88"/>
      <c r="H3904" s="89"/>
      <c r="L3904" s="88"/>
      <c r="M3904" s="89"/>
    </row>
    <row r="3905" spans="7:13" x14ac:dyDescent="0.35">
      <c r="G3905" s="88"/>
      <c r="H3905" s="89"/>
      <c r="L3905" s="88"/>
      <c r="M3905" s="89"/>
    </row>
    <row r="3906" spans="7:13" x14ac:dyDescent="0.35">
      <c r="G3906" s="88"/>
      <c r="H3906" s="89"/>
      <c r="L3906" s="88"/>
      <c r="M3906" s="89"/>
    </row>
    <row r="3907" spans="7:13" x14ac:dyDescent="0.35">
      <c r="G3907" s="88"/>
      <c r="H3907" s="89"/>
      <c r="L3907" s="88"/>
      <c r="M3907" s="89"/>
    </row>
    <row r="3908" spans="7:13" x14ac:dyDescent="0.35">
      <c r="G3908" s="88"/>
      <c r="H3908" s="89"/>
      <c r="L3908" s="88"/>
      <c r="M3908" s="89"/>
    </row>
    <row r="3909" spans="7:13" x14ac:dyDescent="0.35">
      <c r="G3909" s="88"/>
      <c r="H3909" s="89"/>
      <c r="L3909" s="88"/>
      <c r="M3909" s="89"/>
    </row>
    <row r="3910" spans="7:13" x14ac:dyDescent="0.35">
      <c r="G3910" s="88"/>
      <c r="H3910" s="89"/>
      <c r="L3910" s="88"/>
      <c r="M3910" s="89"/>
    </row>
    <row r="3911" spans="7:13" x14ac:dyDescent="0.35">
      <c r="G3911" s="88"/>
      <c r="H3911" s="89"/>
      <c r="L3911" s="88"/>
      <c r="M3911" s="89"/>
    </row>
    <row r="3912" spans="7:13" x14ac:dyDescent="0.35">
      <c r="G3912" s="88"/>
      <c r="H3912" s="89"/>
      <c r="L3912" s="88"/>
      <c r="M3912" s="89"/>
    </row>
    <row r="3913" spans="7:13" x14ac:dyDescent="0.35">
      <c r="G3913" s="88"/>
      <c r="H3913" s="89"/>
      <c r="L3913" s="88"/>
      <c r="M3913" s="89"/>
    </row>
    <row r="3914" spans="7:13" x14ac:dyDescent="0.35">
      <c r="G3914" s="88"/>
      <c r="H3914" s="89"/>
      <c r="L3914" s="88"/>
      <c r="M3914" s="89"/>
    </row>
    <row r="3915" spans="7:13" x14ac:dyDescent="0.35">
      <c r="G3915" s="88"/>
      <c r="H3915" s="89"/>
      <c r="L3915" s="88"/>
      <c r="M3915" s="89"/>
    </row>
    <row r="3916" spans="7:13" x14ac:dyDescent="0.35">
      <c r="G3916" s="88"/>
      <c r="H3916" s="89"/>
      <c r="L3916" s="88"/>
      <c r="M3916" s="89"/>
    </row>
    <row r="3917" spans="7:13" x14ac:dyDescent="0.35">
      <c r="G3917" s="88"/>
      <c r="H3917" s="89"/>
      <c r="L3917" s="88"/>
      <c r="M3917" s="89"/>
    </row>
    <row r="3918" spans="7:13" x14ac:dyDescent="0.35">
      <c r="G3918" s="88"/>
      <c r="H3918" s="89"/>
      <c r="L3918" s="88"/>
      <c r="M3918" s="89"/>
    </row>
    <row r="3919" spans="7:13" x14ac:dyDescent="0.35">
      <c r="G3919" s="88"/>
      <c r="H3919" s="89"/>
      <c r="L3919" s="88"/>
      <c r="M3919" s="89"/>
    </row>
    <row r="3920" spans="7:13" x14ac:dyDescent="0.35">
      <c r="G3920" s="88"/>
      <c r="H3920" s="89"/>
      <c r="L3920" s="88"/>
      <c r="M3920" s="89"/>
    </row>
    <row r="3921" spans="7:13" x14ac:dyDescent="0.35">
      <c r="G3921" s="88"/>
      <c r="H3921" s="89"/>
      <c r="L3921" s="88"/>
      <c r="M3921" s="89"/>
    </row>
    <row r="3922" spans="7:13" x14ac:dyDescent="0.35">
      <c r="G3922" s="88"/>
      <c r="H3922" s="89"/>
      <c r="L3922" s="88"/>
      <c r="M3922" s="89"/>
    </row>
    <row r="3923" spans="7:13" x14ac:dyDescent="0.35">
      <c r="G3923" s="88"/>
      <c r="H3923" s="89"/>
      <c r="L3923" s="88"/>
      <c r="M3923" s="89"/>
    </row>
    <row r="3924" spans="7:13" x14ac:dyDescent="0.35">
      <c r="G3924" s="88"/>
      <c r="H3924" s="89"/>
      <c r="L3924" s="88"/>
      <c r="M3924" s="89"/>
    </row>
    <row r="3925" spans="7:13" x14ac:dyDescent="0.35">
      <c r="G3925" s="88"/>
      <c r="H3925" s="89"/>
      <c r="L3925" s="88"/>
      <c r="M3925" s="89"/>
    </row>
    <row r="3926" spans="7:13" x14ac:dyDescent="0.35">
      <c r="G3926" s="88"/>
      <c r="H3926" s="89"/>
      <c r="L3926" s="88"/>
      <c r="M3926" s="89"/>
    </row>
    <row r="3927" spans="7:13" x14ac:dyDescent="0.35">
      <c r="G3927" s="88"/>
      <c r="H3927" s="89"/>
      <c r="L3927" s="88"/>
      <c r="M3927" s="89"/>
    </row>
    <row r="3928" spans="7:13" x14ac:dyDescent="0.35">
      <c r="G3928" s="88"/>
      <c r="H3928" s="89"/>
      <c r="L3928" s="88"/>
      <c r="M3928" s="89"/>
    </row>
    <row r="3929" spans="7:13" x14ac:dyDescent="0.35">
      <c r="G3929" s="88"/>
      <c r="H3929" s="89"/>
      <c r="L3929" s="88"/>
      <c r="M3929" s="89"/>
    </row>
    <row r="3930" spans="7:13" x14ac:dyDescent="0.35">
      <c r="G3930" s="88"/>
      <c r="H3930" s="89"/>
      <c r="L3930" s="88"/>
      <c r="M3930" s="89"/>
    </row>
    <row r="3931" spans="7:13" x14ac:dyDescent="0.35">
      <c r="G3931" s="88"/>
      <c r="H3931" s="89"/>
      <c r="L3931" s="88"/>
      <c r="M3931" s="89"/>
    </row>
    <row r="3932" spans="7:13" x14ac:dyDescent="0.35">
      <c r="G3932" s="88"/>
      <c r="H3932" s="89"/>
      <c r="L3932" s="88"/>
      <c r="M3932" s="89"/>
    </row>
    <row r="3933" spans="7:13" x14ac:dyDescent="0.35">
      <c r="G3933" s="88"/>
      <c r="H3933" s="89"/>
      <c r="L3933" s="88"/>
      <c r="M3933" s="89"/>
    </row>
    <row r="3934" spans="7:13" x14ac:dyDescent="0.35">
      <c r="G3934" s="88"/>
      <c r="H3934" s="89"/>
      <c r="L3934" s="88"/>
      <c r="M3934" s="89"/>
    </row>
    <row r="3935" spans="7:13" x14ac:dyDescent="0.35">
      <c r="G3935" s="88"/>
      <c r="H3935" s="89"/>
      <c r="L3935" s="88"/>
      <c r="M3935" s="89"/>
    </row>
    <row r="3936" spans="7:13" x14ac:dyDescent="0.35">
      <c r="G3936" s="88"/>
      <c r="H3936" s="89"/>
      <c r="L3936" s="88"/>
      <c r="M3936" s="89"/>
    </row>
    <row r="3937" spans="7:13" x14ac:dyDescent="0.35">
      <c r="G3937" s="88"/>
      <c r="H3937" s="89"/>
      <c r="L3937" s="88"/>
      <c r="M3937" s="89"/>
    </row>
    <row r="3938" spans="7:13" x14ac:dyDescent="0.35">
      <c r="G3938" s="88"/>
      <c r="H3938" s="89"/>
      <c r="L3938" s="88"/>
      <c r="M3938" s="89"/>
    </row>
    <row r="3939" spans="7:13" x14ac:dyDescent="0.35">
      <c r="G3939" s="88"/>
      <c r="H3939" s="89"/>
      <c r="L3939" s="88"/>
      <c r="M3939" s="89"/>
    </row>
    <row r="3940" spans="7:13" x14ac:dyDescent="0.35">
      <c r="G3940" s="88"/>
      <c r="H3940" s="89"/>
      <c r="L3940" s="88"/>
      <c r="M3940" s="89"/>
    </row>
    <row r="3941" spans="7:13" x14ac:dyDescent="0.35">
      <c r="G3941" s="88"/>
      <c r="H3941" s="89"/>
      <c r="L3941" s="88"/>
      <c r="M3941" s="89"/>
    </row>
    <row r="3942" spans="7:13" x14ac:dyDescent="0.35">
      <c r="G3942" s="88"/>
      <c r="H3942" s="89"/>
      <c r="L3942" s="88"/>
      <c r="M3942" s="89"/>
    </row>
    <row r="3943" spans="7:13" x14ac:dyDescent="0.35">
      <c r="G3943" s="88"/>
      <c r="H3943" s="89"/>
      <c r="L3943" s="88"/>
      <c r="M3943" s="89"/>
    </row>
    <row r="3944" spans="7:13" x14ac:dyDescent="0.35">
      <c r="G3944" s="88"/>
      <c r="H3944" s="89"/>
      <c r="L3944" s="88"/>
      <c r="M3944" s="89"/>
    </row>
    <row r="3945" spans="7:13" x14ac:dyDescent="0.35">
      <c r="G3945" s="88"/>
      <c r="H3945" s="89"/>
      <c r="L3945" s="88"/>
      <c r="M3945" s="89"/>
    </row>
    <row r="3946" spans="7:13" x14ac:dyDescent="0.35">
      <c r="G3946" s="88"/>
      <c r="H3946" s="89"/>
      <c r="L3946" s="88"/>
      <c r="M3946" s="89"/>
    </row>
    <row r="3947" spans="7:13" x14ac:dyDescent="0.35">
      <c r="G3947" s="88"/>
      <c r="H3947" s="89"/>
      <c r="L3947" s="88"/>
      <c r="M3947" s="89"/>
    </row>
    <row r="3948" spans="7:13" x14ac:dyDescent="0.35">
      <c r="G3948" s="88"/>
      <c r="H3948" s="89"/>
      <c r="L3948" s="88"/>
      <c r="M3948" s="89"/>
    </row>
    <row r="3949" spans="7:13" x14ac:dyDescent="0.35">
      <c r="G3949" s="88"/>
      <c r="H3949" s="89"/>
      <c r="L3949" s="88"/>
      <c r="M3949" s="89"/>
    </row>
    <row r="3950" spans="7:13" x14ac:dyDescent="0.35">
      <c r="G3950" s="88"/>
      <c r="H3950" s="89"/>
      <c r="L3950" s="88"/>
      <c r="M3950" s="89"/>
    </row>
    <row r="3951" spans="7:13" x14ac:dyDescent="0.35">
      <c r="G3951" s="88"/>
      <c r="H3951" s="89"/>
      <c r="L3951" s="88"/>
      <c r="M3951" s="89"/>
    </row>
    <row r="3952" spans="7:13" x14ac:dyDescent="0.35">
      <c r="G3952" s="88"/>
      <c r="H3952" s="89"/>
      <c r="L3952" s="88"/>
      <c r="M3952" s="89"/>
    </row>
    <row r="3953" spans="7:13" x14ac:dyDescent="0.35">
      <c r="G3953" s="88"/>
      <c r="H3953" s="89"/>
      <c r="L3953" s="88"/>
      <c r="M3953" s="89"/>
    </row>
    <row r="3954" spans="7:13" x14ac:dyDescent="0.35">
      <c r="G3954" s="88"/>
      <c r="H3954" s="89"/>
      <c r="L3954" s="88"/>
      <c r="M3954" s="89"/>
    </row>
    <row r="3955" spans="7:13" x14ac:dyDescent="0.35">
      <c r="G3955" s="88"/>
      <c r="H3955" s="89"/>
      <c r="L3955" s="88"/>
      <c r="M3955" s="89"/>
    </row>
    <row r="3956" spans="7:13" x14ac:dyDescent="0.35">
      <c r="G3956" s="88"/>
      <c r="H3956" s="89"/>
      <c r="L3956" s="88"/>
      <c r="M3956" s="89"/>
    </row>
    <row r="3957" spans="7:13" x14ac:dyDescent="0.35">
      <c r="G3957" s="88"/>
      <c r="H3957" s="89"/>
      <c r="L3957" s="88"/>
      <c r="M3957" s="89"/>
    </row>
    <row r="3958" spans="7:13" x14ac:dyDescent="0.35">
      <c r="G3958" s="88"/>
      <c r="H3958" s="89"/>
      <c r="L3958" s="88"/>
      <c r="M3958" s="89"/>
    </row>
    <row r="3959" spans="7:13" x14ac:dyDescent="0.35">
      <c r="G3959" s="88"/>
      <c r="H3959" s="89"/>
      <c r="L3959" s="88"/>
      <c r="M3959" s="89"/>
    </row>
    <row r="3960" spans="7:13" x14ac:dyDescent="0.35">
      <c r="G3960" s="88"/>
      <c r="H3960" s="89"/>
      <c r="L3960" s="88"/>
      <c r="M3960" s="89"/>
    </row>
    <row r="3961" spans="7:13" x14ac:dyDescent="0.35">
      <c r="G3961" s="88"/>
      <c r="H3961" s="89"/>
      <c r="L3961" s="88"/>
      <c r="M3961" s="89"/>
    </row>
    <row r="3962" spans="7:13" x14ac:dyDescent="0.35">
      <c r="G3962" s="88"/>
      <c r="H3962" s="89"/>
      <c r="L3962" s="88"/>
      <c r="M3962" s="89"/>
    </row>
    <row r="3963" spans="7:13" x14ac:dyDescent="0.35">
      <c r="G3963" s="88"/>
      <c r="H3963" s="89"/>
      <c r="L3963" s="88"/>
      <c r="M3963" s="89"/>
    </row>
    <row r="3964" spans="7:13" x14ac:dyDescent="0.35">
      <c r="G3964" s="88"/>
      <c r="H3964" s="89"/>
      <c r="L3964" s="88"/>
      <c r="M3964" s="89"/>
    </row>
    <row r="3965" spans="7:13" x14ac:dyDescent="0.35">
      <c r="G3965" s="88"/>
      <c r="H3965" s="89"/>
      <c r="L3965" s="88"/>
      <c r="M3965" s="89"/>
    </row>
    <row r="3966" spans="7:13" x14ac:dyDescent="0.35">
      <c r="G3966" s="88"/>
      <c r="H3966" s="89"/>
      <c r="L3966" s="88"/>
      <c r="M3966" s="89"/>
    </row>
    <row r="3967" spans="7:13" x14ac:dyDescent="0.35">
      <c r="G3967" s="88"/>
      <c r="H3967" s="89"/>
      <c r="L3967" s="88"/>
      <c r="M3967" s="89"/>
    </row>
    <row r="3968" spans="7:13" x14ac:dyDescent="0.35">
      <c r="G3968" s="88"/>
      <c r="H3968" s="89"/>
      <c r="L3968" s="88"/>
      <c r="M3968" s="89"/>
    </row>
    <row r="3969" spans="7:13" x14ac:dyDescent="0.35">
      <c r="G3969" s="88"/>
      <c r="H3969" s="89"/>
      <c r="L3969" s="88"/>
      <c r="M3969" s="89"/>
    </row>
    <row r="3970" spans="7:13" x14ac:dyDescent="0.35">
      <c r="G3970" s="88"/>
      <c r="H3970" s="89"/>
      <c r="L3970" s="88"/>
      <c r="M3970" s="89"/>
    </row>
    <row r="3971" spans="7:13" x14ac:dyDescent="0.35">
      <c r="G3971" s="88"/>
      <c r="H3971" s="89"/>
      <c r="L3971" s="88"/>
      <c r="M3971" s="89"/>
    </row>
    <row r="3972" spans="7:13" x14ac:dyDescent="0.35">
      <c r="G3972" s="88"/>
      <c r="H3972" s="89"/>
      <c r="L3972" s="88"/>
      <c r="M3972" s="89"/>
    </row>
    <row r="3973" spans="7:13" x14ac:dyDescent="0.35">
      <c r="G3973" s="88"/>
      <c r="H3973" s="89"/>
      <c r="L3973" s="88"/>
      <c r="M3973" s="89"/>
    </row>
    <row r="3974" spans="7:13" x14ac:dyDescent="0.35">
      <c r="G3974" s="88"/>
      <c r="H3974" s="89"/>
      <c r="L3974" s="88"/>
      <c r="M3974" s="89"/>
    </row>
    <row r="3975" spans="7:13" x14ac:dyDescent="0.35">
      <c r="G3975" s="88"/>
      <c r="H3975" s="89"/>
      <c r="L3975" s="88"/>
      <c r="M3975" s="89"/>
    </row>
    <row r="3976" spans="7:13" x14ac:dyDescent="0.35">
      <c r="G3976" s="88"/>
      <c r="H3976" s="89"/>
      <c r="L3976" s="88"/>
      <c r="M3976" s="89"/>
    </row>
    <row r="3977" spans="7:13" x14ac:dyDescent="0.35">
      <c r="G3977" s="88"/>
      <c r="H3977" s="89"/>
      <c r="L3977" s="88"/>
      <c r="M3977" s="89"/>
    </row>
    <row r="3978" spans="7:13" x14ac:dyDescent="0.35">
      <c r="G3978" s="88"/>
      <c r="H3978" s="89"/>
      <c r="L3978" s="88"/>
      <c r="M3978" s="89"/>
    </row>
    <row r="3979" spans="7:13" x14ac:dyDescent="0.35">
      <c r="G3979" s="88"/>
      <c r="H3979" s="89"/>
      <c r="L3979" s="88"/>
      <c r="M3979" s="89"/>
    </row>
    <row r="3980" spans="7:13" x14ac:dyDescent="0.35">
      <c r="G3980" s="88"/>
      <c r="H3980" s="89"/>
      <c r="L3980" s="88"/>
      <c r="M3980" s="89"/>
    </row>
    <row r="3981" spans="7:13" x14ac:dyDescent="0.35">
      <c r="G3981" s="88"/>
      <c r="H3981" s="89"/>
      <c r="L3981" s="88"/>
      <c r="M3981" s="89"/>
    </row>
    <row r="3982" spans="7:13" x14ac:dyDescent="0.35">
      <c r="G3982" s="88"/>
      <c r="H3982" s="89"/>
      <c r="L3982" s="88"/>
      <c r="M3982" s="89"/>
    </row>
    <row r="3983" spans="7:13" x14ac:dyDescent="0.35">
      <c r="G3983" s="88"/>
      <c r="H3983" s="89"/>
      <c r="L3983" s="88"/>
      <c r="M3983" s="89"/>
    </row>
    <row r="3984" spans="7:13" x14ac:dyDescent="0.35">
      <c r="G3984" s="88"/>
      <c r="H3984" s="89"/>
      <c r="L3984" s="88"/>
      <c r="M3984" s="89"/>
    </row>
    <row r="3985" spans="7:13" x14ac:dyDescent="0.35">
      <c r="G3985" s="88"/>
      <c r="H3985" s="89"/>
      <c r="L3985" s="88"/>
      <c r="M3985" s="89"/>
    </row>
    <row r="3986" spans="7:13" x14ac:dyDescent="0.35">
      <c r="G3986" s="88"/>
      <c r="H3986" s="89"/>
      <c r="L3986" s="88"/>
      <c r="M3986" s="89"/>
    </row>
    <row r="3987" spans="7:13" x14ac:dyDescent="0.35">
      <c r="G3987" s="88"/>
      <c r="H3987" s="89"/>
      <c r="L3987" s="88"/>
      <c r="M3987" s="89"/>
    </row>
    <row r="3988" spans="7:13" x14ac:dyDescent="0.35">
      <c r="G3988" s="88"/>
      <c r="H3988" s="89"/>
      <c r="L3988" s="88"/>
      <c r="M3988" s="89"/>
    </row>
    <row r="3989" spans="7:13" x14ac:dyDescent="0.35">
      <c r="G3989" s="88"/>
      <c r="H3989" s="89"/>
      <c r="L3989" s="88"/>
      <c r="M3989" s="89"/>
    </row>
    <row r="3990" spans="7:13" x14ac:dyDescent="0.35">
      <c r="G3990" s="88"/>
      <c r="H3990" s="89"/>
      <c r="L3990" s="88"/>
      <c r="M3990" s="89"/>
    </row>
    <row r="3991" spans="7:13" x14ac:dyDescent="0.35">
      <c r="G3991" s="88"/>
      <c r="H3991" s="89"/>
      <c r="L3991" s="88"/>
      <c r="M3991" s="89"/>
    </row>
    <row r="3992" spans="7:13" x14ac:dyDescent="0.35">
      <c r="G3992" s="88"/>
      <c r="H3992" s="89"/>
      <c r="L3992" s="88"/>
      <c r="M3992" s="89"/>
    </row>
    <row r="3993" spans="7:13" x14ac:dyDescent="0.35">
      <c r="G3993" s="88"/>
      <c r="H3993" s="89"/>
      <c r="L3993" s="88"/>
      <c r="M3993" s="89"/>
    </row>
    <row r="3994" spans="7:13" x14ac:dyDescent="0.35">
      <c r="G3994" s="88"/>
      <c r="H3994" s="89"/>
      <c r="L3994" s="88"/>
      <c r="M3994" s="89"/>
    </row>
    <row r="3995" spans="7:13" x14ac:dyDescent="0.35">
      <c r="G3995" s="88"/>
      <c r="H3995" s="89"/>
      <c r="L3995" s="88"/>
      <c r="M3995" s="89"/>
    </row>
    <row r="3996" spans="7:13" x14ac:dyDescent="0.35">
      <c r="G3996" s="88"/>
      <c r="H3996" s="89"/>
      <c r="L3996" s="88"/>
      <c r="M3996" s="89"/>
    </row>
    <row r="3997" spans="7:13" x14ac:dyDescent="0.35">
      <c r="G3997" s="88"/>
      <c r="H3997" s="89"/>
      <c r="L3997" s="88"/>
      <c r="M3997" s="89"/>
    </row>
    <row r="3998" spans="7:13" x14ac:dyDescent="0.35">
      <c r="G3998" s="88"/>
      <c r="H3998" s="89"/>
      <c r="L3998" s="88"/>
      <c r="M3998" s="89"/>
    </row>
    <row r="3999" spans="7:13" x14ac:dyDescent="0.35">
      <c r="G3999" s="88"/>
      <c r="H3999" s="89"/>
      <c r="L3999" s="88"/>
      <c r="M3999" s="89"/>
    </row>
    <row r="4000" spans="7:13" x14ac:dyDescent="0.35">
      <c r="G4000" s="88"/>
      <c r="H4000" s="89"/>
      <c r="L4000" s="88"/>
      <c r="M4000" s="89"/>
    </row>
    <row r="4001" spans="7:13" x14ac:dyDescent="0.35">
      <c r="G4001" s="88"/>
      <c r="H4001" s="89"/>
      <c r="L4001" s="88"/>
      <c r="M4001" s="89"/>
    </row>
    <row r="4002" spans="7:13" x14ac:dyDescent="0.35">
      <c r="G4002" s="88"/>
      <c r="H4002" s="89"/>
      <c r="L4002" s="88"/>
      <c r="M4002" s="89"/>
    </row>
    <row r="4003" spans="7:13" x14ac:dyDescent="0.35">
      <c r="G4003" s="88"/>
      <c r="H4003" s="89"/>
      <c r="L4003" s="88"/>
      <c r="M4003" s="89"/>
    </row>
    <row r="4004" spans="7:13" x14ac:dyDescent="0.35">
      <c r="G4004" s="88"/>
      <c r="H4004" s="89"/>
      <c r="L4004" s="88"/>
      <c r="M4004" s="89"/>
    </row>
    <row r="4005" spans="7:13" x14ac:dyDescent="0.35">
      <c r="G4005" s="88"/>
      <c r="H4005" s="89"/>
      <c r="L4005" s="88"/>
      <c r="M4005" s="89"/>
    </row>
    <row r="4006" spans="7:13" x14ac:dyDescent="0.35">
      <c r="G4006" s="88"/>
      <c r="H4006" s="89"/>
      <c r="L4006" s="88"/>
      <c r="M4006" s="89"/>
    </row>
    <row r="4007" spans="7:13" x14ac:dyDescent="0.35">
      <c r="G4007" s="88"/>
      <c r="H4007" s="89"/>
      <c r="L4007" s="88"/>
      <c r="M4007" s="89"/>
    </row>
    <row r="4008" spans="7:13" x14ac:dyDescent="0.35">
      <c r="G4008" s="88"/>
      <c r="H4008" s="89"/>
      <c r="L4008" s="88"/>
      <c r="M4008" s="89"/>
    </row>
    <row r="4009" spans="7:13" x14ac:dyDescent="0.35">
      <c r="G4009" s="88"/>
      <c r="H4009" s="89"/>
      <c r="L4009" s="88"/>
      <c r="M4009" s="89"/>
    </row>
    <row r="4010" spans="7:13" x14ac:dyDescent="0.35">
      <c r="G4010" s="88"/>
      <c r="H4010" s="89"/>
      <c r="L4010" s="88"/>
      <c r="M4010" s="89"/>
    </row>
    <row r="4011" spans="7:13" x14ac:dyDescent="0.35">
      <c r="G4011" s="88"/>
      <c r="H4011" s="89"/>
      <c r="L4011" s="88"/>
      <c r="M4011" s="89"/>
    </row>
    <row r="4012" spans="7:13" x14ac:dyDescent="0.35">
      <c r="G4012" s="88"/>
      <c r="H4012" s="89"/>
      <c r="L4012" s="88"/>
      <c r="M4012" s="89"/>
    </row>
    <row r="4013" spans="7:13" x14ac:dyDescent="0.35">
      <c r="G4013" s="88"/>
      <c r="H4013" s="89"/>
      <c r="L4013" s="88"/>
      <c r="M4013" s="89"/>
    </row>
    <row r="4014" spans="7:13" x14ac:dyDescent="0.35">
      <c r="G4014" s="88"/>
      <c r="H4014" s="89"/>
      <c r="L4014" s="88"/>
      <c r="M4014" s="89"/>
    </row>
    <row r="4015" spans="7:13" x14ac:dyDescent="0.35">
      <c r="G4015" s="88"/>
      <c r="H4015" s="89"/>
      <c r="L4015" s="88"/>
      <c r="M4015" s="89"/>
    </row>
    <row r="4016" spans="7:13" x14ac:dyDescent="0.35">
      <c r="G4016" s="88"/>
      <c r="H4016" s="89"/>
      <c r="L4016" s="88"/>
      <c r="M4016" s="89"/>
    </row>
    <row r="4017" spans="7:13" x14ac:dyDescent="0.35">
      <c r="G4017" s="88"/>
      <c r="H4017" s="89"/>
      <c r="L4017" s="88"/>
      <c r="M4017" s="89"/>
    </row>
    <row r="4018" spans="7:13" x14ac:dyDescent="0.35">
      <c r="G4018" s="88"/>
      <c r="H4018" s="89"/>
      <c r="L4018" s="88"/>
      <c r="M4018" s="89"/>
    </row>
    <row r="4019" spans="7:13" x14ac:dyDescent="0.35">
      <c r="G4019" s="88"/>
      <c r="H4019" s="89"/>
      <c r="L4019" s="88"/>
      <c r="M4019" s="89"/>
    </row>
    <row r="4020" spans="7:13" x14ac:dyDescent="0.35">
      <c r="G4020" s="88"/>
      <c r="H4020" s="89"/>
      <c r="L4020" s="88"/>
      <c r="M4020" s="89"/>
    </row>
    <row r="4021" spans="7:13" x14ac:dyDescent="0.35">
      <c r="G4021" s="88"/>
      <c r="H4021" s="89"/>
      <c r="L4021" s="88"/>
      <c r="M4021" s="89"/>
    </row>
    <row r="4022" spans="7:13" x14ac:dyDescent="0.35">
      <c r="G4022" s="88"/>
      <c r="H4022" s="89"/>
      <c r="L4022" s="88"/>
      <c r="M4022" s="89"/>
    </row>
    <row r="4023" spans="7:13" x14ac:dyDescent="0.35">
      <c r="G4023" s="88"/>
      <c r="H4023" s="89"/>
      <c r="L4023" s="88"/>
      <c r="M4023" s="89"/>
    </row>
    <row r="4024" spans="7:13" x14ac:dyDescent="0.35">
      <c r="G4024" s="88"/>
      <c r="H4024" s="89"/>
      <c r="L4024" s="88"/>
      <c r="M4024" s="89"/>
    </row>
    <row r="4025" spans="7:13" x14ac:dyDescent="0.35">
      <c r="G4025" s="88"/>
      <c r="H4025" s="89"/>
      <c r="L4025" s="88"/>
      <c r="M4025" s="89"/>
    </row>
    <row r="4026" spans="7:13" x14ac:dyDescent="0.35">
      <c r="G4026" s="88"/>
      <c r="H4026" s="89"/>
      <c r="L4026" s="88"/>
      <c r="M4026" s="89"/>
    </row>
    <row r="4027" spans="7:13" x14ac:dyDescent="0.35">
      <c r="G4027" s="88"/>
      <c r="H4027" s="89"/>
      <c r="L4027" s="88"/>
      <c r="M4027" s="89"/>
    </row>
    <row r="4028" spans="7:13" x14ac:dyDescent="0.35">
      <c r="G4028" s="88"/>
      <c r="H4028" s="89"/>
      <c r="L4028" s="88"/>
      <c r="M4028" s="89"/>
    </row>
    <row r="4029" spans="7:13" x14ac:dyDescent="0.35">
      <c r="G4029" s="88"/>
      <c r="H4029" s="89"/>
      <c r="L4029" s="88"/>
      <c r="M4029" s="89"/>
    </row>
    <row r="4030" spans="7:13" x14ac:dyDescent="0.35">
      <c r="G4030" s="88"/>
      <c r="H4030" s="89"/>
      <c r="L4030" s="88"/>
      <c r="M4030" s="89"/>
    </row>
    <row r="4031" spans="7:13" x14ac:dyDescent="0.35">
      <c r="G4031" s="88"/>
      <c r="H4031" s="89"/>
      <c r="L4031" s="88"/>
      <c r="M4031" s="89"/>
    </row>
    <row r="4032" spans="7:13" x14ac:dyDescent="0.35">
      <c r="G4032" s="88"/>
      <c r="H4032" s="89"/>
      <c r="L4032" s="88"/>
      <c r="M4032" s="89"/>
    </row>
    <row r="4033" spans="7:13" x14ac:dyDescent="0.35">
      <c r="G4033" s="88"/>
      <c r="H4033" s="89"/>
      <c r="L4033" s="88"/>
      <c r="M4033" s="89"/>
    </row>
    <row r="4034" spans="7:13" x14ac:dyDescent="0.35">
      <c r="G4034" s="88"/>
      <c r="H4034" s="89"/>
      <c r="L4034" s="88"/>
      <c r="M4034" s="89"/>
    </row>
    <row r="4035" spans="7:13" x14ac:dyDescent="0.35">
      <c r="G4035" s="88"/>
      <c r="H4035" s="89"/>
      <c r="L4035" s="88"/>
      <c r="M4035" s="89"/>
    </row>
    <row r="4036" spans="7:13" x14ac:dyDescent="0.35">
      <c r="G4036" s="88"/>
      <c r="H4036" s="89"/>
      <c r="L4036" s="88"/>
      <c r="M4036" s="89"/>
    </row>
    <row r="4037" spans="7:13" x14ac:dyDescent="0.35">
      <c r="G4037" s="88"/>
      <c r="H4037" s="89"/>
      <c r="L4037" s="88"/>
      <c r="M4037" s="89"/>
    </row>
    <row r="4038" spans="7:13" x14ac:dyDescent="0.35">
      <c r="G4038" s="88"/>
      <c r="H4038" s="89"/>
      <c r="L4038" s="88"/>
      <c r="M4038" s="89"/>
    </row>
    <row r="4039" spans="7:13" x14ac:dyDescent="0.35">
      <c r="G4039" s="88"/>
      <c r="H4039" s="89"/>
      <c r="L4039" s="88"/>
      <c r="M4039" s="89"/>
    </row>
    <row r="4040" spans="7:13" x14ac:dyDescent="0.35">
      <c r="G4040" s="88"/>
      <c r="H4040" s="89"/>
      <c r="L4040" s="88"/>
      <c r="M4040" s="89"/>
    </row>
    <row r="4041" spans="7:13" x14ac:dyDescent="0.35">
      <c r="G4041" s="88"/>
      <c r="H4041" s="89"/>
      <c r="L4041" s="88"/>
      <c r="M4041" s="89"/>
    </row>
    <row r="4042" spans="7:13" x14ac:dyDescent="0.35">
      <c r="G4042" s="88"/>
      <c r="H4042" s="89"/>
      <c r="L4042" s="88"/>
      <c r="M4042" s="89"/>
    </row>
    <row r="4043" spans="7:13" x14ac:dyDescent="0.35">
      <c r="G4043" s="88"/>
      <c r="H4043" s="89"/>
      <c r="L4043" s="88"/>
      <c r="M4043" s="89"/>
    </row>
    <row r="4044" spans="7:13" x14ac:dyDescent="0.35">
      <c r="G4044" s="88"/>
      <c r="H4044" s="89"/>
      <c r="L4044" s="88"/>
      <c r="M4044" s="89"/>
    </row>
    <row r="4045" spans="7:13" x14ac:dyDescent="0.35">
      <c r="G4045" s="88"/>
      <c r="H4045" s="89"/>
      <c r="L4045" s="88"/>
      <c r="M4045" s="89"/>
    </row>
    <row r="4046" spans="7:13" x14ac:dyDescent="0.35">
      <c r="G4046" s="88"/>
      <c r="H4046" s="89"/>
      <c r="L4046" s="88"/>
      <c r="M4046" s="89"/>
    </row>
    <row r="4047" spans="7:13" x14ac:dyDescent="0.35">
      <c r="G4047" s="88"/>
      <c r="H4047" s="89"/>
      <c r="L4047" s="88"/>
      <c r="M4047" s="89"/>
    </row>
    <row r="4048" spans="7:13" x14ac:dyDescent="0.35">
      <c r="G4048" s="88"/>
      <c r="H4048" s="89"/>
      <c r="L4048" s="88"/>
      <c r="M4048" s="89"/>
    </row>
    <row r="4049" spans="7:13" x14ac:dyDescent="0.35">
      <c r="G4049" s="88"/>
      <c r="H4049" s="89"/>
      <c r="L4049" s="88"/>
      <c r="M4049" s="89"/>
    </row>
    <row r="4050" spans="7:13" x14ac:dyDescent="0.35">
      <c r="G4050" s="88"/>
      <c r="H4050" s="89"/>
      <c r="L4050" s="88"/>
      <c r="M4050" s="89"/>
    </row>
    <row r="4051" spans="7:13" x14ac:dyDescent="0.35">
      <c r="G4051" s="88"/>
      <c r="H4051" s="89"/>
      <c r="L4051" s="88"/>
      <c r="M4051" s="89"/>
    </row>
    <row r="4052" spans="7:13" x14ac:dyDescent="0.35">
      <c r="G4052" s="88"/>
      <c r="H4052" s="89"/>
      <c r="L4052" s="88"/>
      <c r="M4052" s="89"/>
    </row>
    <row r="4053" spans="7:13" x14ac:dyDescent="0.35">
      <c r="G4053" s="88"/>
      <c r="H4053" s="89"/>
      <c r="L4053" s="88"/>
      <c r="M4053" s="89"/>
    </row>
    <row r="4054" spans="7:13" x14ac:dyDescent="0.35">
      <c r="G4054" s="88"/>
      <c r="H4054" s="89"/>
      <c r="L4054" s="88"/>
      <c r="M4054" s="89"/>
    </row>
    <row r="4055" spans="7:13" x14ac:dyDescent="0.35">
      <c r="G4055" s="88"/>
      <c r="H4055" s="89"/>
      <c r="L4055" s="88"/>
      <c r="M4055" s="89"/>
    </row>
    <row r="4056" spans="7:13" x14ac:dyDescent="0.35">
      <c r="G4056" s="88"/>
      <c r="H4056" s="89"/>
      <c r="L4056" s="88"/>
      <c r="M4056" s="89"/>
    </row>
    <row r="4057" spans="7:13" x14ac:dyDescent="0.35">
      <c r="G4057" s="88"/>
      <c r="H4057" s="89"/>
      <c r="L4057" s="88"/>
      <c r="M4057" s="89"/>
    </row>
    <row r="4058" spans="7:13" x14ac:dyDescent="0.35">
      <c r="G4058" s="88"/>
      <c r="H4058" s="89"/>
      <c r="L4058" s="88"/>
      <c r="M4058" s="89"/>
    </row>
    <row r="4059" spans="7:13" x14ac:dyDescent="0.35">
      <c r="G4059" s="88"/>
      <c r="H4059" s="89"/>
      <c r="L4059" s="88"/>
      <c r="M4059" s="89"/>
    </row>
    <row r="4060" spans="7:13" x14ac:dyDescent="0.35">
      <c r="G4060" s="88"/>
      <c r="H4060" s="89"/>
      <c r="L4060" s="88"/>
      <c r="M4060" s="89"/>
    </row>
    <row r="4061" spans="7:13" x14ac:dyDescent="0.35">
      <c r="G4061" s="88"/>
      <c r="H4061" s="89"/>
      <c r="L4061" s="88"/>
      <c r="M4061" s="89"/>
    </row>
    <row r="4062" spans="7:13" x14ac:dyDescent="0.35">
      <c r="G4062" s="88"/>
      <c r="H4062" s="89"/>
      <c r="L4062" s="88"/>
      <c r="M4062" s="89"/>
    </row>
    <row r="4063" spans="7:13" x14ac:dyDescent="0.35">
      <c r="G4063" s="88"/>
      <c r="H4063" s="89"/>
      <c r="L4063" s="88"/>
      <c r="M4063" s="89"/>
    </row>
    <row r="4064" spans="7:13" x14ac:dyDescent="0.35">
      <c r="G4064" s="88"/>
      <c r="H4064" s="89"/>
      <c r="L4064" s="88"/>
      <c r="M4064" s="89"/>
    </row>
    <row r="4065" spans="7:13" x14ac:dyDescent="0.35">
      <c r="G4065" s="88"/>
      <c r="H4065" s="89"/>
      <c r="L4065" s="88"/>
      <c r="M4065" s="89"/>
    </row>
    <row r="4066" spans="7:13" x14ac:dyDescent="0.35">
      <c r="G4066" s="88"/>
      <c r="H4066" s="89"/>
      <c r="L4066" s="88"/>
      <c r="M4066" s="89"/>
    </row>
    <row r="4067" spans="7:13" x14ac:dyDescent="0.35">
      <c r="G4067" s="88"/>
      <c r="H4067" s="89"/>
      <c r="L4067" s="88"/>
      <c r="M4067" s="89"/>
    </row>
    <row r="4068" spans="7:13" x14ac:dyDescent="0.35">
      <c r="G4068" s="88"/>
      <c r="H4068" s="89"/>
      <c r="L4068" s="88"/>
      <c r="M4068" s="89"/>
    </row>
    <row r="4069" spans="7:13" x14ac:dyDescent="0.35">
      <c r="G4069" s="88"/>
      <c r="H4069" s="89"/>
      <c r="L4069" s="88"/>
      <c r="M4069" s="89"/>
    </row>
    <row r="4070" spans="7:13" x14ac:dyDescent="0.35">
      <c r="G4070" s="88"/>
      <c r="H4070" s="89"/>
      <c r="L4070" s="88"/>
      <c r="M4070" s="89"/>
    </row>
    <row r="4071" spans="7:13" x14ac:dyDescent="0.35">
      <c r="G4071" s="88"/>
      <c r="H4071" s="89"/>
      <c r="L4071" s="88"/>
      <c r="M4071" s="89"/>
    </row>
    <row r="4072" spans="7:13" x14ac:dyDescent="0.35">
      <c r="G4072" s="88"/>
      <c r="H4072" s="89"/>
      <c r="L4072" s="88"/>
      <c r="M4072" s="89"/>
    </row>
    <row r="4073" spans="7:13" x14ac:dyDescent="0.35">
      <c r="G4073" s="88"/>
      <c r="H4073" s="89"/>
      <c r="L4073" s="88"/>
      <c r="M4073" s="89"/>
    </row>
    <row r="4074" spans="7:13" x14ac:dyDescent="0.35">
      <c r="G4074" s="88"/>
      <c r="H4074" s="89"/>
      <c r="L4074" s="88"/>
      <c r="M4074" s="89"/>
    </row>
    <row r="4075" spans="7:13" x14ac:dyDescent="0.35">
      <c r="G4075" s="88"/>
      <c r="H4075" s="89"/>
      <c r="L4075" s="88"/>
      <c r="M4075" s="89"/>
    </row>
    <row r="4076" spans="7:13" x14ac:dyDescent="0.35">
      <c r="G4076" s="88"/>
      <c r="H4076" s="89"/>
      <c r="L4076" s="88"/>
      <c r="M4076" s="89"/>
    </row>
    <row r="4077" spans="7:13" x14ac:dyDescent="0.35">
      <c r="G4077" s="88"/>
      <c r="H4077" s="89"/>
      <c r="L4077" s="88"/>
      <c r="M4077" s="89"/>
    </row>
    <row r="4078" spans="7:13" x14ac:dyDescent="0.35">
      <c r="G4078" s="88"/>
      <c r="H4078" s="89"/>
      <c r="L4078" s="88"/>
      <c r="M4078" s="89"/>
    </row>
    <row r="4079" spans="7:13" x14ac:dyDescent="0.35">
      <c r="G4079" s="88"/>
      <c r="H4079" s="89"/>
      <c r="L4079" s="88"/>
      <c r="M4079" s="89"/>
    </row>
    <row r="4080" spans="7:13" x14ac:dyDescent="0.35">
      <c r="G4080" s="88"/>
      <c r="H4080" s="89"/>
      <c r="L4080" s="88"/>
      <c r="M4080" s="89"/>
    </row>
    <row r="4081" spans="7:13" x14ac:dyDescent="0.35">
      <c r="G4081" s="88"/>
      <c r="H4081" s="89"/>
      <c r="L4081" s="88"/>
      <c r="M4081" s="89"/>
    </row>
    <row r="4082" spans="7:13" x14ac:dyDescent="0.35">
      <c r="G4082" s="88"/>
      <c r="H4082" s="89"/>
      <c r="L4082" s="88"/>
      <c r="M4082" s="89"/>
    </row>
    <row r="4083" spans="7:13" x14ac:dyDescent="0.35">
      <c r="G4083" s="88"/>
      <c r="H4083" s="89"/>
      <c r="L4083" s="88"/>
      <c r="M4083" s="89"/>
    </row>
    <row r="4084" spans="7:13" x14ac:dyDescent="0.35">
      <c r="G4084" s="88"/>
      <c r="H4084" s="89"/>
      <c r="L4084" s="88"/>
      <c r="M4084" s="89"/>
    </row>
    <row r="4085" spans="7:13" x14ac:dyDescent="0.35">
      <c r="G4085" s="88"/>
      <c r="H4085" s="89"/>
      <c r="L4085" s="88"/>
      <c r="M4085" s="89"/>
    </row>
    <row r="4086" spans="7:13" x14ac:dyDescent="0.35">
      <c r="G4086" s="88"/>
      <c r="H4086" s="89"/>
      <c r="L4086" s="88"/>
      <c r="M4086" s="89"/>
    </row>
    <row r="4087" spans="7:13" x14ac:dyDescent="0.35">
      <c r="G4087" s="88"/>
      <c r="H4087" s="89"/>
      <c r="L4087" s="88"/>
      <c r="M4087" s="89"/>
    </row>
    <row r="4088" spans="7:13" x14ac:dyDescent="0.35">
      <c r="G4088" s="88"/>
      <c r="H4088" s="89"/>
      <c r="L4088" s="88"/>
      <c r="M4088" s="89"/>
    </row>
    <row r="4089" spans="7:13" x14ac:dyDescent="0.35">
      <c r="G4089" s="88"/>
      <c r="H4089" s="89"/>
      <c r="L4089" s="88"/>
      <c r="M4089" s="89"/>
    </row>
    <row r="4090" spans="7:13" x14ac:dyDescent="0.35">
      <c r="G4090" s="88"/>
      <c r="H4090" s="89"/>
      <c r="L4090" s="88"/>
      <c r="M4090" s="89"/>
    </row>
    <row r="4091" spans="7:13" x14ac:dyDescent="0.35">
      <c r="G4091" s="88"/>
      <c r="H4091" s="89"/>
      <c r="L4091" s="88"/>
      <c r="M4091" s="89"/>
    </row>
    <row r="4092" spans="7:13" x14ac:dyDescent="0.35">
      <c r="G4092" s="88"/>
      <c r="H4092" s="89"/>
      <c r="L4092" s="88"/>
      <c r="M4092" s="89"/>
    </row>
    <row r="4093" spans="7:13" x14ac:dyDescent="0.35">
      <c r="G4093" s="88"/>
      <c r="H4093" s="89"/>
      <c r="L4093" s="88"/>
      <c r="M4093" s="89"/>
    </row>
    <row r="4094" spans="7:13" x14ac:dyDescent="0.35">
      <c r="G4094" s="88"/>
      <c r="H4094" s="89"/>
      <c r="L4094" s="88"/>
      <c r="M4094" s="89"/>
    </row>
    <row r="4095" spans="7:13" x14ac:dyDescent="0.35">
      <c r="G4095" s="88"/>
      <c r="H4095" s="89"/>
      <c r="L4095" s="88"/>
      <c r="M4095" s="89"/>
    </row>
    <row r="4096" spans="7:13" x14ac:dyDescent="0.35">
      <c r="G4096" s="88"/>
      <c r="H4096" s="89"/>
      <c r="L4096" s="88"/>
      <c r="M4096" s="89"/>
    </row>
    <row r="4097" spans="7:13" x14ac:dyDescent="0.35">
      <c r="G4097" s="88"/>
      <c r="H4097" s="89"/>
      <c r="L4097" s="88"/>
      <c r="M4097" s="89"/>
    </row>
    <row r="4098" spans="7:13" x14ac:dyDescent="0.35">
      <c r="G4098" s="88"/>
      <c r="H4098" s="89"/>
      <c r="L4098" s="88"/>
      <c r="M4098" s="89"/>
    </row>
    <row r="4099" spans="7:13" x14ac:dyDescent="0.35">
      <c r="G4099" s="88"/>
      <c r="H4099" s="89"/>
      <c r="L4099" s="88"/>
      <c r="M4099" s="89"/>
    </row>
    <row r="4100" spans="7:13" x14ac:dyDescent="0.35">
      <c r="G4100" s="88"/>
      <c r="H4100" s="89"/>
      <c r="L4100" s="88"/>
      <c r="M4100" s="89"/>
    </row>
    <row r="4101" spans="7:13" x14ac:dyDescent="0.35">
      <c r="G4101" s="88"/>
      <c r="H4101" s="89"/>
      <c r="L4101" s="88"/>
      <c r="M4101" s="89"/>
    </row>
    <row r="4102" spans="7:13" x14ac:dyDescent="0.35">
      <c r="G4102" s="88"/>
      <c r="H4102" s="89"/>
      <c r="L4102" s="88"/>
      <c r="M4102" s="89"/>
    </row>
    <row r="4103" spans="7:13" x14ac:dyDescent="0.35">
      <c r="G4103" s="88"/>
      <c r="H4103" s="89"/>
      <c r="L4103" s="88"/>
      <c r="M4103" s="89"/>
    </row>
    <row r="4104" spans="7:13" x14ac:dyDescent="0.35">
      <c r="G4104" s="88"/>
      <c r="H4104" s="89"/>
      <c r="L4104" s="88"/>
      <c r="M4104" s="89"/>
    </row>
    <row r="4105" spans="7:13" x14ac:dyDescent="0.35">
      <c r="G4105" s="88"/>
      <c r="H4105" s="89"/>
      <c r="L4105" s="88"/>
      <c r="M4105" s="89"/>
    </row>
    <row r="4106" spans="7:13" x14ac:dyDescent="0.35">
      <c r="G4106" s="88"/>
      <c r="H4106" s="89"/>
      <c r="L4106" s="88"/>
      <c r="M4106" s="89"/>
    </row>
    <row r="4107" spans="7:13" x14ac:dyDescent="0.35">
      <c r="G4107" s="88"/>
      <c r="H4107" s="89"/>
      <c r="L4107" s="88"/>
      <c r="M4107" s="89"/>
    </row>
    <row r="4108" spans="7:13" x14ac:dyDescent="0.35">
      <c r="G4108" s="88"/>
      <c r="H4108" s="89"/>
      <c r="L4108" s="88"/>
      <c r="M4108" s="89"/>
    </row>
    <row r="4109" spans="7:13" x14ac:dyDescent="0.35">
      <c r="G4109" s="88"/>
      <c r="H4109" s="89"/>
      <c r="L4109" s="88"/>
      <c r="M4109" s="89"/>
    </row>
    <row r="4110" spans="7:13" x14ac:dyDescent="0.35">
      <c r="G4110" s="88"/>
      <c r="H4110" s="89"/>
      <c r="L4110" s="88"/>
      <c r="M4110" s="89"/>
    </row>
    <row r="4111" spans="7:13" x14ac:dyDescent="0.35">
      <c r="G4111" s="88"/>
      <c r="H4111" s="89"/>
      <c r="L4111" s="88"/>
      <c r="M4111" s="89"/>
    </row>
    <row r="4112" spans="7:13" x14ac:dyDescent="0.35">
      <c r="G4112" s="88"/>
      <c r="H4112" s="89"/>
      <c r="L4112" s="88"/>
      <c r="M4112" s="89"/>
    </row>
    <row r="4113" spans="7:13" x14ac:dyDescent="0.35">
      <c r="G4113" s="88"/>
      <c r="H4113" s="89"/>
      <c r="L4113" s="88"/>
      <c r="M4113" s="89"/>
    </row>
    <row r="4114" spans="7:13" x14ac:dyDescent="0.35">
      <c r="G4114" s="88"/>
      <c r="H4114" s="89"/>
      <c r="L4114" s="88"/>
      <c r="M4114" s="89"/>
    </row>
    <row r="4115" spans="7:13" x14ac:dyDescent="0.35">
      <c r="G4115" s="88"/>
      <c r="H4115" s="89"/>
      <c r="L4115" s="88"/>
      <c r="M4115" s="89"/>
    </row>
    <row r="4116" spans="7:13" x14ac:dyDescent="0.35">
      <c r="G4116" s="88"/>
      <c r="H4116" s="89"/>
      <c r="L4116" s="88"/>
      <c r="M4116" s="89"/>
    </row>
    <row r="4117" spans="7:13" x14ac:dyDescent="0.35">
      <c r="G4117" s="88"/>
      <c r="H4117" s="89"/>
      <c r="L4117" s="88"/>
      <c r="M4117" s="89"/>
    </row>
    <row r="4118" spans="7:13" x14ac:dyDescent="0.35">
      <c r="G4118" s="88"/>
      <c r="H4118" s="89"/>
      <c r="L4118" s="88"/>
      <c r="M4118" s="89"/>
    </row>
    <row r="4119" spans="7:13" x14ac:dyDescent="0.35">
      <c r="G4119" s="88"/>
      <c r="H4119" s="89"/>
      <c r="L4119" s="88"/>
      <c r="M4119" s="89"/>
    </row>
    <row r="4120" spans="7:13" x14ac:dyDescent="0.35">
      <c r="G4120" s="88"/>
      <c r="H4120" s="89"/>
      <c r="L4120" s="88"/>
      <c r="M4120" s="89"/>
    </row>
    <row r="4121" spans="7:13" x14ac:dyDescent="0.35">
      <c r="G4121" s="88"/>
      <c r="H4121" s="89"/>
      <c r="L4121" s="88"/>
      <c r="M4121" s="89"/>
    </row>
    <row r="4122" spans="7:13" x14ac:dyDescent="0.35">
      <c r="G4122" s="88"/>
      <c r="H4122" s="89"/>
      <c r="L4122" s="88"/>
      <c r="M4122" s="89"/>
    </row>
    <row r="4123" spans="7:13" x14ac:dyDescent="0.35">
      <c r="G4123" s="88"/>
      <c r="H4123" s="89"/>
      <c r="L4123" s="88"/>
      <c r="M4123" s="89"/>
    </row>
    <row r="4124" spans="7:13" x14ac:dyDescent="0.35">
      <c r="G4124" s="88"/>
      <c r="H4124" s="89"/>
      <c r="L4124" s="88"/>
      <c r="M4124" s="89"/>
    </row>
    <row r="4125" spans="7:13" x14ac:dyDescent="0.35">
      <c r="G4125" s="88"/>
      <c r="H4125" s="89"/>
      <c r="L4125" s="88"/>
      <c r="M4125" s="89"/>
    </row>
    <row r="4126" spans="7:13" x14ac:dyDescent="0.35">
      <c r="G4126" s="88"/>
      <c r="H4126" s="89"/>
      <c r="L4126" s="88"/>
      <c r="M4126" s="89"/>
    </row>
    <row r="4127" spans="7:13" x14ac:dyDescent="0.35">
      <c r="G4127" s="88"/>
      <c r="H4127" s="89"/>
      <c r="L4127" s="88"/>
      <c r="M4127" s="89"/>
    </row>
    <row r="4128" spans="7:13" x14ac:dyDescent="0.35">
      <c r="G4128" s="88"/>
      <c r="H4128" s="89"/>
      <c r="L4128" s="88"/>
      <c r="M4128" s="89"/>
    </row>
    <row r="4129" spans="7:13" x14ac:dyDescent="0.35">
      <c r="G4129" s="88"/>
      <c r="H4129" s="89"/>
      <c r="L4129" s="88"/>
      <c r="M4129" s="89"/>
    </row>
    <row r="4130" spans="7:13" x14ac:dyDescent="0.35">
      <c r="G4130" s="88"/>
      <c r="H4130" s="89"/>
      <c r="L4130" s="88"/>
      <c r="M4130" s="89"/>
    </row>
    <row r="4131" spans="7:13" x14ac:dyDescent="0.35">
      <c r="G4131" s="88"/>
      <c r="H4131" s="89"/>
      <c r="L4131" s="88"/>
      <c r="M4131" s="89"/>
    </row>
    <row r="4132" spans="7:13" x14ac:dyDescent="0.35">
      <c r="G4132" s="88"/>
      <c r="H4132" s="89"/>
      <c r="L4132" s="88"/>
      <c r="M4132" s="89"/>
    </row>
    <row r="4133" spans="7:13" x14ac:dyDescent="0.35">
      <c r="G4133" s="88"/>
      <c r="H4133" s="89"/>
      <c r="L4133" s="88"/>
      <c r="M4133" s="89"/>
    </row>
    <row r="4134" spans="7:13" x14ac:dyDescent="0.35">
      <c r="G4134" s="88"/>
      <c r="H4134" s="89"/>
      <c r="L4134" s="88"/>
      <c r="M4134" s="89"/>
    </row>
    <row r="4135" spans="7:13" x14ac:dyDescent="0.35">
      <c r="G4135" s="88"/>
      <c r="H4135" s="89"/>
      <c r="L4135" s="88"/>
      <c r="M4135" s="89"/>
    </row>
    <row r="4136" spans="7:13" x14ac:dyDescent="0.35">
      <c r="G4136" s="88"/>
      <c r="H4136" s="89"/>
      <c r="L4136" s="88"/>
      <c r="M4136" s="89"/>
    </row>
    <row r="4137" spans="7:13" x14ac:dyDescent="0.35">
      <c r="G4137" s="88"/>
      <c r="H4137" s="89"/>
      <c r="L4137" s="88"/>
      <c r="M4137" s="89"/>
    </row>
    <row r="4138" spans="7:13" x14ac:dyDescent="0.35">
      <c r="G4138" s="88"/>
      <c r="H4138" s="89"/>
      <c r="L4138" s="88"/>
      <c r="M4138" s="89"/>
    </row>
    <row r="4139" spans="7:13" x14ac:dyDescent="0.35">
      <c r="G4139" s="88"/>
      <c r="H4139" s="89"/>
      <c r="L4139" s="88"/>
      <c r="M4139" s="89"/>
    </row>
    <row r="4140" spans="7:13" x14ac:dyDescent="0.35">
      <c r="G4140" s="88"/>
      <c r="H4140" s="89"/>
      <c r="L4140" s="88"/>
      <c r="M4140" s="89"/>
    </row>
    <row r="4141" spans="7:13" x14ac:dyDescent="0.35">
      <c r="G4141" s="88"/>
      <c r="H4141" s="89"/>
      <c r="L4141" s="88"/>
      <c r="M4141" s="89"/>
    </row>
    <row r="4142" spans="7:13" x14ac:dyDescent="0.35">
      <c r="G4142" s="88"/>
      <c r="H4142" s="89"/>
      <c r="L4142" s="88"/>
      <c r="M4142" s="89"/>
    </row>
    <row r="4143" spans="7:13" x14ac:dyDescent="0.35">
      <c r="G4143" s="88"/>
      <c r="H4143" s="89"/>
      <c r="L4143" s="88"/>
      <c r="M4143" s="89"/>
    </row>
    <row r="4144" spans="7:13" x14ac:dyDescent="0.35">
      <c r="G4144" s="88"/>
      <c r="H4144" s="89"/>
      <c r="L4144" s="88"/>
      <c r="M4144" s="89"/>
    </row>
    <row r="4145" spans="7:13" x14ac:dyDescent="0.35">
      <c r="G4145" s="88"/>
      <c r="H4145" s="89"/>
      <c r="L4145" s="88"/>
      <c r="M4145" s="89"/>
    </row>
    <row r="4146" spans="7:13" x14ac:dyDescent="0.35">
      <c r="G4146" s="88"/>
      <c r="H4146" s="89"/>
      <c r="L4146" s="88"/>
      <c r="M4146" s="89"/>
    </row>
    <row r="4147" spans="7:13" x14ac:dyDescent="0.35">
      <c r="G4147" s="88"/>
      <c r="H4147" s="89"/>
      <c r="L4147" s="88"/>
      <c r="M4147" s="89"/>
    </row>
    <row r="4148" spans="7:13" x14ac:dyDescent="0.35">
      <c r="G4148" s="88"/>
      <c r="H4148" s="89"/>
      <c r="L4148" s="88"/>
      <c r="M4148" s="89"/>
    </row>
    <row r="4149" spans="7:13" x14ac:dyDescent="0.35">
      <c r="G4149" s="88"/>
      <c r="H4149" s="89"/>
      <c r="L4149" s="88"/>
      <c r="M4149" s="89"/>
    </row>
    <row r="4150" spans="7:13" x14ac:dyDescent="0.35">
      <c r="G4150" s="88"/>
      <c r="H4150" s="89"/>
      <c r="L4150" s="88"/>
      <c r="M4150" s="89"/>
    </row>
    <row r="4151" spans="7:13" x14ac:dyDescent="0.35">
      <c r="G4151" s="88"/>
      <c r="H4151" s="89"/>
      <c r="L4151" s="88"/>
      <c r="M4151" s="89"/>
    </row>
    <row r="4152" spans="7:13" x14ac:dyDescent="0.35">
      <c r="G4152" s="88"/>
      <c r="H4152" s="89"/>
      <c r="L4152" s="88"/>
      <c r="M4152" s="89"/>
    </row>
    <row r="4153" spans="7:13" x14ac:dyDescent="0.35">
      <c r="G4153" s="88"/>
      <c r="H4153" s="89"/>
      <c r="L4153" s="88"/>
      <c r="M4153" s="89"/>
    </row>
    <row r="4154" spans="7:13" x14ac:dyDescent="0.35">
      <c r="G4154" s="88"/>
      <c r="H4154" s="89"/>
      <c r="L4154" s="88"/>
      <c r="M4154" s="89"/>
    </row>
    <row r="4155" spans="7:13" x14ac:dyDescent="0.35">
      <c r="G4155" s="88"/>
      <c r="H4155" s="89"/>
      <c r="L4155" s="88"/>
      <c r="M4155" s="89"/>
    </row>
    <row r="4156" spans="7:13" x14ac:dyDescent="0.35">
      <c r="G4156" s="88"/>
      <c r="H4156" s="89"/>
      <c r="L4156" s="88"/>
      <c r="M4156" s="89"/>
    </row>
    <row r="4157" spans="7:13" x14ac:dyDescent="0.35">
      <c r="G4157" s="88"/>
      <c r="H4157" s="89"/>
      <c r="L4157" s="88"/>
      <c r="M4157" s="89"/>
    </row>
    <row r="4158" spans="7:13" x14ac:dyDescent="0.35">
      <c r="G4158" s="88"/>
      <c r="H4158" s="89"/>
      <c r="L4158" s="88"/>
      <c r="M4158" s="89"/>
    </row>
    <row r="4159" spans="7:13" x14ac:dyDescent="0.35">
      <c r="G4159" s="88"/>
      <c r="H4159" s="89"/>
      <c r="L4159" s="88"/>
      <c r="M4159" s="89"/>
    </row>
    <row r="4160" spans="7:13" x14ac:dyDescent="0.35">
      <c r="G4160" s="88"/>
      <c r="H4160" s="89"/>
      <c r="L4160" s="88"/>
      <c r="M4160" s="89"/>
    </row>
    <row r="4161" spans="7:13" x14ac:dyDescent="0.35">
      <c r="G4161" s="88"/>
      <c r="H4161" s="89"/>
      <c r="L4161" s="88"/>
      <c r="M4161" s="89"/>
    </row>
    <row r="4162" spans="7:13" x14ac:dyDescent="0.35">
      <c r="G4162" s="88"/>
      <c r="H4162" s="89"/>
      <c r="L4162" s="88"/>
      <c r="M4162" s="89"/>
    </row>
    <row r="4163" spans="7:13" x14ac:dyDescent="0.35">
      <c r="G4163" s="88"/>
      <c r="H4163" s="89"/>
      <c r="L4163" s="88"/>
      <c r="M4163" s="89"/>
    </row>
    <row r="4164" spans="7:13" x14ac:dyDescent="0.35">
      <c r="G4164" s="88"/>
      <c r="H4164" s="89"/>
      <c r="L4164" s="88"/>
      <c r="M4164" s="89"/>
    </row>
    <row r="4165" spans="7:13" x14ac:dyDescent="0.35">
      <c r="G4165" s="88"/>
      <c r="H4165" s="89"/>
      <c r="L4165" s="88"/>
      <c r="M4165" s="89"/>
    </row>
    <row r="4166" spans="7:13" x14ac:dyDescent="0.35">
      <c r="G4166" s="88"/>
      <c r="H4166" s="89"/>
      <c r="L4166" s="88"/>
      <c r="M4166" s="89"/>
    </row>
    <row r="4167" spans="7:13" x14ac:dyDescent="0.35">
      <c r="G4167" s="88"/>
      <c r="H4167" s="89"/>
      <c r="L4167" s="88"/>
      <c r="M4167" s="89"/>
    </row>
    <row r="4168" spans="7:13" x14ac:dyDescent="0.35">
      <c r="G4168" s="88"/>
      <c r="H4168" s="89"/>
      <c r="L4168" s="88"/>
      <c r="M4168" s="89"/>
    </row>
    <row r="4169" spans="7:13" x14ac:dyDescent="0.35">
      <c r="G4169" s="88"/>
      <c r="H4169" s="89"/>
      <c r="L4169" s="88"/>
      <c r="M4169" s="89"/>
    </row>
    <row r="4170" spans="7:13" x14ac:dyDescent="0.35">
      <c r="G4170" s="88"/>
      <c r="H4170" s="89"/>
      <c r="L4170" s="88"/>
      <c r="M4170" s="89"/>
    </row>
    <row r="4171" spans="7:13" x14ac:dyDescent="0.35">
      <c r="G4171" s="88"/>
      <c r="H4171" s="89"/>
      <c r="L4171" s="88"/>
      <c r="M4171" s="89"/>
    </row>
    <row r="4172" spans="7:13" x14ac:dyDescent="0.35">
      <c r="G4172" s="88"/>
      <c r="H4172" s="89"/>
      <c r="L4172" s="88"/>
      <c r="M4172" s="89"/>
    </row>
    <row r="4173" spans="7:13" x14ac:dyDescent="0.35">
      <c r="G4173" s="88"/>
      <c r="H4173" s="89"/>
      <c r="L4173" s="88"/>
      <c r="M4173" s="89"/>
    </row>
    <row r="4174" spans="7:13" x14ac:dyDescent="0.35">
      <c r="G4174" s="88"/>
      <c r="H4174" s="89"/>
      <c r="L4174" s="88"/>
      <c r="M4174" s="89"/>
    </row>
    <row r="4175" spans="7:13" x14ac:dyDescent="0.35">
      <c r="G4175" s="88"/>
      <c r="H4175" s="89"/>
      <c r="L4175" s="88"/>
      <c r="M4175" s="89"/>
    </row>
    <row r="4176" spans="7:13" x14ac:dyDescent="0.35">
      <c r="G4176" s="88"/>
      <c r="H4176" s="89"/>
      <c r="L4176" s="88"/>
      <c r="M4176" s="89"/>
    </row>
    <row r="4177" spans="7:13" x14ac:dyDescent="0.35">
      <c r="G4177" s="88"/>
      <c r="H4177" s="89"/>
      <c r="L4177" s="88"/>
      <c r="M4177" s="89"/>
    </row>
    <row r="4178" spans="7:13" x14ac:dyDescent="0.35">
      <c r="G4178" s="88"/>
      <c r="H4178" s="89"/>
      <c r="L4178" s="88"/>
      <c r="M4178" s="89"/>
    </row>
    <row r="4179" spans="7:13" x14ac:dyDescent="0.35">
      <c r="G4179" s="88"/>
      <c r="H4179" s="89"/>
      <c r="L4179" s="88"/>
      <c r="M4179" s="89"/>
    </row>
    <row r="4180" spans="7:13" x14ac:dyDescent="0.35">
      <c r="G4180" s="88"/>
      <c r="H4180" s="89"/>
      <c r="L4180" s="88"/>
      <c r="M4180" s="89"/>
    </row>
    <row r="4181" spans="7:13" x14ac:dyDescent="0.35">
      <c r="G4181" s="88"/>
      <c r="H4181" s="89"/>
      <c r="L4181" s="88"/>
      <c r="M4181" s="89"/>
    </row>
    <row r="4182" spans="7:13" x14ac:dyDescent="0.35">
      <c r="G4182" s="88"/>
      <c r="H4182" s="89"/>
      <c r="L4182" s="88"/>
      <c r="M4182" s="89"/>
    </row>
    <row r="4183" spans="7:13" x14ac:dyDescent="0.35">
      <c r="G4183" s="88"/>
      <c r="H4183" s="89"/>
      <c r="L4183" s="88"/>
      <c r="M4183" s="89"/>
    </row>
    <row r="4184" spans="7:13" x14ac:dyDescent="0.35">
      <c r="G4184" s="88"/>
      <c r="H4184" s="89"/>
      <c r="L4184" s="88"/>
      <c r="M4184" s="89"/>
    </row>
    <row r="4185" spans="7:13" x14ac:dyDescent="0.35">
      <c r="G4185" s="88"/>
      <c r="H4185" s="89"/>
      <c r="L4185" s="88"/>
      <c r="M4185" s="89"/>
    </row>
    <row r="4186" spans="7:13" x14ac:dyDescent="0.35">
      <c r="G4186" s="88"/>
      <c r="H4186" s="89"/>
      <c r="L4186" s="88"/>
      <c r="M4186" s="89"/>
    </row>
    <row r="4187" spans="7:13" x14ac:dyDescent="0.35">
      <c r="G4187" s="88"/>
      <c r="H4187" s="89"/>
      <c r="L4187" s="88"/>
      <c r="M4187" s="89"/>
    </row>
    <row r="4188" spans="7:13" x14ac:dyDescent="0.35">
      <c r="G4188" s="88"/>
      <c r="H4188" s="89"/>
      <c r="L4188" s="88"/>
      <c r="M4188" s="89"/>
    </row>
    <row r="4189" spans="7:13" x14ac:dyDescent="0.35">
      <c r="G4189" s="88"/>
      <c r="H4189" s="89"/>
      <c r="L4189" s="88"/>
      <c r="M4189" s="89"/>
    </row>
    <row r="4190" spans="7:13" x14ac:dyDescent="0.35">
      <c r="G4190" s="88"/>
      <c r="H4190" s="89"/>
      <c r="L4190" s="88"/>
      <c r="M4190" s="89"/>
    </row>
    <row r="4191" spans="7:13" x14ac:dyDescent="0.35">
      <c r="G4191" s="88"/>
      <c r="H4191" s="89"/>
      <c r="L4191" s="88"/>
      <c r="M4191" s="89"/>
    </row>
    <row r="4192" spans="7:13" x14ac:dyDescent="0.35">
      <c r="G4192" s="88"/>
      <c r="H4192" s="89"/>
      <c r="L4192" s="88"/>
      <c r="M4192" s="89"/>
    </row>
    <row r="4193" spans="7:13" x14ac:dyDescent="0.35">
      <c r="G4193" s="88"/>
      <c r="H4193" s="89"/>
      <c r="L4193" s="88"/>
      <c r="M4193" s="89"/>
    </row>
    <row r="4194" spans="7:13" x14ac:dyDescent="0.35">
      <c r="G4194" s="88"/>
      <c r="H4194" s="89"/>
      <c r="L4194" s="88"/>
      <c r="M4194" s="89"/>
    </row>
    <row r="4195" spans="7:13" x14ac:dyDescent="0.35">
      <c r="G4195" s="88"/>
      <c r="H4195" s="89"/>
      <c r="L4195" s="88"/>
      <c r="M4195" s="89"/>
    </row>
    <row r="4196" spans="7:13" x14ac:dyDescent="0.35">
      <c r="G4196" s="88"/>
      <c r="H4196" s="89"/>
      <c r="L4196" s="88"/>
      <c r="M4196" s="89"/>
    </row>
    <row r="4197" spans="7:13" x14ac:dyDescent="0.35">
      <c r="G4197" s="88"/>
      <c r="H4197" s="89"/>
      <c r="L4197" s="88"/>
      <c r="M4197" s="89"/>
    </row>
    <row r="4198" spans="7:13" x14ac:dyDescent="0.35">
      <c r="G4198" s="88"/>
      <c r="H4198" s="89"/>
      <c r="L4198" s="88"/>
      <c r="M4198" s="89"/>
    </row>
    <row r="4199" spans="7:13" x14ac:dyDescent="0.35">
      <c r="G4199" s="88"/>
      <c r="H4199" s="89"/>
      <c r="L4199" s="88"/>
      <c r="M4199" s="89"/>
    </row>
    <row r="4200" spans="7:13" x14ac:dyDescent="0.35">
      <c r="G4200" s="88"/>
      <c r="H4200" s="89"/>
      <c r="L4200" s="88"/>
      <c r="M4200" s="89"/>
    </row>
    <row r="4201" spans="7:13" x14ac:dyDescent="0.35">
      <c r="G4201" s="88"/>
      <c r="H4201" s="89"/>
      <c r="L4201" s="88"/>
      <c r="M4201" s="89"/>
    </row>
    <row r="4202" spans="7:13" x14ac:dyDescent="0.35">
      <c r="G4202" s="88"/>
      <c r="H4202" s="89"/>
      <c r="L4202" s="88"/>
      <c r="M4202" s="89"/>
    </row>
    <row r="4203" spans="7:13" x14ac:dyDescent="0.35">
      <c r="G4203" s="88"/>
      <c r="H4203" s="89"/>
      <c r="L4203" s="88"/>
      <c r="M4203" s="89"/>
    </row>
    <row r="4204" spans="7:13" x14ac:dyDescent="0.35">
      <c r="G4204" s="88"/>
      <c r="H4204" s="89"/>
      <c r="L4204" s="88"/>
      <c r="M4204" s="89"/>
    </row>
    <row r="4205" spans="7:13" x14ac:dyDescent="0.35">
      <c r="G4205" s="88"/>
      <c r="H4205" s="89"/>
      <c r="L4205" s="88"/>
      <c r="M4205" s="89"/>
    </row>
    <row r="4206" spans="7:13" x14ac:dyDescent="0.35">
      <c r="G4206" s="88"/>
      <c r="H4206" s="89"/>
      <c r="L4206" s="88"/>
      <c r="M4206" s="89"/>
    </row>
    <row r="4207" spans="7:13" x14ac:dyDescent="0.35">
      <c r="G4207" s="88"/>
      <c r="H4207" s="89"/>
      <c r="L4207" s="88"/>
      <c r="M4207" s="89"/>
    </row>
    <row r="4208" spans="7:13" x14ac:dyDescent="0.35">
      <c r="G4208" s="88"/>
      <c r="H4208" s="89"/>
      <c r="L4208" s="88"/>
      <c r="M4208" s="89"/>
    </row>
    <row r="4209" spans="7:13" x14ac:dyDescent="0.35">
      <c r="G4209" s="88"/>
      <c r="H4209" s="89"/>
      <c r="L4209" s="88"/>
      <c r="M4209" s="89"/>
    </row>
    <row r="4210" spans="7:13" x14ac:dyDescent="0.35">
      <c r="G4210" s="88"/>
      <c r="H4210" s="89"/>
      <c r="L4210" s="88"/>
      <c r="M4210" s="89"/>
    </row>
    <row r="4211" spans="7:13" x14ac:dyDescent="0.35">
      <c r="G4211" s="88"/>
      <c r="H4211" s="89"/>
      <c r="L4211" s="88"/>
      <c r="M4211" s="89"/>
    </row>
    <row r="4212" spans="7:13" x14ac:dyDescent="0.35">
      <c r="G4212" s="88"/>
      <c r="H4212" s="89"/>
      <c r="L4212" s="88"/>
      <c r="M4212" s="89"/>
    </row>
    <row r="4213" spans="7:13" x14ac:dyDescent="0.35">
      <c r="G4213" s="88"/>
      <c r="H4213" s="89"/>
      <c r="L4213" s="88"/>
      <c r="M4213" s="89"/>
    </row>
    <row r="4214" spans="7:13" x14ac:dyDescent="0.35">
      <c r="G4214" s="88"/>
      <c r="H4214" s="89"/>
      <c r="L4214" s="88"/>
      <c r="M4214" s="89"/>
    </row>
    <row r="4215" spans="7:13" x14ac:dyDescent="0.35">
      <c r="G4215" s="88"/>
      <c r="H4215" s="89"/>
      <c r="L4215" s="88"/>
      <c r="M4215" s="89"/>
    </row>
    <row r="4216" spans="7:13" x14ac:dyDescent="0.35">
      <c r="G4216" s="88"/>
      <c r="H4216" s="89"/>
      <c r="L4216" s="88"/>
      <c r="M4216" s="89"/>
    </row>
    <row r="4217" spans="7:13" x14ac:dyDescent="0.35">
      <c r="G4217" s="88"/>
      <c r="H4217" s="89"/>
      <c r="L4217" s="88"/>
      <c r="M4217" s="89"/>
    </row>
    <row r="4218" spans="7:13" x14ac:dyDescent="0.35">
      <c r="G4218" s="88"/>
      <c r="H4218" s="89"/>
      <c r="L4218" s="88"/>
      <c r="M4218" s="89"/>
    </row>
    <row r="4219" spans="7:13" x14ac:dyDescent="0.35">
      <c r="G4219" s="88"/>
      <c r="H4219" s="89"/>
      <c r="L4219" s="88"/>
      <c r="M4219" s="89"/>
    </row>
    <row r="4220" spans="7:13" x14ac:dyDescent="0.35">
      <c r="G4220" s="88"/>
      <c r="H4220" s="89"/>
      <c r="L4220" s="88"/>
      <c r="M4220" s="89"/>
    </row>
    <row r="4221" spans="7:13" x14ac:dyDescent="0.35">
      <c r="G4221" s="88"/>
      <c r="H4221" s="89"/>
      <c r="L4221" s="88"/>
      <c r="M4221" s="89"/>
    </row>
    <row r="4222" spans="7:13" x14ac:dyDescent="0.35">
      <c r="G4222" s="88"/>
      <c r="H4222" s="89"/>
      <c r="L4222" s="88"/>
      <c r="M4222" s="89"/>
    </row>
    <row r="4223" spans="7:13" x14ac:dyDescent="0.35">
      <c r="G4223" s="88"/>
      <c r="H4223" s="89"/>
      <c r="L4223" s="88"/>
      <c r="M4223" s="89"/>
    </row>
    <row r="4224" spans="7:13" x14ac:dyDescent="0.35">
      <c r="G4224" s="88"/>
      <c r="H4224" s="89"/>
      <c r="L4224" s="88"/>
      <c r="M4224" s="89"/>
    </row>
    <row r="4225" spans="7:13" x14ac:dyDescent="0.35">
      <c r="G4225" s="88"/>
      <c r="H4225" s="89"/>
      <c r="L4225" s="88"/>
      <c r="M4225" s="89"/>
    </row>
    <row r="4226" spans="7:13" x14ac:dyDescent="0.35">
      <c r="G4226" s="88"/>
      <c r="H4226" s="89"/>
      <c r="L4226" s="88"/>
      <c r="M4226" s="89"/>
    </row>
    <row r="4227" spans="7:13" x14ac:dyDescent="0.35">
      <c r="G4227" s="88"/>
      <c r="H4227" s="89"/>
      <c r="L4227" s="88"/>
      <c r="M4227" s="89"/>
    </row>
    <row r="4228" spans="7:13" x14ac:dyDescent="0.35">
      <c r="G4228" s="88"/>
      <c r="H4228" s="89"/>
      <c r="L4228" s="88"/>
      <c r="M4228" s="89"/>
    </row>
    <row r="4229" spans="7:13" x14ac:dyDescent="0.35">
      <c r="G4229" s="88"/>
      <c r="H4229" s="89"/>
      <c r="L4229" s="88"/>
      <c r="M4229" s="89"/>
    </row>
    <row r="4230" spans="7:13" x14ac:dyDescent="0.35">
      <c r="G4230" s="88"/>
      <c r="H4230" s="89"/>
      <c r="L4230" s="88"/>
      <c r="M4230" s="89"/>
    </row>
    <row r="4231" spans="7:13" x14ac:dyDescent="0.35">
      <c r="G4231" s="88"/>
      <c r="H4231" s="89"/>
      <c r="L4231" s="88"/>
      <c r="M4231" s="89"/>
    </row>
    <row r="4232" spans="7:13" x14ac:dyDescent="0.35">
      <c r="G4232" s="88"/>
      <c r="H4232" s="89"/>
      <c r="L4232" s="88"/>
      <c r="M4232" s="89"/>
    </row>
    <row r="4233" spans="7:13" x14ac:dyDescent="0.35">
      <c r="G4233" s="88"/>
      <c r="H4233" s="89"/>
      <c r="L4233" s="88"/>
      <c r="M4233" s="89"/>
    </row>
    <row r="4234" spans="7:13" x14ac:dyDescent="0.35">
      <c r="G4234" s="88"/>
      <c r="H4234" s="89"/>
      <c r="L4234" s="88"/>
      <c r="M4234" s="89"/>
    </row>
    <row r="4235" spans="7:13" x14ac:dyDescent="0.35">
      <c r="G4235" s="88"/>
      <c r="H4235" s="89"/>
      <c r="L4235" s="88"/>
      <c r="M4235" s="89"/>
    </row>
    <row r="4236" spans="7:13" x14ac:dyDescent="0.35">
      <c r="G4236" s="88"/>
      <c r="H4236" s="89"/>
      <c r="L4236" s="88"/>
      <c r="M4236" s="89"/>
    </row>
    <row r="4237" spans="7:13" x14ac:dyDescent="0.35">
      <c r="G4237" s="88"/>
      <c r="H4237" s="89"/>
      <c r="L4237" s="88"/>
      <c r="M4237" s="89"/>
    </row>
    <row r="4238" spans="7:13" x14ac:dyDescent="0.35">
      <c r="G4238" s="88"/>
      <c r="H4238" s="89"/>
      <c r="L4238" s="88"/>
      <c r="M4238" s="89"/>
    </row>
    <row r="4239" spans="7:13" x14ac:dyDescent="0.35">
      <c r="G4239" s="88"/>
      <c r="H4239" s="89"/>
      <c r="L4239" s="88"/>
      <c r="M4239" s="89"/>
    </row>
    <row r="4240" spans="7:13" x14ac:dyDescent="0.35">
      <c r="G4240" s="88"/>
      <c r="H4240" s="89"/>
      <c r="L4240" s="88"/>
      <c r="M4240" s="89"/>
    </row>
    <row r="4241" spans="7:13" x14ac:dyDescent="0.35">
      <c r="G4241" s="88"/>
      <c r="H4241" s="89"/>
      <c r="L4241" s="88"/>
      <c r="M4241" s="89"/>
    </row>
    <row r="4242" spans="7:13" x14ac:dyDescent="0.35">
      <c r="G4242" s="88"/>
      <c r="H4242" s="89"/>
      <c r="L4242" s="88"/>
      <c r="M4242" s="89"/>
    </row>
    <row r="4243" spans="7:13" x14ac:dyDescent="0.35">
      <c r="G4243" s="88"/>
      <c r="H4243" s="89"/>
      <c r="L4243" s="88"/>
      <c r="M4243" s="89"/>
    </row>
    <row r="4244" spans="7:13" x14ac:dyDescent="0.35">
      <c r="G4244" s="88"/>
      <c r="H4244" s="89"/>
      <c r="L4244" s="88"/>
      <c r="M4244" s="89"/>
    </row>
    <row r="4245" spans="7:13" x14ac:dyDescent="0.35">
      <c r="G4245" s="88"/>
      <c r="H4245" s="89"/>
      <c r="L4245" s="88"/>
      <c r="M4245" s="89"/>
    </row>
    <row r="4246" spans="7:13" x14ac:dyDescent="0.35">
      <c r="G4246" s="88"/>
      <c r="H4246" s="89"/>
      <c r="L4246" s="88"/>
      <c r="M4246" s="89"/>
    </row>
    <row r="4247" spans="7:13" x14ac:dyDescent="0.35">
      <c r="G4247" s="88"/>
      <c r="H4247" s="89"/>
      <c r="L4247" s="88"/>
      <c r="M4247" s="89"/>
    </row>
    <row r="4248" spans="7:13" x14ac:dyDescent="0.35">
      <c r="G4248" s="88"/>
      <c r="H4248" s="89"/>
      <c r="L4248" s="88"/>
      <c r="M4248" s="89"/>
    </row>
    <row r="4249" spans="7:13" x14ac:dyDescent="0.35">
      <c r="G4249" s="88"/>
      <c r="H4249" s="89"/>
      <c r="L4249" s="88"/>
      <c r="M4249" s="89"/>
    </row>
    <row r="4250" spans="7:13" x14ac:dyDescent="0.35">
      <c r="G4250" s="88"/>
      <c r="H4250" s="89"/>
      <c r="L4250" s="88"/>
      <c r="M4250" s="89"/>
    </row>
    <row r="4251" spans="7:13" x14ac:dyDescent="0.35">
      <c r="G4251" s="88"/>
      <c r="H4251" s="89"/>
      <c r="L4251" s="88"/>
      <c r="M4251" s="89"/>
    </row>
    <row r="4252" spans="7:13" x14ac:dyDescent="0.35">
      <c r="G4252" s="88"/>
      <c r="H4252" s="89"/>
      <c r="L4252" s="88"/>
      <c r="M4252" s="89"/>
    </row>
    <row r="4253" spans="7:13" x14ac:dyDescent="0.35">
      <c r="G4253" s="88"/>
      <c r="H4253" s="89"/>
      <c r="L4253" s="88"/>
      <c r="M4253" s="89"/>
    </row>
    <row r="4254" spans="7:13" x14ac:dyDescent="0.35">
      <c r="G4254" s="88"/>
      <c r="H4254" s="89"/>
      <c r="L4254" s="88"/>
      <c r="M4254" s="89"/>
    </row>
    <row r="4255" spans="7:13" x14ac:dyDescent="0.35">
      <c r="G4255" s="88"/>
      <c r="H4255" s="89"/>
      <c r="L4255" s="88"/>
      <c r="M4255" s="89"/>
    </row>
    <row r="4256" spans="7:13" x14ac:dyDescent="0.35">
      <c r="G4256" s="88"/>
      <c r="H4256" s="89"/>
      <c r="L4256" s="88"/>
      <c r="M4256" s="89"/>
    </row>
    <row r="4257" spans="7:13" x14ac:dyDescent="0.35">
      <c r="G4257" s="88"/>
      <c r="H4257" s="89"/>
      <c r="L4257" s="88"/>
      <c r="M4257" s="89"/>
    </row>
    <row r="4258" spans="7:13" x14ac:dyDescent="0.35">
      <c r="G4258" s="88"/>
      <c r="H4258" s="89"/>
      <c r="L4258" s="88"/>
      <c r="M4258" s="89"/>
    </row>
    <row r="4259" spans="7:13" x14ac:dyDescent="0.35">
      <c r="G4259" s="88"/>
      <c r="H4259" s="89"/>
      <c r="L4259" s="88"/>
      <c r="M4259" s="89"/>
    </row>
    <row r="4260" spans="7:13" x14ac:dyDescent="0.35">
      <c r="G4260" s="88"/>
      <c r="H4260" s="89"/>
      <c r="L4260" s="88"/>
      <c r="M4260" s="89"/>
    </row>
    <row r="4261" spans="7:13" x14ac:dyDescent="0.35">
      <c r="G4261" s="88"/>
      <c r="H4261" s="89"/>
      <c r="L4261" s="88"/>
      <c r="M4261" s="89"/>
    </row>
    <row r="4262" spans="7:13" x14ac:dyDescent="0.35">
      <c r="G4262" s="88"/>
      <c r="H4262" s="89"/>
      <c r="L4262" s="88"/>
      <c r="M4262" s="89"/>
    </row>
    <row r="4263" spans="7:13" x14ac:dyDescent="0.35">
      <c r="G4263" s="88"/>
      <c r="H4263" s="89"/>
      <c r="L4263" s="88"/>
      <c r="M4263" s="89"/>
    </row>
    <row r="4264" spans="7:13" x14ac:dyDescent="0.35">
      <c r="G4264" s="88"/>
      <c r="H4264" s="89"/>
      <c r="L4264" s="88"/>
      <c r="M4264" s="89"/>
    </row>
    <row r="4265" spans="7:13" x14ac:dyDescent="0.35">
      <c r="G4265" s="88"/>
      <c r="H4265" s="89"/>
      <c r="L4265" s="88"/>
      <c r="M4265" s="89"/>
    </row>
    <row r="4266" spans="7:13" x14ac:dyDescent="0.35">
      <c r="G4266" s="88"/>
      <c r="H4266" s="89"/>
      <c r="L4266" s="88"/>
      <c r="M4266" s="89"/>
    </row>
    <row r="4267" spans="7:13" x14ac:dyDescent="0.35">
      <c r="G4267" s="88"/>
      <c r="H4267" s="89"/>
      <c r="L4267" s="88"/>
      <c r="M4267" s="89"/>
    </row>
    <row r="4268" spans="7:13" x14ac:dyDescent="0.35">
      <c r="G4268" s="88"/>
      <c r="H4268" s="89"/>
      <c r="L4268" s="88"/>
      <c r="M4268" s="89"/>
    </row>
    <row r="4269" spans="7:13" x14ac:dyDescent="0.35">
      <c r="G4269" s="88"/>
      <c r="H4269" s="89"/>
      <c r="L4269" s="88"/>
      <c r="M4269" s="89"/>
    </row>
    <row r="4270" spans="7:13" x14ac:dyDescent="0.35">
      <c r="G4270" s="88"/>
      <c r="H4270" s="89"/>
      <c r="L4270" s="88"/>
      <c r="M4270" s="89"/>
    </row>
    <row r="4271" spans="7:13" x14ac:dyDescent="0.35">
      <c r="G4271" s="88"/>
      <c r="H4271" s="89"/>
      <c r="L4271" s="88"/>
      <c r="M4271" s="89"/>
    </row>
    <row r="4272" spans="7:13" x14ac:dyDescent="0.35">
      <c r="G4272" s="88"/>
      <c r="H4272" s="89"/>
      <c r="L4272" s="88"/>
      <c r="M4272" s="89"/>
    </row>
    <row r="4273" spans="7:13" x14ac:dyDescent="0.35">
      <c r="G4273" s="88"/>
      <c r="H4273" s="89"/>
      <c r="L4273" s="88"/>
      <c r="M4273" s="89"/>
    </row>
    <row r="4274" spans="7:13" x14ac:dyDescent="0.35">
      <c r="G4274" s="88"/>
      <c r="H4274" s="89"/>
      <c r="L4274" s="88"/>
      <c r="M4274" s="89"/>
    </row>
    <row r="4275" spans="7:13" x14ac:dyDescent="0.35">
      <c r="G4275" s="88"/>
      <c r="H4275" s="89"/>
      <c r="L4275" s="88"/>
      <c r="M4275" s="89"/>
    </row>
    <row r="4276" spans="7:13" x14ac:dyDescent="0.35">
      <c r="G4276" s="88"/>
      <c r="H4276" s="89"/>
      <c r="L4276" s="88"/>
      <c r="M4276" s="89"/>
    </row>
    <row r="4277" spans="7:13" x14ac:dyDescent="0.35">
      <c r="G4277" s="88"/>
      <c r="H4277" s="89"/>
      <c r="L4277" s="88"/>
      <c r="M4277" s="89"/>
    </row>
    <row r="4278" spans="7:13" x14ac:dyDescent="0.35">
      <c r="G4278" s="88"/>
      <c r="H4278" s="89"/>
      <c r="L4278" s="88"/>
      <c r="M4278" s="89"/>
    </row>
    <row r="4279" spans="7:13" x14ac:dyDescent="0.35">
      <c r="G4279" s="88"/>
      <c r="H4279" s="89"/>
      <c r="L4279" s="88"/>
      <c r="M4279" s="89"/>
    </row>
    <row r="4280" spans="7:13" x14ac:dyDescent="0.35">
      <c r="G4280" s="88"/>
      <c r="H4280" s="89"/>
      <c r="L4280" s="88"/>
      <c r="M4280" s="89"/>
    </row>
    <row r="4281" spans="7:13" x14ac:dyDescent="0.35">
      <c r="G4281" s="88"/>
      <c r="H4281" s="89"/>
      <c r="L4281" s="88"/>
      <c r="M4281" s="89"/>
    </row>
    <row r="4282" spans="7:13" x14ac:dyDescent="0.35">
      <c r="G4282" s="88"/>
      <c r="H4282" s="89"/>
      <c r="L4282" s="88"/>
      <c r="M4282" s="89"/>
    </row>
    <row r="4283" spans="7:13" x14ac:dyDescent="0.35">
      <c r="G4283" s="88"/>
      <c r="H4283" s="89"/>
      <c r="L4283" s="88"/>
      <c r="M4283" s="89"/>
    </row>
    <row r="4284" spans="7:13" x14ac:dyDescent="0.35">
      <c r="G4284" s="88"/>
      <c r="H4284" s="89"/>
      <c r="L4284" s="88"/>
      <c r="M4284" s="89"/>
    </row>
    <row r="4285" spans="7:13" x14ac:dyDescent="0.35">
      <c r="G4285" s="88"/>
      <c r="H4285" s="89"/>
      <c r="L4285" s="88"/>
      <c r="M4285" s="89"/>
    </row>
    <row r="4286" spans="7:13" x14ac:dyDescent="0.35">
      <c r="G4286" s="88"/>
      <c r="H4286" s="89"/>
      <c r="L4286" s="88"/>
      <c r="M4286" s="89"/>
    </row>
    <row r="4287" spans="7:13" x14ac:dyDescent="0.35">
      <c r="G4287" s="88"/>
      <c r="H4287" s="89"/>
      <c r="L4287" s="88"/>
      <c r="M4287" s="89"/>
    </row>
    <row r="4288" spans="7:13" x14ac:dyDescent="0.35">
      <c r="G4288" s="88"/>
      <c r="H4288" s="89"/>
      <c r="L4288" s="88"/>
      <c r="M4288" s="89"/>
    </row>
    <row r="4289" spans="7:13" x14ac:dyDescent="0.35">
      <c r="G4289" s="88"/>
      <c r="H4289" s="89"/>
      <c r="L4289" s="88"/>
      <c r="M4289" s="89"/>
    </row>
    <row r="4290" spans="7:13" x14ac:dyDescent="0.35">
      <c r="G4290" s="88"/>
      <c r="H4290" s="89"/>
      <c r="L4290" s="88"/>
      <c r="M4290" s="89"/>
    </row>
    <row r="4291" spans="7:13" x14ac:dyDescent="0.35">
      <c r="G4291" s="88"/>
      <c r="H4291" s="89"/>
      <c r="L4291" s="88"/>
      <c r="M4291" s="89"/>
    </row>
    <row r="4292" spans="7:13" x14ac:dyDescent="0.35">
      <c r="G4292" s="88"/>
      <c r="H4292" s="89"/>
      <c r="L4292" s="88"/>
      <c r="M4292" s="89"/>
    </row>
    <row r="4293" spans="7:13" x14ac:dyDescent="0.35">
      <c r="G4293" s="88"/>
      <c r="H4293" s="89"/>
      <c r="L4293" s="88"/>
      <c r="M4293" s="89"/>
    </row>
    <row r="4294" spans="7:13" x14ac:dyDescent="0.35">
      <c r="G4294" s="88"/>
      <c r="H4294" s="89"/>
      <c r="L4294" s="88"/>
      <c r="M4294" s="89"/>
    </row>
    <row r="4295" spans="7:13" x14ac:dyDescent="0.35">
      <c r="G4295" s="88"/>
      <c r="H4295" s="89"/>
      <c r="L4295" s="88"/>
      <c r="M4295" s="89"/>
    </row>
    <row r="4296" spans="7:13" x14ac:dyDescent="0.35">
      <c r="G4296" s="88"/>
      <c r="H4296" s="89"/>
      <c r="L4296" s="88"/>
      <c r="M4296" s="89"/>
    </row>
    <row r="4297" spans="7:13" x14ac:dyDescent="0.35">
      <c r="G4297" s="88"/>
      <c r="H4297" s="89"/>
      <c r="L4297" s="88"/>
      <c r="M4297" s="89"/>
    </row>
    <row r="4298" spans="7:13" x14ac:dyDescent="0.35">
      <c r="G4298" s="88"/>
      <c r="H4298" s="89"/>
      <c r="L4298" s="88"/>
      <c r="M4298" s="89"/>
    </row>
    <row r="4299" spans="7:13" x14ac:dyDescent="0.35">
      <c r="G4299" s="88"/>
      <c r="H4299" s="89"/>
      <c r="L4299" s="88"/>
      <c r="M4299" s="89"/>
    </row>
    <row r="4300" spans="7:13" x14ac:dyDescent="0.35">
      <c r="G4300" s="88"/>
      <c r="H4300" s="89"/>
      <c r="L4300" s="88"/>
      <c r="M4300" s="89"/>
    </row>
    <row r="4301" spans="7:13" x14ac:dyDescent="0.35">
      <c r="G4301" s="88"/>
      <c r="H4301" s="89"/>
      <c r="L4301" s="88"/>
      <c r="M4301" s="89"/>
    </row>
    <row r="4302" spans="7:13" x14ac:dyDescent="0.35">
      <c r="G4302" s="88"/>
      <c r="H4302" s="89"/>
      <c r="L4302" s="88"/>
      <c r="M4302" s="89"/>
    </row>
    <row r="4303" spans="7:13" x14ac:dyDescent="0.35">
      <c r="G4303" s="88"/>
      <c r="H4303" s="89"/>
      <c r="L4303" s="88"/>
      <c r="M4303" s="89"/>
    </row>
    <row r="4304" spans="7:13" x14ac:dyDescent="0.35">
      <c r="G4304" s="88"/>
      <c r="H4304" s="89"/>
      <c r="L4304" s="88"/>
      <c r="M4304" s="89"/>
    </row>
    <row r="4305" spans="7:13" x14ac:dyDescent="0.35">
      <c r="G4305" s="88"/>
      <c r="H4305" s="89"/>
      <c r="L4305" s="88"/>
      <c r="M4305" s="89"/>
    </row>
    <row r="4306" spans="7:13" x14ac:dyDescent="0.35">
      <c r="G4306" s="88"/>
      <c r="H4306" s="89"/>
      <c r="L4306" s="88"/>
      <c r="M4306" s="89"/>
    </row>
    <row r="4307" spans="7:13" x14ac:dyDescent="0.35">
      <c r="G4307" s="88"/>
      <c r="H4307" s="89"/>
      <c r="L4307" s="88"/>
      <c r="M4307" s="89"/>
    </row>
    <row r="4308" spans="7:13" x14ac:dyDescent="0.35">
      <c r="G4308" s="88"/>
      <c r="H4308" s="89"/>
      <c r="L4308" s="88"/>
      <c r="M4308" s="89"/>
    </row>
    <row r="4309" spans="7:13" x14ac:dyDescent="0.35">
      <c r="G4309" s="88"/>
      <c r="H4309" s="89"/>
      <c r="L4309" s="88"/>
      <c r="M4309" s="89"/>
    </row>
    <row r="4310" spans="7:13" x14ac:dyDescent="0.35">
      <c r="G4310" s="88"/>
      <c r="H4310" s="89"/>
      <c r="L4310" s="88"/>
      <c r="M4310" s="89"/>
    </row>
    <row r="4311" spans="7:13" x14ac:dyDescent="0.35">
      <c r="G4311" s="88"/>
      <c r="H4311" s="89"/>
      <c r="L4311" s="88"/>
      <c r="M4311" s="89"/>
    </row>
    <row r="4312" spans="7:13" x14ac:dyDescent="0.35">
      <c r="G4312" s="88"/>
      <c r="H4312" s="89"/>
      <c r="L4312" s="88"/>
      <c r="M4312" s="89"/>
    </row>
    <row r="4313" spans="7:13" x14ac:dyDescent="0.35">
      <c r="G4313" s="88"/>
      <c r="H4313" s="89"/>
      <c r="L4313" s="88"/>
      <c r="M4313" s="89"/>
    </row>
    <row r="4314" spans="7:13" x14ac:dyDescent="0.35">
      <c r="G4314" s="88"/>
      <c r="H4314" s="89"/>
      <c r="L4314" s="88"/>
      <c r="M4314" s="89"/>
    </row>
    <row r="4315" spans="7:13" x14ac:dyDescent="0.35">
      <c r="G4315" s="88"/>
      <c r="H4315" s="89"/>
      <c r="L4315" s="88"/>
      <c r="M4315" s="89"/>
    </row>
    <row r="4316" spans="7:13" x14ac:dyDescent="0.35">
      <c r="G4316" s="88"/>
      <c r="H4316" s="89"/>
      <c r="L4316" s="88"/>
      <c r="M4316" s="89"/>
    </row>
    <row r="4317" spans="7:13" x14ac:dyDescent="0.35">
      <c r="G4317" s="88"/>
      <c r="H4317" s="89"/>
      <c r="L4317" s="88"/>
      <c r="M4317" s="89"/>
    </row>
    <row r="4318" spans="7:13" x14ac:dyDescent="0.35">
      <c r="G4318" s="88"/>
      <c r="H4318" s="89"/>
      <c r="L4318" s="88"/>
      <c r="M4318" s="89"/>
    </row>
    <row r="4319" spans="7:13" x14ac:dyDescent="0.35">
      <c r="G4319" s="88"/>
      <c r="H4319" s="89"/>
      <c r="L4319" s="88"/>
      <c r="M4319" s="89"/>
    </row>
    <row r="4320" spans="7:13" x14ac:dyDescent="0.35">
      <c r="G4320" s="88"/>
      <c r="H4320" s="89"/>
      <c r="L4320" s="88"/>
      <c r="M4320" s="89"/>
    </row>
    <row r="4321" spans="7:13" x14ac:dyDescent="0.35">
      <c r="G4321" s="88"/>
      <c r="H4321" s="89"/>
      <c r="L4321" s="88"/>
      <c r="M4321" s="89"/>
    </row>
    <row r="4322" spans="7:13" x14ac:dyDescent="0.35">
      <c r="G4322" s="88"/>
      <c r="H4322" s="89"/>
      <c r="L4322" s="88"/>
      <c r="M4322" s="89"/>
    </row>
    <row r="4323" spans="7:13" x14ac:dyDescent="0.35">
      <c r="G4323" s="88"/>
      <c r="H4323" s="89"/>
      <c r="L4323" s="88"/>
      <c r="M4323" s="89"/>
    </row>
    <row r="4324" spans="7:13" x14ac:dyDescent="0.35">
      <c r="G4324" s="88"/>
      <c r="H4324" s="89"/>
      <c r="L4324" s="88"/>
      <c r="M4324" s="89"/>
    </row>
    <row r="4325" spans="7:13" x14ac:dyDescent="0.35">
      <c r="G4325" s="88"/>
      <c r="H4325" s="89"/>
      <c r="L4325" s="88"/>
      <c r="M4325" s="89"/>
    </row>
    <row r="4326" spans="7:13" x14ac:dyDescent="0.35">
      <c r="G4326" s="88"/>
      <c r="H4326" s="89"/>
      <c r="L4326" s="88"/>
      <c r="M4326" s="89"/>
    </row>
    <row r="4327" spans="7:13" x14ac:dyDescent="0.35">
      <c r="G4327" s="88"/>
      <c r="H4327" s="89"/>
      <c r="L4327" s="88"/>
      <c r="M4327" s="89"/>
    </row>
    <row r="4328" spans="7:13" x14ac:dyDescent="0.35">
      <c r="G4328" s="88"/>
      <c r="H4328" s="89"/>
      <c r="L4328" s="88"/>
      <c r="M4328" s="89"/>
    </row>
    <row r="4329" spans="7:13" x14ac:dyDescent="0.35">
      <c r="G4329" s="88"/>
      <c r="H4329" s="89"/>
      <c r="L4329" s="88"/>
      <c r="M4329" s="89"/>
    </row>
    <row r="4330" spans="7:13" x14ac:dyDescent="0.35">
      <c r="G4330" s="88"/>
      <c r="H4330" s="89"/>
      <c r="L4330" s="88"/>
      <c r="M4330" s="89"/>
    </row>
    <row r="4331" spans="7:13" x14ac:dyDescent="0.35">
      <c r="G4331" s="88"/>
      <c r="H4331" s="89"/>
      <c r="L4331" s="88"/>
      <c r="M4331" s="89"/>
    </row>
    <row r="4332" spans="7:13" x14ac:dyDescent="0.35">
      <c r="G4332" s="88"/>
      <c r="H4332" s="89"/>
      <c r="L4332" s="88"/>
      <c r="M4332" s="89"/>
    </row>
    <row r="4333" spans="7:13" x14ac:dyDescent="0.35">
      <c r="G4333" s="88"/>
      <c r="H4333" s="89"/>
      <c r="L4333" s="88"/>
      <c r="M4333" s="89"/>
    </row>
    <row r="4334" spans="7:13" x14ac:dyDescent="0.35">
      <c r="G4334" s="88"/>
      <c r="H4334" s="89"/>
      <c r="L4334" s="88"/>
      <c r="M4334" s="89"/>
    </row>
    <row r="4335" spans="7:13" x14ac:dyDescent="0.35">
      <c r="G4335" s="88"/>
      <c r="H4335" s="89"/>
      <c r="L4335" s="88"/>
      <c r="M4335" s="89"/>
    </row>
    <row r="4336" spans="7:13" x14ac:dyDescent="0.35">
      <c r="G4336" s="88"/>
      <c r="H4336" s="89"/>
      <c r="L4336" s="88"/>
      <c r="M4336" s="89"/>
    </row>
    <row r="4337" spans="7:13" x14ac:dyDescent="0.35">
      <c r="G4337" s="88"/>
      <c r="H4337" s="89"/>
      <c r="L4337" s="88"/>
      <c r="M4337" s="89"/>
    </row>
    <row r="4338" spans="7:13" x14ac:dyDescent="0.35">
      <c r="G4338" s="88"/>
      <c r="H4338" s="89"/>
      <c r="L4338" s="88"/>
      <c r="M4338" s="89"/>
    </row>
    <row r="4339" spans="7:13" x14ac:dyDescent="0.35">
      <c r="G4339" s="88"/>
      <c r="H4339" s="89"/>
      <c r="L4339" s="88"/>
      <c r="M4339" s="89"/>
    </row>
    <row r="4340" spans="7:13" x14ac:dyDescent="0.35">
      <c r="G4340" s="88"/>
      <c r="H4340" s="89"/>
      <c r="L4340" s="88"/>
      <c r="M4340" s="89"/>
    </row>
    <row r="4341" spans="7:13" x14ac:dyDescent="0.35">
      <c r="G4341" s="88"/>
      <c r="H4341" s="89"/>
      <c r="L4341" s="88"/>
      <c r="M4341" s="89"/>
    </row>
    <row r="4342" spans="7:13" x14ac:dyDescent="0.35">
      <c r="G4342" s="88"/>
      <c r="H4342" s="89"/>
      <c r="L4342" s="88"/>
      <c r="M4342" s="89"/>
    </row>
    <row r="4343" spans="7:13" x14ac:dyDescent="0.35">
      <c r="G4343" s="88"/>
      <c r="H4343" s="89"/>
      <c r="L4343" s="88"/>
      <c r="M4343" s="89"/>
    </row>
    <row r="4344" spans="7:13" x14ac:dyDescent="0.35">
      <c r="G4344" s="88"/>
      <c r="H4344" s="89"/>
      <c r="L4344" s="88"/>
      <c r="M4344" s="89"/>
    </row>
    <row r="4345" spans="7:13" x14ac:dyDescent="0.35">
      <c r="G4345" s="88"/>
      <c r="H4345" s="89"/>
      <c r="L4345" s="88"/>
      <c r="M4345" s="89"/>
    </row>
    <row r="4346" spans="7:13" x14ac:dyDescent="0.35">
      <c r="G4346" s="88"/>
      <c r="H4346" s="89"/>
      <c r="L4346" s="88"/>
      <c r="M4346" s="89"/>
    </row>
    <row r="4347" spans="7:13" x14ac:dyDescent="0.35">
      <c r="G4347" s="88"/>
      <c r="H4347" s="89"/>
      <c r="L4347" s="88"/>
      <c r="M4347" s="89"/>
    </row>
    <row r="4348" spans="7:13" x14ac:dyDescent="0.35">
      <c r="G4348" s="88"/>
      <c r="H4348" s="89"/>
      <c r="L4348" s="88"/>
      <c r="M4348" s="89"/>
    </row>
    <row r="4349" spans="7:13" x14ac:dyDescent="0.35">
      <c r="G4349" s="88"/>
      <c r="H4349" s="89"/>
      <c r="L4349" s="88"/>
      <c r="M4349" s="89"/>
    </row>
    <row r="4350" spans="7:13" x14ac:dyDescent="0.35">
      <c r="G4350" s="88"/>
      <c r="H4350" s="89"/>
      <c r="L4350" s="88"/>
      <c r="M4350" s="89"/>
    </row>
    <row r="4351" spans="7:13" x14ac:dyDescent="0.35">
      <c r="G4351" s="88"/>
      <c r="H4351" s="89"/>
      <c r="L4351" s="88"/>
      <c r="M4351" s="89"/>
    </row>
    <row r="4352" spans="7:13" x14ac:dyDescent="0.35">
      <c r="G4352" s="88"/>
      <c r="H4352" s="89"/>
      <c r="L4352" s="88"/>
      <c r="M4352" s="89"/>
    </row>
    <row r="4353" spans="7:13" x14ac:dyDescent="0.35">
      <c r="G4353" s="88"/>
      <c r="H4353" s="89"/>
      <c r="L4353" s="88"/>
      <c r="M4353" s="89"/>
    </row>
    <row r="4354" spans="7:13" x14ac:dyDescent="0.35">
      <c r="G4354" s="88"/>
      <c r="H4354" s="89"/>
      <c r="L4354" s="88"/>
      <c r="M4354" s="89"/>
    </row>
    <row r="4355" spans="7:13" x14ac:dyDescent="0.35">
      <c r="G4355" s="88"/>
      <c r="H4355" s="89"/>
      <c r="L4355" s="88"/>
      <c r="M4355" s="89"/>
    </row>
    <row r="4356" spans="7:13" x14ac:dyDescent="0.35">
      <c r="G4356" s="88"/>
      <c r="H4356" s="89"/>
      <c r="L4356" s="88"/>
      <c r="M4356" s="89"/>
    </row>
    <row r="4357" spans="7:13" x14ac:dyDescent="0.35">
      <c r="G4357" s="88"/>
      <c r="H4357" s="89"/>
      <c r="L4357" s="88"/>
      <c r="M4357" s="89"/>
    </row>
    <row r="4358" spans="7:13" x14ac:dyDescent="0.35">
      <c r="G4358" s="88"/>
      <c r="H4358" s="89"/>
      <c r="L4358" s="88"/>
      <c r="M4358" s="89"/>
    </row>
    <row r="4359" spans="7:13" x14ac:dyDescent="0.35">
      <c r="G4359" s="88"/>
      <c r="H4359" s="89"/>
      <c r="L4359" s="88"/>
      <c r="M4359" s="89"/>
    </row>
    <row r="4360" spans="7:13" x14ac:dyDescent="0.35">
      <c r="G4360" s="88"/>
      <c r="H4360" s="89"/>
      <c r="L4360" s="88"/>
      <c r="M4360" s="89"/>
    </row>
    <row r="4361" spans="7:13" x14ac:dyDescent="0.35">
      <c r="G4361" s="88"/>
      <c r="H4361" s="89"/>
      <c r="L4361" s="88"/>
      <c r="M4361" s="89"/>
    </row>
    <row r="4362" spans="7:13" x14ac:dyDescent="0.35">
      <c r="G4362" s="88"/>
      <c r="H4362" s="89"/>
      <c r="L4362" s="88"/>
      <c r="M4362" s="89"/>
    </row>
    <row r="4363" spans="7:13" x14ac:dyDescent="0.35">
      <c r="G4363" s="88"/>
      <c r="H4363" s="89"/>
      <c r="L4363" s="88"/>
      <c r="M4363" s="89"/>
    </row>
    <row r="4364" spans="7:13" x14ac:dyDescent="0.35">
      <c r="G4364" s="88"/>
      <c r="H4364" s="89"/>
      <c r="L4364" s="88"/>
      <c r="M4364" s="89"/>
    </row>
    <row r="4365" spans="7:13" x14ac:dyDescent="0.35">
      <c r="G4365" s="88"/>
      <c r="H4365" s="89"/>
      <c r="L4365" s="88"/>
      <c r="M4365" s="89"/>
    </row>
    <row r="4366" spans="7:13" x14ac:dyDescent="0.35">
      <c r="G4366" s="88"/>
      <c r="H4366" s="89"/>
      <c r="L4366" s="88"/>
      <c r="M4366" s="89"/>
    </row>
    <row r="4367" spans="7:13" x14ac:dyDescent="0.35">
      <c r="G4367" s="88"/>
      <c r="H4367" s="89"/>
      <c r="L4367" s="88"/>
      <c r="M4367" s="89"/>
    </row>
    <row r="4368" spans="7:13" x14ac:dyDescent="0.35">
      <c r="G4368" s="88"/>
      <c r="H4368" s="89"/>
      <c r="L4368" s="88"/>
      <c r="M4368" s="89"/>
    </row>
    <row r="4369" spans="7:13" x14ac:dyDescent="0.35">
      <c r="G4369" s="88"/>
      <c r="H4369" s="89"/>
      <c r="L4369" s="88"/>
      <c r="M4369" s="89"/>
    </row>
    <row r="4370" spans="7:13" x14ac:dyDescent="0.35">
      <c r="G4370" s="88"/>
      <c r="H4370" s="89"/>
      <c r="L4370" s="88"/>
      <c r="M4370" s="89"/>
    </row>
    <row r="4371" spans="7:13" x14ac:dyDescent="0.35">
      <c r="G4371" s="88"/>
      <c r="H4371" s="89"/>
      <c r="L4371" s="88"/>
      <c r="M4371" s="89"/>
    </row>
    <row r="4372" spans="7:13" x14ac:dyDescent="0.35">
      <c r="G4372" s="88"/>
      <c r="H4372" s="89"/>
      <c r="L4372" s="88"/>
      <c r="M4372" s="89"/>
    </row>
    <row r="4373" spans="7:13" x14ac:dyDescent="0.35">
      <c r="G4373" s="88"/>
      <c r="H4373" s="89"/>
      <c r="L4373" s="88"/>
      <c r="M4373" s="89"/>
    </row>
    <row r="4374" spans="7:13" x14ac:dyDescent="0.35">
      <c r="G4374" s="88"/>
      <c r="H4374" s="89"/>
      <c r="L4374" s="88"/>
      <c r="M4374" s="89"/>
    </row>
    <row r="4375" spans="7:13" x14ac:dyDescent="0.35">
      <c r="G4375" s="88"/>
      <c r="H4375" s="89"/>
      <c r="L4375" s="88"/>
      <c r="M4375" s="89"/>
    </row>
    <row r="4376" spans="7:13" x14ac:dyDescent="0.35">
      <c r="G4376" s="88"/>
      <c r="H4376" s="89"/>
      <c r="L4376" s="88"/>
      <c r="M4376" s="89"/>
    </row>
    <row r="4377" spans="7:13" x14ac:dyDescent="0.35">
      <c r="G4377" s="88"/>
      <c r="H4377" s="89"/>
      <c r="L4377" s="88"/>
      <c r="M4377" s="89"/>
    </row>
    <row r="4378" spans="7:13" x14ac:dyDescent="0.35">
      <c r="G4378" s="88"/>
      <c r="H4378" s="89"/>
      <c r="L4378" s="88"/>
      <c r="M4378" s="89"/>
    </row>
    <row r="4379" spans="7:13" x14ac:dyDescent="0.35">
      <c r="G4379" s="88"/>
      <c r="H4379" s="89"/>
      <c r="L4379" s="88"/>
      <c r="M4379" s="89"/>
    </row>
    <row r="4380" spans="7:13" x14ac:dyDescent="0.35">
      <c r="G4380" s="88"/>
      <c r="H4380" s="89"/>
      <c r="L4380" s="88"/>
      <c r="M4380" s="89"/>
    </row>
    <row r="4381" spans="7:13" x14ac:dyDescent="0.35">
      <c r="G4381" s="88"/>
      <c r="H4381" s="89"/>
      <c r="L4381" s="88"/>
      <c r="M4381" s="89"/>
    </row>
    <row r="4382" spans="7:13" x14ac:dyDescent="0.35">
      <c r="G4382" s="88"/>
      <c r="H4382" s="89"/>
      <c r="L4382" s="88"/>
      <c r="M4382" s="89"/>
    </row>
    <row r="4383" spans="7:13" x14ac:dyDescent="0.35">
      <c r="G4383" s="88"/>
      <c r="H4383" s="89"/>
      <c r="L4383" s="88"/>
      <c r="M4383" s="89"/>
    </row>
    <row r="4384" spans="7:13" x14ac:dyDescent="0.35">
      <c r="G4384" s="88"/>
      <c r="H4384" s="89"/>
      <c r="L4384" s="88"/>
      <c r="M4384" s="89"/>
    </row>
    <row r="4385" spans="7:13" x14ac:dyDescent="0.35">
      <c r="G4385" s="88"/>
      <c r="H4385" s="89"/>
      <c r="L4385" s="88"/>
      <c r="M4385" s="89"/>
    </row>
    <row r="4386" spans="7:13" x14ac:dyDescent="0.35">
      <c r="G4386" s="88"/>
      <c r="H4386" s="89"/>
      <c r="L4386" s="88"/>
      <c r="M4386" s="89"/>
    </row>
    <row r="4387" spans="7:13" x14ac:dyDescent="0.35">
      <c r="G4387" s="88"/>
      <c r="H4387" s="89"/>
      <c r="L4387" s="88"/>
      <c r="M4387" s="89"/>
    </row>
    <row r="4388" spans="7:13" x14ac:dyDescent="0.35">
      <c r="G4388" s="88"/>
      <c r="H4388" s="89"/>
      <c r="L4388" s="88"/>
      <c r="M4388" s="89"/>
    </row>
    <row r="4389" spans="7:13" x14ac:dyDescent="0.35">
      <c r="G4389" s="88"/>
      <c r="H4389" s="89"/>
      <c r="L4389" s="88"/>
      <c r="M4389" s="89"/>
    </row>
    <row r="4390" spans="7:13" x14ac:dyDescent="0.35">
      <c r="G4390" s="88"/>
      <c r="H4390" s="89"/>
      <c r="L4390" s="88"/>
      <c r="M4390" s="89"/>
    </row>
    <row r="4391" spans="7:13" x14ac:dyDescent="0.35">
      <c r="G4391" s="88"/>
      <c r="H4391" s="89"/>
      <c r="L4391" s="88"/>
      <c r="M4391" s="89"/>
    </row>
    <row r="4392" spans="7:13" x14ac:dyDescent="0.35">
      <c r="G4392" s="88"/>
      <c r="H4392" s="89"/>
      <c r="L4392" s="88"/>
      <c r="M4392" s="89"/>
    </row>
    <row r="4393" spans="7:13" x14ac:dyDescent="0.35">
      <c r="G4393" s="88"/>
      <c r="H4393" s="89"/>
      <c r="L4393" s="88"/>
      <c r="M4393" s="89"/>
    </row>
    <row r="4394" spans="7:13" x14ac:dyDescent="0.35">
      <c r="G4394" s="88"/>
      <c r="H4394" s="89"/>
      <c r="L4394" s="88"/>
      <c r="M4394" s="89"/>
    </row>
    <row r="4395" spans="7:13" x14ac:dyDescent="0.35">
      <c r="G4395" s="88"/>
      <c r="H4395" s="89"/>
      <c r="L4395" s="88"/>
      <c r="M4395" s="89"/>
    </row>
    <row r="4396" spans="7:13" x14ac:dyDescent="0.35">
      <c r="G4396" s="88"/>
      <c r="H4396" s="89"/>
      <c r="L4396" s="88"/>
      <c r="M4396" s="89"/>
    </row>
    <row r="4397" spans="7:13" x14ac:dyDescent="0.35">
      <c r="G4397" s="88"/>
      <c r="H4397" s="89"/>
      <c r="L4397" s="88"/>
      <c r="M4397" s="89"/>
    </row>
    <row r="4398" spans="7:13" x14ac:dyDescent="0.35">
      <c r="G4398" s="88"/>
      <c r="H4398" s="89"/>
      <c r="L4398" s="88"/>
      <c r="M4398" s="89"/>
    </row>
    <row r="4399" spans="7:13" x14ac:dyDescent="0.35">
      <c r="G4399" s="88"/>
      <c r="H4399" s="89"/>
      <c r="L4399" s="88"/>
      <c r="M4399" s="89"/>
    </row>
    <row r="4400" spans="7:13" x14ac:dyDescent="0.35">
      <c r="G4400" s="88"/>
      <c r="H4400" s="89"/>
      <c r="L4400" s="88"/>
      <c r="M4400" s="89"/>
    </row>
    <row r="4401" spans="7:13" x14ac:dyDescent="0.35">
      <c r="G4401" s="88"/>
      <c r="H4401" s="89"/>
      <c r="L4401" s="88"/>
      <c r="M4401" s="89"/>
    </row>
    <row r="4402" spans="7:13" x14ac:dyDescent="0.35">
      <c r="G4402" s="88"/>
      <c r="H4402" s="89"/>
      <c r="L4402" s="88"/>
      <c r="M4402" s="89"/>
    </row>
    <row r="4403" spans="7:13" x14ac:dyDescent="0.35">
      <c r="G4403" s="88"/>
      <c r="H4403" s="89"/>
      <c r="L4403" s="88"/>
      <c r="M4403" s="89"/>
    </row>
    <row r="4404" spans="7:13" x14ac:dyDescent="0.35">
      <c r="G4404" s="88"/>
      <c r="H4404" s="89"/>
      <c r="L4404" s="88"/>
      <c r="M4404" s="89"/>
    </row>
    <row r="4405" spans="7:13" x14ac:dyDescent="0.35">
      <c r="G4405" s="88"/>
      <c r="H4405" s="89"/>
      <c r="L4405" s="88"/>
      <c r="M4405" s="89"/>
    </row>
    <row r="4406" spans="7:13" x14ac:dyDescent="0.35">
      <c r="G4406" s="88"/>
      <c r="H4406" s="89"/>
      <c r="L4406" s="88"/>
      <c r="M4406" s="89"/>
    </row>
    <row r="4407" spans="7:13" x14ac:dyDescent="0.35">
      <c r="G4407" s="88"/>
      <c r="H4407" s="89"/>
      <c r="L4407" s="88"/>
      <c r="M4407" s="89"/>
    </row>
    <row r="4408" spans="7:13" x14ac:dyDescent="0.35">
      <c r="G4408" s="88"/>
      <c r="H4408" s="89"/>
      <c r="L4408" s="88"/>
      <c r="M4408" s="89"/>
    </row>
    <row r="4409" spans="7:13" x14ac:dyDescent="0.35">
      <c r="G4409" s="88"/>
      <c r="H4409" s="89"/>
      <c r="L4409" s="88"/>
      <c r="M4409" s="89"/>
    </row>
    <row r="4410" spans="7:13" x14ac:dyDescent="0.35">
      <c r="G4410" s="88"/>
      <c r="H4410" s="89"/>
      <c r="L4410" s="88"/>
      <c r="M4410" s="89"/>
    </row>
    <row r="4411" spans="7:13" x14ac:dyDescent="0.35">
      <c r="G4411" s="88"/>
      <c r="H4411" s="89"/>
      <c r="L4411" s="88"/>
      <c r="M4411" s="89"/>
    </row>
    <row r="4412" spans="7:13" x14ac:dyDescent="0.35">
      <c r="G4412" s="88"/>
      <c r="H4412" s="89"/>
      <c r="L4412" s="88"/>
      <c r="M4412" s="89"/>
    </row>
    <row r="4413" spans="7:13" x14ac:dyDescent="0.35">
      <c r="G4413" s="88"/>
      <c r="H4413" s="89"/>
      <c r="L4413" s="88"/>
      <c r="M4413" s="89"/>
    </row>
    <row r="4414" spans="7:13" x14ac:dyDescent="0.35">
      <c r="G4414" s="88"/>
      <c r="H4414" s="89"/>
      <c r="L4414" s="88"/>
      <c r="M4414" s="89"/>
    </row>
    <row r="4415" spans="7:13" x14ac:dyDescent="0.35">
      <c r="G4415" s="88"/>
      <c r="H4415" s="89"/>
      <c r="L4415" s="88"/>
      <c r="M4415" s="89"/>
    </row>
    <row r="4416" spans="7:13" x14ac:dyDescent="0.35">
      <c r="G4416" s="88"/>
      <c r="H4416" s="89"/>
      <c r="L4416" s="88"/>
      <c r="M4416" s="89"/>
    </row>
    <row r="4417" spans="7:13" x14ac:dyDescent="0.35">
      <c r="G4417" s="88"/>
      <c r="H4417" s="89"/>
      <c r="L4417" s="88"/>
      <c r="M4417" s="89"/>
    </row>
    <row r="4418" spans="7:13" x14ac:dyDescent="0.35">
      <c r="G4418" s="88"/>
      <c r="H4418" s="89"/>
      <c r="L4418" s="88"/>
      <c r="M4418" s="89"/>
    </row>
    <row r="4419" spans="7:13" x14ac:dyDescent="0.35">
      <c r="G4419" s="88"/>
      <c r="H4419" s="89"/>
      <c r="L4419" s="88"/>
      <c r="M4419" s="89"/>
    </row>
    <row r="4420" spans="7:13" x14ac:dyDescent="0.35">
      <c r="G4420" s="88"/>
      <c r="H4420" s="89"/>
      <c r="L4420" s="88"/>
      <c r="M4420" s="89"/>
    </row>
    <row r="4421" spans="7:13" x14ac:dyDescent="0.35">
      <c r="G4421" s="88"/>
      <c r="H4421" s="89"/>
      <c r="L4421" s="88"/>
      <c r="M4421" s="89"/>
    </row>
    <row r="4422" spans="7:13" x14ac:dyDescent="0.35">
      <c r="G4422" s="88"/>
      <c r="H4422" s="89"/>
      <c r="L4422" s="88"/>
      <c r="M4422" s="89"/>
    </row>
    <row r="4423" spans="7:13" x14ac:dyDescent="0.35">
      <c r="G4423" s="88"/>
      <c r="H4423" s="89"/>
      <c r="L4423" s="88"/>
      <c r="M4423" s="89"/>
    </row>
    <row r="4424" spans="7:13" x14ac:dyDescent="0.35">
      <c r="G4424" s="88"/>
      <c r="H4424" s="89"/>
      <c r="L4424" s="88"/>
      <c r="M4424" s="89"/>
    </row>
    <row r="4425" spans="7:13" x14ac:dyDescent="0.35">
      <c r="G4425" s="88"/>
      <c r="H4425" s="89"/>
      <c r="L4425" s="88"/>
      <c r="M4425" s="89"/>
    </row>
    <row r="4426" spans="7:13" x14ac:dyDescent="0.35">
      <c r="G4426" s="88"/>
      <c r="H4426" s="89"/>
      <c r="L4426" s="88"/>
      <c r="M4426" s="89"/>
    </row>
    <row r="4427" spans="7:13" x14ac:dyDescent="0.35">
      <c r="G4427" s="88"/>
      <c r="H4427" s="89"/>
      <c r="L4427" s="88"/>
      <c r="M4427" s="89"/>
    </row>
    <row r="4428" spans="7:13" x14ac:dyDescent="0.35">
      <c r="G4428" s="88"/>
      <c r="H4428" s="89"/>
      <c r="L4428" s="88"/>
      <c r="M4428" s="89"/>
    </row>
    <row r="4429" spans="7:13" x14ac:dyDescent="0.35">
      <c r="G4429" s="88"/>
      <c r="H4429" s="89"/>
      <c r="L4429" s="88"/>
      <c r="M4429" s="89"/>
    </row>
    <row r="4430" spans="7:13" x14ac:dyDescent="0.35">
      <c r="G4430" s="88"/>
      <c r="H4430" s="89"/>
      <c r="L4430" s="88"/>
      <c r="M4430" s="89"/>
    </row>
    <row r="4431" spans="7:13" x14ac:dyDescent="0.35">
      <c r="G4431" s="88"/>
      <c r="H4431" s="89"/>
      <c r="L4431" s="88"/>
      <c r="M4431" s="89"/>
    </row>
    <row r="4432" spans="7:13" x14ac:dyDescent="0.35">
      <c r="G4432" s="88"/>
      <c r="H4432" s="89"/>
      <c r="L4432" s="88"/>
      <c r="M4432" s="89"/>
    </row>
    <row r="4433" spans="7:13" x14ac:dyDescent="0.35">
      <c r="G4433" s="88"/>
      <c r="H4433" s="89"/>
      <c r="L4433" s="88"/>
      <c r="M4433" s="89"/>
    </row>
    <row r="4434" spans="7:13" x14ac:dyDescent="0.35">
      <c r="G4434" s="88"/>
      <c r="H4434" s="89"/>
      <c r="L4434" s="88"/>
      <c r="M4434" s="89"/>
    </row>
    <row r="4435" spans="7:13" x14ac:dyDescent="0.35">
      <c r="G4435" s="88"/>
      <c r="H4435" s="89"/>
      <c r="L4435" s="88"/>
      <c r="M4435" s="89"/>
    </row>
    <row r="4436" spans="7:13" x14ac:dyDescent="0.35">
      <c r="G4436" s="88"/>
      <c r="H4436" s="89"/>
      <c r="L4436" s="88"/>
      <c r="M4436" s="89"/>
    </row>
    <row r="4437" spans="7:13" x14ac:dyDescent="0.35">
      <c r="G4437" s="88"/>
      <c r="H4437" s="89"/>
      <c r="L4437" s="88"/>
      <c r="M4437" s="89"/>
    </row>
    <row r="4438" spans="7:13" x14ac:dyDescent="0.35">
      <c r="G4438" s="88"/>
      <c r="H4438" s="89"/>
      <c r="L4438" s="88"/>
      <c r="M4438" s="89"/>
    </row>
    <row r="4439" spans="7:13" x14ac:dyDescent="0.35">
      <c r="G4439" s="88"/>
      <c r="H4439" s="89"/>
      <c r="L4439" s="88"/>
      <c r="M4439" s="89"/>
    </row>
    <row r="4440" spans="7:13" x14ac:dyDescent="0.35">
      <c r="G4440" s="88"/>
      <c r="H4440" s="89"/>
      <c r="L4440" s="88"/>
      <c r="M4440" s="89"/>
    </row>
    <row r="4441" spans="7:13" x14ac:dyDescent="0.35">
      <c r="G4441" s="88"/>
      <c r="H4441" s="89"/>
      <c r="L4441" s="88"/>
      <c r="M4441" s="89"/>
    </row>
    <row r="4442" spans="7:13" x14ac:dyDescent="0.35">
      <c r="G4442" s="88"/>
      <c r="H4442" s="89"/>
      <c r="L4442" s="88"/>
      <c r="M4442" s="89"/>
    </row>
    <row r="4443" spans="7:13" x14ac:dyDescent="0.35">
      <c r="G4443" s="88"/>
      <c r="H4443" s="89"/>
      <c r="L4443" s="88"/>
      <c r="M4443" s="89"/>
    </row>
    <row r="4444" spans="7:13" x14ac:dyDescent="0.35">
      <c r="G4444" s="88"/>
      <c r="H4444" s="89"/>
      <c r="L4444" s="88"/>
      <c r="M4444" s="89"/>
    </row>
    <row r="4445" spans="7:13" x14ac:dyDescent="0.35">
      <c r="G4445" s="88"/>
      <c r="H4445" s="89"/>
      <c r="L4445" s="88"/>
      <c r="M4445" s="89"/>
    </row>
    <row r="4446" spans="7:13" x14ac:dyDescent="0.35">
      <c r="G4446" s="88"/>
      <c r="H4446" s="89"/>
      <c r="L4446" s="88"/>
      <c r="M4446" s="89"/>
    </row>
    <row r="4447" spans="7:13" x14ac:dyDescent="0.35">
      <c r="G4447" s="88"/>
      <c r="H4447" s="89"/>
      <c r="L4447" s="88"/>
      <c r="M4447" s="89"/>
    </row>
    <row r="4448" spans="7:13" x14ac:dyDescent="0.35">
      <c r="G4448" s="88"/>
      <c r="H4448" s="89"/>
      <c r="L4448" s="88"/>
      <c r="M4448" s="89"/>
    </row>
    <row r="4449" spans="7:13" x14ac:dyDescent="0.35">
      <c r="G4449" s="88"/>
      <c r="H4449" s="89"/>
      <c r="L4449" s="88"/>
      <c r="M4449" s="89"/>
    </row>
    <row r="4450" spans="7:13" x14ac:dyDescent="0.35">
      <c r="G4450" s="88"/>
      <c r="H4450" s="89"/>
      <c r="L4450" s="88"/>
      <c r="M4450" s="89"/>
    </row>
    <row r="4451" spans="7:13" x14ac:dyDescent="0.35">
      <c r="G4451" s="88"/>
      <c r="H4451" s="89"/>
      <c r="L4451" s="88"/>
      <c r="M4451" s="89"/>
    </row>
    <row r="4452" spans="7:13" x14ac:dyDescent="0.35">
      <c r="G4452" s="88"/>
      <c r="H4452" s="89"/>
      <c r="L4452" s="88"/>
      <c r="M4452" s="89"/>
    </row>
    <row r="4453" spans="7:13" x14ac:dyDescent="0.35">
      <c r="G4453" s="88"/>
      <c r="H4453" s="89"/>
      <c r="L4453" s="88"/>
      <c r="M4453" s="89"/>
    </row>
    <row r="4454" spans="7:13" x14ac:dyDescent="0.35">
      <c r="G4454" s="88"/>
      <c r="H4454" s="89"/>
      <c r="L4454" s="88"/>
      <c r="M4454" s="89"/>
    </row>
    <row r="4455" spans="7:13" x14ac:dyDescent="0.35">
      <c r="G4455" s="88"/>
      <c r="H4455" s="89"/>
      <c r="L4455" s="88"/>
      <c r="M4455" s="89"/>
    </row>
    <row r="4456" spans="7:13" x14ac:dyDescent="0.35">
      <c r="G4456" s="88"/>
      <c r="H4456" s="89"/>
      <c r="L4456" s="88"/>
      <c r="M4456" s="89"/>
    </row>
    <row r="4457" spans="7:13" x14ac:dyDescent="0.35">
      <c r="G4457" s="88"/>
      <c r="H4457" s="89"/>
      <c r="L4457" s="88"/>
      <c r="M4457" s="89"/>
    </row>
    <row r="4458" spans="7:13" x14ac:dyDescent="0.35">
      <c r="G4458" s="88"/>
      <c r="H4458" s="89"/>
      <c r="L4458" s="88"/>
      <c r="M4458" s="89"/>
    </row>
    <row r="4459" spans="7:13" x14ac:dyDescent="0.35">
      <c r="G4459" s="88"/>
      <c r="H4459" s="89"/>
      <c r="L4459" s="88"/>
      <c r="M4459" s="89"/>
    </row>
    <row r="4460" spans="7:13" x14ac:dyDescent="0.35">
      <c r="G4460" s="88"/>
      <c r="H4460" s="89"/>
      <c r="L4460" s="88"/>
      <c r="M4460" s="89"/>
    </row>
    <row r="4461" spans="7:13" x14ac:dyDescent="0.35">
      <c r="G4461" s="88"/>
      <c r="H4461" s="89"/>
      <c r="L4461" s="88"/>
      <c r="M4461" s="89"/>
    </row>
    <row r="4462" spans="7:13" x14ac:dyDescent="0.35">
      <c r="G4462" s="88"/>
      <c r="H4462" s="89"/>
      <c r="L4462" s="88"/>
      <c r="M4462" s="89"/>
    </row>
    <row r="4463" spans="7:13" x14ac:dyDescent="0.35">
      <c r="G4463" s="88"/>
      <c r="H4463" s="89"/>
      <c r="L4463" s="88"/>
      <c r="M4463" s="89"/>
    </row>
    <row r="4464" spans="7:13" x14ac:dyDescent="0.35">
      <c r="G4464" s="88"/>
      <c r="H4464" s="89"/>
      <c r="L4464" s="88"/>
      <c r="M4464" s="89"/>
    </row>
    <row r="4465" spans="7:13" x14ac:dyDescent="0.35">
      <c r="G4465" s="88"/>
      <c r="H4465" s="89"/>
      <c r="L4465" s="88"/>
      <c r="M4465" s="89"/>
    </row>
    <row r="4466" spans="7:13" x14ac:dyDescent="0.35">
      <c r="G4466" s="88"/>
      <c r="H4466" s="89"/>
      <c r="L4466" s="88"/>
      <c r="M4466" s="89"/>
    </row>
    <row r="4467" spans="7:13" x14ac:dyDescent="0.35">
      <c r="G4467" s="88"/>
      <c r="H4467" s="89"/>
      <c r="L4467" s="88"/>
      <c r="M4467" s="89"/>
    </row>
    <row r="4468" spans="7:13" x14ac:dyDescent="0.35">
      <c r="G4468" s="88"/>
      <c r="H4468" s="89"/>
      <c r="L4468" s="88"/>
      <c r="M4468" s="89"/>
    </row>
    <row r="4469" spans="7:13" x14ac:dyDescent="0.35">
      <c r="G4469" s="88"/>
      <c r="H4469" s="89"/>
      <c r="L4469" s="88"/>
      <c r="M4469" s="89"/>
    </row>
    <row r="4470" spans="7:13" x14ac:dyDescent="0.35">
      <c r="G4470" s="88"/>
      <c r="H4470" s="89"/>
      <c r="L4470" s="88"/>
      <c r="M4470" s="89"/>
    </row>
    <row r="4471" spans="7:13" x14ac:dyDescent="0.35">
      <c r="G4471" s="88"/>
      <c r="H4471" s="89"/>
      <c r="L4471" s="88"/>
      <c r="M4471" s="89"/>
    </row>
    <row r="4472" spans="7:13" x14ac:dyDescent="0.35">
      <c r="G4472" s="88"/>
      <c r="H4472" s="89"/>
      <c r="L4472" s="88"/>
      <c r="M4472" s="89"/>
    </row>
    <row r="4473" spans="7:13" x14ac:dyDescent="0.35">
      <c r="G4473" s="88"/>
      <c r="H4473" s="89"/>
      <c r="L4473" s="88"/>
      <c r="M4473" s="89"/>
    </row>
    <row r="4474" spans="7:13" x14ac:dyDescent="0.35">
      <c r="G4474" s="88"/>
      <c r="H4474" s="89"/>
      <c r="L4474" s="88"/>
      <c r="M4474" s="89"/>
    </row>
    <row r="4475" spans="7:13" x14ac:dyDescent="0.35">
      <c r="G4475" s="88"/>
      <c r="H4475" s="89"/>
      <c r="L4475" s="88"/>
      <c r="M4475" s="89"/>
    </row>
    <row r="4476" spans="7:13" x14ac:dyDescent="0.35">
      <c r="G4476" s="88"/>
      <c r="H4476" s="89"/>
      <c r="L4476" s="88"/>
      <c r="M4476" s="89"/>
    </row>
    <row r="4477" spans="7:13" x14ac:dyDescent="0.35">
      <c r="G4477" s="88"/>
      <c r="H4477" s="89"/>
      <c r="L4477" s="88"/>
      <c r="M4477" s="89"/>
    </row>
    <row r="4478" spans="7:13" x14ac:dyDescent="0.35">
      <c r="G4478" s="88"/>
      <c r="H4478" s="89"/>
      <c r="L4478" s="88"/>
      <c r="M4478" s="89"/>
    </row>
    <row r="4479" spans="7:13" x14ac:dyDescent="0.35">
      <c r="G4479" s="88"/>
      <c r="H4479" s="89"/>
      <c r="L4479" s="88"/>
      <c r="M4479" s="89"/>
    </row>
    <row r="4480" spans="7:13" x14ac:dyDescent="0.35">
      <c r="G4480" s="88"/>
      <c r="H4480" s="89"/>
      <c r="L4480" s="88"/>
      <c r="M4480" s="89"/>
    </row>
    <row r="4481" spans="7:13" x14ac:dyDescent="0.35">
      <c r="G4481" s="88"/>
      <c r="H4481" s="89"/>
      <c r="L4481" s="88"/>
      <c r="M4481" s="89"/>
    </row>
    <row r="4482" spans="7:13" x14ac:dyDescent="0.35">
      <c r="G4482" s="88"/>
      <c r="H4482" s="89"/>
      <c r="L4482" s="88"/>
      <c r="M4482" s="89"/>
    </row>
    <row r="4483" spans="7:13" x14ac:dyDescent="0.35">
      <c r="G4483" s="88"/>
      <c r="H4483" s="89"/>
      <c r="L4483" s="88"/>
      <c r="M4483" s="89"/>
    </row>
    <row r="4484" spans="7:13" x14ac:dyDescent="0.35">
      <c r="G4484" s="88"/>
      <c r="H4484" s="89"/>
      <c r="L4484" s="88"/>
      <c r="M4484" s="89"/>
    </row>
    <row r="4485" spans="7:13" x14ac:dyDescent="0.35">
      <c r="G4485" s="88"/>
      <c r="H4485" s="89"/>
      <c r="L4485" s="88"/>
      <c r="M4485" s="89"/>
    </row>
    <row r="4486" spans="7:13" x14ac:dyDescent="0.35">
      <c r="G4486" s="88"/>
      <c r="H4486" s="89"/>
      <c r="L4486" s="88"/>
      <c r="M4486" s="89"/>
    </row>
    <row r="4487" spans="7:13" x14ac:dyDescent="0.35">
      <c r="G4487" s="88"/>
      <c r="H4487" s="89"/>
      <c r="L4487" s="88"/>
      <c r="M4487" s="89"/>
    </row>
    <row r="4488" spans="7:13" x14ac:dyDescent="0.35">
      <c r="G4488" s="88"/>
      <c r="H4488" s="89"/>
      <c r="L4488" s="88"/>
      <c r="M4488" s="89"/>
    </row>
    <row r="4489" spans="7:13" x14ac:dyDescent="0.35">
      <c r="G4489" s="88"/>
      <c r="H4489" s="89"/>
      <c r="L4489" s="88"/>
      <c r="M4489" s="89"/>
    </row>
    <row r="4490" spans="7:13" x14ac:dyDescent="0.35">
      <c r="G4490" s="88"/>
      <c r="H4490" s="89"/>
      <c r="L4490" s="88"/>
      <c r="M4490" s="89"/>
    </row>
    <row r="4491" spans="7:13" x14ac:dyDescent="0.35">
      <c r="G4491" s="88"/>
      <c r="H4491" s="89"/>
      <c r="L4491" s="88"/>
      <c r="M4491" s="89"/>
    </row>
    <row r="4492" spans="7:13" x14ac:dyDescent="0.35">
      <c r="G4492" s="88"/>
      <c r="H4492" s="89"/>
      <c r="L4492" s="88"/>
      <c r="M4492" s="89"/>
    </row>
    <row r="4493" spans="7:13" x14ac:dyDescent="0.35">
      <c r="G4493" s="88"/>
      <c r="H4493" s="89"/>
      <c r="L4493" s="88"/>
      <c r="M4493" s="89"/>
    </row>
    <row r="4494" spans="7:13" x14ac:dyDescent="0.35">
      <c r="G4494" s="88"/>
      <c r="H4494" s="89"/>
      <c r="L4494" s="88"/>
      <c r="M4494" s="89"/>
    </row>
    <row r="4495" spans="7:13" x14ac:dyDescent="0.35">
      <c r="G4495" s="88"/>
      <c r="H4495" s="89"/>
      <c r="L4495" s="88"/>
      <c r="M4495" s="89"/>
    </row>
    <row r="4496" spans="7:13" x14ac:dyDescent="0.35">
      <c r="G4496" s="88"/>
      <c r="H4496" s="89"/>
      <c r="L4496" s="88"/>
      <c r="M4496" s="89"/>
    </row>
    <row r="4497" spans="7:13" x14ac:dyDescent="0.35">
      <c r="G4497" s="88"/>
      <c r="H4497" s="89"/>
      <c r="L4497" s="88"/>
      <c r="M4497" s="89"/>
    </row>
    <row r="4498" spans="7:13" x14ac:dyDescent="0.35">
      <c r="G4498" s="88"/>
      <c r="H4498" s="89"/>
      <c r="L4498" s="88"/>
      <c r="M4498" s="89"/>
    </row>
    <row r="4499" spans="7:13" x14ac:dyDescent="0.35">
      <c r="G4499" s="88"/>
      <c r="H4499" s="89"/>
      <c r="L4499" s="88"/>
      <c r="M4499" s="89"/>
    </row>
    <row r="4500" spans="7:13" x14ac:dyDescent="0.35">
      <c r="G4500" s="88"/>
      <c r="H4500" s="89"/>
      <c r="L4500" s="88"/>
      <c r="M4500" s="89"/>
    </row>
    <row r="4501" spans="7:13" x14ac:dyDescent="0.35">
      <c r="G4501" s="88"/>
      <c r="H4501" s="89"/>
      <c r="L4501" s="88"/>
      <c r="M4501" s="89"/>
    </row>
    <row r="4502" spans="7:13" x14ac:dyDescent="0.35">
      <c r="G4502" s="88"/>
      <c r="H4502" s="89"/>
      <c r="L4502" s="88"/>
      <c r="M4502" s="89"/>
    </row>
    <row r="4503" spans="7:13" x14ac:dyDescent="0.35">
      <c r="G4503" s="88"/>
      <c r="H4503" s="89"/>
      <c r="L4503" s="88"/>
      <c r="M4503" s="89"/>
    </row>
    <row r="4504" spans="7:13" x14ac:dyDescent="0.35">
      <c r="G4504" s="88"/>
      <c r="H4504" s="89"/>
      <c r="L4504" s="88"/>
      <c r="M4504" s="89"/>
    </row>
    <row r="4505" spans="7:13" x14ac:dyDescent="0.35">
      <c r="G4505" s="88"/>
      <c r="H4505" s="89"/>
      <c r="L4505" s="88"/>
      <c r="M4505" s="89"/>
    </row>
    <row r="4506" spans="7:13" x14ac:dyDescent="0.35">
      <c r="G4506" s="88"/>
      <c r="H4506" s="89"/>
      <c r="L4506" s="88"/>
      <c r="M4506" s="89"/>
    </row>
    <row r="4507" spans="7:13" x14ac:dyDescent="0.35">
      <c r="G4507" s="88"/>
      <c r="H4507" s="89"/>
      <c r="L4507" s="88"/>
      <c r="M4507" s="89"/>
    </row>
    <row r="4508" spans="7:13" x14ac:dyDescent="0.35">
      <c r="G4508" s="88"/>
      <c r="H4508" s="89"/>
      <c r="L4508" s="88"/>
      <c r="M4508" s="89"/>
    </row>
    <row r="4509" spans="7:13" x14ac:dyDescent="0.35">
      <c r="G4509" s="88"/>
      <c r="H4509" s="89"/>
      <c r="L4509" s="88"/>
      <c r="M4509" s="89"/>
    </row>
    <row r="4510" spans="7:13" x14ac:dyDescent="0.35">
      <c r="G4510" s="88"/>
      <c r="H4510" s="89"/>
      <c r="L4510" s="88"/>
      <c r="M4510" s="89"/>
    </row>
    <row r="4511" spans="7:13" x14ac:dyDescent="0.35">
      <c r="G4511" s="88"/>
      <c r="H4511" s="89"/>
      <c r="L4511" s="88"/>
      <c r="M4511" s="89"/>
    </row>
    <row r="4512" spans="7:13" x14ac:dyDescent="0.35">
      <c r="G4512" s="88"/>
      <c r="H4512" s="89"/>
      <c r="L4512" s="88"/>
      <c r="M4512" s="89"/>
    </row>
    <row r="4513" spans="7:13" x14ac:dyDescent="0.35">
      <c r="G4513" s="88"/>
      <c r="H4513" s="89"/>
      <c r="L4513" s="88"/>
      <c r="M4513" s="89"/>
    </row>
    <row r="4514" spans="7:13" x14ac:dyDescent="0.35">
      <c r="G4514" s="88"/>
      <c r="H4514" s="89"/>
      <c r="L4514" s="88"/>
      <c r="M4514" s="89"/>
    </row>
    <row r="4515" spans="7:13" x14ac:dyDescent="0.35">
      <c r="G4515" s="88"/>
      <c r="H4515" s="89"/>
      <c r="L4515" s="88"/>
      <c r="M4515" s="89"/>
    </row>
    <row r="4516" spans="7:13" x14ac:dyDescent="0.35">
      <c r="G4516" s="88"/>
      <c r="H4516" s="89"/>
      <c r="L4516" s="88"/>
      <c r="M4516" s="89"/>
    </row>
    <row r="4517" spans="7:13" x14ac:dyDescent="0.35">
      <c r="G4517" s="88"/>
      <c r="H4517" s="89"/>
      <c r="L4517" s="88"/>
      <c r="M4517" s="89"/>
    </row>
    <row r="4518" spans="7:13" x14ac:dyDescent="0.35">
      <c r="G4518" s="88"/>
      <c r="H4518" s="89"/>
      <c r="L4518" s="88"/>
      <c r="M4518" s="89"/>
    </row>
    <row r="4519" spans="7:13" x14ac:dyDescent="0.35">
      <c r="G4519" s="88"/>
      <c r="H4519" s="89"/>
      <c r="L4519" s="88"/>
      <c r="M4519" s="89"/>
    </row>
    <row r="4520" spans="7:13" x14ac:dyDescent="0.35">
      <c r="G4520" s="88"/>
      <c r="H4520" s="89"/>
      <c r="L4520" s="88"/>
      <c r="M4520" s="89"/>
    </row>
    <row r="4521" spans="7:13" x14ac:dyDescent="0.35">
      <c r="G4521" s="88"/>
      <c r="H4521" s="89"/>
      <c r="L4521" s="88"/>
      <c r="M4521" s="89"/>
    </row>
    <row r="4522" spans="7:13" x14ac:dyDescent="0.35">
      <c r="G4522" s="88"/>
      <c r="H4522" s="89"/>
      <c r="L4522" s="88"/>
      <c r="M4522" s="89"/>
    </row>
    <row r="4523" spans="7:13" x14ac:dyDescent="0.35">
      <c r="G4523" s="88"/>
      <c r="H4523" s="89"/>
      <c r="L4523" s="88"/>
      <c r="M4523" s="89"/>
    </row>
    <row r="4524" spans="7:13" x14ac:dyDescent="0.35">
      <c r="G4524" s="88"/>
      <c r="H4524" s="89"/>
      <c r="L4524" s="88"/>
      <c r="M4524" s="89"/>
    </row>
    <row r="4525" spans="7:13" x14ac:dyDescent="0.35">
      <c r="G4525" s="88"/>
      <c r="H4525" s="89"/>
      <c r="L4525" s="88"/>
      <c r="M4525" s="89"/>
    </row>
    <row r="4526" spans="7:13" x14ac:dyDescent="0.35">
      <c r="G4526" s="88"/>
      <c r="H4526" s="89"/>
      <c r="L4526" s="88"/>
      <c r="M4526" s="89"/>
    </row>
    <row r="4527" spans="7:13" x14ac:dyDescent="0.35">
      <c r="G4527" s="88"/>
      <c r="H4527" s="89"/>
      <c r="L4527" s="88"/>
      <c r="M4527" s="89"/>
    </row>
    <row r="4528" spans="7:13" x14ac:dyDescent="0.35">
      <c r="G4528" s="88"/>
      <c r="H4528" s="89"/>
      <c r="L4528" s="88"/>
      <c r="M4528" s="89"/>
    </row>
    <row r="4529" spans="7:13" x14ac:dyDescent="0.35">
      <c r="G4529" s="88"/>
      <c r="H4529" s="89"/>
      <c r="L4529" s="88"/>
      <c r="M4529" s="89"/>
    </row>
    <row r="4530" spans="7:13" x14ac:dyDescent="0.35">
      <c r="G4530" s="88"/>
      <c r="H4530" s="89"/>
      <c r="L4530" s="88"/>
      <c r="M4530" s="89"/>
    </row>
    <row r="4531" spans="7:13" x14ac:dyDescent="0.35">
      <c r="G4531" s="88"/>
      <c r="H4531" s="89"/>
      <c r="L4531" s="88"/>
      <c r="M4531" s="89"/>
    </row>
    <row r="4532" spans="7:13" x14ac:dyDescent="0.35">
      <c r="G4532" s="88"/>
      <c r="H4532" s="89"/>
      <c r="L4532" s="88"/>
      <c r="M4532" s="89"/>
    </row>
    <row r="4533" spans="7:13" x14ac:dyDescent="0.35">
      <c r="G4533" s="88"/>
      <c r="H4533" s="89"/>
      <c r="L4533" s="88"/>
      <c r="M4533" s="89"/>
    </row>
    <row r="4534" spans="7:13" x14ac:dyDescent="0.35">
      <c r="G4534" s="88"/>
      <c r="H4534" s="89"/>
      <c r="L4534" s="88"/>
      <c r="M4534" s="89"/>
    </row>
    <row r="4535" spans="7:13" x14ac:dyDescent="0.35">
      <c r="G4535" s="88"/>
      <c r="H4535" s="89"/>
      <c r="L4535" s="88"/>
      <c r="M4535" s="89"/>
    </row>
    <row r="4536" spans="7:13" x14ac:dyDescent="0.35">
      <c r="G4536" s="88"/>
      <c r="H4536" s="89"/>
      <c r="L4536" s="88"/>
      <c r="M4536" s="89"/>
    </row>
    <row r="4537" spans="7:13" x14ac:dyDescent="0.35">
      <c r="G4537" s="88"/>
      <c r="H4537" s="89"/>
      <c r="L4537" s="88"/>
      <c r="M4537" s="89"/>
    </row>
    <row r="4538" spans="7:13" x14ac:dyDescent="0.35">
      <c r="G4538" s="88"/>
      <c r="H4538" s="89"/>
      <c r="L4538" s="88"/>
      <c r="M4538" s="89"/>
    </row>
    <row r="4539" spans="7:13" x14ac:dyDescent="0.35">
      <c r="G4539" s="88"/>
      <c r="H4539" s="89"/>
      <c r="L4539" s="88"/>
      <c r="M4539" s="89"/>
    </row>
    <row r="4540" spans="7:13" x14ac:dyDescent="0.35">
      <c r="G4540" s="88"/>
      <c r="H4540" s="89"/>
      <c r="L4540" s="88"/>
      <c r="M4540" s="89"/>
    </row>
    <row r="4541" spans="7:13" x14ac:dyDescent="0.35">
      <c r="G4541" s="88"/>
      <c r="H4541" s="89"/>
      <c r="L4541" s="88"/>
      <c r="M4541" s="89"/>
    </row>
    <row r="4542" spans="7:13" x14ac:dyDescent="0.35">
      <c r="G4542" s="88"/>
      <c r="H4542" s="89"/>
      <c r="L4542" s="88"/>
      <c r="M4542" s="89"/>
    </row>
    <row r="4543" spans="7:13" x14ac:dyDescent="0.35">
      <c r="G4543" s="88"/>
      <c r="H4543" s="89"/>
      <c r="L4543" s="88"/>
      <c r="M4543" s="89"/>
    </row>
    <row r="4544" spans="7:13" x14ac:dyDescent="0.35">
      <c r="G4544" s="88"/>
      <c r="H4544" s="89"/>
      <c r="L4544" s="88"/>
      <c r="M4544" s="89"/>
    </row>
    <row r="4545" spans="7:13" x14ac:dyDescent="0.35">
      <c r="G4545" s="88"/>
      <c r="H4545" s="89"/>
      <c r="L4545" s="88"/>
      <c r="M4545" s="89"/>
    </row>
    <row r="4546" spans="7:13" x14ac:dyDescent="0.35">
      <c r="G4546" s="88"/>
      <c r="H4546" s="89"/>
      <c r="L4546" s="88"/>
      <c r="M4546" s="89"/>
    </row>
    <row r="4547" spans="7:13" x14ac:dyDescent="0.35">
      <c r="G4547" s="88"/>
      <c r="H4547" s="89"/>
      <c r="L4547" s="88"/>
      <c r="M4547" s="89"/>
    </row>
    <row r="4548" spans="7:13" x14ac:dyDescent="0.35">
      <c r="G4548" s="88"/>
      <c r="H4548" s="89"/>
      <c r="L4548" s="88"/>
      <c r="M4548" s="89"/>
    </row>
    <row r="4549" spans="7:13" x14ac:dyDescent="0.35">
      <c r="G4549" s="88"/>
      <c r="H4549" s="89"/>
      <c r="L4549" s="88"/>
      <c r="M4549" s="89"/>
    </row>
    <row r="4550" spans="7:13" x14ac:dyDescent="0.35">
      <c r="G4550" s="88"/>
      <c r="H4550" s="89"/>
      <c r="L4550" s="88"/>
      <c r="M4550" s="89"/>
    </row>
    <row r="4551" spans="7:13" x14ac:dyDescent="0.35">
      <c r="G4551" s="88"/>
      <c r="H4551" s="89"/>
      <c r="L4551" s="88"/>
      <c r="M4551" s="89"/>
    </row>
    <row r="4552" spans="7:13" x14ac:dyDescent="0.35">
      <c r="G4552" s="88"/>
      <c r="H4552" s="89"/>
      <c r="L4552" s="88"/>
      <c r="M4552" s="89"/>
    </row>
    <row r="4553" spans="7:13" x14ac:dyDescent="0.35">
      <c r="G4553" s="88"/>
      <c r="H4553" s="89"/>
      <c r="L4553" s="88"/>
      <c r="M4553" s="89"/>
    </row>
    <row r="4554" spans="7:13" x14ac:dyDescent="0.35">
      <c r="G4554" s="88"/>
      <c r="H4554" s="89"/>
      <c r="L4554" s="88"/>
      <c r="M4554" s="89"/>
    </row>
    <row r="4555" spans="7:13" x14ac:dyDescent="0.35">
      <c r="G4555" s="88"/>
      <c r="H4555" s="89"/>
      <c r="L4555" s="88"/>
      <c r="M4555" s="89"/>
    </row>
    <row r="4556" spans="7:13" x14ac:dyDescent="0.35">
      <c r="G4556" s="88"/>
      <c r="H4556" s="89"/>
      <c r="L4556" s="88"/>
      <c r="M4556" s="89"/>
    </row>
    <row r="4557" spans="7:13" x14ac:dyDescent="0.35">
      <c r="G4557" s="88"/>
      <c r="H4557" s="89"/>
      <c r="L4557" s="88"/>
      <c r="M4557" s="89"/>
    </row>
    <row r="4558" spans="7:13" x14ac:dyDescent="0.35">
      <c r="G4558" s="88"/>
      <c r="H4558" s="89"/>
      <c r="L4558" s="88"/>
      <c r="M4558" s="89"/>
    </row>
    <row r="4559" spans="7:13" x14ac:dyDescent="0.35">
      <c r="G4559" s="88"/>
      <c r="H4559" s="89"/>
      <c r="L4559" s="88"/>
      <c r="M4559" s="89"/>
    </row>
    <row r="4560" spans="7:13" x14ac:dyDescent="0.35">
      <c r="G4560" s="88"/>
      <c r="H4560" s="89"/>
      <c r="L4560" s="88"/>
      <c r="M4560" s="89"/>
    </row>
    <row r="4561" spans="7:13" x14ac:dyDescent="0.35">
      <c r="G4561" s="88"/>
      <c r="H4561" s="89"/>
      <c r="L4561" s="88"/>
      <c r="M4561" s="89"/>
    </row>
    <row r="4562" spans="7:13" x14ac:dyDescent="0.35">
      <c r="G4562" s="88"/>
      <c r="H4562" s="89"/>
      <c r="L4562" s="88"/>
      <c r="M4562" s="89"/>
    </row>
    <row r="4563" spans="7:13" x14ac:dyDescent="0.35">
      <c r="G4563" s="88"/>
      <c r="H4563" s="89"/>
      <c r="L4563" s="88"/>
      <c r="M4563" s="89"/>
    </row>
    <row r="4564" spans="7:13" x14ac:dyDescent="0.35">
      <c r="G4564" s="88"/>
      <c r="H4564" s="89"/>
      <c r="L4564" s="88"/>
      <c r="M4564" s="89"/>
    </row>
    <row r="4565" spans="7:13" x14ac:dyDescent="0.35">
      <c r="G4565" s="88"/>
      <c r="H4565" s="89"/>
      <c r="L4565" s="88"/>
      <c r="M4565" s="89"/>
    </row>
    <row r="4566" spans="7:13" x14ac:dyDescent="0.35">
      <c r="G4566" s="88"/>
      <c r="H4566" s="89"/>
      <c r="L4566" s="88"/>
      <c r="M4566" s="89"/>
    </row>
    <row r="4567" spans="7:13" x14ac:dyDescent="0.35">
      <c r="G4567" s="88"/>
      <c r="H4567" s="89"/>
      <c r="L4567" s="88"/>
      <c r="M4567" s="89"/>
    </row>
    <row r="4568" spans="7:13" x14ac:dyDescent="0.35">
      <c r="G4568" s="88"/>
      <c r="H4568" s="89"/>
      <c r="L4568" s="88"/>
      <c r="M4568" s="89"/>
    </row>
    <row r="4569" spans="7:13" x14ac:dyDescent="0.35">
      <c r="G4569" s="88"/>
      <c r="H4569" s="89"/>
      <c r="L4569" s="88"/>
      <c r="M4569" s="89"/>
    </row>
    <row r="4570" spans="7:13" x14ac:dyDescent="0.35">
      <c r="G4570" s="88"/>
      <c r="H4570" s="89"/>
      <c r="L4570" s="88"/>
      <c r="M4570" s="89"/>
    </row>
    <row r="4571" spans="7:13" x14ac:dyDescent="0.35">
      <c r="G4571" s="88"/>
      <c r="H4571" s="89"/>
      <c r="L4571" s="88"/>
      <c r="M4571" s="89"/>
    </row>
    <row r="4572" spans="7:13" x14ac:dyDescent="0.35">
      <c r="G4572" s="88"/>
      <c r="H4572" s="89"/>
      <c r="L4572" s="88"/>
      <c r="M4572" s="89"/>
    </row>
    <row r="4573" spans="7:13" x14ac:dyDescent="0.35">
      <c r="G4573" s="88"/>
      <c r="H4573" s="89"/>
      <c r="L4573" s="88"/>
      <c r="M4573" s="89"/>
    </row>
    <row r="4574" spans="7:13" x14ac:dyDescent="0.35">
      <c r="G4574" s="88"/>
      <c r="H4574" s="89"/>
      <c r="L4574" s="88"/>
      <c r="M4574" s="89"/>
    </row>
    <row r="4575" spans="7:13" x14ac:dyDescent="0.35">
      <c r="G4575" s="88"/>
      <c r="H4575" s="89"/>
      <c r="L4575" s="88"/>
      <c r="M4575" s="89"/>
    </row>
    <row r="4576" spans="7:13" x14ac:dyDescent="0.35">
      <c r="G4576" s="88"/>
      <c r="H4576" s="89"/>
      <c r="L4576" s="88"/>
      <c r="M4576" s="89"/>
    </row>
    <row r="4577" spans="7:13" x14ac:dyDescent="0.35">
      <c r="G4577" s="88"/>
      <c r="H4577" s="89"/>
      <c r="L4577" s="88"/>
      <c r="M4577" s="89"/>
    </row>
    <row r="4578" spans="7:13" x14ac:dyDescent="0.35">
      <c r="G4578" s="88"/>
      <c r="H4578" s="89"/>
      <c r="L4578" s="88"/>
      <c r="M4578" s="89"/>
    </row>
    <row r="4579" spans="7:13" x14ac:dyDescent="0.35">
      <c r="G4579" s="88"/>
      <c r="H4579" s="89"/>
      <c r="L4579" s="88"/>
      <c r="M4579" s="89"/>
    </row>
    <row r="4580" spans="7:13" x14ac:dyDescent="0.35">
      <c r="G4580" s="88"/>
      <c r="H4580" s="89"/>
      <c r="L4580" s="88"/>
      <c r="M4580" s="89"/>
    </row>
    <row r="4581" spans="7:13" x14ac:dyDescent="0.35">
      <c r="G4581" s="88"/>
      <c r="H4581" s="89"/>
      <c r="L4581" s="88"/>
      <c r="M4581" s="89"/>
    </row>
    <row r="4582" spans="7:13" x14ac:dyDescent="0.35">
      <c r="G4582" s="88"/>
      <c r="H4582" s="89"/>
      <c r="L4582" s="88"/>
      <c r="M4582" s="89"/>
    </row>
    <row r="4583" spans="7:13" x14ac:dyDescent="0.35">
      <c r="G4583" s="88"/>
      <c r="H4583" s="89"/>
      <c r="L4583" s="88"/>
      <c r="M4583" s="89"/>
    </row>
    <row r="4584" spans="7:13" x14ac:dyDescent="0.35">
      <c r="G4584" s="88"/>
      <c r="H4584" s="89"/>
      <c r="L4584" s="88"/>
      <c r="M4584" s="89"/>
    </row>
    <row r="4585" spans="7:13" x14ac:dyDescent="0.35">
      <c r="G4585" s="88"/>
      <c r="H4585" s="89"/>
      <c r="L4585" s="88"/>
      <c r="M4585" s="89"/>
    </row>
    <row r="4586" spans="7:13" x14ac:dyDescent="0.35">
      <c r="G4586" s="88"/>
      <c r="H4586" s="89"/>
      <c r="L4586" s="88"/>
      <c r="M4586" s="89"/>
    </row>
    <row r="4587" spans="7:13" x14ac:dyDescent="0.35">
      <c r="G4587" s="88"/>
      <c r="H4587" s="89"/>
      <c r="L4587" s="88"/>
      <c r="M4587" s="89"/>
    </row>
    <row r="4588" spans="7:13" x14ac:dyDescent="0.35">
      <c r="G4588" s="88"/>
      <c r="H4588" s="89"/>
      <c r="L4588" s="88"/>
      <c r="M4588" s="89"/>
    </row>
    <row r="4589" spans="7:13" x14ac:dyDescent="0.35">
      <c r="G4589" s="88"/>
      <c r="H4589" s="89"/>
      <c r="L4589" s="88"/>
      <c r="M4589" s="89"/>
    </row>
    <row r="4590" spans="7:13" x14ac:dyDescent="0.35">
      <c r="G4590" s="88"/>
      <c r="H4590" s="89"/>
      <c r="L4590" s="88"/>
      <c r="M4590" s="89"/>
    </row>
    <row r="4591" spans="7:13" x14ac:dyDescent="0.35">
      <c r="G4591" s="88"/>
      <c r="H4591" s="89"/>
      <c r="L4591" s="88"/>
      <c r="M4591" s="89"/>
    </row>
    <row r="4592" spans="7:13" x14ac:dyDescent="0.35">
      <c r="G4592" s="88"/>
      <c r="H4592" s="89"/>
      <c r="L4592" s="88"/>
      <c r="M4592" s="89"/>
    </row>
    <row r="4593" spans="7:13" x14ac:dyDescent="0.35">
      <c r="G4593" s="88"/>
      <c r="H4593" s="89"/>
      <c r="L4593" s="88"/>
      <c r="M4593" s="89"/>
    </row>
    <row r="4594" spans="7:13" x14ac:dyDescent="0.35">
      <c r="G4594" s="88"/>
      <c r="H4594" s="89"/>
      <c r="L4594" s="88"/>
      <c r="M4594" s="89"/>
    </row>
    <row r="4595" spans="7:13" x14ac:dyDescent="0.35">
      <c r="G4595" s="88"/>
      <c r="H4595" s="89"/>
      <c r="L4595" s="88"/>
      <c r="M4595" s="89"/>
    </row>
    <row r="4596" spans="7:13" x14ac:dyDescent="0.35">
      <c r="G4596" s="88"/>
      <c r="H4596" s="89"/>
      <c r="L4596" s="88"/>
      <c r="M4596" s="89"/>
    </row>
    <row r="4597" spans="7:13" x14ac:dyDescent="0.35">
      <c r="G4597" s="88"/>
      <c r="H4597" s="89"/>
      <c r="L4597" s="88"/>
      <c r="M4597" s="89"/>
    </row>
    <row r="4598" spans="7:13" x14ac:dyDescent="0.35">
      <c r="G4598" s="88"/>
      <c r="H4598" s="89"/>
      <c r="L4598" s="88"/>
      <c r="M4598" s="89"/>
    </row>
    <row r="4599" spans="7:13" x14ac:dyDescent="0.35">
      <c r="G4599" s="88"/>
      <c r="H4599" s="89"/>
      <c r="L4599" s="88"/>
      <c r="M4599" s="89"/>
    </row>
    <row r="4600" spans="7:13" x14ac:dyDescent="0.35">
      <c r="G4600" s="88"/>
      <c r="H4600" s="89"/>
      <c r="L4600" s="88"/>
      <c r="M4600" s="89"/>
    </row>
    <row r="4601" spans="7:13" x14ac:dyDescent="0.35">
      <c r="G4601" s="88"/>
      <c r="H4601" s="89"/>
      <c r="L4601" s="88"/>
      <c r="M4601" s="89"/>
    </row>
    <row r="4602" spans="7:13" x14ac:dyDescent="0.35">
      <c r="G4602" s="88"/>
      <c r="H4602" s="89"/>
      <c r="L4602" s="88"/>
      <c r="M4602" s="89"/>
    </row>
    <row r="4603" spans="7:13" x14ac:dyDescent="0.35">
      <c r="G4603" s="88"/>
      <c r="H4603" s="89"/>
      <c r="L4603" s="88"/>
      <c r="M4603" s="89"/>
    </row>
    <row r="4604" spans="7:13" x14ac:dyDescent="0.35">
      <c r="G4604" s="88"/>
      <c r="H4604" s="89"/>
      <c r="L4604" s="88"/>
      <c r="M4604" s="89"/>
    </row>
    <row r="4605" spans="7:13" x14ac:dyDescent="0.35">
      <c r="G4605" s="88"/>
      <c r="H4605" s="89"/>
      <c r="L4605" s="88"/>
      <c r="M4605" s="89"/>
    </row>
    <row r="4606" spans="7:13" x14ac:dyDescent="0.35">
      <c r="G4606" s="88"/>
      <c r="H4606" s="89"/>
      <c r="L4606" s="88"/>
      <c r="M4606" s="89"/>
    </row>
    <row r="4607" spans="7:13" x14ac:dyDescent="0.35">
      <c r="G4607" s="88"/>
      <c r="H4607" s="89"/>
      <c r="L4607" s="88"/>
      <c r="M4607" s="89"/>
    </row>
    <row r="4608" spans="7:13" x14ac:dyDescent="0.35">
      <c r="G4608" s="88"/>
      <c r="H4608" s="89"/>
      <c r="L4608" s="88"/>
      <c r="M4608" s="89"/>
    </row>
    <row r="4609" spans="7:13" x14ac:dyDescent="0.35">
      <c r="G4609" s="88"/>
      <c r="H4609" s="89"/>
      <c r="L4609" s="88"/>
      <c r="M4609" s="89"/>
    </row>
    <row r="4610" spans="7:13" x14ac:dyDescent="0.35">
      <c r="G4610" s="88"/>
      <c r="H4610" s="89"/>
      <c r="L4610" s="88"/>
      <c r="M4610" s="89"/>
    </row>
    <row r="4611" spans="7:13" x14ac:dyDescent="0.35">
      <c r="G4611" s="88"/>
      <c r="H4611" s="89"/>
      <c r="L4611" s="88"/>
      <c r="M4611" s="89"/>
    </row>
    <row r="4612" spans="7:13" x14ac:dyDescent="0.35">
      <c r="G4612" s="88"/>
      <c r="H4612" s="89"/>
      <c r="L4612" s="88"/>
      <c r="M4612" s="89"/>
    </row>
    <row r="4613" spans="7:13" x14ac:dyDescent="0.35">
      <c r="G4613" s="88"/>
      <c r="H4613" s="89"/>
      <c r="L4613" s="88"/>
      <c r="M4613" s="89"/>
    </row>
    <row r="4614" spans="7:13" x14ac:dyDescent="0.35">
      <c r="G4614" s="88"/>
      <c r="H4614" s="89"/>
      <c r="L4614" s="88"/>
      <c r="M4614" s="89"/>
    </row>
    <row r="4615" spans="7:13" x14ac:dyDescent="0.35">
      <c r="G4615" s="88"/>
      <c r="H4615" s="89"/>
      <c r="L4615" s="88"/>
      <c r="M4615" s="89"/>
    </row>
    <row r="4616" spans="7:13" x14ac:dyDescent="0.35">
      <c r="G4616" s="88"/>
      <c r="H4616" s="89"/>
      <c r="L4616" s="88"/>
      <c r="M4616" s="89"/>
    </row>
    <row r="4617" spans="7:13" x14ac:dyDescent="0.35">
      <c r="G4617" s="88"/>
      <c r="H4617" s="89"/>
      <c r="L4617" s="88"/>
      <c r="M4617" s="89"/>
    </row>
    <row r="4618" spans="7:13" x14ac:dyDescent="0.35">
      <c r="G4618" s="88"/>
      <c r="H4618" s="89"/>
      <c r="L4618" s="88"/>
      <c r="M4618" s="89"/>
    </row>
    <row r="4619" spans="7:13" x14ac:dyDescent="0.35">
      <c r="G4619" s="88"/>
      <c r="H4619" s="89"/>
      <c r="L4619" s="88"/>
      <c r="M4619" s="89"/>
    </row>
    <row r="4620" spans="7:13" x14ac:dyDescent="0.35">
      <c r="G4620" s="88"/>
      <c r="H4620" s="89"/>
      <c r="L4620" s="88"/>
      <c r="M4620" s="89"/>
    </row>
    <row r="4621" spans="7:13" x14ac:dyDescent="0.35">
      <c r="G4621" s="88"/>
      <c r="H4621" s="89"/>
      <c r="L4621" s="88"/>
      <c r="M4621" s="89"/>
    </row>
    <row r="4622" spans="7:13" x14ac:dyDescent="0.35">
      <c r="G4622" s="88"/>
      <c r="H4622" s="89"/>
      <c r="L4622" s="88"/>
      <c r="M4622" s="89"/>
    </row>
    <row r="4623" spans="7:13" x14ac:dyDescent="0.35">
      <c r="G4623" s="88"/>
      <c r="H4623" s="89"/>
      <c r="L4623" s="88"/>
      <c r="M4623" s="89"/>
    </row>
    <row r="4624" spans="7:13" x14ac:dyDescent="0.35">
      <c r="G4624" s="88"/>
      <c r="H4624" s="89"/>
      <c r="L4624" s="88"/>
      <c r="M4624" s="89"/>
    </row>
    <row r="4625" spans="7:13" x14ac:dyDescent="0.35">
      <c r="G4625" s="88"/>
      <c r="H4625" s="89"/>
      <c r="L4625" s="88"/>
      <c r="M4625" s="89"/>
    </row>
    <row r="4626" spans="7:13" x14ac:dyDescent="0.35">
      <c r="G4626" s="88"/>
      <c r="H4626" s="89"/>
      <c r="L4626" s="88"/>
      <c r="M4626" s="89"/>
    </row>
    <row r="4627" spans="7:13" x14ac:dyDescent="0.35">
      <c r="G4627" s="88"/>
      <c r="H4627" s="89"/>
      <c r="L4627" s="88"/>
      <c r="M4627" s="89"/>
    </row>
    <row r="4628" spans="7:13" x14ac:dyDescent="0.35">
      <c r="G4628" s="88"/>
      <c r="H4628" s="89"/>
      <c r="L4628" s="88"/>
      <c r="M4628" s="89"/>
    </row>
    <row r="4629" spans="7:13" x14ac:dyDescent="0.35">
      <c r="G4629" s="88"/>
      <c r="H4629" s="89"/>
      <c r="L4629" s="88"/>
      <c r="M4629" s="89"/>
    </row>
    <row r="4630" spans="7:13" x14ac:dyDescent="0.35">
      <c r="G4630" s="88"/>
      <c r="H4630" s="89"/>
      <c r="L4630" s="88"/>
      <c r="M4630" s="89"/>
    </row>
    <row r="4631" spans="7:13" x14ac:dyDescent="0.35">
      <c r="G4631" s="88"/>
      <c r="H4631" s="89"/>
      <c r="L4631" s="88"/>
      <c r="M4631" s="89"/>
    </row>
    <row r="4632" spans="7:13" x14ac:dyDescent="0.35">
      <c r="G4632" s="88"/>
      <c r="H4632" s="89"/>
      <c r="L4632" s="88"/>
      <c r="M4632" s="89"/>
    </row>
    <row r="4633" spans="7:13" x14ac:dyDescent="0.35">
      <c r="G4633" s="88"/>
      <c r="H4633" s="89"/>
      <c r="L4633" s="88"/>
      <c r="M4633" s="89"/>
    </row>
    <row r="4634" spans="7:13" x14ac:dyDescent="0.35">
      <c r="G4634" s="88"/>
      <c r="H4634" s="89"/>
      <c r="L4634" s="88"/>
      <c r="M4634" s="89"/>
    </row>
    <row r="4635" spans="7:13" x14ac:dyDescent="0.35">
      <c r="G4635" s="88"/>
      <c r="H4635" s="89"/>
      <c r="L4635" s="88"/>
      <c r="M4635" s="89"/>
    </row>
    <row r="4636" spans="7:13" x14ac:dyDescent="0.35">
      <c r="G4636" s="88"/>
      <c r="H4636" s="89"/>
      <c r="L4636" s="88"/>
      <c r="M4636" s="89"/>
    </row>
    <row r="4637" spans="7:13" x14ac:dyDescent="0.35">
      <c r="G4637" s="88"/>
      <c r="H4637" s="89"/>
      <c r="L4637" s="88"/>
      <c r="M4637" s="89"/>
    </row>
    <row r="4638" spans="7:13" x14ac:dyDescent="0.35">
      <c r="G4638" s="88"/>
      <c r="H4638" s="89"/>
      <c r="L4638" s="88"/>
      <c r="M4638" s="89"/>
    </row>
    <row r="4639" spans="7:13" x14ac:dyDescent="0.35">
      <c r="G4639" s="88"/>
      <c r="H4639" s="89"/>
      <c r="L4639" s="88"/>
      <c r="M4639" s="89"/>
    </row>
    <row r="4640" spans="7:13" x14ac:dyDescent="0.35">
      <c r="G4640" s="88"/>
      <c r="H4640" s="89"/>
      <c r="L4640" s="88"/>
      <c r="M4640" s="89"/>
    </row>
    <row r="4641" spans="7:13" x14ac:dyDescent="0.35">
      <c r="G4641" s="88"/>
      <c r="H4641" s="89"/>
      <c r="L4641" s="88"/>
      <c r="M4641" s="89"/>
    </row>
    <row r="4642" spans="7:13" x14ac:dyDescent="0.35">
      <c r="G4642" s="88"/>
      <c r="H4642" s="89"/>
      <c r="L4642" s="88"/>
      <c r="M4642" s="89"/>
    </row>
    <row r="4643" spans="7:13" x14ac:dyDescent="0.35">
      <c r="G4643" s="88"/>
      <c r="H4643" s="89"/>
      <c r="L4643" s="88"/>
      <c r="M4643" s="89"/>
    </row>
    <row r="4644" spans="7:13" x14ac:dyDescent="0.35">
      <c r="G4644" s="88"/>
      <c r="H4644" s="89"/>
      <c r="L4644" s="88"/>
      <c r="M4644" s="89"/>
    </row>
    <row r="4645" spans="7:13" x14ac:dyDescent="0.35">
      <c r="G4645" s="88"/>
      <c r="H4645" s="89"/>
      <c r="L4645" s="88"/>
      <c r="M4645" s="89"/>
    </row>
    <row r="4646" spans="7:13" x14ac:dyDescent="0.35">
      <c r="G4646" s="88"/>
      <c r="H4646" s="89"/>
      <c r="L4646" s="88"/>
      <c r="M4646" s="89"/>
    </row>
    <row r="4647" spans="7:13" x14ac:dyDescent="0.35">
      <c r="G4647" s="88"/>
      <c r="H4647" s="89"/>
      <c r="L4647" s="88"/>
      <c r="M4647" s="89"/>
    </row>
    <row r="4648" spans="7:13" x14ac:dyDescent="0.35">
      <c r="G4648" s="88"/>
      <c r="H4648" s="89"/>
      <c r="L4648" s="88"/>
      <c r="M4648" s="89"/>
    </row>
    <row r="4649" spans="7:13" x14ac:dyDescent="0.35">
      <c r="G4649" s="88"/>
      <c r="H4649" s="89"/>
      <c r="L4649" s="88"/>
      <c r="M4649" s="89"/>
    </row>
    <row r="4650" spans="7:13" x14ac:dyDescent="0.35">
      <c r="G4650" s="88"/>
      <c r="H4650" s="89"/>
      <c r="L4650" s="88"/>
      <c r="M4650" s="89"/>
    </row>
    <row r="4651" spans="7:13" x14ac:dyDescent="0.35">
      <c r="G4651" s="88"/>
      <c r="H4651" s="89"/>
      <c r="L4651" s="88"/>
      <c r="M4651" s="89"/>
    </row>
    <row r="4652" spans="7:13" x14ac:dyDescent="0.35">
      <c r="G4652" s="88"/>
      <c r="H4652" s="89"/>
      <c r="L4652" s="88"/>
      <c r="M4652" s="89"/>
    </row>
    <row r="4653" spans="7:13" x14ac:dyDescent="0.35">
      <c r="G4653" s="88"/>
      <c r="H4653" s="89"/>
      <c r="L4653" s="88"/>
      <c r="M4653" s="89"/>
    </row>
    <row r="4654" spans="7:13" x14ac:dyDescent="0.35">
      <c r="G4654" s="88"/>
      <c r="H4654" s="89"/>
      <c r="L4654" s="88"/>
      <c r="M4654" s="89"/>
    </row>
    <row r="4655" spans="7:13" x14ac:dyDescent="0.35">
      <c r="G4655" s="88"/>
      <c r="H4655" s="89"/>
      <c r="L4655" s="88"/>
      <c r="M4655" s="89"/>
    </row>
    <row r="4656" spans="7:13" x14ac:dyDescent="0.35">
      <c r="G4656" s="88"/>
      <c r="H4656" s="89"/>
      <c r="L4656" s="88"/>
      <c r="M4656" s="89"/>
    </row>
    <row r="4657" spans="7:13" x14ac:dyDescent="0.35">
      <c r="G4657" s="88"/>
      <c r="H4657" s="89"/>
      <c r="L4657" s="88"/>
      <c r="M4657" s="89"/>
    </row>
    <row r="4658" spans="7:13" x14ac:dyDescent="0.35">
      <c r="G4658" s="88"/>
      <c r="H4658" s="89"/>
      <c r="L4658" s="88"/>
      <c r="M4658" s="89"/>
    </row>
    <row r="4659" spans="7:13" x14ac:dyDescent="0.35">
      <c r="G4659" s="88"/>
      <c r="H4659" s="89"/>
      <c r="L4659" s="88"/>
      <c r="M4659" s="89"/>
    </row>
    <row r="4660" spans="7:13" x14ac:dyDescent="0.35">
      <c r="G4660" s="88"/>
      <c r="H4660" s="89"/>
      <c r="L4660" s="88"/>
      <c r="M4660" s="89"/>
    </row>
    <row r="4661" spans="7:13" x14ac:dyDescent="0.35">
      <c r="G4661" s="88"/>
      <c r="H4661" s="89"/>
      <c r="L4661" s="88"/>
      <c r="M4661" s="89"/>
    </row>
    <row r="4662" spans="7:13" x14ac:dyDescent="0.35">
      <c r="G4662" s="88"/>
      <c r="H4662" s="89"/>
      <c r="L4662" s="88"/>
      <c r="M4662" s="89"/>
    </row>
    <row r="4663" spans="7:13" x14ac:dyDescent="0.35">
      <c r="G4663" s="88"/>
      <c r="H4663" s="89"/>
      <c r="L4663" s="88"/>
      <c r="M4663" s="89"/>
    </row>
    <row r="4664" spans="7:13" x14ac:dyDescent="0.35">
      <c r="G4664" s="88"/>
      <c r="H4664" s="89"/>
      <c r="L4664" s="88"/>
      <c r="M4664" s="89"/>
    </row>
    <row r="4665" spans="7:13" x14ac:dyDescent="0.35">
      <c r="G4665" s="88"/>
      <c r="H4665" s="89"/>
      <c r="L4665" s="88"/>
      <c r="M4665" s="89"/>
    </row>
    <row r="4666" spans="7:13" x14ac:dyDescent="0.35">
      <c r="G4666" s="88"/>
      <c r="H4666" s="89"/>
      <c r="L4666" s="88"/>
      <c r="M4666" s="89"/>
    </row>
    <row r="4667" spans="7:13" x14ac:dyDescent="0.35">
      <c r="G4667" s="88"/>
      <c r="H4667" s="89"/>
      <c r="L4667" s="88"/>
      <c r="M4667" s="89"/>
    </row>
    <row r="4668" spans="7:13" x14ac:dyDescent="0.35">
      <c r="G4668" s="88"/>
      <c r="H4668" s="89"/>
      <c r="L4668" s="88"/>
      <c r="M4668" s="89"/>
    </row>
    <row r="4669" spans="7:13" x14ac:dyDescent="0.35">
      <c r="G4669" s="88"/>
      <c r="H4669" s="89"/>
      <c r="L4669" s="88"/>
      <c r="M4669" s="89"/>
    </row>
    <row r="4670" spans="7:13" x14ac:dyDescent="0.35">
      <c r="G4670" s="88"/>
      <c r="H4670" s="89"/>
      <c r="L4670" s="88"/>
      <c r="M4670" s="89"/>
    </row>
    <row r="4671" spans="7:13" x14ac:dyDescent="0.35">
      <c r="G4671" s="88"/>
      <c r="H4671" s="89"/>
      <c r="L4671" s="88"/>
      <c r="M4671" s="89"/>
    </row>
    <row r="4672" spans="7:13" x14ac:dyDescent="0.35">
      <c r="G4672" s="88"/>
      <c r="H4672" s="89"/>
      <c r="L4672" s="88"/>
      <c r="M4672" s="89"/>
    </row>
    <row r="4673" spans="7:13" x14ac:dyDescent="0.35">
      <c r="G4673" s="88"/>
      <c r="H4673" s="89"/>
      <c r="L4673" s="88"/>
      <c r="M4673" s="89"/>
    </row>
    <row r="4674" spans="7:13" x14ac:dyDescent="0.35">
      <c r="G4674" s="88"/>
      <c r="H4674" s="89"/>
      <c r="L4674" s="88"/>
      <c r="M4674" s="89"/>
    </row>
    <row r="4675" spans="7:13" x14ac:dyDescent="0.35">
      <c r="G4675" s="88"/>
      <c r="H4675" s="89"/>
      <c r="L4675" s="88"/>
      <c r="M4675" s="89"/>
    </row>
    <row r="4676" spans="7:13" x14ac:dyDescent="0.35">
      <c r="G4676" s="88"/>
      <c r="H4676" s="89"/>
      <c r="L4676" s="88"/>
      <c r="M4676" s="89"/>
    </row>
    <row r="4677" spans="7:13" x14ac:dyDescent="0.35">
      <c r="G4677" s="88"/>
      <c r="H4677" s="89"/>
      <c r="L4677" s="88"/>
      <c r="M4677" s="89"/>
    </row>
    <row r="4678" spans="7:13" x14ac:dyDescent="0.35">
      <c r="G4678" s="88"/>
      <c r="H4678" s="89"/>
      <c r="L4678" s="88"/>
      <c r="M4678" s="89"/>
    </row>
    <row r="4679" spans="7:13" x14ac:dyDescent="0.35">
      <c r="G4679" s="88"/>
      <c r="H4679" s="89"/>
      <c r="L4679" s="88"/>
      <c r="M4679" s="89"/>
    </row>
    <row r="4680" spans="7:13" x14ac:dyDescent="0.35">
      <c r="G4680" s="88"/>
      <c r="H4680" s="89"/>
      <c r="L4680" s="88"/>
      <c r="M4680" s="89"/>
    </row>
    <row r="4681" spans="7:13" x14ac:dyDescent="0.35">
      <c r="G4681" s="88"/>
      <c r="H4681" s="89"/>
      <c r="L4681" s="88"/>
      <c r="M4681" s="89"/>
    </row>
    <row r="4682" spans="7:13" x14ac:dyDescent="0.35">
      <c r="G4682" s="88"/>
      <c r="H4682" s="89"/>
      <c r="L4682" s="88"/>
      <c r="M4682" s="89"/>
    </row>
    <row r="4683" spans="7:13" x14ac:dyDescent="0.35">
      <c r="G4683" s="88"/>
      <c r="H4683" s="89"/>
      <c r="L4683" s="88"/>
      <c r="M4683" s="89"/>
    </row>
    <row r="4684" spans="7:13" x14ac:dyDescent="0.35">
      <c r="G4684" s="88"/>
      <c r="H4684" s="89"/>
      <c r="L4684" s="88"/>
      <c r="M4684" s="89"/>
    </row>
    <row r="4685" spans="7:13" x14ac:dyDescent="0.35">
      <c r="G4685" s="88"/>
      <c r="H4685" s="89"/>
      <c r="L4685" s="88"/>
      <c r="M4685" s="89"/>
    </row>
    <row r="4686" spans="7:13" x14ac:dyDescent="0.35">
      <c r="G4686" s="88"/>
      <c r="H4686" s="89"/>
      <c r="L4686" s="88"/>
      <c r="M4686" s="89"/>
    </row>
    <row r="4687" spans="7:13" x14ac:dyDescent="0.35">
      <c r="G4687" s="88"/>
      <c r="H4687" s="89"/>
      <c r="L4687" s="88"/>
      <c r="M4687" s="89"/>
    </row>
    <row r="4688" spans="7:13" x14ac:dyDescent="0.35">
      <c r="G4688" s="88"/>
      <c r="H4688" s="89"/>
      <c r="L4688" s="88"/>
      <c r="M4688" s="89"/>
    </row>
    <row r="4689" spans="7:13" x14ac:dyDescent="0.35">
      <c r="G4689" s="88"/>
      <c r="H4689" s="89"/>
      <c r="L4689" s="88"/>
      <c r="M4689" s="89"/>
    </row>
    <row r="4690" spans="7:13" x14ac:dyDescent="0.35">
      <c r="G4690" s="88"/>
      <c r="H4690" s="89"/>
      <c r="L4690" s="88"/>
      <c r="M4690" s="89"/>
    </row>
    <row r="4691" spans="7:13" x14ac:dyDescent="0.35">
      <c r="G4691" s="88"/>
      <c r="H4691" s="89"/>
      <c r="L4691" s="88"/>
      <c r="M4691" s="89"/>
    </row>
    <row r="4692" spans="7:13" x14ac:dyDescent="0.35">
      <c r="G4692" s="88"/>
      <c r="H4692" s="89"/>
      <c r="L4692" s="88"/>
      <c r="M4692" s="89"/>
    </row>
    <row r="4693" spans="7:13" x14ac:dyDescent="0.35">
      <c r="G4693" s="88"/>
      <c r="H4693" s="89"/>
      <c r="L4693" s="88"/>
      <c r="M4693" s="89"/>
    </row>
    <row r="4694" spans="7:13" x14ac:dyDescent="0.35">
      <c r="G4694" s="88"/>
      <c r="H4694" s="89"/>
      <c r="L4694" s="88"/>
      <c r="M4694" s="89"/>
    </row>
    <row r="4695" spans="7:13" x14ac:dyDescent="0.35">
      <c r="G4695" s="88"/>
      <c r="H4695" s="89"/>
      <c r="L4695" s="88"/>
      <c r="M4695" s="89"/>
    </row>
    <row r="4696" spans="7:13" x14ac:dyDescent="0.35">
      <c r="G4696" s="88"/>
      <c r="H4696" s="89"/>
      <c r="L4696" s="88"/>
      <c r="M4696" s="89"/>
    </row>
    <row r="4697" spans="7:13" x14ac:dyDescent="0.35">
      <c r="G4697" s="88"/>
      <c r="H4697" s="89"/>
      <c r="L4697" s="88"/>
      <c r="M4697" s="89"/>
    </row>
    <row r="4698" spans="7:13" x14ac:dyDescent="0.35">
      <c r="G4698" s="88"/>
      <c r="H4698" s="89"/>
      <c r="L4698" s="88"/>
      <c r="M4698" s="89"/>
    </row>
    <row r="4699" spans="7:13" x14ac:dyDescent="0.35">
      <c r="G4699" s="88"/>
      <c r="H4699" s="89"/>
      <c r="L4699" s="88"/>
      <c r="M4699" s="89"/>
    </row>
    <row r="4700" spans="7:13" x14ac:dyDescent="0.35">
      <c r="G4700" s="88"/>
      <c r="H4700" s="89"/>
      <c r="L4700" s="88"/>
      <c r="M4700" s="89"/>
    </row>
    <row r="4701" spans="7:13" x14ac:dyDescent="0.35">
      <c r="G4701" s="88"/>
      <c r="H4701" s="89"/>
      <c r="L4701" s="88"/>
      <c r="M4701" s="89"/>
    </row>
    <row r="4702" spans="7:13" x14ac:dyDescent="0.35">
      <c r="G4702" s="88"/>
      <c r="H4702" s="89"/>
      <c r="L4702" s="88"/>
      <c r="M4702" s="89"/>
    </row>
    <row r="4703" spans="7:13" x14ac:dyDescent="0.35">
      <c r="G4703" s="88"/>
      <c r="H4703" s="89"/>
      <c r="L4703" s="88"/>
      <c r="M4703" s="89"/>
    </row>
    <row r="4704" spans="7:13" x14ac:dyDescent="0.35">
      <c r="G4704" s="88"/>
      <c r="H4704" s="89"/>
      <c r="L4704" s="88"/>
      <c r="M4704" s="89"/>
    </row>
    <row r="4705" spans="7:13" x14ac:dyDescent="0.35">
      <c r="G4705" s="88"/>
      <c r="H4705" s="89"/>
      <c r="L4705" s="88"/>
      <c r="M4705" s="89"/>
    </row>
    <row r="4706" spans="7:13" x14ac:dyDescent="0.35">
      <c r="G4706" s="88"/>
      <c r="H4706" s="89"/>
      <c r="L4706" s="88"/>
      <c r="M4706" s="89"/>
    </row>
    <row r="4707" spans="7:13" x14ac:dyDescent="0.35">
      <c r="G4707" s="88"/>
      <c r="H4707" s="89"/>
      <c r="L4707" s="88"/>
      <c r="M4707" s="89"/>
    </row>
    <row r="4708" spans="7:13" x14ac:dyDescent="0.35">
      <c r="G4708" s="88"/>
      <c r="H4708" s="89"/>
      <c r="L4708" s="88"/>
      <c r="M4708" s="89"/>
    </row>
    <row r="4709" spans="7:13" x14ac:dyDescent="0.35">
      <c r="G4709" s="88"/>
      <c r="H4709" s="89"/>
      <c r="L4709" s="88"/>
      <c r="M4709" s="89"/>
    </row>
    <row r="4710" spans="7:13" x14ac:dyDescent="0.35">
      <c r="G4710" s="88"/>
      <c r="H4710" s="89"/>
      <c r="L4710" s="88"/>
      <c r="M4710" s="89"/>
    </row>
    <row r="4711" spans="7:13" x14ac:dyDescent="0.35">
      <c r="G4711" s="88"/>
      <c r="H4711" s="89"/>
      <c r="L4711" s="88"/>
      <c r="M4711" s="89"/>
    </row>
    <row r="4712" spans="7:13" x14ac:dyDescent="0.35">
      <c r="G4712" s="88"/>
      <c r="H4712" s="89"/>
      <c r="L4712" s="88"/>
      <c r="M4712" s="89"/>
    </row>
    <row r="4713" spans="7:13" x14ac:dyDescent="0.35">
      <c r="G4713" s="88"/>
      <c r="H4713" s="89"/>
      <c r="L4713" s="88"/>
      <c r="M4713" s="89"/>
    </row>
    <row r="4714" spans="7:13" x14ac:dyDescent="0.35">
      <c r="G4714" s="88"/>
      <c r="H4714" s="89"/>
      <c r="L4714" s="88"/>
      <c r="M4714" s="89"/>
    </row>
    <row r="4715" spans="7:13" x14ac:dyDescent="0.35">
      <c r="G4715" s="88"/>
      <c r="H4715" s="89"/>
      <c r="L4715" s="88"/>
      <c r="M4715" s="89"/>
    </row>
    <row r="4716" spans="7:13" x14ac:dyDescent="0.35">
      <c r="G4716" s="88"/>
      <c r="H4716" s="89"/>
      <c r="L4716" s="88"/>
      <c r="M4716" s="89"/>
    </row>
    <row r="4717" spans="7:13" x14ac:dyDescent="0.35">
      <c r="G4717" s="88"/>
      <c r="H4717" s="89"/>
      <c r="L4717" s="88"/>
      <c r="M4717" s="89"/>
    </row>
    <row r="4718" spans="7:13" x14ac:dyDescent="0.35">
      <c r="G4718" s="88"/>
      <c r="H4718" s="89"/>
      <c r="L4718" s="88"/>
      <c r="M4718" s="89"/>
    </row>
    <row r="4719" spans="7:13" x14ac:dyDescent="0.35">
      <c r="G4719" s="88"/>
      <c r="H4719" s="89"/>
      <c r="L4719" s="88"/>
      <c r="M4719" s="89"/>
    </row>
    <row r="4720" spans="7:13" x14ac:dyDescent="0.35">
      <c r="G4720" s="88"/>
      <c r="H4720" s="89"/>
      <c r="L4720" s="88"/>
      <c r="M4720" s="89"/>
    </row>
    <row r="4721" spans="7:13" x14ac:dyDescent="0.35">
      <c r="G4721" s="88"/>
      <c r="H4721" s="89"/>
      <c r="L4721" s="88"/>
      <c r="M4721" s="89"/>
    </row>
    <row r="4722" spans="7:13" x14ac:dyDescent="0.35">
      <c r="G4722" s="88"/>
      <c r="H4722" s="89"/>
      <c r="L4722" s="88"/>
      <c r="M4722" s="89"/>
    </row>
    <row r="4723" spans="7:13" x14ac:dyDescent="0.35">
      <c r="G4723" s="88"/>
      <c r="H4723" s="89"/>
      <c r="L4723" s="88"/>
      <c r="M4723" s="89"/>
    </row>
    <row r="4724" spans="7:13" x14ac:dyDescent="0.35">
      <c r="G4724" s="88"/>
      <c r="H4724" s="89"/>
      <c r="L4724" s="88"/>
      <c r="M4724" s="89"/>
    </row>
    <row r="4725" spans="7:13" x14ac:dyDescent="0.35">
      <c r="G4725" s="88"/>
      <c r="H4725" s="89"/>
      <c r="L4725" s="88"/>
      <c r="M4725" s="89"/>
    </row>
    <row r="4726" spans="7:13" x14ac:dyDescent="0.35">
      <c r="G4726" s="88"/>
      <c r="H4726" s="89"/>
      <c r="L4726" s="88"/>
      <c r="M4726" s="89"/>
    </row>
    <row r="4727" spans="7:13" x14ac:dyDescent="0.35">
      <c r="G4727" s="88"/>
      <c r="H4727" s="89"/>
      <c r="L4727" s="88"/>
      <c r="M4727" s="89"/>
    </row>
    <row r="4728" spans="7:13" x14ac:dyDescent="0.35">
      <c r="G4728" s="88"/>
      <c r="H4728" s="89"/>
      <c r="L4728" s="88"/>
      <c r="M4728" s="89"/>
    </row>
    <row r="4729" spans="7:13" x14ac:dyDescent="0.35">
      <c r="G4729" s="88"/>
      <c r="H4729" s="89"/>
      <c r="L4729" s="88"/>
      <c r="M4729" s="89"/>
    </row>
    <row r="4730" spans="7:13" x14ac:dyDescent="0.35">
      <c r="G4730" s="88"/>
      <c r="H4730" s="89"/>
      <c r="L4730" s="88"/>
      <c r="M4730" s="89"/>
    </row>
    <row r="4731" spans="7:13" x14ac:dyDescent="0.35">
      <c r="G4731" s="88"/>
      <c r="H4731" s="89"/>
      <c r="L4731" s="88"/>
      <c r="M4731" s="89"/>
    </row>
    <row r="4732" spans="7:13" x14ac:dyDescent="0.35">
      <c r="G4732" s="88"/>
      <c r="H4732" s="89"/>
      <c r="L4732" s="88"/>
      <c r="M4732" s="89"/>
    </row>
    <row r="4733" spans="7:13" x14ac:dyDescent="0.35">
      <c r="G4733" s="88"/>
      <c r="H4733" s="89"/>
      <c r="L4733" s="88"/>
      <c r="M4733" s="89"/>
    </row>
    <row r="4734" spans="7:13" x14ac:dyDescent="0.35">
      <c r="G4734" s="88"/>
      <c r="H4734" s="89"/>
      <c r="L4734" s="88"/>
      <c r="M4734" s="89"/>
    </row>
    <row r="4735" spans="7:13" x14ac:dyDescent="0.35">
      <c r="G4735" s="88"/>
      <c r="H4735" s="89"/>
      <c r="L4735" s="88"/>
      <c r="M4735" s="89"/>
    </row>
    <row r="4736" spans="7:13" x14ac:dyDescent="0.35">
      <c r="G4736" s="88"/>
      <c r="H4736" s="89"/>
      <c r="L4736" s="88"/>
      <c r="M4736" s="89"/>
    </row>
    <row r="4737" spans="7:13" x14ac:dyDescent="0.35">
      <c r="G4737" s="88"/>
      <c r="H4737" s="89"/>
      <c r="L4737" s="88"/>
      <c r="M4737" s="89"/>
    </row>
    <row r="4738" spans="7:13" x14ac:dyDescent="0.35">
      <c r="G4738" s="88"/>
      <c r="H4738" s="89"/>
      <c r="L4738" s="88"/>
      <c r="M4738" s="89"/>
    </row>
    <row r="4739" spans="7:13" x14ac:dyDescent="0.35">
      <c r="G4739" s="88"/>
      <c r="H4739" s="89"/>
      <c r="L4739" s="88"/>
      <c r="M4739" s="89"/>
    </row>
    <row r="4740" spans="7:13" x14ac:dyDescent="0.35">
      <c r="G4740" s="88"/>
      <c r="H4740" s="89"/>
      <c r="L4740" s="88"/>
      <c r="M4740" s="89"/>
    </row>
    <row r="4741" spans="7:13" x14ac:dyDescent="0.35">
      <c r="G4741" s="88"/>
      <c r="H4741" s="89"/>
      <c r="L4741" s="88"/>
      <c r="M4741" s="89"/>
    </row>
    <row r="4742" spans="7:13" x14ac:dyDescent="0.35">
      <c r="G4742" s="88"/>
      <c r="H4742" s="89"/>
      <c r="L4742" s="88"/>
      <c r="M4742" s="89"/>
    </row>
    <row r="4743" spans="7:13" x14ac:dyDescent="0.35">
      <c r="G4743" s="88"/>
      <c r="H4743" s="89"/>
      <c r="L4743" s="88"/>
      <c r="M4743" s="89"/>
    </row>
    <row r="4744" spans="7:13" x14ac:dyDescent="0.35">
      <c r="G4744" s="88"/>
      <c r="H4744" s="89"/>
      <c r="L4744" s="88"/>
      <c r="M4744" s="89"/>
    </row>
    <row r="4745" spans="7:13" x14ac:dyDescent="0.35">
      <c r="G4745" s="88"/>
      <c r="H4745" s="89"/>
      <c r="L4745" s="88"/>
      <c r="M4745" s="89"/>
    </row>
    <row r="4746" spans="7:13" x14ac:dyDescent="0.35">
      <c r="G4746" s="88"/>
      <c r="H4746" s="89"/>
      <c r="L4746" s="88"/>
      <c r="M4746" s="89"/>
    </row>
    <row r="4747" spans="7:13" x14ac:dyDescent="0.35">
      <c r="G4747" s="88"/>
      <c r="H4747" s="89"/>
      <c r="L4747" s="88"/>
      <c r="M4747" s="89"/>
    </row>
    <row r="4748" spans="7:13" x14ac:dyDescent="0.35">
      <c r="G4748" s="88"/>
      <c r="H4748" s="89"/>
      <c r="L4748" s="88"/>
      <c r="M4748" s="89"/>
    </row>
    <row r="4749" spans="7:13" x14ac:dyDescent="0.35">
      <c r="G4749" s="88"/>
      <c r="H4749" s="89"/>
      <c r="L4749" s="88"/>
      <c r="M4749" s="89"/>
    </row>
    <row r="4750" spans="7:13" x14ac:dyDescent="0.35">
      <c r="G4750" s="88"/>
      <c r="H4750" s="89"/>
      <c r="L4750" s="88"/>
      <c r="M4750" s="89"/>
    </row>
    <row r="4751" spans="7:13" x14ac:dyDescent="0.35">
      <c r="G4751" s="88"/>
      <c r="H4751" s="89"/>
      <c r="L4751" s="88"/>
      <c r="M4751" s="89"/>
    </row>
    <row r="4752" spans="7:13" x14ac:dyDescent="0.35">
      <c r="G4752" s="88"/>
      <c r="H4752" s="89"/>
      <c r="L4752" s="88"/>
      <c r="M4752" s="89"/>
    </row>
    <row r="4753" spans="7:13" x14ac:dyDescent="0.35">
      <c r="G4753" s="88"/>
      <c r="H4753" s="89"/>
      <c r="L4753" s="88"/>
      <c r="M4753" s="89"/>
    </row>
    <row r="4754" spans="7:13" x14ac:dyDescent="0.35">
      <c r="G4754" s="88"/>
      <c r="H4754" s="89"/>
      <c r="L4754" s="88"/>
      <c r="M4754" s="89"/>
    </row>
    <row r="4755" spans="7:13" x14ac:dyDescent="0.35">
      <c r="G4755" s="88"/>
      <c r="H4755" s="89"/>
      <c r="L4755" s="88"/>
      <c r="M4755" s="89"/>
    </row>
    <row r="4756" spans="7:13" x14ac:dyDescent="0.35">
      <c r="G4756" s="88"/>
      <c r="H4756" s="89"/>
      <c r="L4756" s="88"/>
      <c r="M4756" s="89"/>
    </row>
    <row r="4757" spans="7:13" x14ac:dyDescent="0.35">
      <c r="G4757" s="88"/>
      <c r="H4757" s="89"/>
      <c r="L4757" s="88"/>
      <c r="M4757" s="89"/>
    </row>
    <row r="4758" spans="7:13" x14ac:dyDescent="0.35">
      <c r="G4758" s="88"/>
      <c r="H4758" s="89"/>
      <c r="L4758" s="88"/>
      <c r="M4758" s="89"/>
    </row>
    <row r="4759" spans="7:13" x14ac:dyDescent="0.35">
      <c r="G4759" s="88"/>
      <c r="H4759" s="89"/>
      <c r="L4759" s="88"/>
      <c r="M4759" s="89"/>
    </row>
    <row r="4760" spans="7:13" x14ac:dyDescent="0.35">
      <c r="G4760" s="88"/>
      <c r="H4760" s="89"/>
      <c r="L4760" s="88"/>
      <c r="M4760" s="89"/>
    </row>
    <row r="4761" spans="7:13" x14ac:dyDescent="0.35">
      <c r="G4761" s="88"/>
      <c r="H4761" s="89"/>
      <c r="L4761" s="88"/>
      <c r="M4761" s="89"/>
    </row>
    <row r="4762" spans="7:13" x14ac:dyDescent="0.35">
      <c r="G4762" s="88"/>
      <c r="H4762" s="89"/>
      <c r="L4762" s="88"/>
      <c r="M4762" s="89"/>
    </row>
    <row r="4763" spans="7:13" x14ac:dyDescent="0.35">
      <c r="G4763" s="88"/>
      <c r="H4763" s="89"/>
      <c r="L4763" s="88"/>
      <c r="M4763" s="89"/>
    </row>
    <row r="4764" spans="7:13" x14ac:dyDescent="0.35">
      <c r="G4764" s="88"/>
      <c r="H4764" s="89"/>
      <c r="L4764" s="88"/>
      <c r="M4764" s="89"/>
    </row>
    <row r="4765" spans="7:13" x14ac:dyDescent="0.35">
      <c r="G4765" s="88"/>
      <c r="H4765" s="89"/>
      <c r="L4765" s="88"/>
      <c r="M4765" s="89"/>
    </row>
    <row r="4766" spans="7:13" x14ac:dyDescent="0.35">
      <c r="G4766" s="88"/>
      <c r="H4766" s="89"/>
      <c r="L4766" s="88"/>
      <c r="M4766" s="89"/>
    </row>
    <row r="4767" spans="7:13" x14ac:dyDescent="0.35">
      <c r="G4767" s="88"/>
      <c r="H4767" s="89"/>
      <c r="L4767" s="88"/>
      <c r="M4767" s="89"/>
    </row>
    <row r="4768" spans="7:13" x14ac:dyDescent="0.35">
      <c r="G4768" s="88"/>
      <c r="H4768" s="89"/>
      <c r="L4768" s="88"/>
      <c r="M4768" s="89"/>
    </row>
    <row r="4769" spans="7:13" x14ac:dyDescent="0.35">
      <c r="G4769" s="88"/>
      <c r="H4769" s="89"/>
      <c r="L4769" s="88"/>
      <c r="M4769" s="89"/>
    </row>
    <row r="4770" spans="7:13" x14ac:dyDescent="0.35">
      <c r="G4770" s="88"/>
      <c r="H4770" s="89"/>
      <c r="L4770" s="88"/>
      <c r="M4770" s="89"/>
    </row>
    <row r="4771" spans="7:13" x14ac:dyDescent="0.35">
      <c r="G4771" s="88"/>
      <c r="H4771" s="89"/>
      <c r="L4771" s="88"/>
      <c r="M4771" s="89"/>
    </row>
    <row r="4772" spans="7:13" x14ac:dyDescent="0.35">
      <c r="G4772" s="88"/>
      <c r="H4772" s="89"/>
      <c r="L4772" s="88"/>
      <c r="M4772" s="89"/>
    </row>
    <row r="4773" spans="7:13" x14ac:dyDescent="0.35">
      <c r="G4773" s="88"/>
      <c r="H4773" s="89"/>
      <c r="L4773" s="88"/>
      <c r="M4773" s="89"/>
    </row>
    <row r="4774" spans="7:13" x14ac:dyDescent="0.35">
      <c r="G4774" s="88"/>
      <c r="H4774" s="89"/>
      <c r="L4774" s="88"/>
      <c r="M4774" s="89"/>
    </row>
    <row r="4775" spans="7:13" x14ac:dyDescent="0.35">
      <c r="G4775" s="88"/>
      <c r="H4775" s="89"/>
      <c r="L4775" s="88"/>
      <c r="M4775" s="89"/>
    </row>
    <row r="4776" spans="7:13" x14ac:dyDescent="0.35">
      <c r="G4776" s="88"/>
      <c r="H4776" s="89"/>
      <c r="L4776" s="88"/>
      <c r="M4776" s="89"/>
    </row>
    <row r="4777" spans="7:13" x14ac:dyDescent="0.35">
      <c r="G4777" s="88"/>
      <c r="H4777" s="89"/>
      <c r="L4777" s="88"/>
      <c r="M4777" s="89"/>
    </row>
    <row r="4778" spans="7:13" x14ac:dyDescent="0.35">
      <c r="G4778" s="88"/>
      <c r="H4778" s="89"/>
      <c r="L4778" s="88"/>
      <c r="M4778" s="89"/>
    </row>
    <row r="4779" spans="7:13" x14ac:dyDescent="0.35">
      <c r="G4779" s="88"/>
      <c r="H4779" s="89"/>
      <c r="L4779" s="88"/>
      <c r="M4779" s="89"/>
    </row>
    <row r="4780" spans="7:13" x14ac:dyDescent="0.35">
      <c r="G4780" s="88"/>
      <c r="H4780" s="89"/>
      <c r="L4780" s="88"/>
      <c r="M4780" s="89"/>
    </row>
    <row r="4781" spans="7:13" x14ac:dyDescent="0.35">
      <c r="G4781" s="88"/>
      <c r="H4781" s="89"/>
      <c r="L4781" s="88"/>
      <c r="M4781" s="89"/>
    </row>
    <row r="4782" spans="7:13" x14ac:dyDescent="0.35">
      <c r="G4782" s="88"/>
      <c r="H4782" s="89"/>
      <c r="L4782" s="88"/>
      <c r="M4782" s="89"/>
    </row>
    <row r="4783" spans="7:13" x14ac:dyDescent="0.35">
      <c r="G4783" s="88"/>
      <c r="H4783" s="89"/>
      <c r="L4783" s="88"/>
      <c r="M4783" s="89"/>
    </row>
    <row r="4784" spans="7:13" x14ac:dyDescent="0.35">
      <c r="G4784" s="88"/>
      <c r="H4784" s="89"/>
      <c r="L4784" s="88"/>
      <c r="M4784" s="89"/>
    </row>
    <row r="4785" spans="7:13" x14ac:dyDescent="0.35">
      <c r="G4785" s="88"/>
      <c r="H4785" s="89"/>
      <c r="L4785" s="88"/>
      <c r="M4785" s="89"/>
    </row>
    <row r="4786" spans="7:13" x14ac:dyDescent="0.35">
      <c r="G4786" s="88"/>
      <c r="H4786" s="89"/>
      <c r="L4786" s="88"/>
      <c r="M4786" s="89"/>
    </row>
    <row r="4787" spans="7:13" x14ac:dyDescent="0.35">
      <c r="G4787" s="88"/>
      <c r="H4787" s="89"/>
      <c r="L4787" s="88"/>
      <c r="M4787" s="89"/>
    </row>
    <row r="4788" spans="7:13" x14ac:dyDescent="0.35">
      <c r="G4788" s="88"/>
      <c r="H4788" s="89"/>
      <c r="L4788" s="88"/>
      <c r="M4788" s="89"/>
    </row>
    <row r="4789" spans="7:13" x14ac:dyDescent="0.35">
      <c r="G4789" s="88"/>
      <c r="H4789" s="89"/>
      <c r="L4789" s="88"/>
      <c r="M4789" s="89"/>
    </row>
    <row r="4790" spans="7:13" x14ac:dyDescent="0.35">
      <c r="G4790" s="88"/>
      <c r="H4790" s="89"/>
      <c r="L4790" s="88"/>
      <c r="M4790" s="89"/>
    </row>
    <row r="4791" spans="7:13" x14ac:dyDescent="0.35">
      <c r="G4791" s="88"/>
      <c r="H4791" s="89"/>
      <c r="L4791" s="88"/>
      <c r="M4791" s="89"/>
    </row>
    <row r="4792" spans="7:13" x14ac:dyDescent="0.35">
      <c r="G4792" s="88"/>
      <c r="H4792" s="89"/>
      <c r="L4792" s="88"/>
      <c r="M4792" s="89"/>
    </row>
    <row r="4793" spans="7:13" x14ac:dyDescent="0.35">
      <c r="G4793" s="88"/>
      <c r="H4793" s="89"/>
      <c r="L4793" s="88"/>
      <c r="M4793" s="89"/>
    </row>
    <row r="4794" spans="7:13" x14ac:dyDescent="0.35">
      <c r="G4794" s="88"/>
      <c r="H4794" s="89"/>
      <c r="L4794" s="88"/>
      <c r="M4794" s="89"/>
    </row>
    <row r="4795" spans="7:13" x14ac:dyDescent="0.35">
      <c r="G4795" s="88"/>
      <c r="H4795" s="89"/>
      <c r="L4795" s="88"/>
      <c r="M4795" s="89"/>
    </row>
    <row r="4796" spans="7:13" x14ac:dyDescent="0.35">
      <c r="G4796" s="88"/>
      <c r="H4796" s="89"/>
      <c r="L4796" s="88"/>
      <c r="M4796" s="89"/>
    </row>
    <row r="4797" spans="7:13" x14ac:dyDescent="0.35">
      <c r="G4797" s="88"/>
      <c r="H4797" s="89"/>
      <c r="L4797" s="88"/>
      <c r="M4797" s="89"/>
    </row>
    <row r="4798" spans="7:13" x14ac:dyDescent="0.35">
      <c r="G4798" s="88"/>
      <c r="H4798" s="89"/>
      <c r="L4798" s="88"/>
      <c r="M4798" s="89"/>
    </row>
    <row r="4799" spans="7:13" x14ac:dyDescent="0.35">
      <c r="G4799" s="88"/>
      <c r="H4799" s="89"/>
      <c r="L4799" s="88"/>
      <c r="M4799" s="89"/>
    </row>
    <row r="4800" spans="7:13" x14ac:dyDescent="0.35">
      <c r="G4800" s="88"/>
      <c r="H4800" s="89"/>
      <c r="L4800" s="88"/>
      <c r="M4800" s="89"/>
    </row>
    <row r="4801" spans="7:13" x14ac:dyDescent="0.35">
      <c r="G4801" s="88"/>
      <c r="H4801" s="89"/>
      <c r="L4801" s="88"/>
      <c r="M4801" s="89"/>
    </row>
    <row r="4802" spans="7:13" x14ac:dyDescent="0.35">
      <c r="G4802" s="88"/>
      <c r="H4802" s="89"/>
      <c r="L4802" s="88"/>
      <c r="M4802" s="89"/>
    </row>
    <row r="4803" spans="7:13" x14ac:dyDescent="0.35">
      <c r="G4803" s="88"/>
      <c r="H4803" s="89"/>
      <c r="L4803" s="88"/>
      <c r="M4803" s="89"/>
    </row>
    <row r="4804" spans="7:13" x14ac:dyDescent="0.35">
      <c r="G4804" s="88"/>
      <c r="H4804" s="89"/>
      <c r="L4804" s="88"/>
      <c r="M4804" s="89"/>
    </row>
    <row r="4805" spans="7:13" x14ac:dyDescent="0.35">
      <c r="G4805" s="88"/>
      <c r="H4805" s="89"/>
      <c r="L4805" s="88"/>
      <c r="M4805" s="89"/>
    </row>
    <row r="4806" spans="7:13" x14ac:dyDescent="0.35">
      <c r="G4806" s="88"/>
      <c r="H4806" s="89"/>
      <c r="L4806" s="88"/>
      <c r="M4806" s="89"/>
    </row>
    <row r="4807" spans="7:13" x14ac:dyDescent="0.35">
      <c r="G4807" s="88"/>
      <c r="H4807" s="89"/>
      <c r="L4807" s="88"/>
      <c r="M4807" s="89"/>
    </row>
    <row r="4808" spans="7:13" x14ac:dyDescent="0.35">
      <c r="G4808" s="88"/>
      <c r="H4808" s="89"/>
      <c r="L4808" s="88"/>
      <c r="M4808" s="89"/>
    </row>
    <row r="4809" spans="7:13" x14ac:dyDescent="0.35">
      <c r="G4809" s="88"/>
      <c r="H4809" s="89"/>
      <c r="L4809" s="88"/>
      <c r="M4809" s="89"/>
    </row>
    <row r="4810" spans="7:13" x14ac:dyDescent="0.35">
      <c r="G4810" s="88"/>
      <c r="H4810" s="89"/>
      <c r="L4810" s="88"/>
      <c r="M4810" s="89"/>
    </row>
    <row r="4811" spans="7:13" x14ac:dyDescent="0.35">
      <c r="G4811" s="88"/>
      <c r="H4811" s="89"/>
      <c r="L4811" s="88"/>
      <c r="M4811" s="89"/>
    </row>
    <row r="4812" spans="7:13" x14ac:dyDescent="0.35">
      <c r="G4812" s="88"/>
      <c r="H4812" s="89"/>
      <c r="L4812" s="88"/>
      <c r="M4812" s="89"/>
    </row>
    <row r="4813" spans="7:13" x14ac:dyDescent="0.35">
      <c r="G4813" s="88"/>
      <c r="H4813" s="89"/>
      <c r="L4813" s="88"/>
      <c r="M4813" s="89"/>
    </row>
    <row r="4814" spans="7:13" x14ac:dyDescent="0.35">
      <c r="G4814" s="88"/>
      <c r="H4814" s="89"/>
      <c r="L4814" s="88"/>
      <c r="M4814" s="89"/>
    </row>
    <row r="4815" spans="7:13" x14ac:dyDescent="0.35">
      <c r="G4815" s="88"/>
      <c r="H4815" s="89"/>
      <c r="L4815" s="88"/>
      <c r="M4815" s="89"/>
    </row>
    <row r="4816" spans="7:13" x14ac:dyDescent="0.35">
      <c r="G4816" s="88"/>
      <c r="H4816" s="89"/>
      <c r="L4816" s="88"/>
      <c r="M4816" s="89"/>
    </row>
    <row r="4817" spans="7:13" x14ac:dyDescent="0.35">
      <c r="G4817" s="88"/>
      <c r="H4817" s="89"/>
      <c r="L4817" s="88"/>
      <c r="M4817" s="89"/>
    </row>
    <row r="4818" spans="7:13" x14ac:dyDescent="0.35">
      <c r="G4818" s="88"/>
      <c r="H4818" s="89"/>
      <c r="L4818" s="88"/>
      <c r="M4818" s="89"/>
    </row>
    <row r="4819" spans="7:13" x14ac:dyDescent="0.35">
      <c r="G4819" s="88"/>
      <c r="H4819" s="89"/>
      <c r="L4819" s="88"/>
      <c r="M4819" s="89"/>
    </row>
    <row r="4820" spans="7:13" x14ac:dyDescent="0.35">
      <c r="G4820" s="88"/>
      <c r="H4820" s="89"/>
      <c r="L4820" s="88"/>
      <c r="M4820" s="89"/>
    </row>
    <row r="4821" spans="7:13" x14ac:dyDescent="0.35">
      <c r="G4821" s="88"/>
      <c r="H4821" s="89"/>
      <c r="L4821" s="88"/>
      <c r="M4821" s="89"/>
    </row>
    <row r="4822" spans="7:13" x14ac:dyDescent="0.35">
      <c r="G4822" s="88"/>
      <c r="H4822" s="89"/>
      <c r="L4822" s="88"/>
      <c r="M4822" s="89"/>
    </row>
    <row r="4823" spans="7:13" x14ac:dyDescent="0.35">
      <c r="G4823" s="88"/>
      <c r="H4823" s="89"/>
      <c r="L4823" s="88"/>
      <c r="M4823" s="89"/>
    </row>
    <row r="4824" spans="7:13" x14ac:dyDescent="0.35">
      <c r="G4824" s="88"/>
      <c r="H4824" s="89"/>
      <c r="L4824" s="88"/>
      <c r="M4824" s="89"/>
    </row>
    <row r="4825" spans="7:13" x14ac:dyDescent="0.35">
      <c r="G4825" s="88"/>
      <c r="H4825" s="89"/>
      <c r="L4825" s="88"/>
      <c r="M4825" s="89"/>
    </row>
    <row r="4826" spans="7:13" x14ac:dyDescent="0.35">
      <c r="G4826" s="88"/>
      <c r="H4826" s="89"/>
      <c r="L4826" s="88"/>
      <c r="M4826" s="89"/>
    </row>
    <row r="4827" spans="7:13" x14ac:dyDescent="0.35">
      <c r="G4827" s="88"/>
      <c r="H4827" s="89"/>
      <c r="L4827" s="88"/>
      <c r="M4827" s="89"/>
    </row>
    <row r="4828" spans="7:13" x14ac:dyDescent="0.35">
      <c r="G4828" s="88"/>
      <c r="H4828" s="89"/>
      <c r="L4828" s="88"/>
      <c r="M4828" s="89"/>
    </row>
    <row r="4829" spans="7:13" x14ac:dyDescent="0.35">
      <c r="G4829" s="88"/>
      <c r="H4829" s="89"/>
      <c r="L4829" s="88"/>
      <c r="M4829" s="89"/>
    </row>
    <row r="4830" spans="7:13" x14ac:dyDescent="0.35">
      <c r="G4830" s="88"/>
      <c r="H4830" s="89"/>
      <c r="L4830" s="88"/>
      <c r="M4830" s="89"/>
    </row>
    <row r="4831" spans="7:13" x14ac:dyDescent="0.35">
      <c r="G4831" s="88"/>
      <c r="H4831" s="89"/>
      <c r="L4831" s="88"/>
      <c r="M4831" s="89"/>
    </row>
    <row r="4832" spans="7:13" x14ac:dyDescent="0.35">
      <c r="G4832" s="88"/>
      <c r="H4832" s="89"/>
      <c r="L4832" s="88"/>
      <c r="M4832" s="89"/>
    </row>
    <row r="4833" spans="7:13" x14ac:dyDescent="0.35">
      <c r="G4833" s="88"/>
      <c r="H4833" s="89"/>
      <c r="L4833" s="88"/>
      <c r="M4833" s="89"/>
    </row>
    <row r="4834" spans="7:13" x14ac:dyDescent="0.35">
      <c r="G4834" s="88"/>
      <c r="H4834" s="89"/>
      <c r="L4834" s="88"/>
      <c r="M4834" s="89"/>
    </row>
    <row r="4835" spans="7:13" x14ac:dyDescent="0.35">
      <c r="G4835" s="88"/>
      <c r="H4835" s="89"/>
      <c r="L4835" s="88"/>
      <c r="M4835" s="89"/>
    </row>
  </sheetData>
  <phoneticPr fontId="29" type="noConversion"/>
  <pageMargins left="0.7" right="0.7" top="0.75" bottom="0.75" header="0.3" footer="0.3"/>
  <pageSetup paperSize="9" orientation="portrait" horizontalDpi="1200" verticalDpi="1200" r:id="rId1"/>
  <customProperties>
    <customPr name="SheetID" r:id="rId2"/>
  </customProperties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"/>
  <dimension ref="A1:AV462"/>
  <sheetViews>
    <sheetView zoomScale="85" zoomScaleNormal="85" workbookViewId="0">
      <selection activeCell="H11" sqref="H11"/>
    </sheetView>
  </sheetViews>
  <sheetFormatPr defaultColWidth="9" defaultRowHeight="14.15" x14ac:dyDescent="0.3"/>
  <cols>
    <col min="1" max="1" width="9" style="1"/>
    <col min="2" max="2" width="13.2109375" style="1" customWidth="1"/>
    <col min="3" max="3" width="10.85546875" style="1" customWidth="1"/>
    <col min="4" max="12" width="13" style="1" customWidth="1"/>
    <col min="13" max="13" width="9" style="2"/>
    <col min="14" max="14" width="9.140625" style="2" customWidth="1"/>
    <col min="15" max="15" width="9.2109375" style="3" customWidth="1"/>
    <col min="16" max="16" width="13.42578125" style="3" customWidth="1"/>
    <col min="17" max="17" width="9" style="2"/>
    <col min="18" max="18" width="11.2109375" style="4" customWidth="1"/>
    <col min="19" max="19" width="15.140625" style="4" customWidth="1"/>
    <col min="20" max="21" width="8.2109375" style="4" customWidth="1"/>
    <col min="22" max="22" width="9.42578125" style="4" customWidth="1"/>
    <col min="23" max="23" width="8.140625" style="4" customWidth="1"/>
    <col min="24" max="25" width="8.2109375" style="4" customWidth="1"/>
    <col min="26" max="26" width="17.42578125" style="4" customWidth="1"/>
    <col min="27" max="27" width="15.140625" style="4" customWidth="1"/>
    <col min="28" max="29" width="8.2109375" style="4" customWidth="1"/>
    <col min="30" max="30" width="12.42578125" style="47" customWidth="1"/>
    <col min="31" max="31" width="8.2109375" style="56" customWidth="1"/>
    <col min="32" max="32" width="9" style="1"/>
    <col min="33" max="33" width="10.35546875" style="57" customWidth="1"/>
    <col min="34" max="35" width="8.2109375" style="4" customWidth="1"/>
    <col min="36" max="36" width="9.42578125" style="4" customWidth="1"/>
    <col min="37" max="39" width="8.2109375" style="4" customWidth="1"/>
    <col min="40" max="40" width="13.640625" style="4" customWidth="1"/>
    <col min="41" max="41" width="8.2109375" style="4" customWidth="1"/>
    <col min="42" max="42" width="11.78515625" style="58" customWidth="1"/>
    <col min="43" max="43" width="9" style="1"/>
    <col min="44" max="44" width="11.35546875" style="57" customWidth="1"/>
    <col min="45" max="45" width="8.2109375" style="59" customWidth="1"/>
    <col min="46" max="46" width="14.78515625" style="59" customWidth="1"/>
    <col min="47" max="48" width="9" style="2"/>
    <col min="49" max="16384" width="9" style="1"/>
  </cols>
  <sheetData>
    <row r="1" spans="1:46" ht="74.150000000000006" customHeight="1" x14ac:dyDescent="0.35">
      <c r="A1" s="157" t="s">
        <v>191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  <c r="L1" s="157"/>
      <c r="O1" s="158" t="s">
        <v>192</v>
      </c>
      <c r="P1" s="158"/>
      <c r="R1" s="159" t="s">
        <v>193</v>
      </c>
      <c r="S1" s="159"/>
      <c r="T1" s="159"/>
      <c r="U1" s="159"/>
      <c r="V1" s="159"/>
      <c r="W1" s="159"/>
      <c r="X1" s="159"/>
      <c r="Y1" s="159"/>
      <c r="Z1" s="159"/>
      <c r="AA1" s="159"/>
      <c r="AB1" s="159"/>
      <c r="AC1" s="159"/>
      <c r="AD1" s="159"/>
      <c r="AE1" s="159"/>
      <c r="AF1" s="159"/>
      <c r="AG1" s="159"/>
      <c r="AH1" s="159"/>
      <c r="AI1" s="159"/>
      <c r="AJ1" s="159"/>
      <c r="AK1" s="159"/>
      <c r="AL1" s="159"/>
      <c r="AM1" s="159"/>
      <c r="AN1" s="159"/>
      <c r="AO1" s="159"/>
      <c r="AP1" s="159"/>
      <c r="AQ1" s="159"/>
      <c r="AR1" s="159"/>
      <c r="AS1" s="159"/>
      <c r="AT1" s="159"/>
    </row>
    <row r="2" spans="1:46" ht="54.65" customHeight="1" x14ac:dyDescent="0.3">
      <c r="O2" s="46" t="str">
        <f>[1]!edb()</f>
        <v>Wind</v>
      </c>
      <c r="P2" s="47"/>
      <c r="R2" s="60" t="str">
        <f>[1]!edb()</f>
        <v>Wind</v>
      </c>
      <c r="S2" s="14"/>
      <c r="T2" s="14"/>
      <c r="U2" s="14"/>
      <c r="V2" s="14"/>
      <c r="W2" s="14"/>
      <c r="X2" s="61" t="s">
        <v>194</v>
      </c>
      <c r="Y2" s="14"/>
      <c r="Z2" s="14"/>
      <c r="AA2" s="14"/>
      <c r="AB2" s="65"/>
      <c r="AC2" s="66" t="str">
        <f>[1]!edb()</f>
        <v>Wind</v>
      </c>
      <c r="AD2" s="14"/>
      <c r="AG2" s="71"/>
      <c r="AM2" s="160" t="s">
        <v>289</v>
      </c>
      <c r="AN2" s="158"/>
      <c r="AS2" s="74"/>
      <c r="AT2" s="75"/>
    </row>
    <row r="3" spans="1:46" ht="28.3" x14ac:dyDescent="0.3">
      <c r="B3" s="6" t="s">
        <v>195</v>
      </c>
      <c r="C3" s="6" t="s">
        <v>196</v>
      </c>
      <c r="D3" s="7" t="s">
        <v>197</v>
      </c>
      <c r="E3" s="7" t="s">
        <v>198</v>
      </c>
      <c r="F3" s="7" t="s">
        <v>199</v>
      </c>
      <c r="G3" s="7" t="s">
        <v>200</v>
      </c>
      <c r="H3" s="1" t="s">
        <v>112</v>
      </c>
      <c r="I3" s="1" t="s">
        <v>125</v>
      </c>
      <c r="J3" s="1" t="s">
        <v>128</v>
      </c>
      <c r="K3" s="1" t="s">
        <v>131</v>
      </c>
      <c r="L3" s="1" t="s">
        <v>201</v>
      </c>
      <c r="O3" s="166" t="s">
        <v>263</v>
      </c>
      <c r="P3" s="167" t="s">
        <v>269</v>
      </c>
      <c r="R3" s="169" t="s">
        <v>263</v>
      </c>
      <c r="S3" s="169" t="s">
        <v>270</v>
      </c>
      <c r="T3" s="14" t="s">
        <v>202</v>
      </c>
      <c r="U3" s="14" t="s">
        <v>203</v>
      </c>
      <c r="V3" s="14" t="s">
        <v>204</v>
      </c>
      <c r="W3" s="14" t="s">
        <v>205</v>
      </c>
      <c r="X3" s="61" t="s">
        <v>206</v>
      </c>
      <c r="Y3" s="14"/>
      <c r="Z3" s="65" t="s">
        <v>207</v>
      </c>
      <c r="AA3" s="65" t="s">
        <v>208</v>
      </c>
      <c r="AB3" s="67"/>
      <c r="AC3" s="170" t="s">
        <v>263</v>
      </c>
      <c r="AD3" s="169" t="s">
        <v>264</v>
      </c>
      <c r="AE3" s="68"/>
      <c r="AG3" s="72"/>
      <c r="AH3" s="73"/>
      <c r="AI3" s="73"/>
      <c r="AJ3" s="73"/>
      <c r="AK3" s="73"/>
      <c r="AL3" s="73"/>
      <c r="AM3" s="128" t="s">
        <v>263</v>
      </c>
      <c r="AN3" s="129" t="s">
        <v>269</v>
      </c>
      <c r="AO3" s="73"/>
    </row>
    <row r="4" spans="1:46" x14ac:dyDescent="0.3">
      <c r="A4" s="146">
        <v>46387</v>
      </c>
      <c r="B4" s="1">
        <v>1.2996315142861099</v>
      </c>
      <c r="C4" s="1">
        <v>23.143028344077901</v>
      </c>
      <c r="D4" s="1">
        <v>0</v>
      </c>
      <c r="E4" s="1">
        <v>1</v>
      </c>
      <c r="F4" s="1">
        <v>0</v>
      </c>
      <c r="G4" s="1">
        <v>1</v>
      </c>
      <c r="H4" s="1">
        <v>1</v>
      </c>
      <c r="I4" s="1">
        <v>0</v>
      </c>
      <c r="J4" s="1">
        <v>0</v>
      </c>
      <c r="K4" s="1">
        <v>0</v>
      </c>
      <c r="L4" s="1" t="s">
        <v>112</v>
      </c>
      <c r="O4" s="48">
        <v>46053</v>
      </c>
      <c r="P4" s="54">
        <v>1.5971571428571429</v>
      </c>
      <c r="R4" s="169" t="s">
        <v>265</v>
      </c>
      <c r="S4" s="169" t="s">
        <v>266</v>
      </c>
      <c r="T4" s="14"/>
      <c r="U4" s="14"/>
      <c r="V4" s="14"/>
      <c r="W4" s="14"/>
      <c r="X4" s="61"/>
      <c r="Y4" s="14"/>
      <c r="Z4" s="69">
        <v>44834</v>
      </c>
      <c r="AA4" s="67">
        <v>4966.4399000000003</v>
      </c>
      <c r="AB4" s="67"/>
      <c r="AC4" s="170" t="s">
        <v>265</v>
      </c>
      <c r="AD4" s="169" t="s">
        <v>266</v>
      </c>
      <c r="AG4" s="72"/>
      <c r="AH4" s="72"/>
      <c r="AI4" s="72"/>
      <c r="AJ4" s="72"/>
      <c r="AK4" s="72"/>
      <c r="AL4" s="72"/>
      <c r="AM4" s="48">
        <v>46387</v>
      </c>
      <c r="AN4" s="4">
        <v>1.2996315142861099</v>
      </c>
    </row>
    <row r="5" spans="1:46" x14ac:dyDescent="0.3">
      <c r="A5" s="146">
        <v>46356</v>
      </c>
      <c r="B5" s="1">
        <v>1.2996315142861099</v>
      </c>
      <c r="C5" s="1">
        <v>23.143028344077901</v>
      </c>
      <c r="D5" s="1">
        <v>0</v>
      </c>
      <c r="E5" s="1">
        <v>1</v>
      </c>
      <c r="F5" s="1">
        <v>0</v>
      </c>
      <c r="G5" s="1">
        <v>1</v>
      </c>
      <c r="H5" s="1">
        <v>1</v>
      </c>
      <c r="I5" s="1">
        <v>0</v>
      </c>
      <c r="J5" s="1">
        <v>0</v>
      </c>
      <c r="K5" s="1">
        <v>0</v>
      </c>
      <c r="L5" s="1" t="s">
        <v>112</v>
      </c>
      <c r="O5" s="48">
        <v>46022</v>
      </c>
      <c r="P5" s="54">
        <v>1.5915304347826089</v>
      </c>
      <c r="R5" s="52">
        <v>37287</v>
      </c>
      <c r="S5" s="53">
        <v>-472</v>
      </c>
      <c r="T5" s="14" t="e">
        <f t="shared" ref="T5:T68" si="0">VLOOKUP(R5,Z:AA,2,0)</f>
        <v>#N/A</v>
      </c>
      <c r="U5" s="62" t="e">
        <f t="shared" ref="U5:U68" si="1">S5+T5</f>
        <v>#N/A</v>
      </c>
      <c r="V5" s="14"/>
      <c r="W5" s="63">
        <f t="shared" ref="W5:W68" si="2">VLOOKUP(R5,AC:AD,2,1)</f>
        <v>112157.3</v>
      </c>
      <c r="X5" s="64"/>
      <c r="Y5" s="63"/>
      <c r="Z5" s="69">
        <v>44804</v>
      </c>
      <c r="AA5" s="67">
        <v>2606.1214</v>
      </c>
      <c r="AB5" s="67"/>
      <c r="AC5" s="70">
        <v>33969</v>
      </c>
      <c r="AD5" s="53">
        <v>27295.599999999999</v>
      </c>
      <c r="AG5" s="55"/>
      <c r="AH5" s="16"/>
      <c r="AI5" s="16"/>
      <c r="AJ5" s="16"/>
      <c r="AK5" s="16"/>
      <c r="AL5" s="16"/>
      <c r="AM5" s="48">
        <v>46356</v>
      </c>
      <c r="AN5" s="4">
        <v>1.3994346943054199</v>
      </c>
      <c r="AO5" s="72"/>
    </row>
    <row r="6" spans="1:46" x14ac:dyDescent="0.3">
      <c r="A6" s="146">
        <v>46326</v>
      </c>
      <c r="B6" s="1">
        <v>1.3994346943054199</v>
      </c>
      <c r="C6" s="1">
        <v>23.401791446196999</v>
      </c>
      <c r="D6" s="1">
        <v>0</v>
      </c>
      <c r="E6" s="1">
        <v>1</v>
      </c>
      <c r="F6" s="1">
        <v>0</v>
      </c>
      <c r="G6" s="1">
        <v>1</v>
      </c>
      <c r="H6" s="1">
        <v>1</v>
      </c>
      <c r="I6" s="1">
        <v>0</v>
      </c>
      <c r="J6" s="1">
        <v>0</v>
      </c>
      <c r="K6" s="1">
        <v>0</v>
      </c>
      <c r="L6" s="1" t="s">
        <v>112</v>
      </c>
      <c r="O6" s="48">
        <v>45991</v>
      </c>
      <c r="P6" s="54">
        <v>1.5822750000000001</v>
      </c>
      <c r="R6" s="52">
        <v>37315</v>
      </c>
      <c r="S6" s="53">
        <v>289</v>
      </c>
      <c r="T6" s="14" t="e">
        <f t="shared" si="0"/>
        <v>#N/A</v>
      </c>
      <c r="U6" s="62" t="e">
        <f t="shared" si="1"/>
        <v>#N/A</v>
      </c>
      <c r="V6" s="14"/>
      <c r="W6" s="63">
        <f t="shared" si="2"/>
        <v>112157.3</v>
      </c>
      <c r="X6" s="64"/>
      <c r="Y6" s="63"/>
      <c r="Z6" s="69">
        <v>44773</v>
      </c>
      <c r="AA6" s="67">
        <v>3083.3236000000002</v>
      </c>
      <c r="AB6" s="67"/>
      <c r="AC6" s="70">
        <v>34059</v>
      </c>
      <c r="AD6" s="53">
        <v>28877</v>
      </c>
      <c r="AG6" s="55"/>
      <c r="AH6" s="16"/>
      <c r="AI6" s="16"/>
      <c r="AJ6" s="16"/>
      <c r="AK6" s="16"/>
      <c r="AL6" s="16"/>
      <c r="AM6" s="48">
        <v>46326</v>
      </c>
      <c r="AN6" s="4">
        <v>1.3978266334917799</v>
      </c>
      <c r="AO6" s="16"/>
    </row>
    <row r="7" spans="1:46" x14ac:dyDescent="0.3">
      <c r="A7" s="146">
        <v>46295</v>
      </c>
      <c r="B7" s="1">
        <v>1.3978266334917799</v>
      </c>
      <c r="C7" s="1">
        <v>23.375647873721501</v>
      </c>
      <c r="D7" s="1">
        <v>0</v>
      </c>
      <c r="E7" s="1">
        <v>1</v>
      </c>
      <c r="F7" s="1">
        <v>0</v>
      </c>
      <c r="G7" s="1">
        <v>1</v>
      </c>
      <c r="H7" s="1">
        <v>1</v>
      </c>
      <c r="I7" s="1">
        <v>0</v>
      </c>
      <c r="J7" s="1">
        <v>0</v>
      </c>
      <c r="K7" s="1">
        <v>0</v>
      </c>
      <c r="L7" s="1" t="s">
        <v>112</v>
      </c>
      <c r="O7" s="48">
        <v>45961</v>
      </c>
      <c r="P7" s="54">
        <v>1.5874999999999999</v>
      </c>
      <c r="R7" s="52">
        <v>37346</v>
      </c>
      <c r="S7" s="53">
        <v>3136</v>
      </c>
      <c r="T7" s="14">
        <f t="shared" si="0"/>
        <v>96.7</v>
      </c>
      <c r="U7" s="62">
        <f t="shared" si="1"/>
        <v>3232.7</v>
      </c>
      <c r="V7" s="14"/>
      <c r="W7" s="63">
        <f t="shared" si="2"/>
        <v>114432.7</v>
      </c>
      <c r="X7" s="64"/>
      <c r="Y7" s="63"/>
      <c r="Z7" s="69">
        <v>44742</v>
      </c>
      <c r="AA7" s="67">
        <v>17012.5016</v>
      </c>
      <c r="AB7" s="67"/>
      <c r="AC7" s="70">
        <v>34150</v>
      </c>
      <c r="AD7" s="53">
        <v>30759.5</v>
      </c>
      <c r="AG7" s="55"/>
      <c r="AH7" s="16"/>
      <c r="AI7" s="16"/>
      <c r="AJ7" s="16"/>
      <c r="AK7" s="16"/>
      <c r="AL7" s="16"/>
      <c r="AM7" s="48">
        <v>46295</v>
      </c>
      <c r="AN7" s="4">
        <v>1.38816508778363</v>
      </c>
      <c r="AO7" s="16"/>
    </row>
    <row r="8" spans="1:46" x14ac:dyDescent="0.3">
      <c r="A8" s="146">
        <v>46265</v>
      </c>
      <c r="B8" s="1">
        <v>1.38816508778363</v>
      </c>
      <c r="C8" s="1">
        <v>23.359796480585398</v>
      </c>
      <c r="D8" s="1">
        <v>0</v>
      </c>
      <c r="E8" s="1">
        <v>1</v>
      </c>
      <c r="F8" s="1">
        <v>0</v>
      </c>
      <c r="G8" s="1">
        <v>1</v>
      </c>
      <c r="H8" s="1">
        <v>1</v>
      </c>
      <c r="I8" s="1">
        <v>0</v>
      </c>
      <c r="J8" s="1">
        <v>0</v>
      </c>
      <c r="K8" s="1">
        <v>0</v>
      </c>
      <c r="L8" s="1" t="s">
        <v>112</v>
      </c>
      <c r="O8" s="48">
        <v>45930</v>
      </c>
      <c r="P8" s="54">
        <v>1.559391304347826</v>
      </c>
      <c r="R8" s="52">
        <v>37376</v>
      </c>
      <c r="S8" s="53">
        <v>1151</v>
      </c>
      <c r="T8" s="14">
        <f t="shared" si="0"/>
        <v>560</v>
      </c>
      <c r="U8" s="62">
        <f t="shared" si="1"/>
        <v>1711</v>
      </c>
      <c r="V8" s="14"/>
      <c r="W8" s="63">
        <f t="shared" si="2"/>
        <v>114432.7</v>
      </c>
      <c r="X8" s="64"/>
      <c r="Y8" s="63"/>
      <c r="Z8" s="69">
        <v>44712</v>
      </c>
      <c r="AA8" s="67">
        <v>12022.583699999999</v>
      </c>
      <c r="AB8" s="67"/>
      <c r="AC8" s="70">
        <v>34242</v>
      </c>
      <c r="AD8" s="53">
        <v>32964.199999999997</v>
      </c>
      <c r="AG8" s="55"/>
      <c r="AH8" s="16"/>
      <c r="AI8" s="16"/>
      <c r="AJ8" s="16"/>
      <c r="AK8" s="16"/>
      <c r="AL8" s="16"/>
      <c r="AM8" s="48">
        <v>46265</v>
      </c>
      <c r="AN8" s="4">
        <v>1.3845394618470801</v>
      </c>
      <c r="AO8" s="16"/>
    </row>
    <row r="9" spans="1:46" x14ac:dyDescent="0.3">
      <c r="A9" s="146">
        <v>46234</v>
      </c>
      <c r="B9" s="1">
        <v>1.3845394618470801</v>
      </c>
      <c r="C9" s="1">
        <v>23.600231513990899</v>
      </c>
      <c r="D9" s="1">
        <v>0</v>
      </c>
      <c r="E9" s="1">
        <v>1</v>
      </c>
      <c r="F9" s="1">
        <v>0</v>
      </c>
      <c r="G9" s="1">
        <v>1</v>
      </c>
      <c r="H9" s="1">
        <v>1</v>
      </c>
      <c r="I9" s="1">
        <v>0</v>
      </c>
      <c r="J9" s="1">
        <v>0</v>
      </c>
      <c r="K9" s="1">
        <v>0</v>
      </c>
      <c r="L9" s="1" t="s">
        <v>112</v>
      </c>
      <c r="O9" s="48">
        <v>45900</v>
      </c>
      <c r="P9" s="54">
        <v>1.5520666666666669</v>
      </c>
      <c r="R9" s="52">
        <v>37407</v>
      </c>
      <c r="S9" s="53">
        <v>1774</v>
      </c>
      <c r="T9" s="14">
        <f t="shared" si="0"/>
        <v>200</v>
      </c>
      <c r="U9" s="62">
        <f t="shared" si="1"/>
        <v>1974</v>
      </c>
      <c r="V9" s="14"/>
      <c r="W9" s="63">
        <f t="shared" si="2"/>
        <v>114432.7</v>
      </c>
      <c r="X9" s="64"/>
      <c r="Y9" s="63"/>
      <c r="Z9" s="69">
        <v>44681</v>
      </c>
      <c r="AA9" s="67">
        <v>3410.8209000000002</v>
      </c>
      <c r="AB9" s="67"/>
      <c r="AC9" s="70">
        <v>34334</v>
      </c>
      <c r="AD9" s="53">
        <v>35819.699999999997</v>
      </c>
      <c r="AG9" s="55"/>
      <c r="AH9" s="16"/>
      <c r="AI9" s="16"/>
      <c r="AJ9" s="16"/>
      <c r="AK9" s="16"/>
      <c r="AL9" s="16"/>
      <c r="AM9" s="48">
        <v>46234</v>
      </c>
      <c r="AN9" s="4">
        <v>1.4239882814615801</v>
      </c>
      <c r="AO9" s="16"/>
    </row>
    <row r="10" spans="1:46" x14ac:dyDescent="0.3">
      <c r="A10" s="146">
        <v>46203</v>
      </c>
      <c r="B10" s="1">
        <v>1.4239882814615801</v>
      </c>
      <c r="C10" s="1">
        <v>23.5657776198608</v>
      </c>
      <c r="D10" s="1">
        <v>0</v>
      </c>
      <c r="E10" s="1">
        <v>1</v>
      </c>
      <c r="F10" s="1">
        <v>0</v>
      </c>
      <c r="G10" s="1">
        <v>1</v>
      </c>
      <c r="H10" s="1">
        <v>1</v>
      </c>
      <c r="I10" s="1">
        <v>0</v>
      </c>
      <c r="J10" s="1">
        <v>0</v>
      </c>
      <c r="K10" s="1">
        <v>0</v>
      </c>
      <c r="L10" s="1" t="s">
        <v>112</v>
      </c>
      <c r="O10" s="48">
        <v>45869</v>
      </c>
      <c r="P10" s="54">
        <v>1.5688478260869569</v>
      </c>
      <c r="R10" s="52">
        <v>37437</v>
      </c>
      <c r="S10" s="53">
        <v>2621</v>
      </c>
      <c r="T10" s="14">
        <f t="shared" si="0"/>
        <v>720</v>
      </c>
      <c r="U10" s="62">
        <f t="shared" si="1"/>
        <v>3341</v>
      </c>
      <c r="V10" s="14"/>
      <c r="W10" s="63">
        <f t="shared" si="2"/>
        <v>116965.6</v>
      </c>
      <c r="X10" s="64"/>
      <c r="Y10" s="63"/>
      <c r="Z10" s="69">
        <v>44651</v>
      </c>
      <c r="AA10" s="67">
        <v>6007.3140999999996</v>
      </c>
      <c r="AB10" s="67"/>
      <c r="AC10" s="70">
        <v>34424</v>
      </c>
      <c r="AD10" s="53">
        <v>38377.5</v>
      </c>
      <c r="AG10" s="55"/>
      <c r="AH10" s="16"/>
      <c r="AI10" s="16"/>
      <c r="AJ10" s="16"/>
      <c r="AK10" s="16"/>
      <c r="AL10" s="16"/>
      <c r="AM10" s="48">
        <v>46203</v>
      </c>
      <c r="AN10" s="4">
        <v>1.4536606138734101</v>
      </c>
      <c r="AO10" s="16"/>
    </row>
    <row r="11" spans="1:46" x14ac:dyDescent="0.3">
      <c r="A11" s="146">
        <v>46173</v>
      </c>
      <c r="B11" s="1">
        <v>1.4536606138734101</v>
      </c>
      <c r="C11" s="1">
        <v>23.557020697324699</v>
      </c>
      <c r="D11" s="1">
        <v>0</v>
      </c>
      <c r="E11" s="1">
        <v>1</v>
      </c>
      <c r="F11" s="1">
        <v>0</v>
      </c>
      <c r="G11" s="1">
        <v>1</v>
      </c>
      <c r="H11" s="1">
        <v>1</v>
      </c>
      <c r="I11" s="1">
        <v>0</v>
      </c>
      <c r="J11" s="1">
        <v>0</v>
      </c>
      <c r="K11" s="1">
        <v>0</v>
      </c>
      <c r="L11" s="1" t="s">
        <v>112</v>
      </c>
      <c r="O11" s="48">
        <v>45838</v>
      </c>
      <c r="P11" s="54">
        <v>1.63785</v>
      </c>
      <c r="R11" s="52">
        <v>37468</v>
      </c>
      <c r="S11" s="53">
        <v>813</v>
      </c>
      <c r="T11" s="14">
        <f t="shared" si="0"/>
        <v>188.3</v>
      </c>
      <c r="U11" s="62">
        <f t="shared" si="1"/>
        <v>1001.3</v>
      </c>
      <c r="V11" s="14"/>
      <c r="W11" s="63">
        <f t="shared" si="2"/>
        <v>116965.6</v>
      </c>
      <c r="X11" s="64"/>
      <c r="Y11" s="63"/>
      <c r="Z11" s="69">
        <v>44620</v>
      </c>
      <c r="AA11" s="67">
        <v>3489.6419000000001</v>
      </c>
      <c r="AB11" s="67"/>
      <c r="AC11" s="70">
        <v>34515</v>
      </c>
      <c r="AD11" s="53">
        <v>41519.800000000003</v>
      </c>
      <c r="AG11" s="55"/>
      <c r="AH11" s="16"/>
      <c r="AI11" s="16"/>
      <c r="AJ11" s="16"/>
      <c r="AK11" s="16"/>
      <c r="AL11" s="16"/>
      <c r="AM11" s="48">
        <v>46173</v>
      </c>
      <c r="AN11" s="4">
        <v>1.4809694030773299</v>
      </c>
      <c r="AO11" s="16"/>
    </row>
    <row r="12" spans="1:46" x14ac:dyDescent="0.3">
      <c r="A12" s="146">
        <v>46142</v>
      </c>
      <c r="B12" s="1">
        <v>1.4809694030773299</v>
      </c>
      <c r="C12" s="1">
        <v>23.8126207491283</v>
      </c>
      <c r="D12" s="1">
        <v>0</v>
      </c>
      <c r="E12" s="1">
        <v>1</v>
      </c>
      <c r="F12" s="1">
        <v>0</v>
      </c>
      <c r="G12" s="1">
        <v>1</v>
      </c>
      <c r="H12" s="1">
        <v>1</v>
      </c>
      <c r="I12" s="1">
        <v>0</v>
      </c>
      <c r="J12" s="1">
        <v>0</v>
      </c>
      <c r="K12" s="1">
        <v>0</v>
      </c>
      <c r="L12" s="1" t="s">
        <v>112</v>
      </c>
      <c r="O12" s="48">
        <v>45808</v>
      </c>
      <c r="P12" s="54">
        <v>1.6645789473684209</v>
      </c>
      <c r="R12" s="52">
        <v>37499</v>
      </c>
      <c r="S12" s="53">
        <v>1585</v>
      </c>
      <c r="T12" s="14">
        <f t="shared" si="0"/>
        <v>400</v>
      </c>
      <c r="U12" s="62">
        <f t="shared" si="1"/>
        <v>1985</v>
      </c>
      <c r="V12" s="14"/>
      <c r="W12" s="63">
        <f t="shared" si="2"/>
        <v>116965.6</v>
      </c>
      <c r="X12" s="64"/>
      <c r="Y12" s="63"/>
      <c r="Z12" s="69">
        <v>44592</v>
      </c>
      <c r="AA12" s="67">
        <v>6969.5034600000099</v>
      </c>
      <c r="AB12" s="67"/>
      <c r="AC12" s="70">
        <v>34607</v>
      </c>
      <c r="AD12" s="53">
        <v>45022.1</v>
      </c>
      <c r="AG12" s="55"/>
      <c r="AH12" s="16"/>
      <c r="AI12" s="16"/>
      <c r="AJ12" s="16"/>
      <c r="AK12" s="16"/>
      <c r="AL12" s="16"/>
      <c r="AM12" s="48">
        <v>46142</v>
      </c>
      <c r="AN12" s="4">
        <v>1.55257612515147</v>
      </c>
      <c r="AO12" s="16"/>
    </row>
    <row r="13" spans="1:46" x14ac:dyDescent="0.3">
      <c r="A13" s="146">
        <v>46112</v>
      </c>
      <c r="B13" s="1">
        <v>1.55257612515147</v>
      </c>
      <c r="C13" s="1">
        <v>23.788896289863501</v>
      </c>
      <c r="D13" s="1">
        <v>0</v>
      </c>
      <c r="E13" s="1">
        <v>1</v>
      </c>
      <c r="F13" s="1">
        <v>0</v>
      </c>
      <c r="G13" s="1">
        <v>1</v>
      </c>
      <c r="H13" s="1">
        <v>1</v>
      </c>
      <c r="I13" s="1">
        <v>0</v>
      </c>
      <c r="J13" s="1">
        <v>0</v>
      </c>
      <c r="K13" s="1">
        <v>0</v>
      </c>
      <c r="L13" s="1" t="s">
        <v>112</v>
      </c>
      <c r="O13" s="48">
        <v>45777</v>
      </c>
      <c r="P13" s="54">
        <v>1.7875000000000001</v>
      </c>
      <c r="R13" s="52">
        <v>37529</v>
      </c>
      <c r="S13" s="53">
        <v>3507</v>
      </c>
      <c r="T13" s="14">
        <f t="shared" si="0"/>
        <v>801.65</v>
      </c>
      <c r="U13" s="62">
        <f t="shared" si="1"/>
        <v>4308.6499999999996</v>
      </c>
      <c r="V13" s="14"/>
      <c r="W13" s="63">
        <f t="shared" si="2"/>
        <v>119968</v>
      </c>
      <c r="X13" s="64"/>
      <c r="Y13" s="63"/>
      <c r="Z13" s="69">
        <v>44561</v>
      </c>
      <c r="AA13" s="67">
        <v>9452.9593000000095</v>
      </c>
      <c r="AB13" s="67"/>
      <c r="AC13" s="70">
        <v>34699</v>
      </c>
      <c r="AD13" s="53">
        <v>48862.3</v>
      </c>
      <c r="AG13" s="55"/>
      <c r="AH13" s="16"/>
      <c r="AI13" s="16"/>
      <c r="AJ13" s="16"/>
      <c r="AK13" s="16"/>
      <c r="AL13" s="16"/>
      <c r="AM13" s="48">
        <v>46112</v>
      </c>
      <c r="AN13" s="4">
        <v>1.62461216556931</v>
      </c>
      <c r="AO13" s="16"/>
    </row>
    <row r="14" spans="1:46" x14ac:dyDescent="0.3">
      <c r="A14" s="146">
        <v>46081</v>
      </c>
      <c r="B14" s="1">
        <v>1.62461216556931</v>
      </c>
      <c r="C14" s="1">
        <v>23.7896532454081</v>
      </c>
      <c r="D14" s="1">
        <v>0</v>
      </c>
      <c r="E14" s="1">
        <v>1</v>
      </c>
      <c r="F14" s="1">
        <v>0</v>
      </c>
      <c r="G14" s="1">
        <v>1</v>
      </c>
      <c r="H14" s="1">
        <v>1</v>
      </c>
      <c r="I14" s="1">
        <v>0</v>
      </c>
      <c r="J14" s="1">
        <v>0</v>
      </c>
      <c r="K14" s="1">
        <v>0</v>
      </c>
      <c r="L14" s="1" t="s">
        <v>112</v>
      </c>
      <c r="O14" s="48">
        <v>45747</v>
      </c>
      <c r="P14" s="54">
        <v>1.972261904761905</v>
      </c>
      <c r="R14" s="52">
        <v>37560</v>
      </c>
      <c r="S14" s="53">
        <v>795</v>
      </c>
      <c r="T14" s="14">
        <f t="shared" si="0"/>
        <v>-161</v>
      </c>
      <c r="U14" s="62">
        <f t="shared" si="1"/>
        <v>634</v>
      </c>
      <c r="V14" s="14"/>
      <c r="W14" s="63">
        <f t="shared" si="2"/>
        <v>119968</v>
      </c>
      <c r="X14" s="64"/>
      <c r="Y14" s="63"/>
      <c r="Z14" s="69">
        <v>44530</v>
      </c>
      <c r="AA14" s="67">
        <v>7452.6463999999996</v>
      </c>
      <c r="AB14" s="67"/>
      <c r="AC14" s="70">
        <v>34789</v>
      </c>
      <c r="AD14" s="53">
        <v>51620.5</v>
      </c>
      <c r="AG14" s="55"/>
      <c r="AH14" s="16"/>
      <c r="AI14" s="16"/>
      <c r="AJ14" s="16"/>
      <c r="AK14" s="16"/>
      <c r="AL14" s="16"/>
      <c r="AM14" s="48">
        <v>46081</v>
      </c>
      <c r="AN14" s="4">
        <v>1.718777777777778</v>
      </c>
      <c r="AO14" s="16"/>
    </row>
    <row r="15" spans="1:46" x14ac:dyDescent="0.3">
      <c r="A15" s="146">
        <v>46053</v>
      </c>
      <c r="B15" s="1">
        <v>1.718777777777778</v>
      </c>
      <c r="C15" s="1">
        <v>24.002128665336901</v>
      </c>
      <c r="D15" s="1">
        <v>0</v>
      </c>
      <c r="E15" s="1">
        <v>1</v>
      </c>
      <c r="F15" s="1">
        <v>0</v>
      </c>
      <c r="G15" s="1">
        <v>1</v>
      </c>
      <c r="H15" s="1">
        <v>1</v>
      </c>
      <c r="I15" s="1">
        <v>0</v>
      </c>
      <c r="J15" s="1">
        <v>0</v>
      </c>
      <c r="K15" s="1">
        <v>0</v>
      </c>
      <c r="L15" s="1" t="s">
        <v>112</v>
      </c>
      <c r="O15" s="48">
        <v>45716</v>
      </c>
      <c r="P15" s="54">
        <v>1.768742105263158</v>
      </c>
      <c r="R15" s="52">
        <v>37590</v>
      </c>
      <c r="S15" s="53">
        <v>1805</v>
      </c>
      <c r="T15" s="14">
        <f t="shared" si="0"/>
        <v>300</v>
      </c>
      <c r="U15" s="62">
        <f t="shared" si="1"/>
        <v>2105</v>
      </c>
      <c r="V15" s="14"/>
      <c r="W15" s="63">
        <f t="shared" si="2"/>
        <v>119968</v>
      </c>
      <c r="X15" s="64"/>
      <c r="Y15" s="63"/>
      <c r="Z15" s="69">
        <v>44500</v>
      </c>
      <c r="AA15" s="67">
        <v>8332.5772000000106</v>
      </c>
      <c r="AB15" s="67"/>
      <c r="AC15" s="70">
        <v>34880</v>
      </c>
      <c r="AD15" s="53">
        <v>54773</v>
      </c>
      <c r="AG15" s="55"/>
      <c r="AH15" s="16"/>
      <c r="AI15" s="16"/>
      <c r="AJ15" s="16"/>
      <c r="AK15" s="16"/>
      <c r="AL15" s="16"/>
      <c r="AM15" s="48">
        <v>46053</v>
      </c>
      <c r="AN15" s="4">
        <v>1.674052631578947</v>
      </c>
      <c r="AO15" s="16"/>
    </row>
    <row r="16" spans="1:46" x14ac:dyDescent="0.3">
      <c r="A16" s="146">
        <v>46022</v>
      </c>
      <c r="B16" s="9">
        <f t="shared" ref="B16:B26" si="3">VLOOKUP(A16,AM:AN,2,0)</f>
        <v>1.2996315142861099</v>
      </c>
      <c r="C16" s="9">
        <f t="shared" ref="C16:C47" si="4">VLOOKUP(A16,R:X,7,0)</f>
        <v>23.143028344077901</v>
      </c>
      <c r="D16" s="7">
        <v>0</v>
      </c>
      <c r="E16" s="7">
        <v>1</v>
      </c>
      <c r="F16" s="7">
        <v>0</v>
      </c>
      <c r="G16" s="7">
        <v>1</v>
      </c>
      <c r="H16" s="1">
        <f t="shared" ref="H16:H27" si="5">INT(AND(G16=1,E16=1))</f>
        <v>1</v>
      </c>
      <c r="I16" s="1">
        <f t="shared" ref="I16:I27" si="6">INT(AND(G16=1,D16=1))</f>
        <v>0</v>
      </c>
      <c r="J16" s="1">
        <f t="shared" ref="J16:J27" si="7">INT(AND(F16=1,E16=1))</f>
        <v>0</v>
      </c>
      <c r="K16" s="1">
        <f t="shared" ref="K16:K27" si="8">INT(AND(F16=1,D16=1))</f>
        <v>0</v>
      </c>
      <c r="L16" s="1" t="str">
        <f t="shared" ref="L16:L27" si="9">INDEX($H$3:$K$3,1,MATCH(1,H16:K16,0))</f>
        <v>宽货币紧信用</v>
      </c>
      <c r="O16" s="48">
        <v>45688</v>
      </c>
      <c r="P16" s="54">
        <v>1.674052631578947</v>
      </c>
      <c r="R16" s="52">
        <v>37621</v>
      </c>
      <c r="S16" s="53">
        <v>3109</v>
      </c>
      <c r="T16" s="14">
        <f t="shared" si="0"/>
        <v>216.1</v>
      </c>
      <c r="U16" s="62">
        <f t="shared" si="1"/>
        <v>3325.1</v>
      </c>
      <c r="V16" s="62" t="e">
        <f t="shared" ref="V16:V79" si="10">SUM(U5:U16)</f>
        <v>#N/A</v>
      </c>
      <c r="W16" s="63">
        <f t="shared" si="2"/>
        <v>123311.8</v>
      </c>
      <c r="X16" s="64" t="e">
        <f t="shared" ref="X16:X79" si="11">V16/W16*100</f>
        <v>#N/A</v>
      </c>
      <c r="Y16" s="63"/>
      <c r="Z16" s="69">
        <v>44469</v>
      </c>
      <c r="AA16" s="67">
        <v>9594.1311999999998</v>
      </c>
      <c r="AB16" s="67"/>
      <c r="AC16" s="70">
        <v>34972</v>
      </c>
      <c r="AD16" s="53">
        <v>58089.4</v>
      </c>
      <c r="AG16" s="55"/>
      <c r="AH16" s="16"/>
      <c r="AI16" s="16"/>
      <c r="AJ16" s="16"/>
      <c r="AK16" s="16"/>
      <c r="AL16" s="16"/>
      <c r="AM16" s="48">
        <v>46022</v>
      </c>
      <c r="AN16" s="137">
        <v>1.2996315142861099</v>
      </c>
      <c r="AO16" s="16"/>
    </row>
    <row r="17" spans="1:41" x14ac:dyDescent="0.3">
      <c r="A17" s="146">
        <v>45991</v>
      </c>
      <c r="B17" s="9">
        <f t="shared" si="3"/>
        <v>1.3994346943054199</v>
      </c>
      <c r="C17" s="9">
        <f t="shared" si="4"/>
        <v>23.401791446196999</v>
      </c>
      <c r="D17" s="7">
        <v>0</v>
      </c>
      <c r="E17" s="7">
        <v>1</v>
      </c>
      <c r="F17" s="7">
        <v>0</v>
      </c>
      <c r="G17" s="7">
        <v>1</v>
      </c>
      <c r="H17" s="1">
        <f t="shared" si="5"/>
        <v>1</v>
      </c>
      <c r="I17" s="1">
        <f t="shared" si="6"/>
        <v>0</v>
      </c>
      <c r="J17" s="1">
        <f t="shared" si="7"/>
        <v>0</v>
      </c>
      <c r="K17" s="1">
        <f t="shared" si="8"/>
        <v>0</v>
      </c>
      <c r="L17" s="1" t="str">
        <f t="shared" si="9"/>
        <v>宽货币紧信用</v>
      </c>
      <c r="O17" s="48">
        <v>45657</v>
      </c>
      <c r="P17" s="54">
        <v>1.729827272727273</v>
      </c>
      <c r="R17" s="52">
        <v>37652</v>
      </c>
      <c r="S17" s="53">
        <v>3386</v>
      </c>
      <c r="T17" s="14">
        <f t="shared" si="0"/>
        <v>0</v>
      </c>
      <c r="U17" s="62">
        <f t="shared" si="1"/>
        <v>3386</v>
      </c>
      <c r="V17" s="62" t="e">
        <f t="shared" si="10"/>
        <v>#N/A</v>
      </c>
      <c r="W17" s="63">
        <f t="shared" si="2"/>
        <v>123311.8</v>
      </c>
      <c r="X17" s="64" t="e">
        <f t="shared" si="11"/>
        <v>#N/A</v>
      </c>
      <c r="Y17" s="63"/>
      <c r="Z17" s="69">
        <v>44439</v>
      </c>
      <c r="AA17" s="67">
        <v>9274.7821999999906</v>
      </c>
      <c r="AB17" s="67"/>
      <c r="AC17" s="70">
        <v>35064</v>
      </c>
      <c r="AD17" s="53">
        <v>61649.4</v>
      </c>
      <c r="AG17" s="55"/>
      <c r="AH17" s="16"/>
      <c r="AI17" s="16"/>
      <c r="AJ17" s="16"/>
      <c r="AK17" s="16"/>
      <c r="AL17" s="16"/>
      <c r="AM17" s="48">
        <v>45991</v>
      </c>
      <c r="AN17" s="137">
        <v>1.3994346943054199</v>
      </c>
      <c r="AO17" s="16"/>
    </row>
    <row r="18" spans="1:41" x14ac:dyDescent="0.3">
      <c r="A18" s="146">
        <v>45961</v>
      </c>
      <c r="B18" s="9">
        <f t="shared" si="3"/>
        <v>1.3978266334917799</v>
      </c>
      <c r="C18" s="9">
        <f t="shared" si="4"/>
        <v>23.375647873721501</v>
      </c>
      <c r="D18" s="7">
        <v>0</v>
      </c>
      <c r="E18" s="7">
        <v>1</v>
      </c>
      <c r="F18" s="7">
        <v>0</v>
      </c>
      <c r="G18" s="7">
        <v>1</v>
      </c>
      <c r="H18" s="1">
        <f t="shared" si="5"/>
        <v>1</v>
      </c>
      <c r="I18" s="1">
        <f t="shared" si="6"/>
        <v>0</v>
      </c>
      <c r="J18" s="1">
        <f t="shared" si="7"/>
        <v>0</v>
      </c>
      <c r="K18" s="1">
        <f t="shared" si="8"/>
        <v>0</v>
      </c>
      <c r="L18" s="1" t="str">
        <f t="shared" si="9"/>
        <v>宽货币紧信用</v>
      </c>
      <c r="O18" s="48">
        <v>45626</v>
      </c>
      <c r="P18" s="54">
        <v>1.8626666666666669</v>
      </c>
      <c r="R18" s="52">
        <v>37680</v>
      </c>
      <c r="S18" s="53">
        <v>998</v>
      </c>
      <c r="T18" s="14">
        <f t="shared" si="0"/>
        <v>450</v>
      </c>
      <c r="U18" s="62">
        <f t="shared" si="1"/>
        <v>1448</v>
      </c>
      <c r="V18" s="62">
        <f t="shared" si="10"/>
        <v>28451.75</v>
      </c>
      <c r="W18" s="63">
        <f t="shared" si="2"/>
        <v>123311.8</v>
      </c>
      <c r="X18" s="64">
        <f t="shared" si="11"/>
        <v>23.073014910170802</v>
      </c>
      <c r="Y18" s="63"/>
      <c r="Z18" s="69">
        <v>44408</v>
      </c>
      <c r="AA18" s="67">
        <v>2634.7044000000001</v>
      </c>
      <c r="AB18" s="67"/>
      <c r="AC18" s="70">
        <v>35155</v>
      </c>
      <c r="AD18" s="53">
        <v>64187.7</v>
      </c>
      <c r="AG18" s="55"/>
      <c r="AH18" s="16"/>
      <c r="AI18" s="16"/>
      <c r="AJ18" s="16"/>
      <c r="AK18" s="16"/>
      <c r="AL18" s="16"/>
      <c r="AM18" s="48">
        <v>45961</v>
      </c>
      <c r="AN18" s="137">
        <v>1.3978266334917799</v>
      </c>
      <c r="AO18" s="16"/>
    </row>
    <row r="19" spans="1:41" x14ac:dyDescent="0.3">
      <c r="A19" s="146">
        <v>45930</v>
      </c>
      <c r="B19" s="9">
        <f t="shared" si="3"/>
        <v>1.38816508778363</v>
      </c>
      <c r="C19" s="9">
        <f t="shared" si="4"/>
        <v>23.359796480585398</v>
      </c>
      <c r="D19" s="7">
        <v>0</v>
      </c>
      <c r="E19" s="7">
        <v>1</v>
      </c>
      <c r="F19" s="7">
        <v>0</v>
      </c>
      <c r="G19" s="7">
        <v>1</v>
      </c>
      <c r="H19" s="1">
        <f t="shared" si="5"/>
        <v>1</v>
      </c>
      <c r="I19" s="1">
        <f t="shared" si="6"/>
        <v>0</v>
      </c>
      <c r="J19" s="1">
        <f t="shared" si="7"/>
        <v>0</v>
      </c>
      <c r="K19" s="1">
        <f t="shared" si="8"/>
        <v>0</v>
      </c>
      <c r="L19" s="1" t="str">
        <f t="shared" si="9"/>
        <v>宽货币紧信用</v>
      </c>
      <c r="O19" s="48">
        <v>45596</v>
      </c>
      <c r="P19" s="54">
        <v>1.860526315789474</v>
      </c>
      <c r="R19" s="52">
        <v>37711</v>
      </c>
      <c r="S19" s="53">
        <v>4041</v>
      </c>
      <c r="T19" s="14">
        <f t="shared" si="0"/>
        <v>-350</v>
      </c>
      <c r="U19" s="62">
        <f t="shared" si="1"/>
        <v>3691</v>
      </c>
      <c r="V19" s="62">
        <f t="shared" si="10"/>
        <v>28910.049999999996</v>
      </c>
      <c r="W19" s="63">
        <f t="shared" si="2"/>
        <v>126927.8</v>
      </c>
      <c r="X19" s="64">
        <f t="shared" si="11"/>
        <v>22.776767579679152</v>
      </c>
      <c r="Y19" s="63"/>
      <c r="Z19" s="69">
        <v>44377</v>
      </c>
      <c r="AA19" s="67">
        <v>6563.5523999999996</v>
      </c>
      <c r="AB19" s="67"/>
      <c r="AC19" s="70">
        <v>35246</v>
      </c>
      <c r="AD19" s="53">
        <v>66742.2</v>
      </c>
      <c r="AG19" s="55"/>
      <c r="AH19" s="16"/>
      <c r="AI19" s="16"/>
      <c r="AJ19" s="16"/>
      <c r="AK19" s="16"/>
      <c r="AL19" s="16"/>
      <c r="AM19" s="48">
        <v>45930</v>
      </c>
      <c r="AN19" s="137">
        <v>1.38816508778363</v>
      </c>
      <c r="AO19" s="16"/>
    </row>
    <row r="20" spans="1:41" x14ac:dyDescent="0.3">
      <c r="A20" s="146">
        <v>45900</v>
      </c>
      <c r="B20" s="9">
        <f t="shared" si="3"/>
        <v>1.3845394618470801</v>
      </c>
      <c r="C20" s="9">
        <f t="shared" si="4"/>
        <v>23.600231513990899</v>
      </c>
      <c r="D20" s="7">
        <v>0</v>
      </c>
      <c r="E20" s="7">
        <v>1</v>
      </c>
      <c r="F20" s="7">
        <v>0</v>
      </c>
      <c r="G20" s="7">
        <v>1</v>
      </c>
      <c r="H20" s="1">
        <f t="shared" si="5"/>
        <v>1</v>
      </c>
      <c r="I20" s="1">
        <f t="shared" si="6"/>
        <v>0</v>
      </c>
      <c r="J20" s="1">
        <f t="shared" si="7"/>
        <v>0</v>
      </c>
      <c r="K20" s="1">
        <f t="shared" si="8"/>
        <v>0</v>
      </c>
      <c r="L20" s="1" t="str">
        <f t="shared" si="9"/>
        <v>宽货币紧信用</v>
      </c>
      <c r="O20" s="48">
        <v>45565</v>
      </c>
      <c r="P20" s="54">
        <v>1.847666666666667</v>
      </c>
      <c r="R20" s="52">
        <v>37741</v>
      </c>
      <c r="S20" s="53">
        <v>2622</v>
      </c>
      <c r="T20" s="14">
        <f t="shared" si="0"/>
        <v>1680</v>
      </c>
      <c r="U20" s="62">
        <f t="shared" si="1"/>
        <v>4302</v>
      </c>
      <c r="V20" s="62">
        <f t="shared" si="10"/>
        <v>31501.05</v>
      </c>
      <c r="W20" s="63">
        <f t="shared" si="2"/>
        <v>126927.8</v>
      </c>
      <c r="X20" s="64">
        <f t="shared" si="11"/>
        <v>24.818085557301078</v>
      </c>
      <c r="Y20" s="63"/>
      <c r="Z20" s="69">
        <v>44347</v>
      </c>
      <c r="AA20" s="67">
        <v>7937.2356</v>
      </c>
      <c r="AB20" s="67"/>
      <c r="AC20" s="70">
        <v>35338</v>
      </c>
      <c r="AD20" s="53">
        <v>69205.899999999994</v>
      </c>
      <c r="AG20" s="55"/>
      <c r="AH20" s="16"/>
      <c r="AI20" s="16"/>
      <c r="AJ20" s="16"/>
      <c r="AK20" s="16"/>
      <c r="AL20" s="16"/>
      <c r="AM20" s="48">
        <v>45900</v>
      </c>
      <c r="AN20" s="137">
        <v>1.3845394618470801</v>
      </c>
      <c r="AO20" s="16"/>
    </row>
    <row r="21" spans="1:41" x14ac:dyDescent="0.3">
      <c r="A21" s="146">
        <v>45869</v>
      </c>
      <c r="B21" s="9">
        <f t="shared" si="3"/>
        <v>1.4239882814615801</v>
      </c>
      <c r="C21" s="9">
        <f t="shared" si="4"/>
        <v>23.5657776198608</v>
      </c>
      <c r="D21" s="7">
        <v>0</v>
      </c>
      <c r="E21" s="7">
        <v>1</v>
      </c>
      <c r="F21" s="7">
        <v>0</v>
      </c>
      <c r="G21" s="7">
        <v>1</v>
      </c>
      <c r="H21" s="1">
        <f t="shared" si="5"/>
        <v>1</v>
      </c>
      <c r="I21" s="1">
        <f t="shared" si="6"/>
        <v>0</v>
      </c>
      <c r="J21" s="1">
        <f t="shared" si="7"/>
        <v>0</v>
      </c>
      <c r="K21" s="1">
        <f t="shared" si="8"/>
        <v>0</v>
      </c>
      <c r="L21" s="1" t="str">
        <f t="shared" si="9"/>
        <v>宽货币紧信用</v>
      </c>
      <c r="O21" s="48">
        <v>45535</v>
      </c>
      <c r="P21" s="54">
        <v>1.842840909090909</v>
      </c>
      <c r="R21" s="52">
        <v>37772</v>
      </c>
      <c r="S21" s="53">
        <v>2971</v>
      </c>
      <c r="T21" s="14">
        <f t="shared" si="0"/>
        <v>50</v>
      </c>
      <c r="U21" s="62">
        <f t="shared" si="1"/>
        <v>3021</v>
      </c>
      <c r="V21" s="62">
        <f t="shared" si="10"/>
        <v>32548.05</v>
      </c>
      <c r="W21" s="63">
        <f t="shared" si="2"/>
        <v>126927.8</v>
      </c>
      <c r="X21" s="64">
        <f t="shared" si="11"/>
        <v>25.642963952735332</v>
      </c>
      <c r="Y21" s="63"/>
      <c r="Z21" s="69">
        <v>44316</v>
      </c>
      <c r="AA21" s="67">
        <v>3691.7739000000001</v>
      </c>
      <c r="AB21" s="67"/>
      <c r="AC21" s="70">
        <v>35430</v>
      </c>
      <c r="AD21" s="53">
        <v>72210.5</v>
      </c>
      <c r="AG21" s="55"/>
      <c r="AH21" s="16"/>
      <c r="AI21" s="16"/>
      <c r="AJ21" s="16"/>
      <c r="AK21" s="16"/>
      <c r="AL21" s="16"/>
      <c r="AM21" s="48">
        <v>45869</v>
      </c>
      <c r="AN21" s="137">
        <v>1.4239882814615801</v>
      </c>
      <c r="AO21" s="16"/>
    </row>
    <row r="22" spans="1:41" x14ac:dyDescent="0.3">
      <c r="A22" s="146">
        <v>45838</v>
      </c>
      <c r="B22" s="9">
        <f t="shared" si="3"/>
        <v>1.4536606138734101</v>
      </c>
      <c r="C22" s="9">
        <f t="shared" si="4"/>
        <v>23.557020697324699</v>
      </c>
      <c r="D22" s="7">
        <v>0</v>
      </c>
      <c r="E22" s="7">
        <v>1</v>
      </c>
      <c r="F22" s="7">
        <v>0</v>
      </c>
      <c r="G22" s="7">
        <v>1</v>
      </c>
      <c r="H22" s="1">
        <f t="shared" si="5"/>
        <v>1</v>
      </c>
      <c r="I22" s="1">
        <f t="shared" si="6"/>
        <v>0</v>
      </c>
      <c r="J22" s="1">
        <f t="shared" si="7"/>
        <v>0</v>
      </c>
      <c r="K22" s="1">
        <f t="shared" si="8"/>
        <v>0</v>
      </c>
      <c r="L22" s="1" t="str">
        <f t="shared" si="9"/>
        <v>宽货币紧信用</v>
      </c>
      <c r="O22" s="48">
        <v>45504</v>
      </c>
      <c r="P22" s="54">
        <v>1.895347826086957</v>
      </c>
      <c r="R22" s="52">
        <v>37802</v>
      </c>
      <c r="S22" s="53">
        <v>5842</v>
      </c>
      <c r="T22" s="14">
        <f t="shared" si="0"/>
        <v>80</v>
      </c>
      <c r="U22" s="62">
        <f t="shared" si="1"/>
        <v>5922</v>
      </c>
      <c r="V22" s="62">
        <f t="shared" si="10"/>
        <v>35129.050000000003</v>
      </c>
      <c r="W22" s="63">
        <f t="shared" si="2"/>
        <v>130355.3</v>
      </c>
      <c r="X22" s="64">
        <f t="shared" si="11"/>
        <v>26.948693302075178</v>
      </c>
      <c r="Y22" s="63"/>
      <c r="Z22" s="69">
        <v>44286</v>
      </c>
      <c r="AA22" s="67">
        <v>3074.0790000000002</v>
      </c>
      <c r="AB22" s="67"/>
      <c r="AC22" s="70">
        <v>35520</v>
      </c>
      <c r="AD22" s="53">
        <v>74298</v>
      </c>
      <c r="AG22" s="55"/>
      <c r="AH22" s="16"/>
      <c r="AI22" s="16"/>
      <c r="AJ22" s="16"/>
      <c r="AK22" s="16"/>
      <c r="AL22" s="16"/>
      <c r="AM22" s="48">
        <v>45838</v>
      </c>
      <c r="AN22" s="137">
        <v>1.4536606138734101</v>
      </c>
      <c r="AO22" s="16"/>
    </row>
    <row r="23" spans="1:41" x14ac:dyDescent="0.3">
      <c r="A23" s="146">
        <v>45808</v>
      </c>
      <c r="B23" s="9">
        <f t="shared" si="3"/>
        <v>1.4809694030773299</v>
      </c>
      <c r="C23" s="9">
        <f t="shared" si="4"/>
        <v>23.8126207491283</v>
      </c>
      <c r="D23" s="7">
        <v>0</v>
      </c>
      <c r="E23" s="7">
        <v>1</v>
      </c>
      <c r="F23" s="7">
        <v>0</v>
      </c>
      <c r="G23" s="7">
        <v>1</v>
      </c>
      <c r="H23" s="1">
        <f t="shared" si="5"/>
        <v>1</v>
      </c>
      <c r="I23" s="1">
        <f t="shared" si="6"/>
        <v>0</v>
      </c>
      <c r="J23" s="1">
        <f t="shared" si="7"/>
        <v>0</v>
      </c>
      <c r="K23" s="1">
        <f t="shared" si="8"/>
        <v>0</v>
      </c>
      <c r="L23" s="1" t="str">
        <f t="shared" si="9"/>
        <v>宽货币紧信用</v>
      </c>
      <c r="O23" s="48">
        <v>45473</v>
      </c>
      <c r="P23" s="54">
        <v>1.9348421052631579</v>
      </c>
      <c r="R23" s="52">
        <v>37833</v>
      </c>
      <c r="S23" s="53">
        <v>1344</v>
      </c>
      <c r="T23" s="14">
        <f t="shared" si="0"/>
        <v>-5</v>
      </c>
      <c r="U23" s="62">
        <f t="shared" si="1"/>
        <v>1339</v>
      </c>
      <c r="V23" s="62">
        <f t="shared" si="10"/>
        <v>35466.75</v>
      </c>
      <c r="W23" s="63">
        <f t="shared" si="2"/>
        <v>130355.3</v>
      </c>
      <c r="X23" s="64">
        <f t="shared" si="11"/>
        <v>27.207754498666336</v>
      </c>
      <c r="Y23" s="63"/>
      <c r="Z23" s="69">
        <v>44255</v>
      </c>
      <c r="AA23" s="67">
        <v>492.66599999999897</v>
      </c>
      <c r="AB23" s="67"/>
      <c r="AC23" s="70">
        <v>35611</v>
      </c>
      <c r="AD23" s="53">
        <v>76339.100000000006</v>
      </c>
      <c r="AG23" s="55"/>
      <c r="AH23" s="16"/>
      <c r="AI23" s="16"/>
      <c r="AJ23" s="16"/>
      <c r="AK23" s="16"/>
      <c r="AL23" s="16"/>
      <c r="AM23" s="48">
        <v>45808</v>
      </c>
      <c r="AN23" s="137">
        <v>1.4809694030773299</v>
      </c>
      <c r="AO23" s="16"/>
    </row>
    <row r="24" spans="1:41" x14ac:dyDescent="0.3">
      <c r="A24" s="146">
        <v>45777</v>
      </c>
      <c r="B24" s="9">
        <f t="shared" si="3"/>
        <v>1.55257612515147</v>
      </c>
      <c r="C24" s="9">
        <f t="shared" si="4"/>
        <v>23.788896289863501</v>
      </c>
      <c r="D24" s="7">
        <v>0</v>
      </c>
      <c r="E24" s="7">
        <v>1</v>
      </c>
      <c r="F24" s="7">
        <v>0</v>
      </c>
      <c r="G24" s="7">
        <v>1</v>
      </c>
      <c r="H24" s="1">
        <f t="shared" si="5"/>
        <v>1</v>
      </c>
      <c r="I24" s="1">
        <f t="shared" si="6"/>
        <v>0</v>
      </c>
      <c r="J24" s="1">
        <f t="shared" si="7"/>
        <v>0</v>
      </c>
      <c r="K24" s="1">
        <f t="shared" si="8"/>
        <v>0</v>
      </c>
      <c r="L24" s="1" t="str">
        <f t="shared" si="9"/>
        <v>宽货币紧信用</v>
      </c>
      <c r="O24" s="48">
        <v>45443</v>
      </c>
      <c r="P24" s="54">
        <v>1.9711904761904759</v>
      </c>
      <c r="R24" s="52">
        <v>37864</v>
      </c>
      <c r="S24" s="53">
        <v>3321</v>
      </c>
      <c r="T24" s="14">
        <f t="shared" si="0"/>
        <v>260</v>
      </c>
      <c r="U24" s="62">
        <f t="shared" si="1"/>
        <v>3581</v>
      </c>
      <c r="V24" s="62">
        <f t="shared" si="10"/>
        <v>37062.75</v>
      </c>
      <c r="W24" s="63">
        <f t="shared" si="2"/>
        <v>130355.3</v>
      </c>
      <c r="X24" s="64">
        <f t="shared" si="11"/>
        <v>28.432100574353324</v>
      </c>
      <c r="Y24" s="63"/>
      <c r="Z24" s="69">
        <v>44227</v>
      </c>
      <c r="AA24" s="67">
        <v>2923.2073999999998</v>
      </c>
      <c r="AB24" s="67"/>
      <c r="AC24" s="70">
        <v>35703</v>
      </c>
      <c r="AD24" s="53">
        <v>78263.399999999994</v>
      </c>
      <c r="AG24" s="55"/>
      <c r="AH24" s="16"/>
      <c r="AI24" s="16"/>
      <c r="AJ24" s="16"/>
      <c r="AK24" s="16"/>
      <c r="AL24" s="16"/>
      <c r="AM24" s="48">
        <v>45777</v>
      </c>
      <c r="AN24" s="137">
        <v>1.55257612515147</v>
      </c>
      <c r="AO24" s="16"/>
    </row>
    <row r="25" spans="1:41" x14ac:dyDescent="0.3">
      <c r="A25" s="146">
        <v>45747</v>
      </c>
      <c r="B25" s="9">
        <f t="shared" si="3"/>
        <v>1.62461216556931</v>
      </c>
      <c r="C25" s="9">
        <f t="shared" si="4"/>
        <v>23.7896532454081</v>
      </c>
      <c r="D25" s="7">
        <v>0</v>
      </c>
      <c r="E25" s="7">
        <v>1</v>
      </c>
      <c r="F25" s="7">
        <v>0</v>
      </c>
      <c r="G25" s="7">
        <v>1</v>
      </c>
      <c r="H25" s="1">
        <f t="shared" si="5"/>
        <v>1</v>
      </c>
      <c r="I25" s="1">
        <f t="shared" si="6"/>
        <v>0</v>
      </c>
      <c r="J25" s="1">
        <f t="shared" si="7"/>
        <v>0</v>
      </c>
      <c r="K25" s="1">
        <f t="shared" si="8"/>
        <v>0</v>
      </c>
      <c r="L25" s="1" t="str">
        <f t="shared" si="9"/>
        <v>宽货币紧信用</v>
      </c>
      <c r="O25" s="48">
        <v>45412</v>
      </c>
      <c r="P25" s="54">
        <v>2.0665</v>
      </c>
      <c r="R25" s="52">
        <v>37894</v>
      </c>
      <c r="S25" s="53">
        <v>4040</v>
      </c>
      <c r="T25" s="14">
        <f t="shared" si="0"/>
        <v>183.8</v>
      </c>
      <c r="U25" s="62">
        <f t="shared" si="1"/>
        <v>4223.8</v>
      </c>
      <c r="V25" s="62">
        <f t="shared" si="10"/>
        <v>36977.9</v>
      </c>
      <c r="W25" s="63">
        <f t="shared" si="2"/>
        <v>134469.20000000001</v>
      </c>
      <c r="X25" s="64">
        <f t="shared" si="11"/>
        <v>27.49915965886612</v>
      </c>
      <c r="Y25" s="63"/>
      <c r="Z25" s="69">
        <v>44196</v>
      </c>
      <c r="AA25" s="67">
        <v>7235.2096000000001</v>
      </c>
      <c r="AB25" s="67"/>
      <c r="AC25" s="70">
        <v>35795</v>
      </c>
      <c r="AD25" s="53">
        <v>80225.100000000006</v>
      </c>
      <c r="AG25" s="55"/>
      <c r="AH25" s="16"/>
      <c r="AI25" s="16"/>
      <c r="AJ25" s="16"/>
      <c r="AK25" s="16"/>
      <c r="AL25" s="16"/>
      <c r="AM25" s="48">
        <v>45747</v>
      </c>
      <c r="AN25" s="137">
        <v>1.62461216556931</v>
      </c>
      <c r="AO25" s="16"/>
    </row>
    <row r="26" spans="1:41" x14ac:dyDescent="0.3">
      <c r="A26" s="8">
        <v>45716</v>
      </c>
      <c r="B26" s="144">
        <f t="shared" si="3"/>
        <v>1.718777777777778</v>
      </c>
      <c r="C26" s="144">
        <f t="shared" si="4"/>
        <v>24.002128665336901</v>
      </c>
      <c r="D26" s="7">
        <v>0</v>
      </c>
      <c r="E26" s="7">
        <v>1</v>
      </c>
      <c r="F26" s="7">
        <v>0</v>
      </c>
      <c r="G26" s="7">
        <v>1</v>
      </c>
      <c r="H26" s="1">
        <f t="shared" si="5"/>
        <v>1</v>
      </c>
      <c r="I26" s="1">
        <f t="shared" si="6"/>
        <v>0</v>
      </c>
      <c r="J26" s="1">
        <f t="shared" si="7"/>
        <v>0</v>
      </c>
      <c r="K26" s="1">
        <f t="shared" si="8"/>
        <v>0</v>
      </c>
      <c r="L26" s="1" t="str">
        <f t="shared" si="9"/>
        <v>宽货币紧信用</v>
      </c>
      <c r="O26" s="48">
        <v>45382</v>
      </c>
      <c r="P26" s="54">
        <v>2.1623809523809521</v>
      </c>
      <c r="R26" s="52">
        <v>37925</v>
      </c>
      <c r="S26" s="53">
        <v>1218</v>
      </c>
      <c r="T26" s="14">
        <f t="shared" si="0"/>
        <v>100</v>
      </c>
      <c r="U26" s="62">
        <f t="shared" si="1"/>
        <v>1318</v>
      </c>
      <c r="V26" s="62">
        <f t="shared" si="10"/>
        <v>37661.9</v>
      </c>
      <c r="W26" s="63">
        <f t="shared" si="2"/>
        <v>134469.20000000001</v>
      </c>
      <c r="X26" s="64">
        <f t="shared" si="11"/>
        <v>28.00782632751589</v>
      </c>
      <c r="Y26" s="63"/>
      <c r="Z26" s="69">
        <v>44165</v>
      </c>
      <c r="AA26" s="67">
        <v>3193.6318000000001</v>
      </c>
      <c r="AB26" s="67"/>
      <c r="AC26" s="70">
        <v>35885</v>
      </c>
      <c r="AD26" s="53">
        <v>81622.399999999994</v>
      </c>
      <c r="AG26" s="55"/>
      <c r="AH26" s="16"/>
      <c r="AI26" s="16"/>
      <c r="AJ26" s="16"/>
      <c r="AK26" s="16"/>
      <c r="AL26" s="16"/>
      <c r="AM26" s="48">
        <v>45716</v>
      </c>
      <c r="AN26" s="54">
        <v>1.718777777777778</v>
      </c>
      <c r="AO26" s="16"/>
    </row>
    <row r="27" spans="1:41" x14ac:dyDescent="0.3">
      <c r="A27" s="8">
        <v>45688</v>
      </c>
      <c r="B27" s="144">
        <f t="shared" ref="B27:B58" si="12">VLOOKUP(A27,O:P,2,0)</f>
        <v>1.674052631578947</v>
      </c>
      <c r="C27" s="144">
        <f t="shared" si="4"/>
        <v>23.984725631532399</v>
      </c>
      <c r="D27" s="7">
        <v>0</v>
      </c>
      <c r="E27" s="7">
        <v>1</v>
      </c>
      <c r="F27" s="7">
        <v>0</v>
      </c>
      <c r="G27" s="7">
        <v>1</v>
      </c>
      <c r="H27" s="1">
        <f t="shared" si="5"/>
        <v>1</v>
      </c>
      <c r="I27" s="1">
        <f t="shared" si="6"/>
        <v>0</v>
      </c>
      <c r="J27" s="1">
        <f t="shared" si="7"/>
        <v>0</v>
      </c>
      <c r="K27" s="1">
        <f t="shared" si="8"/>
        <v>0</v>
      </c>
      <c r="L27" s="1" t="str">
        <f t="shared" si="9"/>
        <v>宽货币紧信用</v>
      </c>
      <c r="O27" s="48">
        <v>45351</v>
      </c>
      <c r="P27" s="54">
        <v>2.2877166666666668</v>
      </c>
      <c r="R27" s="52">
        <v>37955</v>
      </c>
      <c r="S27" s="53">
        <v>1832</v>
      </c>
      <c r="T27" s="14">
        <f t="shared" si="0"/>
        <v>824.9</v>
      </c>
      <c r="U27" s="62">
        <f t="shared" si="1"/>
        <v>2656.9</v>
      </c>
      <c r="V27" s="62">
        <f t="shared" si="10"/>
        <v>38213.800000000003</v>
      </c>
      <c r="W27" s="63">
        <f t="shared" si="2"/>
        <v>134469.20000000001</v>
      </c>
      <c r="X27" s="64">
        <f t="shared" si="11"/>
        <v>28.418254886620876</v>
      </c>
      <c r="Y27" s="63"/>
      <c r="Z27" s="69">
        <v>44135</v>
      </c>
      <c r="AA27" s="67">
        <v>6154.1818999999996</v>
      </c>
      <c r="AB27" s="67"/>
      <c r="AC27" s="70">
        <v>35976</v>
      </c>
      <c r="AD27" s="53">
        <v>82791.3</v>
      </c>
      <c r="AG27" s="55"/>
      <c r="AH27" s="16"/>
      <c r="AI27" s="16"/>
      <c r="AJ27" s="16"/>
      <c r="AK27" s="16"/>
      <c r="AL27" s="16"/>
      <c r="AM27" s="48">
        <v>45688</v>
      </c>
      <c r="AN27" s="54">
        <v>1.674052631578947</v>
      </c>
      <c r="AO27" s="16"/>
    </row>
    <row r="28" spans="1:41" x14ac:dyDescent="0.3">
      <c r="A28" s="8">
        <v>45657</v>
      </c>
      <c r="B28" s="144">
        <f t="shared" si="12"/>
        <v>1.729827272727273</v>
      </c>
      <c r="C28" s="144">
        <f t="shared" si="4"/>
        <v>23.929685352247539</v>
      </c>
      <c r="D28" s="7">
        <v>0</v>
      </c>
      <c r="E28" s="7">
        <v>1</v>
      </c>
      <c r="F28" s="7">
        <v>0</v>
      </c>
      <c r="G28" s="7">
        <v>1</v>
      </c>
      <c r="H28" s="1">
        <f t="shared" ref="H28:H34" si="13">INT(AND(G28=1,E28=1))</f>
        <v>1</v>
      </c>
      <c r="I28" s="1">
        <f t="shared" ref="I28:I34" si="14">INT(AND(G28=1,D28=1))</f>
        <v>0</v>
      </c>
      <c r="J28" s="1">
        <f t="shared" ref="J28:J34" si="15">INT(AND(F28=1,E28=1))</f>
        <v>0</v>
      </c>
      <c r="K28" s="1">
        <f t="shared" ref="K28:K34" si="16">INT(AND(F28=1,D28=1))</f>
        <v>0</v>
      </c>
      <c r="L28" s="1" t="str">
        <f t="shared" ref="L28:L34" si="17">INDEX($H$3:$K$3,1,MATCH(1,H28:K28,0))</f>
        <v>宽货币紧信用</v>
      </c>
      <c r="O28" s="48">
        <v>45322</v>
      </c>
      <c r="P28" s="54">
        <v>2.4022727272727269</v>
      </c>
      <c r="R28" s="52">
        <v>37986</v>
      </c>
      <c r="S28" s="53">
        <v>2498</v>
      </c>
      <c r="T28" s="14">
        <f t="shared" si="0"/>
        <v>2018.57</v>
      </c>
      <c r="U28" s="62">
        <f t="shared" si="1"/>
        <v>4516.57</v>
      </c>
      <c r="V28" s="62">
        <f t="shared" si="10"/>
        <v>39405.269999999997</v>
      </c>
      <c r="W28" s="63">
        <f t="shared" si="2"/>
        <v>139377.29999999999</v>
      </c>
      <c r="X28" s="64">
        <f t="shared" si="11"/>
        <v>28.272372904339516</v>
      </c>
      <c r="Y28" s="63"/>
      <c r="Z28" s="69">
        <v>44104</v>
      </c>
      <c r="AA28" s="67">
        <v>9315.7736999999997</v>
      </c>
      <c r="AB28" s="67"/>
      <c r="AC28" s="70">
        <v>36068</v>
      </c>
      <c r="AD28" s="53">
        <v>84107.1</v>
      </c>
      <c r="AG28" s="55"/>
      <c r="AH28" s="16"/>
      <c r="AI28" s="16"/>
      <c r="AJ28" s="16"/>
      <c r="AK28" s="16"/>
      <c r="AL28" s="16"/>
      <c r="AM28" s="48">
        <v>45657</v>
      </c>
      <c r="AN28" s="54">
        <v>1.729827272727273</v>
      </c>
      <c r="AO28" s="16"/>
    </row>
    <row r="29" spans="1:41" x14ac:dyDescent="0.3">
      <c r="A29" s="8">
        <v>45626</v>
      </c>
      <c r="B29" s="144">
        <f t="shared" si="12"/>
        <v>1.8626666666666669</v>
      </c>
      <c r="C29" s="144">
        <f t="shared" si="4"/>
        <v>23.530712987879514</v>
      </c>
      <c r="D29" s="7">
        <v>0</v>
      </c>
      <c r="E29" s="7">
        <v>1</v>
      </c>
      <c r="F29" s="7">
        <v>0</v>
      </c>
      <c r="G29" s="7">
        <v>1</v>
      </c>
      <c r="H29" s="1">
        <f t="shared" si="13"/>
        <v>1</v>
      </c>
      <c r="I29" s="1">
        <f t="shared" si="14"/>
        <v>0</v>
      </c>
      <c r="J29" s="1">
        <f t="shared" si="15"/>
        <v>0</v>
      </c>
      <c r="K29" s="1">
        <f t="shared" si="16"/>
        <v>0</v>
      </c>
      <c r="L29" s="1" t="str">
        <f t="shared" si="17"/>
        <v>宽货币紧信用</v>
      </c>
      <c r="O29" s="48">
        <v>45291</v>
      </c>
      <c r="P29" s="54">
        <v>2.5737142857142858</v>
      </c>
      <c r="R29" s="52">
        <v>38017</v>
      </c>
      <c r="S29" s="53">
        <v>2114</v>
      </c>
      <c r="T29" s="14">
        <f t="shared" si="0"/>
        <v>0</v>
      </c>
      <c r="U29" s="62">
        <f t="shared" si="1"/>
        <v>2114</v>
      </c>
      <c r="V29" s="62">
        <f t="shared" si="10"/>
        <v>38133.270000000004</v>
      </c>
      <c r="W29" s="63">
        <f t="shared" si="2"/>
        <v>139377.29999999999</v>
      </c>
      <c r="X29" s="64">
        <f t="shared" si="11"/>
        <v>27.359742224881678</v>
      </c>
      <c r="Y29" s="63"/>
      <c r="Z29" s="69">
        <v>44074</v>
      </c>
      <c r="AA29" s="67">
        <v>13620.0028</v>
      </c>
      <c r="AB29" s="67"/>
      <c r="AC29" s="70">
        <v>36160</v>
      </c>
      <c r="AD29" s="53">
        <v>85863.9</v>
      </c>
      <c r="AG29" s="55"/>
      <c r="AH29" s="16"/>
      <c r="AI29" s="16"/>
      <c r="AJ29" s="16"/>
      <c r="AK29" s="16"/>
      <c r="AL29" s="16"/>
      <c r="AM29" s="48">
        <v>45626</v>
      </c>
      <c r="AN29" s="54">
        <v>1.8626666666666669</v>
      </c>
      <c r="AO29" s="16"/>
    </row>
    <row r="30" spans="1:41" x14ac:dyDescent="0.3">
      <c r="A30" s="8">
        <v>45596</v>
      </c>
      <c r="B30" s="144">
        <f t="shared" si="12"/>
        <v>1.860526315789474</v>
      </c>
      <c r="C30" s="144">
        <f t="shared" si="4"/>
        <v>23.625773833578641</v>
      </c>
      <c r="D30" s="7">
        <v>0</v>
      </c>
      <c r="E30" s="7">
        <v>1</v>
      </c>
      <c r="F30" s="7">
        <v>0</v>
      </c>
      <c r="G30" s="7">
        <v>1</v>
      </c>
      <c r="H30" s="1">
        <f t="shared" si="13"/>
        <v>1</v>
      </c>
      <c r="I30" s="1">
        <f t="shared" si="14"/>
        <v>0</v>
      </c>
      <c r="J30" s="1">
        <f t="shared" si="15"/>
        <v>0</v>
      </c>
      <c r="K30" s="1">
        <f t="shared" si="16"/>
        <v>0</v>
      </c>
      <c r="L30" s="1" t="str">
        <f t="shared" si="17"/>
        <v>宽货币紧信用</v>
      </c>
      <c r="O30" s="48">
        <v>45260</v>
      </c>
      <c r="P30" s="54">
        <v>2.454277272727273</v>
      </c>
      <c r="R30" s="52">
        <v>38046</v>
      </c>
      <c r="S30" s="53">
        <v>438</v>
      </c>
      <c r="T30" s="14">
        <f t="shared" si="0"/>
        <v>0</v>
      </c>
      <c r="U30" s="62">
        <f t="shared" si="1"/>
        <v>438</v>
      </c>
      <c r="V30" s="62">
        <f t="shared" si="10"/>
        <v>37123.270000000004</v>
      </c>
      <c r="W30" s="63">
        <f t="shared" si="2"/>
        <v>139377.29999999999</v>
      </c>
      <c r="X30" s="64">
        <f t="shared" si="11"/>
        <v>26.635090506129771</v>
      </c>
      <c r="Y30" s="63"/>
      <c r="Z30" s="69">
        <v>44043</v>
      </c>
      <c r="AA30" s="67">
        <v>5042.8822</v>
      </c>
      <c r="AB30" s="67"/>
      <c r="AC30" s="70">
        <v>36250</v>
      </c>
      <c r="AD30" s="53">
        <v>87209.600000000006</v>
      </c>
      <c r="AG30" s="55"/>
      <c r="AH30" s="16"/>
      <c r="AI30" s="16"/>
      <c r="AJ30" s="16"/>
      <c r="AK30" s="16"/>
      <c r="AL30" s="16"/>
      <c r="AM30" s="48">
        <v>45596</v>
      </c>
      <c r="AN30" s="54">
        <v>1.860526315789474</v>
      </c>
      <c r="AO30" s="16"/>
    </row>
    <row r="31" spans="1:41" x14ac:dyDescent="0.3">
      <c r="A31" s="8">
        <v>45565</v>
      </c>
      <c r="B31" s="144">
        <f t="shared" si="12"/>
        <v>1.847666666666667</v>
      </c>
      <c r="C31" s="144">
        <f t="shared" si="4"/>
        <v>23.950227162382696</v>
      </c>
      <c r="D31" s="7">
        <v>0</v>
      </c>
      <c r="E31" s="7">
        <v>1</v>
      </c>
      <c r="F31" s="7">
        <v>0</v>
      </c>
      <c r="G31" s="7">
        <v>1</v>
      </c>
      <c r="H31" s="1">
        <f t="shared" si="13"/>
        <v>1</v>
      </c>
      <c r="I31" s="1">
        <f t="shared" si="14"/>
        <v>0</v>
      </c>
      <c r="J31" s="1">
        <f t="shared" si="15"/>
        <v>0</v>
      </c>
      <c r="K31" s="1">
        <f t="shared" si="16"/>
        <v>0</v>
      </c>
      <c r="L31" s="1" t="str">
        <f t="shared" si="17"/>
        <v>宽货币紧信用</v>
      </c>
      <c r="O31" s="48">
        <v>45230</v>
      </c>
      <c r="P31" s="54">
        <v>2.3387894736842112</v>
      </c>
      <c r="R31" s="52">
        <v>38077</v>
      </c>
      <c r="S31" s="53">
        <v>6557</v>
      </c>
      <c r="T31" s="14">
        <f t="shared" si="0"/>
        <v>101.6</v>
      </c>
      <c r="U31" s="62">
        <f t="shared" si="1"/>
        <v>6658.6</v>
      </c>
      <c r="V31" s="62">
        <f t="shared" si="10"/>
        <v>40090.870000000003</v>
      </c>
      <c r="W31" s="63">
        <f t="shared" si="2"/>
        <v>144203.1</v>
      </c>
      <c r="X31" s="64">
        <f t="shared" si="11"/>
        <v>27.80167000570723</v>
      </c>
      <c r="Y31" s="63"/>
      <c r="Z31" s="69">
        <v>44012</v>
      </c>
      <c r="AA31" s="67">
        <v>4978.8786</v>
      </c>
      <c r="AB31" s="67"/>
      <c r="AC31" s="70">
        <v>36341</v>
      </c>
      <c r="AD31" s="53">
        <v>88511.2</v>
      </c>
      <c r="AG31" s="55"/>
      <c r="AH31" s="16"/>
      <c r="AI31" s="16"/>
      <c r="AJ31" s="16"/>
      <c r="AK31" s="16"/>
      <c r="AL31" s="16"/>
      <c r="AM31" s="48">
        <v>45565</v>
      </c>
      <c r="AN31" s="54">
        <v>1.847666666666667</v>
      </c>
      <c r="AO31" s="16"/>
    </row>
    <row r="32" spans="1:41" x14ac:dyDescent="0.3">
      <c r="A32" s="8">
        <v>45535</v>
      </c>
      <c r="B32" s="144">
        <f t="shared" si="12"/>
        <v>1.842840909090909</v>
      </c>
      <c r="C32" s="144">
        <f t="shared" si="4"/>
        <v>24.466245634873122</v>
      </c>
      <c r="D32" s="7">
        <v>0</v>
      </c>
      <c r="E32" s="7">
        <v>1</v>
      </c>
      <c r="F32" s="7">
        <v>0</v>
      </c>
      <c r="G32" s="7">
        <v>1</v>
      </c>
      <c r="H32" s="1">
        <f t="shared" si="13"/>
        <v>1</v>
      </c>
      <c r="I32" s="1">
        <f t="shared" si="14"/>
        <v>0</v>
      </c>
      <c r="J32" s="1">
        <f t="shared" si="15"/>
        <v>0</v>
      </c>
      <c r="K32" s="1">
        <f t="shared" si="16"/>
        <v>0</v>
      </c>
      <c r="L32" s="1" t="str">
        <f t="shared" si="17"/>
        <v>宽货币紧信用</v>
      </c>
      <c r="O32" s="48">
        <v>45199</v>
      </c>
      <c r="P32" s="54">
        <v>2.1665000000000001</v>
      </c>
      <c r="R32" s="52">
        <v>38107</v>
      </c>
      <c r="S32" s="53">
        <v>2731</v>
      </c>
      <c r="T32" s="14">
        <f t="shared" si="0"/>
        <v>1472.2</v>
      </c>
      <c r="U32" s="62">
        <f t="shared" si="1"/>
        <v>4203.2</v>
      </c>
      <c r="V32" s="62">
        <f t="shared" si="10"/>
        <v>39992.07</v>
      </c>
      <c r="W32" s="63">
        <f t="shared" si="2"/>
        <v>144203.1</v>
      </c>
      <c r="X32" s="64">
        <f t="shared" si="11"/>
        <v>27.733155528556598</v>
      </c>
      <c r="Y32" s="63"/>
      <c r="Z32" s="69">
        <v>43982</v>
      </c>
      <c r="AA32" s="67">
        <v>15020.822</v>
      </c>
      <c r="AB32" s="67"/>
      <c r="AC32" s="70">
        <v>36433</v>
      </c>
      <c r="AD32" s="53">
        <v>89821.4</v>
      </c>
      <c r="AG32" s="55"/>
      <c r="AH32" s="16"/>
      <c r="AI32" s="16"/>
      <c r="AJ32" s="16"/>
      <c r="AK32" s="16"/>
      <c r="AL32" s="16"/>
      <c r="AM32" s="48">
        <v>45535</v>
      </c>
      <c r="AN32" s="54">
        <v>1.842840909090909</v>
      </c>
      <c r="AO32" s="16"/>
    </row>
    <row r="33" spans="1:41" x14ac:dyDescent="0.3">
      <c r="A33" s="8">
        <v>45504</v>
      </c>
      <c r="B33" s="144">
        <f t="shared" si="12"/>
        <v>1.895347826086957</v>
      </c>
      <c r="C33" s="144">
        <f t="shared" si="4"/>
        <v>24.538737091155959</v>
      </c>
      <c r="D33" s="7">
        <v>0</v>
      </c>
      <c r="E33" s="7">
        <v>1</v>
      </c>
      <c r="F33" s="7">
        <v>0</v>
      </c>
      <c r="G33" s="7">
        <v>1</v>
      </c>
      <c r="H33" s="1">
        <f t="shared" si="13"/>
        <v>1</v>
      </c>
      <c r="I33" s="1">
        <f t="shared" si="14"/>
        <v>0</v>
      </c>
      <c r="J33" s="1">
        <f t="shared" si="15"/>
        <v>0</v>
      </c>
      <c r="K33" s="1">
        <f t="shared" si="16"/>
        <v>0</v>
      </c>
      <c r="L33" s="1" t="str">
        <f t="shared" si="17"/>
        <v>宽货币紧信用</v>
      </c>
      <c r="O33" s="48">
        <v>45169</v>
      </c>
      <c r="P33" s="54">
        <v>2.0501739130434782</v>
      </c>
      <c r="R33" s="52">
        <v>38138</v>
      </c>
      <c r="S33" s="53">
        <v>2443</v>
      </c>
      <c r="T33" s="14">
        <f t="shared" si="0"/>
        <v>-242.5</v>
      </c>
      <c r="U33" s="62">
        <f t="shared" si="1"/>
        <v>2200.5</v>
      </c>
      <c r="V33" s="62">
        <f t="shared" si="10"/>
        <v>39171.57</v>
      </c>
      <c r="W33" s="63">
        <f t="shared" si="2"/>
        <v>144203.1</v>
      </c>
      <c r="X33" s="64">
        <f t="shared" si="11"/>
        <v>27.164166373677123</v>
      </c>
      <c r="Y33" s="63"/>
      <c r="Z33" s="69">
        <v>43951</v>
      </c>
      <c r="AA33" s="67">
        <v>2898.4261000000001</v>
      </c>
      <c r="AB33" s="67"/>
      <c r="AC33" s="70">
        <v>36525</v>
      </c>
      <c r="AD33" s="53">
        <v>91378.9</v>
      </c>
      <c r="AG33" s="55"/>
      <c r="AH33" s="16"/>
      <c r="AI33" s="16"/>
      <c r="AJ33" s="16"/>
      <c r="AK33" s="16"/>
      <c r="AL33" s="16"/>
      <c r="AM33" s="48">
        <v>45504</v>
      </c>
      <c r="AN33" s="54">
        <v>1.895347826086957</v>
      </c>
      <c r="AO33" s="16"/>
    </row>
    <row r="34" spans="1:41" x14ac:dyDescent="0.3">
      <c r="A34" s="8">
        <v>45473</v>
      </c>
      <c r="B34" s="144">
        <f t="shared" si="12"/>
        <v>1.9348421052631579</v>
      </c>
      <c r="C34" s="144">
        <f t="shared" si="4"/>
        <v>24.361224016722776</v>
      </c>
      <c r="D34" s="7">
        <v>0</v>
      </c>
      <c r="E34" s="7">
        <v>1</v>
      </c>
      <c r="F34" s="7">
        <v>0</v>
      </c>
      <c r="G34" s="7">
        <v>1</v>
      </c>
      <c r="H34" s="1">
        <f t="shared" si="13"/>
        <v>1</v>
      </c>
      <c r="I34" s="1">
        <f t="shared" si="14"/>
        <v>0</v>
      </c>
      <c r="J34" s="1">
        <f t="shared" si="15"/>
        <v>0</v>
      </c>
      <c r="K34" s="1">
        <f t="shared" si="16"/>
        <v>0</v>
      </c>
      <c r="L34" s="1" t="str">
        <f t="shared" si="17"/>
        <v>宽货币紧信用</v>
      </c>
      <c r="O34" s="48">
        <v>45138</v>
      </c>
      <c r="P34" s="54">
        <v>2.1155714285714291</v>
      </c>
      <c r="R34" s="52">
        <v>38168</v>
      </c>
      <c r="S34" s="53">
        <v>3229</v>
      </c>
      <c r="T34" s="14">
        <f t="shared" si="0"/>
        <v>632.29999999999995</v>
      </c>
      <c r="U34" s="62">
        <f t="shared" si="1"/>
        <v>3861.3</v>
      </c>
      <c r="V34" s="62">
        <f t="shared" si="10"/>
        <v>37110.869999999995</v>
      </c>
      <c r="W34" s="63">
        <f t="shared" si="2"/>
        <v>150476.70000000001</v>
      </c>
      <c r="X34" s="64">
        <f t="shared" si="11"/>
        <v>24.662203517222263</v>
      </c>
      <c r="Y34" s="63"/>
      <c r="Z34" s="69">
        <v>43921</v>
      </c>
      <c r="AA34" s="67">
        <v>5233.6126999999997</v>
      </c>
      <c r="AB34" s="67"/>
      <c r="AC34" s="70">
        <v>36616</v>
      </c>
      <c r="AD34" s="53">
        <v>93396.9</v>
      </c>
      <c r="AG34" s="55"/>
      <c r="AH34" s="16"/>
      <c r="AI34" s="16"/>
      <c r="AJ34" s="16"/>
      <c r="AK34" s="16"/>
      <c r="AL34" s="16"/>
      <c r="AM34" s="48">
        <v>45473</v>
      </c>
      <c r="AN34" s="54">
        <v>1.9348421052631579</v>
      </c>
      <c r="AO34" s="16"/>
    </row>
    <row r="35" spans="1:41" x14ac:dyDescent="0.3">
      <c r="A35" s="8">
        <v>45443</v>
      </c>
      <c r="B35" s="9">
        <f t="shared" si="12"/>
        <v>1.9711904761904759</v>
      </c>
      <c r="C35" s="9">
        <f t="shared" si="4"/>
        <v>25.301811458142133</v>
      </c>
      <c r="D35" s="7">
        <v>0</v>
      </c>
      <c r="E35" s="7">
        <v>1</v>
      </c>
      <c r="F35" s="7">
        <v>0</v>
      </c>
      <c r="G35" s="7">
        <v>1</v>
      </c>
      <c r="H35" s="1">
        <f>INT(AND(G35=1,E35=1))</f>
        <v>1</v>
      </c>
      <c r="I35" s="1">
        <f>INT(AND(G35=1,D35=1))</f>
        <v>0</v>
      </c>
      <c r="J35" s="1">
        <f>INT(AND(F35=1,E35=1))</f>
        <v>0</v>
      </c>
      <c r="K35" s="1">
        <f>INT(AND(F35=1,D35=1))</f>
        <v>0</v>
      </c>
      <c r="L35" s="1" t="str">
        <f t="shared" ref="L35:L66" si="18">INDEX($H$3:$K$3,1,MATCH(1,H35:K35,0))</f>
        <v>宽货币紧信用</v>
      </c>
      <c r="O35" s="48">
        <v>45107</v>
      </c>
      <c r="P35" s="54">
        <v>2.1543333333333332</v>
      </c>
      <c r="R35" s="52">
        <v>38199</v>
      </c>
      <c r="S35" s="53">
        <v>590</v>
      </c>
      <c r="T35" s="14">
        <f t="shared" si="0"/>
        <v>957</v>
      </c>
      <c r="U35" s="62">
        <f t="shared" si="1"/>
        <v>1547</v>
      </c>
      <c r="V35" s="62">
        <f t="shared" si="10"/>
        <v>37318.869999999995</v>
      </c>
      <c r="W35" s="63">
        <f t="shared" si="2"/>
        <v>150476.70000000001</v>
      </c>
      <c r="X35" s="64">
        <f t="shared" si="11"/>
        <v>24.80043089727512</v>
      </c>
      <c r="Y35" s="63"/>
      <c r="Z35" s="69">
        <v>43890</v>
      </c>
      <c r="AA35" s="67">
        <v>3693.02</v>
      </c>
      <c r="AB35" s="67"/>
      <c r="AC35" s="70">
        <v>36707</v>
      </c>
      <c r="AD35" s="53">
        <v>95922.7</v>
      </c>
      <c r="AG35" s="55"/>
      <c r="AH35" s="16"/>
      <c r="AI35" s="16"/>
      <c r="AJ35" s="16"/>
      <c r="AK35" s="16"/>
      <c r="AL35" s="16"/>
      <c r="AM35" s="48">
        <v>45443</v>
      </c>
      <c r="AN35" s="54">
        <v>1.9711904761904759</v>
      </c>
      <c r="AO35" s="16"/>
    </row>
    <row r="36" spans="1:41" x14ac:dyDescent="0.3">
      <c r="A36" s="8">
        <v>45412</v>
      </c>
      <c r="B36" s="9">
        <f t="shared" si="12"/>
        <v>2.0665</v>
      </c>
      <c r="C36" s="9">
        <f t="shared" si="4"/>
        <v>24.914266241344148</v>
      </c>
      <c r="D36" s="7">
        <v>0</v>
      </c>
      <c r="E36" s="7">
        <v>1</v>
      </c>
      <c r="F36" s="7">
        <v>0</v>
      </c>
      <c r="G36" s="7">
        <v>1</v>
      </c>
      <c r="H36" s="1">
        <f t="shared" ref="H36:H99" si="19">INT(AND(G36=1,E36=1))</f>
        <v>1</v>
      </c>
      <c r="I36" s="1">
        <f t="shared" ref="I36:I99" si="20">INT(AND(G36=1,D36=1))</f>
        <v>0</v>
      </c>
      <c r="J36" s="1">
        <f t="shared" ref="J36:J99" si="21">INT(AND(F36=1,E36=1))</f>
        <v>0</v>
      </c>
      <c r="K36" s="1">
        <f t="shared" ref="K36:K99" si="22">INT(AND(F36=1,D36=1))</f>
        <v>0</v>
      </c>
      <c r="L36" s="1" t="str">
        <f>INDEX($H$3:$K$3,1,MATCH(1,H36:K36,0))</f>
        <v>宽货币紧信用</v>
      </c>
      <c r="O36" s="48">
        <v>45077</v>
      </c>
      <c r="P36" s="54">
        <v>2.3034761904761898</v>
      </c>
      <c r="R36" s="52">
        <v>38230</v>
      </c>
      <c r="S36" s="53">
        <v>1501</v>
      </c>
      <c r="T36" s="14">
        <f t="shared" si="0"/>
        <v>615.29999999999995</v>
      </c>
      <c r="U36" s="62">
        <f t="shared" si="1"/>
        <v>2116.3000000000002</v>
      </c>
      <c r="V36" s="62">
        <f t="shared" si="10"/>
        <v>35854.170000000006</v>
      </c>
      <c r="W36" s="63">
        <f t="shared" si="2"/>
        <v>150476.70000000001</v>
      </c>
      <c r="X36" s="64">
        <f t="shared" si="11"/>
        <v>23.827057610912522</v>
      </c>
      <c r="Y36" s="63"/>
      <c r="Z36" s="69">
        <v>43861</v>
      </c>
      <c r="AA36" s="67">
        <v>7648.0378000000101</v>
      </c>
      <c r="AB36" s="67"/>
      <c r="AC36" s="70">
        <v>36799</v>
      </c>
      <c r="AD36" s="53">
        <v>98640.7</v>
      </c>
      <c r="AG36" s="55"/>
      <c r="AH36" s="16"/>
      <c r="AI36" s="16"/>
      <c r="AJ36" s="16"/>
      <c r="AK36" s="16"/>
      <c r="AL36" s="16"/>
      <c r="AM36" s="48">
        <v>45412</v>
      </c>
      <c r="AN36" s="54">
        <v>2.0665</v>
      </c>
      <c r="AO36" s="16"/>
    </row>
    <row r="37" spans="1:41" x14ac:dyDescent="0.3">
      <c r="A37" s="8">
        <v>45382</v>
      </c>
      <c r="B37" s="9">
        <f t="shared" si="12"/>
        <v>2.1623809523809521</v>
      </c>
      <c r="C37" s="9">
        <f t="shared" si="4"/>
        <v>25.902227156456053</v>
      </c>
      <c r="D37" s="7">
        <v>0</v>
      </c>
      <c r="E37" s="7">
        <v>1</v>
      </c>
      <c r="F37" s="7">
        <v>0</v>
      </c>
      <c r="G37" s="7">
        <v>1</v>
      </c>
      <c r="H37" s="1">
        <f t="shared" si="19"/>
        <v>1</v>
      </c>
      <c r="I37" s="1">
        <f t="shared" si="20"/>
        <v>0</v>
      </c>
      <c r="J37" s="1">
        <f t="shared" si="21"/>
        <v>0</v>
      </c>
      <c r="K37" s="1">
        <f t="shared" si="22"/>
        <v>0</v>
      </c>
      <c r="L37" s="1" t="str">
        <f t="shared" si="18"/>
        <v>宽货币紧信用</v>
      </c>
      <c r="O37" s="48">
        <v>45046</v>
      </c>
      <c r="P37" s="54">
        <v>2.42415</v>
      </c>
      <c r="R37" s="52">
        <v>38260</v>
      </c>
      <c r="S37" s="53">
        <v>2981</v>
      </c>
      <c r="T37" s="14">
        <f t="shared" si="0"/>
        <v>153</v>
      </c>
      <c r="U37" s="62">
        <f t="shared" si="1"/>
        <v>3134</v>
      </c>
      <c r="V37" s="62">
        <f t="shared" si="10"/>
        <v>34764.369999999995</v>
      </c>
      <c r="W37" s="63">
        <f t="shared" si="2"/>
        <v>157146.4</v>
      </c>
      <c r="X37" s="64">
        <f t="shared" si="11"/>
        <v>22.122282152184201</v>
      </c>
      <c r="Y37" s="63"/>
      <c r="Z37" s="69">
        <v>43830</v>
      </c>
      <c r="AA37" s="67">
        <v>3211.1605</v>
      </c>
      <c r="AB37" s="67"/>
      <c r="AC37" s="70">
        <v>36891</v>
      </c>
      <c r="AD37" s="53">
        <v>101308.6</v>
      </c>
      <c r="AG37" s="55"/>
      <c r="AH37" s="16"/>
      <c r="AI37" s="16"/>
      <c r="AJ37" s="16"/>
      <c r="AK37" s="16"/>
      <c r="AL37" s="16"/>
      <c r="AM37" s="48">
        <v>45382</v>
      </c>
      <c r="AN37" s="54">
        <v>2.1623809523809521</v>
      </c>
      <c r="AO37" s="16"/>
    </row>
    <row r="38" spans="1:41" x14ac:dyDescent="0.3">
      <c r="A38" s="8">
        <v>45351</v>
      </c>
      <c r="B38" s="9">
        <f t="shared" si="12"/>
        <v>2.2877166666666668</v>
      </c>
      <c r="C38" s="9">
        <f t="shared" si="4"/>
        <v>26.572934680335301</v>
      </c>
      <c r="D38" s="7">
        <v>0</v>
      </c>
      <c r="E38" s="7">
        <v>1</v>
      </c>
      <c r="F38" s="7">
        <v>0</v>
      </c>
      <c r="G38" s="7">
        <v>1</v>
      </c>
      <c r="H38" s="1">
        <f t="shared" si="19"/>
        <v>1</v>
      </c>
      <c r="I38" s="1">
        <f t="shared" si="20"/>
        <v>0</v>
      </c>
      <c r="J38" s="1">
        <f t="shared" si="21"/>
        <v>0</v>
      </c>
      <c r="K38" s="1">
        <f t="shared" si="22"/>
        <v>0</v>
      </c>
      <c r="L38" s="1" t="str">
        <f t="shared" si="18"/>
        <v>宽货币紧信用</v>
      </c>
      <c r="O38" s="48">
        <v>45016</v>
      </c>
      <c r="P38" s="54">
        <v>2.4777391304347831</v>
      </c>
      <c r="R38" s="52">
        <v>38291</v>
      </c>
      <c r="S38" s="53">
        <v>483</v>
      </c>
      <c r="T38" s="14">
        <f t="shared" si="0"/>
        <v>221.1</v>
      </c>
      <c r="U38" s="62">
        <f t="shared" si="1"/>
        <v>704.1</v>
      </c>
      <c r="V38" s="62">
        <f t="shared" si="10"/>
        <v>34150.469999999994</v>
      </c>
      <c r="W38" s="63">
        <f t="shared" si="2"/>
        <v>157146.4</v>
      </c>
      <c r="X38" s="64">
        <f t="shared" si="11"/>
        <v>21.731627323311255</v>
      </c>
      <c r="Y38" s="63"/>
      <c r="Z38" s="69">
        <v>43799</v>
      </c>
      <c r="AA38" s="67">
        <v>2273.0463</v>
      </c>
      <c r="AB38" s="67"/>
      <c r="AC38" s="70">
        <v>36981</v>
      </c>
      <c r="AD38" s="53">
        <v>104130.1</v>
      </c>
      <c r="AG38" s="55"/>
      <c r="AH38" s="16"/>
      <c r="AI38" s="16"/>
      <c r="AJ38" s="16"/>
      <c r="AK38" s="16"/>
      <c r="AL38" s="16"/>
      <c r="AM38" s="48">
        <v>45351</v>
      </c>
      <c r="AN38" s="54">
        <v>2.2877166666666668</v>
      </c>
      <c r="AO38" s="16"/>
    </row>
    <row r="39" spans="1:41" x14ac:dyDescent="0.3">
      <c r="A39" s="8">
        <v>45322</v>
      </c>
      <c r="B39" s="9">
        <f t="shared" si="12"/>
        <v>2.4022727272727269</v>
      </c>
      <c r="C39" s="9">
        <f t="shared" si="4"/>
        <v>27.859449614833608</v>
      </c>
      <c r="D39" s="7">
        <v>0</v>
      </c>
      <c r="E39" s="7">
        <v>1</v>
      </c>
      <c r="F39" s="7">
        <v>0</v>
      </c>
      <c r="G39" s="7">
        <v>1</v>
      </c>
      <c r="H39" s="1">
        <f t="shared" si="19"/>
        <v>1</v>
      </c>
      <c r="I39" s="1">
        <f t="shared" si="20"/>
        <v>0</v>
      </c>
      <c r="J39" s="1">
        <f t="shared" si="21"/>
        <v>0</v>
      </c>
      <c r="K39" s="1">
        <f t="shared" si="22"/>
        <v>0</v>
      </c>
      <c r="L39" s="1" t="str">
        <f t="shared" si="18"/>
        <v>宽货币紧信用</v>
      </c>
      <c r="O39" s="48">
        <v>44985</v>
      </c>
      <c r="P39" s="54">
        <v>2.3834499999999998</v>
      </c>
      <c r="R39" s="52">
        <v>38321</v>
      </c>
      <c r="S39" s="53">
        <v>1977</v>
      </c>
      <c r="T39" s="14">
        <f t="shared" si="0"/>
        <v>332.3</v>
      </c>
      <c r="U39" s="62">
        <f t="shared" si="1"/>
        <v>2309.3000000000002</v>
      </c>
      <c r="V39" s="62">
        <f t="shared" si="10"/>
        <v>33802.869999999995</v>
      </c>
      <c r="W39" s="63">
        <f t="shared" si="2"/>
        <v>157146.4</v>
      </c>
      <c r="X39" s="64">
        <f t="shared" si="11"/>
        <v>21.510432310253368</v>
      </c>
      <c r="Y39" s="63"/>
      <c r="Z39" s="69">
        <v>43769</v>
      </c>
      <c r="AA39" s="67">
        <v>1750.3545999999999</v>
      </c>
      <c r="AB39" s="67"/>
      <c r="AC39" s="70">
        <v>37072</v>
      </c>
      <c r="AD39" s="53">
        <v>106870.8</v>
      </c>
      <c r="AG39" s="55"/>
      <c r="AH39" s="16"/>
      <c r="AI39" s="16"/>
      <c r="AJ39" s="16"/>
      <c r="AK39" s="16"/>
      <c r="AL39" s="16"/>
      <c r="AM39" s="48">
        <v>45322</v>
      </c>
      <c r="AN39" s="54">
        <v>2.4022727272727269</v>
      </c>
      <c r="AO39" s="16"/>
    </row>
    <row r="40" spans="1:41" x14ac:dyDescent="0.3">
      <c r="A40" s="8">
        <v>45291</v>
      </c>
      <c r="B40" s="9">
        <f t="shared" si="12"/>
        <v>2.5737142857142858</v>
      </c>
      <c r="C40" s="9">
        <f t="shared" si="4"/>
        <v>27.490284498202001</v>
      </c>
      <c r="D40" s="7">
        <v>0</v>
      </c>
      <c r="E40" s="7">
        <v>1</v>
      </c>
      <c r="F40" s="7">
        <v>0</v>
      </c>
      <c r="G40" s="7">
        <v>1</v>
      </c>
      <c r="H40" s="1">
        <f t="shared" si="19"/>
        <v>1</v>
      </c>
      <c r="I40" s="1">
        <f t="shared" si="20"/>
        <v>0</v>
      </c>
      <c r="J40" s="1">
        <f t="shared" si="21"/>
        <v>0</v>
      </c>
      <c r="K40" s="1">
        <f t="shared" si="22"/>
        <v>0</v>
      </c>
      <c r="L40" s="1" t="str">
        <f t="shared" si="18"/>
        <v>宽货币紧信用</v>
      </c>
      <c r="O40" s="48">
        <v>44957</v>
      </c>
      <c r="P40" s="54">
        <v>2.362333333333333</v>
      </c>
      <c r="R40" s="52">
        <v>38352</v>
      </c>
      <c r="S40" s="53">
        <v>3586</v>
      </c>
      <c r="T40" s="14">
        <f t="shared" si="0"/>
        <v>-630.03</v>
      </c>
      <c r="U40" s="62">
        <f t="shared" si="1"/>
        <v>2955.9700000000003</v>
      </c>
      <c r="V40" s="62">
        <f t="shared" si="10"/>
        <v>32242.269999999997</v>
      </c>
      <c r="W40" s="63">
        <f t="shared" si="2"/>
        <v>164227.9</v>
      </c>
      <c r="X40" s="64">
        <f t="shared" si="11"/>
        <v>19.632638546799903</v>
      </c>
      <c r="Y40" s="63"/>
      <c r="Z40" s="69">
        <v>43738</v>
      </c>
      <c r="AA40" s="67">
        <v>2396.8715000000002</v>
      </c>
      <c r="AB40" s="67"/>
      <c r="AC40" s="70">
        <v>37164</v>
      </c>
      <c r="AD40" s="53">
        <v>109559</v>
      </c>
      <c r="AG40" s="55"/>
      <c r="AH40" s="16"/>
      <c r="AI40" s="16"/>
      <c r="AJ40" s="16"/>
      <c r="AK40" s="16"/>
      <c r="AL40" s="16"/>
      <c r="AM40" s="48">
        <v>45291</v>
      </c>
      <c r="AN40" s="54">
        <v>2.5737142857142858</v>
      </c>
      <c r="AO40" s="16"/>
    </row>
    <row r="41" spans="1:41" x14ac:dyDescent="0.3">
      <c r="A41" s="8">
        <v>45260</v>
      </c>
      <c r="B41" s="9">
        <f t="shared" si="12"/>
        <v>2.454277272727273</v>
      </c>
      <c r="C41" s="9">
        <f t="shared" si="4"/>
        <v>27.320532747887395</v>
      </c>
      <c r="D41" s="7">
        <v>0</v>
      </c>
      <c r="E41" s="7">
        <v>1</v>
      </c>
      <c r="F41" s="7">
        <v>0</v>
      </c>
      <c r="G41" s="7">
        <v>1</v>
      </c>
      <c r="H41" s="1">
        <f t="shared" si="19"/>
        <v>1</v>
      </c>
      <c r="I41" s="1">
        <f t="shared" si="20"/>
        <v>0</v>
      </c>
      <c r="J41" s="1">
        <f t="shared" si="21"/>
        <v>0</v>
      </c>
      <c r="K41" s="1">
        <f t="shared" si="22"/>
        <v>0</v>
      </c>
      <c r="L41" s="1" t="str">
        <f t="shared" si="18"/>
        <v>宽货币紧信用</v>
      </c>
      <c r="O41" s="48">
        <v>44926</v>
      </c>
      <c r="P41" s="54">
        <v>2.319454545454545</v>
      </c>
      <c r="R41" s="52">
        <v>38383</v>
      </c>
      <c r="S41" s="53">
        <v>3620</v>
      </c>
      <c r="T41" s="14">
        <f t="shared" si="0"/>
        <v>0</v>
      </c>
      <c r="U41" s="62">
        <f t="shared" si="1"/>
        <v>3620</v>
      </c>
      <c r="V41" s="62">
        <f t="shared" si="10"/>
        <v>33748.269999999997</v>
      </c>
      <c r="W41" s="63">
        <f t="shared" si="2"/>
        <v>164227.9</v>
      </c>
      <c r="X41" s="64">
        <f t="shared" si="11"/>
        <v>20.549656909696829</v>
      </c>
      <c r="Y41" s="63"/>
      <c r="Z41" s="69">
        <v>43708</v>
      </c>
      <c r="AA41" s="67">
        <v>5851.5141000000003</v>
      </c>
      <c r="AB41" s="67"/>
      <c r="AC41" s="70">
        <v>37256</v>
      </c>
      <c r="AD41" s="53">
        <v>112157.3</v>
      </c>
      <c r="AG41" s="55"/>
      <c r="AH41" s="16"/>
      <c r="AI41" s="16"/>
      <c r="AJ41" s="16"/>
      <c r="AK41" s="16"/>
      <c r="AL41" s="16"/>
      <c r="AM41" s="48">
        <v>45260</v>
      </c>
      <c r="AN41" s="54">
        <v>2.454277272727273</v>
      </c>
      <c r="AO41" s="16"/>
    </row>
    <row r="42" spans="1:41" x14ac:dyDescent="0.3">
      <c r="A42" s="8">
        <v>45230</v>
      </c>
      <c r="B42" s="9">
        <f t="shared" si="12"/>
        <v>2.3387894736842112</v>
      </c>
      <c r="C42" s="9">
        <f t="shared" si="4"/>
        <v>26.951841245519155</v>
      </c>
      <c r="D42" s="7">
        <v>0</v>
      </c>
      <c r="E42" s="7">
        <v>1</v>
      </c>
      <c r="F42" s="7">
        <v>0</v>
      </c>
      <c r="G42" s="7">
        <v>1</v>
      </c>
      <c r="H42" s="1">
        <f t="shared" si="19"/>
        <v>1</v>
      </c>
      <c r="I42" s="1">
        <f t="shared" si="20"/>
        <v>0</v>
      </c>
      <c r="J42" s="1">
        <f t="shared" si="21"/>
        <v>0</v>
      </c>
      <c r="K42" s="1">
        <f t="shared" si="22"/>
        <v>0</v>
      </c>
      <c r="L42" s="1" t="str">
        <f t="shared" si="18"/>
        <v>宽货币紧信用</v>
      </c>
      <c r="O42" s="48">
        <v>44895</v>
      </c>
      <c r="P42" s="54">
        <v>2.0111363636363642</v>
      </c>
      <c r="R42" s="52">
        <v>38411</v>
      </c>
      <c r="S42" s="53">
        <v>824</v>
      </c>
      <c r="T42" s="14">
        <f t="shared" si="0"/>
        <v>46.8</v>
      </c>
      <c r="U42" s="62">
        <f t="shared" si="1"/>
        <v>870.8</v>
      </c>
      <c r="V42" s="62">
        <f t="shared" si="10"/>
        <v>34181.07</v>
      </c>
      <c r="W42" s="63">
        <f t="shared" si="2"/>
        <v>164227.9</v>
      </c>
      <c r="X42" s="64">
        <f t="shared" si="11"/>
        <v>20.813193129790982</v>
      </c>
      <c r="Y42" s="63"/>
      <c r="Z42" s="69">
        <v>43677</v>
      </c>
      <c r="AA42" s="67">
        <v>5311.6426000000101</v>
      </c>
      <c r="AB42" s="67"/>
      <c r="AC42" s="70">
        <v>37346</v>
      </c>
      <c r="AD42" s="53">
        <v>114432.7</v>
      </c>
      <c r="AG42" s="55"/>
      <c r="AH42" s="16"/>
      <c r="AI42" s="16"/>
      <c r="AJ42" s="16"/>
      <c r="AK42" s="16"/>
      <c r="AL42" s="16"/>
      <c r="AM42" s="48">
        <v>45230</v>
      </c>
      <c r="AN42" s="54">
        <v>2.3387894736842112</v>
      </c>
      <c r="AO42" s="16"/>
    </row>
    <row r="43" spans="1:41" x14ac:dyDescent="0.3">
      <c r="A43" s="8">
        <v>45199</v>
      </c>
      <c r="B43" s="9">
        <f t="shared" si="12"/>
        <v>2.1665000000000001</v>
      </c>
      <c r="C43" s="9">
        <f t="shared" si="4"/>
        <v>26.224384851085997</v>
      </c>
      <c r="D43" s="7">
        <v>0</v>
      </c>
      <c r="E43" s="7">
        <v>1</v>
      </c>
      <c r="F43" s="7">
        <v>0</v>
      </c>
      <c r="G43" s="7">
        <v>1</v>
      </c>
      <c r="H43" s="1">
        <f t="shared" si="19"/>
        <v>1</v>
      </c>
      <c r="I43" s="1">
        <f t="shared" si="20"/>
        <v>0</v>
      </c>
      <c r="J43" s="1">
        <f t="shared" si="21"/>
        <v>0</v>
      </c>
      <c r="K43" s="1">
        <f t="shared" si="22"/>
        <v>0</v>
      </c>
      <c r="L43" s="1" t="str">
        <f t="shared" si="18"/>
        <v>宽货币紧信用</v>
      </c>
      <c r="O43" s="48">
        <v>44865</v>
      </c>
      <c r="P43" s="54">
        <v>1.6995555555555559</v>
      </c>
      <c r="R43" s="52">
        <v>38442</v>
      </c>
      <c r="S43" s="53">
        <v>4189</v>
      </c>
      <c r="T43" s="14">
        <f t="shared" si="0"/>
        <v>-201.6</v>
      </c>
      <c r="U43" s="62">
        <f t="shared" si="1"/>
        <v>3987.4</v>
      </c>
      <c r="V43" s="62">
        <f t="shared" si="10"/>
        <v>31509.87</v>
      </c>
      <c r="W43" s="63">
        <f t="shared" si="2"/>
        <v>170199.3</v>
      </c>
      <c r="X43" s="64">
        <f t="shared" si="11"/>
        <v>18.513513275318992</v>
      </c>
      <c r="Y43" s="63"/>
      <c r="Z43" s="69">
        <v>43646</v>
      </c>
      <c r="AA43" s="67">
        <v>7881.3980999999903</v>
      </c>
      <c r="AB43" s="67"/>
      <c r="AC43" s="70">
        <v>37437</v>
      </c>
      <c r="AD43" s="53">
        <v>116965.6</v>
      </c>
      <c r="AG43" s="55"/>
      <c r="AH43" s="16"/>
      <c r="AI43" s="16"/>
      <c r="AJ43" s="16"/>
      <c r="AK43" s="16"/>
      <c r="AL43" s="16"/>
      <c r="AM43" s="48">
        <v>45199</v>
      </c>
      <c r="AN43" s="54">
        <v>2.1665000000000001</v>
      </c>
      <c r="AO43" s="16"/>
    </row>
    <row r="44" spans="1:41" x14ac:dyDescent="0.3">
      <c r="A44" s="8">
        <v>45169</v>
      </c>
      <c r="B44" s="9">
        <f t="shared" si="12"/>
        <v>2.0501739130434782</v>
      </c>
      <c r="C44" s="9">
        <f t="shared" si="4"/>
        <v>26.027357560317334</v>
      </c>
      <c r="D44" s="7">
        <v>0</v>
      </c>
      <c r="E44" s="7">
        <v>1</v>
      </c>
      <c r="F44" s="7">
        <v>0</v>
      </c>
      <c r="G44" s="7">
        <v>1</v>
      </c>
      <c r="H44" s="1">
        <f t="shared" si="19"/>
        <v>1</v>
      </c>
      <c r="I44" s="1">
        <f t="shared" si="20"/>
        <v>0</v>
      </c>
      <c r="J44" s="1">
        <f t="shared" si="21"/>
        <v>0</v>
      </c>
      <c r="K44" s="1">
        <f t="shared" si="22"/>
        <v>0</v>
      </c>
      <c r="L44" s="1" t="str">
        <f t="shared" si="18"/>
        <v>宽货币紧信用</v>
      </c>
      <c r="O44" s="48">
        <v>44834</v>
      </c>
      <c r="P44" s="54">
        <v>1.6132380952380949</v>
      </c>
      <c r="R44" s="52">
        <v>38472</v>
      </c>
      <c r="S44" s="53">
        <v>1999</v>
      </c>
      <c r="T44" s="14">
        <f t="shared" si="0"/>
        <v>683.9</v>
      </c>
      <c r="U44" s="62">
        <f t="shared" si="1"/>
        <v>2682.9</v>
      </c>
      <c r="V44" s="62">
        <f t="shared" si="10"/>
        <v>29989.570000000003</v>
      </c>
      <c r="W44" s="63">
        <f t="shared" si="2"/>
        <v>170199.3</v>
      </c>
      <c r="X44" s="64">
        <f t="shared" si="11"/>
        <v>17.620266358322276</v>
      </c>
      <c r="Y44" s="63"/>
      <c r="Z44" s="69">
        <v>43616</v>
      </c>
      <c r="AA44" s="67">
        <v>4533.8326999999999</v>
      </c>
      <c r="AB44" s="67"/>
      <c r="AC44" s="70">
        <v>37529</v>
      </c>
      <c r="AD44" s="53">
        <v>119968</v>
      </c>
      <c r="AG44" s="55"/>
      <c r="AH44" s="16"/>
      <c r="AI44" s="16"/>
      <c r="AJ44" s="16"/>
      <c r="AK44" s="16"/>
      <c r="AL44" s="16"/>
      <c r="AM44" s="48">
        <v>45169</v>
      </c>
      <c r="AN44" s="54">
        <v>2.0501739130434782</v>
      </c>
      <c r="AO44" s="16"/>
    </row>
    <row r="45" spans="1:41" x14ac:dyDescent="0.3">
      <c r="A45" s="8">
        <v>45138</v>
      </c>
      <c r="B45" s="9">
        <f t="shared" si="12"/>
        <v>2.1155714285714291</v>
      </c>
      <c r="C45" s="9">
        <f t="shared" si="4"/>
        <v>25.508779851483197</v>
      </c>
      <c r="D45" s="7">
        <v>0</v>
      </c>
      <c r="E45" s="7">
        <v>1</v>
      </c>
      <c r="F45" s="7">
        <v>0</v>
      </c>
      <c r="G45" s="7">
        <v>1</v>
      </c>
      <c r="H45" s="1">
        <f t="shared" si="19"/>
        <v>1</v>
      </c>
      <c r="I45" s="1">
        <f t="shared" si="20"/>
        <v>0</v>
      </c>
      <c r="J45" s="1">
        <f t="shared" si="21"/>
        <v>0</v>
      </c>
      <c r="K45" s="1">
        <f t="shared" si="22"/>
        <v>0</v>
      </c>
      <c r="L45" s="1" t="str">
        <f t="shared" si="18"/>
        <v>宽货币紧信用</v>
      </c>
      <c r="O45" s="48">
        <v>44804</v>
      </c>
      <c r="P45" s="54">
        <v>1.6428086956521739</v>
      </c>
      <c r="R45" s="52">
        <v>38503</v>
      </c>
      <c r="S45" s="53">
        <v>1968</v>
      </c>
      <c r="T45" s="14">
        <f t="shared" si="0"/>
        <v>573.5</v>
      </c>
      <c r="U45" s="62">
        <f t="shared" si="1"/>
        <v>2541.5</v>
      </c>
      <c r="V45" s="62">
        <f t="shared" si="10"/>
        <v>30330.570000000003</v>
      </c>
      <c r="W45" s="63">
        <f t="shared" si="2"/>
        <v>170199.3</v>
      </c>
      <c r="X45" s="64">
        <f t="shared" si="11"/>
        <v>17.820619708776714</v>
      </c>
      <c r="Y45" s="63"/>
      <c r="Z45" s="69">
        <v>43585</v>
      </c>
      <c r="AA45" s="67">
        <v>2429.415</v>
      </c>
      <c r="AB45" s="67"/>
      <c r="AC45" s="70">
        <v>37621</v>
      </c>
      <c r="AD45" s="53">
        <v>123311.8</v>
      </c>
      <c r="AG45" s="55"/>
      <c r="AH45" s="16"/>
      <c r="AI45" s="16"/>
      <c r="AJ45" s="16"/>
      <c r="AK45" s="16"/>
      <c r="AL45" s="16"/>
      <c r="AM45" s="48">
        <v>45138</v>
      </c>
      <c r="AN45" s="54">
        <v>2.1155714285714291</v>
      </c>
      <c r="AO45" s="16"/>
    </row>
    <row r="46" spans="1:41" x14ac:dyDescent="0.3">
      <c r="A46" s="8">
        <v>45107</v>
      </c>
      <c r="B46" s="9">
        <f t="shared" si="12"/>
        <v>2.1543333333333332</v>
      </c>
      <c r="C46" s="9">
        <f t="shared" si="4"/>
        <v>25.699801547488949</v>
      </c>
      <c r="D46" s="7">
        <v>0</v>
      </c>
      <c r="E46" s="7">
        <v>1</v>
      </c>
      <c r="F46" s="7">
        <v>0</v>
      </c>
      <c r="G46" s="7">
        <v>1</v>
      </c>
      <c r="H46" s="1">
        <f t="shared" si="19"/>
        <v>1</v>
      </c>
      <c r="I46" s="1">
        <f t="shared" si="20"/>
        <v>0</v>
      </c>
      <c r="J46" s="1">
        <f t="shared" si="21"/>
        <v>0</v>
      </c>
      <c r="K46" s="1">
        <f t="shared" si="22"/>
        <v>0</v>
      </c>
      <c r="L46" s="1" t="str">
        <f t="shared" si="18"/>
        <v>宽货币紧信用</v>
      </c>
      <c r="O46" s="48">
        <v>44773</v>
      </c>
      <c r="P46" s="54">
        <v>1.945904761904762</v>
      </c>
      <c r="R46" s="52">
        <v>38533</v>
      </c>
      <c r="S46" s="53">
        <v>4723</v>
      </c>
      <c r="T46" s="14">
        <f t="shared" si="0"/>
        <v>-106.2</v>
      </c>
      <c r="U46" s="62">
        <f t="shared" si="1"/>
        <v>4616.8</v>
      </c>
      <c r="V46" s="62">
        <f t="shared" si="10"/>
        <v>31086.070000000003</v>
      </c>
      <c r="W46" s="63">
        <f t="shared" si="2"/>
        <v>176347.3</v>
      </c>
      <c r="X46" s="64">
        <f t="shared" si="11"/>
        <v>17.62775500390423</v>
      </c>
      <c r="Y46" s="63"/>
      <c r="Z46" s="69">
        <v>43555</v>
      </c>
      <c r="AA46" s="67">
        <v>4342.0387000000001</v>
      </c>
      <c r="AB46" s="67"/>
      <c r="AC46" s="70">
        <v>37711</v>
      </c>
      <c r="AD46" s="53">
        <v>126927.8</v>
      </c>
      <c r="AG46" s="55"/>
      <c r="AH46" s="16"/>
      <c r="AI46" s="16"/>
      <c r="AJ46" s="16"/>
      <c r="AK46" s="16"/>
      <c r="AL46" s="16"/>
      <c r="AM46" s="48">
        <v>45107</v>
      </c>
      <c r="AN46" s="54">
        <v>2.1543333333333332</v>
      </c>
      <c r="AO46" s="16"/>
    </row>
    <row r="47" spans="1:41" x14ac:dyDescent="0.3">
      <c r="A47" s="8">
        <v>45077</v>
      </c>
      <c r="B47" s="9">
        <f t="shared" si="12"/>
        <v>2.3034761904761898</v>
      </c>
      <c r="C47" s="9">
        <f t="shared" si="4"/>
        <v>26.825489746700811</v>
      </c>
      <c r="D47" s="7">
        <v>0</v>
      </c>
      <c r="E47" s="7">
        <v>1</v>
      </c>
      <c r="F47" s="7">
        <v>0</v>
      </c>
      <c r="G47" s="7">
        <v>1</v>
      </c>
      <c r="H47" s="1">
        <f t="shared" si="19"/>
        <v>1</v>
      </c>
      <c r="I47" s="1">
        <f t="shared" si="20"/>
        <v>0</v>
      </c>
      <c r="J47" s="1">
        <f t="shared" si="21"/>
        <v>0</v>
      </c>
      <c r="K47" s="1">
        <f t="shared" si="22"/>
        <v>0</v>
      </c>
      <c r="L47" s="1" t="str">
        <f t="shared" si="18"/>
        <v>宽货币紧信用</v>
      </c>
      <c r="O47" s="48">
        <v>44742</v>
      </c>
      <c r="P47" s="54">
        <v>2.0006190476190482</v>
      </c>
      <c r="R47" s="52">
        <v>38564</v>
      </c>
      <c r="S47" s="53">
        <v>629</v>
      </c>
      <c r="T47" s="14">
        <f t="shared" si="0"/>
        <v>200.8</v>
      </c>
      <c r="U47" s="62">
        <f t="shared" si="1"/>
        <v>829.8</v>
      </c>
      <c r="V47" s="62">
        <f t="shared" si="10"/>
        <v>30368.870000000003</v>
      </c>
      <c r="W47" s="63">
        <f t="shared" si="2"/>
        <v>176347.3</v>
      </c>
      <c r="X47" s="64">
        <f t="shared" si="11"/>
        <v>17.22105753816475</v>
      </c>
      <c r="Y47" s="63"/>
      <c r="Z47" s="69">
        <v>43524</v>
      </c>
      <c r="AA47" s="67">
        <v>3688.4276</v>
      </c>
      <c r="AB47" s="67"/>
      <c r="AC47" s="70">
        <v>37802</v>
      </c>
      <c r="AD47" s="53">
        <v>130355.3</v>
      </c>
      <c r="AG47" s="55"/>
      <c r="AH47" s="16"/>
      <c r="AI47" s="16"/>
      <c r="AJ47" s="16"/>
      <c r="AK47" s="16"/>
      <c r="AL47" s="16"/>
      <c r="AM47" s="48">
        <v>45077</v>
      </c>
      <c r="AN47" s="54">
        <v>2.3034761904761898</v>
      </c>
      <c r="AO47" s="16"/>
    </row>
    <row r="48" spans="1:41" x14ac:dyDescent="0.3">
      <c r="A48" s="8">
        <v>45046</v>
      </c>
      <c r="B48" s="9">
        <f t="shared" si="12"/>
        <v>2.42415</v>
      </c>
      <c r="C48" s="9">
        <f t="shared" ref="C48:C79" si="23">VLOOKUP(A48,R:X,7,0)</f>
        <v>27.854529974368852</v>
      </c>
      <c r="D48" s="7">
        <v>0</v>
      </c>
      <c r="E48" s="7">
        <v>1</v>
      </c>
      <c r="F48" s="7">
        <v>0</v>
      </c>
      <c r="G48" s="7">
        <v>1</v>
      </c>
      <c r="H48" s="1">
        <f t="shared" si="19"/>
        <v>1</v>
      </c>
      <c r="I48" s="1">
        <f t="shared" si="20"/>
        <v>0</v>
      </c>
      <c r="J48" s="1">
        <f t="shared" si="21"/>
        <v>0</v>
      </c>
      <c r="K48" s="1">
        <f t="shared" si="22"/>
        <v>0</v>
      </c>
      <c r="L48" s="1" t="str">
        <f t="shared" si="18"/>
        <v>宽货币紧信用</v>
      </c>
      <c r="O48" s="48">
        <v>44712</v>
      </c>
      <c r="P48" s="54">
        <v>2.0969500000000001</v>
      </c>
      <c r="R48" s="52">
        <v>38595</v>
      </c>
      <c r="S48" s="53">
        <v>2097</v>
      </c>
      <c r="T48" s="14">
        <f t="shared" si="0"/>
        <v>943.9</v>
      </c>
      <c r="U48" s="62">
        <f t="shared" si="1"/>
        <v>3040.9</v>
      </c>
      <c r="V48" s="62">
        <f t="shared" si="10"/>
        <v>31293.47</v>
      </c>
      <c r="W48" s="63">
        <f t="shared" si="2"/>
        <v>176347.3</v>
      </c>
      <c r="X48" s="64">
        <f t="shared" si="11"/>
        <v>17.745363836021308</v>
      </c>
      <c r="Y48" s="63"/>
      <c r="Z48" s="69">
        <v>43496</v>
      </c>
      <c r="AA48" s="67">
        <v>4349.6643000000004</v>
      </c>
      <c r="AB48" s="67"/>
      <c r="AC48" s="70">
        <v>37894</v>
      </c>
      <c r="AD48" s="53">
        <v>134469.20000000001</v>
      </c>
      <c r="AG48" s="55"/>
      <c r="AH48" s="16"/>
      <c r="AI48" s="16"/>
      <c r="AJ48" s="16"/>
      <c r="AK48" s="16"/>
      <c r="AL48" s="16"/>
      <c r="AM48" s="48">
        <v>45046</v>
      </c>
      <c r="AN48" s="54">
        <v>2.42415</v>
      </c>
      <c r="AO48" s="16"/>
    </row>
    <row r="49" spans="1:41" x14ac:dyDescent="0.3">
      <c r="A49" s="8">
        <v>45016</v>
      </c>
      <c r="B49" s="9">
        <f t="shared" si="12"/>
        <v>2.4777391304347831</v>
      </c>
      <c r="C49" s="9">
        <f t="shared" si="23"/>
        <v>27.620624447706383</v>
      </c>
      <c r="D49" s="7">
        <v>0</v>
      </c>
      <c r="E49" s="7">
        <v>1</v>
      </c>
      <c r="F49" s="7">
        <v>0</v>
      </c>
      <c r="G49" s="7">
        <v>1</v>
      </c>
      <c r="H49" s="1">
        <f t="shared" si="19"/>
        <v>1</v>
      </c>
      <c r="I49" s="1">
        <f t="shared" si="20"/>
        <v>0</v>
      </c>
      <c r="J49" s="1">
        <f t="shared" si="21"/>
        <v>0</v>
      </c>
      <c r="K49" s="1">
        <f t="shared" si="22"/>
        <v>0</v>
      </c>
      <c r="L49" s="1" t="str">
        <f t="shared" si="18"/>
        <v>宽货币紧信用</v>
      </c>
      <c r="O49" s="48">
        <v>44681</v>
      </c>
      <c r="P49" s="54">
        <v>2.3164761904761901</v>
      </c>
      <c r="R49" s="52">
        <v>38625</v>
      </c>
      <c r="S49" s="53">
        <v>6041</v>
      </c>
      <c r="T49" s="14">
        <f t="shared" si="0"/>
        <v>-379.3</v>
      </c>
      <c r="U49" s="62">
        <f t="shared" si="1"/>
        <v>5661.7</v>
      </c>
      <c r="V49" s="62">
        <f t="shared" si="10"/>
        <v>33821.17</v>
      </c>
      <c r="W49" s="63">
        <f t="shared" si="2"/>
        <v>182581</v>
      </c>
      <c r="X49" s="64">
        <f t="shared" si="11"/>
        <v>18.523926366927554</v>
      </c>
      <c r="Y49" s="63"/>
      <c r="Z49" s="69">
        <v>43465</v>
      </c>
      <c r="AA49" s="67">
        <v>3475.4594000000002</v>
      </c>
      <c r="AB49" s="67"/>
      <c r="AC49" s="70">
        <v>37986</v>
      </c>
      <c r="AD49" s="53">
        <v>139377.29999999999</v>
      </c>
      <c r="AG49" s="55"/>
      <c r="AH49" s="16"/>
      <c r="AI49" s="16"/>
      <c r="AJ49" s="16"/>
      <c r="AK49" s="16"/>
      <c r="AL49" s="16"/>
      <c r="AM49" s="48">
        <v>45016</v>
      </c>
      <c r="AN49" s="54">
        <v>2.4777391304347831</v>
      </c>
      <c r="AO49" s="16"/>
    </row>
    <row r="50" spans="1:41" x14ac:dyDescent="0.3">
      <c r="A50" s="8">
        <v>44985</v>
      </c>
      <c r="B50" s="9">
        <f t="shared" si="12"/>
        <v>2.3834499999999998</v>
      </c>
      <c r="C50" s="9">
        <f t="shared" si="23"/>
        <v>27.368961174584751</v>
      </c>
      <c r="D50" s="7">
        <v>0</v>
      </c>
      <c r="E50" s="7">
        <v>1</v>
      </c>
      <c r="F50" s="7">
        <v>0</v>
      </c>
      <c r="G50" s="7">
        <v>1</v>
      </c>
      <c r="H50" s="1">
        <f t="shared" si="19"/>
        <v>1</v>
      </c>
      <c r="I50" s="1">
        <f t="shared" si="20"/>
        <v>0</v>
      </c>
      <c r="J50" s="1">
        <f t="shared" si="21"/>
        <v>0</v>
      </c>
      <c r="K50" s="1">
        <f t="shared" si="22"/>
        <v>0</v>
      </c>
      <c r="L50" s="1" t="str">
        <f t="shared" si="18"/>
        <v>宽货币紧信用</v>
      </c>
      <c r="O50" s="48">
        <v>44651</v>
      </c>
      <c r="P50" s="54">
        <v>2.3658695652173911</v>
      </c>
      <c r="R50" s="52">
        <v>38656</v>
      </c>
      <c r="S50" s="53">
        <v>-974</v>
      </c>
      <c r="T50" s="14">
        <f t="shared" si="0"/>
        <v>731.5</v>
      </c>
      <c r="U50" s="62">
        <f t="shared" si="1"/>
        <v>-242.5</v>
      </c>
      <c r="V50" s="62">
        <f t="shared" si="10"/>
        <v>32874.57</v>
      </c>
      <c r="W50" s="63">
        <f t="shared" si="2"/>
        <v>182581</v>
      </c>
      <c r="X50" s="64">
        <f t="shared" si="11"/>
        <v>18.005471544136576</v>
      </c>
      <c r="Y50" s="63"/>
      <c r="Z50" s="69">
        <v>43434</v>
      </c>
      <c r="AA50" s="67">
        <v>-374.49220000000003</v>
      </c>
      <c r="AB50" s="67"/>
      <c r="AC50" s="70">
        <v>38077</v>
      </c>
      <c r="AD50" s="53">
        <v>144203.1</v>
      </c>
      <c r="AG50" s="55"/>
      <c r="AH50" s="16"/>
      <c r="AI50" s="16"/>
      <c r="AJ50" s="16"/>
      <c r="AK50" s="16"/>
      <c r="AL50" s="16"/>
      <c r="AM50" s="48">
        <v>44985</v>
      </c>
      <c r="AN50" s="54">
        <v>2.3834499999999998</v>
      </c>
      <c r="AO50" s="16"/>
    </row>
    <row r="51" spans="1:41" x14ac:dyDescent="0.3">
      <c r="A51" s="8">
        <v>44957</v>
      </c>
      <c r="B51" s="9">
        <f t="shared" si="12"/>
        <v>2.362333333333333</v>
      </c>
      <c r="C51" s="9">
        <f t="shared" si="23"/>
        <v>25.793633911285575</v>
      </c>
      <c r="D51" s="7">
        <v>0</v>
      </c>
      <c r="E51" s="7">
        <v>1</v>
      </c>
      <c r="F51" s="7">
        <v>0</v>
      </c>
      <c r="G51" s="7">
        <v>1</v>
      </c>
      <c r="H51" s="1">
        <f t="shared" si="19"/>
        <v>1</v>
      </c>
      <c r="I51" s="1">
        <f t="shared" si="20"/>
        <v>0</v>
      </c>
      <c r="J51" s="1">
        <f t="shared" si="21"/>
        <v>0</v>
      </c>
      <c r="K51" s="1">
        <f t="shared" si="22"/>
        <v>0</v>
      </c>
      <c r="L51" s="1" t="str">
        <f t="shared" si="18"/>
        <v>宽货币紧信用</v>
      </c>
      <c r="O51" s="48">
        <v>44620</v>
      </c>
      <c r="P51" s="54">
        <v>2.4100625</v>
      </c>
      <c r="R51" s="52">
        <v>38686</v>
      </c>
      <c r="S51" s="53">
        <v>2368</v>
      </c>
      <c r="T51" s="14">
        <f t="shared" si="0"/>
        <v>-57.5</v>
      </c>
      <c r="U51" s="62">
        <f t="shared" si="1"/>
        <v>2310.5</v>
      </c>
      <c r="V51" s="62">
        <f t="shared" si="10"/>
        <v>32875.770000000004</v>
      </c>
      <c r="W51" s="63">
        <f t="shared" si="2"/>
        <v>182581</v>
      </c>
      <c r="X51" s="64">
        <f t="shared" si="11"/>
        <v>18.006128786675504</v>
      </c>
      <c r="Y51" s="63"/>
      <c r="Z51" s="69">
        <v>43404</v>
      </c>
      <c r="AA51" s="67">
        <v>3227.7746999999999</v>
      </c>
      <c r="AB51" s="67"/>
      <c r="AC51" s="70">
        <v>38168</v>
      </c>
      <c r="AD51" s="53">
        <v>150476.70000000001</v>
      </c>
      <c r="AG51" s="55"/>
      <c r="AH51" s="16"/>
      <c r="AI51" s="16"/>
      <c r="AJ51" s="16"/>
      <c r="AK51" s="16"/>
      <c r="AL51" s="16"/>
      <c r="AM51" s="48">
        <v>44957</v>
      </c>
      <c r="AN51" s="54">
        <v>2.362333333333333</v>
      </c>
      <c r="AO51" s="16"/>
    </row>
    <row r="52" spans="1:41" x14ac:dyDescent="0.3">
      <c r="A52" s="8">
        <v>44926</v>
      </c>
      <c r="B52" s="9">
        <f t="shared" si="12"/>
        <v>2.319454545454545</v>
      </c>
      <c r="C52" s="9">
        <f t="shared" si="23"/>
        <v>25.93974065283539</v>
      </c>
      <c r="D52" s="7">
        <v>0</v>
      </c>
      <c r="E52" s="7">
        <v>1</v>
      </c>
      <c r="F52" s="7">
        <v>0</v>
      </c>
      <c r="G52" s="7">
        <v>1</v>
      </c>
      <c r="H52" s="1">
        <f t="shared" si="19"/>
        <v>1</v>
      </c>
      <c r="I52" s="1">
        <f t="shared" si="20"/>
        <v>0</v>
      </c>
      <c r="J52" s="1">
        <f t="shared" si="21"/>
        <v>0</v>
      </c>
      <c r="K52" s="1">
        <f t="shared" si="22"/>
        <v>0</v>
      </c>
      <c r="L52" s="1" t="str">
        <f t="shared" si="18"/>
        <v>宽货币紧信用</v>
      </c>
      <c r="O52" s="48">
        <v>44592</v>
      </c>
      <c r="P52" s="54">
        <v>2.4822380952380949</v>
      </c>
      <c r="R52" s="52">
        <v>38717</v>
      </c>
      <c r="S52" s="53">
        <v>2524</v>
      </c>
      <c r="T52" s="14">
        <f t="shared" si="0"/>
        <v>654.9</v>
      </c>
      <c r="U52" s="62">
        <f t="shared" si="1"/>
        <v>3178.9</v>
      </c>
      <c r="V52" s="62">
        <f t="shared" si="10"/>
        <v>33098.700000000004</v>
      </c>
      <c r="W52" s="63">
        <f t="shared" si="2"/>
        <v>189907.5</v>
      </c>
      <c r="X52" s="64">
        <f t="shared" si="11"/>
        <v>17.42885352079302</v>
      </c>
      <c r="Y52" s="63"/>
      <c r="Z52" s="69">
        <v>43373</v>
      </c>
      <c r="AA52" s="67">
        <v>7601.7070000000103</v>
      </c>
      <c r="AB52" s="67"/>
      <c r="AC52" s="70">
        <v>38260</v>
      </c>
      <c r="AD52" s="53">
        <v>157146.4</v>
      </c>
      <c r="AG52" s="55"/>
      <c r="AH52" s="16"/>
      <c r="AI52" s="16"/>
      <c r="AJ52" s="16"/>
      <c r="AK52" s="16"/>
      <c r="AL52" s="16"/>
      <c r="AM52" s="48">
        <v>44926</v>
      </c>
      <c r="AN52" s="54">
        <v>2.319454545454545</v>
      </c>
      <c r="AO52" s="16"/>
    </row>
    <row r="53" spans="1:41" x14ac:dyDescent="0.3">
      <c r="A53" s="8">
        <v>44895</v>
      </c>
      <c r="B53" s="9">
        <f t="shared" si="12"/>
        <v>2.0111363636363642</v>
      </c>
      <c r="C53" s="9">
        <f t="shared" si="23"/>
        <v>27.000190116304136</v>
      </c>
      <c r="D53" s="7">
        <v>0</v>
      </c>
      <c r="E53" s="7">
        <v>1</v>
      </c>
      <c r="F53" s="7">
        <v>0</v>
      </c>
      <c r="G53" s="7">
        <v>1</v>
      </c>
      <c r="H53" s="1">
        <f t="shared" si="19"/>
        <v>1</v>
      </c>
      <c r="I53" s="1">
        <f t="shared" si="20"/>
        <v>0</v>
      </c>
      <c r="J53" s="1">
        <f t="shared" si="21"/>
        <v>0</v>
      </c>
      <c r="K53" s="1">
        <f t="shared" si="22"/>
        <v>0</v>
      </c>
      <c r="L53" s="1" t="str">
        <f t="shared" si="18"/>
        <v>宽货币紧信用</v>
      </c>
      <c r="O53" s="48">
        <v>44561</v>
      </c>
      <c r="P53" s="54">
        <v>2.4946956521739132</v>
      </c>
      <c r="R53" s="52">
        <v>38748</v>
      </c>
      <c r="S53" s="53">
        <v>6323</v>
      </c>
      <c r="T53" s="14">
        <f t="shared" si="0"/>
        <v>0</v>
      </c>
      <c r="U53" s="62">
        <f t="shared" si="1"/>
        <v>6323</v>
      </c>
      <c r="V53" s="62">
        <f t="shared" si="10"/>
        <v>35801.700000000004</v>
      </c>
      <c r="W53" s="63">
        <f t="shared" si="2"/>
        <v>189907.5</v>
      </c>
      <c r="X53" s="64">
        <f t="shared" si="11"/>
        <v>18.85217803404289</v>
      </c>
      <c r="Y53" s="63"/>
      <c r="Z53" s="69">
        <v>43343</v>
      </c>
      <c r="AA53" s="67">
        <v>9265.4159</v>
      </c>
      <c r="AB53" s="67"/>
      <c r="AC53" s="70">
        <v>38352</v>
      </c>
      <c r="AD53" s="53">
        <v>164227.9</v>
      </c>
      <c r="AG53" s="55"/>
      <c r="AH53" s="16"/>
      <c r="AI53" s="16"/>
      <c r="AJ53" s="16"/>
      <c r="AK53" s="16"/>
      <c r="AL53" s="16"/>
      <c r="AM53" s="48">
        <v>44895</v>
      </c>
      <c r="AN53" s="54">
        <v>2.0111363636363642</v>
      </c>
      <c r="AO53" s="16"/>
    </row>
    <row r="54" spans="1:41" x14ac:dyDescent="0.3">
      <c r="A54" s="8">
        <v>44865</v>
      </c>
      <c r="B54" s="9">
        <f t="shared" si="12"/>
        <v>1.6995555555555559</v>
      </c>
      <c r="C54" s="9">
        <f t="shared" si="23"/>
        <v>27.502103692437551</v>
      </c>
      <c r="D54" s="7">
        <v>0</v>
      </c>
      <c r="E54" s="7">
        <v>1</v>
      </c>
      <c r="F54" s="7">
        <v>0</v>
      </c>
      <c r="G54" s="7">
        <v>1</v>
      </c>
      <c r="H54" s="1">
        <f t="shared" si="19"/>
        <v>1</v>
      </c>
      <c r="I54" s="1">
        <f t="shared" si="20"/>
        <v>0</v>
      </c>
      <c r="J54" s="1">
        <f t="shared" si="21"/>
        <v>0</v>
      </c>
      <c r="K54" s="1">
        <f t="shared" si="22"/>
        <v>0</v>
      </c>
      <c r="L54" s="1" t="str">
        <f t="shared" si="18"/>
        <v>宽货币紧信用</v>
      </c>
      <c r="O54" s="48">
        <v>44530</v>
      </c>
      <c r="P54" s="54">
        <v>2.4658636363636361</v>
      </c>
      <c r="R54" s="52">
        <v>38776</v>
      </c>
      <c r="S54" s="53">
        <v>1737</v>
      </c>
      <c r="T54" s="14">
        <f t="shared" si="0"/>
        <v>-150</v>
      </c>
      <c r="U54" s="62">
        <f t="shared" si="1"/>
        <v>1587</v>
      </c>
      <c r="V54" s="62">
        <f t="shared" si="10"/>
        <v>36517.9</v>
      </c>
      <c r="W54" s="63">
        <f t="shared" si="2"/>
        <v>189907.5</v>
      </c>
      <c r="X54" s="64">
        <f t="shared" si="11"/>
        <v>19.229309005700141</v>
      </c>
      <c r="Y54" s="63"/>
      <c r="Z54" s="69">
        <v>43312</v>
      </c>
      <c r="AA54" s="67">
        <v>8503.4125999999997</v>
      </c>
      <c r="AB54" s="67"/>
      <c r="AC54" s="70">
        <v>38442</v>
      </c>
      <c r="AD54" s="53">
        <v>170199.3</v>
      </c>
      <c r="AG54" s="55"/>
      <c r="AH54" s="16"/>
      <c r="AI54" s="16"/>
      <c r="AJ54" s="16"/>
      <c r="AK54" s="16"/>
      <c r="AL54" s="16"/>
      <c r="AM54" s="48">
        <v>44865</v>
      </c>
      <c r="AN54" s="54">
        <v>1.6995555555555559</v>
      </c>
      <c r="AO54" s="16"/>
    </row>
    <row r="55" spans="1:41" x14ac:dyDescent="0.3">
      <c r="A55" s="8">
        <v>44834</v>
      </c>
      <c r="B55" s="9">
        <f t="shared" si="12"/>
        <v>1.6132380952380949</v>
      </c>
      <c r="C55" s="9">
        <f t="shared" si="23"/>
        <v>28.077189179442353</v>
      </c>
      <c r="D55" s="7">
        <v>0</v>
      </c>
      <c r="E55" s="7">
        <v>1</v>
      </c>
      <c r="F55" s="7">
        <v>0</v>
      </c>
      <c r="G55" s="7">
        <v>1</v>
      </c>
      <c r="H55" s="1">
        <f t="shared" si="19"/>
        <v>1</v>
      </c>
      <c r="I55" s="1">
        <f t="shared" si="20"/>
        <v>0</v>
      </c>
      <c r="J55" s="1">
        <f t="shared" si="21"/>
        <v>0</v>
      </c>
      <c r="K55" s="1">
        <f t="shared" si="22"/>
        <v>0</v>
      </c>
      <c r="L55" s="1" t="str">
        <f t="shared" si="18"/>
        <v>宽货币紧信用</v>
      </c>
      <c r="O55" s="48">
        <v>44500</v>
      </c>
      <c r="P55" s="54">
        <v>2.4317176470588242</v>
      </c>
      <c r="R55" s="52">
        <v>38807</v>
      </c>
      <c r="S55" s="53">
        <v>7472</v>
      </c>
      <c r="T55" s="14">
        <f t="shared" si="0"/>
        <v>439</v>
      </c>
      <c r="U55" s="62">
        <f t="shared" si="1"/>
        <v>7911</v>
      </c>
      <c r="V55" s="62">
        <f t="shared" si="10"/>
        <v>40441.5</v>
      </c>
      <c r="W55" s="63">
        <f t="shared" si="2"/>
        <v>196660</v>
      </c>
      <c r="X55" s="64">
        <f t="shared" si="11"/>
        <v>20.564171666836163</v>
      </c>
      <c r="Y55" s="63"/>
      <c r="Z55" s="69">
        <v>43281</v>
      </c>
      <c r="AA55" s="67">
        <v>5718.9377000000004</v>
      </c>
      <c r="AB55" s="67"/>
      <c r="AC55" s="70">
        <v>38533</v>
      </c>
      <c r="AD55" s="53">
        <v>176347.3</v>
      </c>
      <c r="AG55" s="55"/>
      <c r="AH55" s="16"/>
      <c r="AI55" s="16"/>
      <c r="AJ55" s="16"/>
      <c r="AK55" s="16"/>
      <c r="AL55" s="16"/>
      <c r="AM55" s="48">
        <v>44834</v>
      </c>
      <c r="AN55" s="54">
        <v>1.6132380952380949</v>
      </c>
      <c r="AO55" s="16"/>
    </row>
    <row r="56" spans="1:41" x14ac:dyDescent="0.3">
      <c r="A56" s="8">
        <v>44804</v>
      </c>
      <c r="B56" s="9">
        <f t="shared" si="12"/>
        <v>1.6428086956521739</v>
      </c>
      <c r="C56" s="9">
        <f t="shared" si="23"/>
        <v>27.953834551746088</v>
      </c>
      <c r="D56" s="7">
        <v>0</v>
      </c>
      <c r="E56" s="7">
        <v>1</v>
      </c>
      <c r="F56" s="7">
        <v>0</v>
      </c>
      <c r="G56" s="7">
        <v>1</v>
      </c>
      <c r="H56" s="1">
        <f t="shared" si="19"/>
        <v>1</v>
      </c>
      <c r="I56" s="1">
        <f t="shared" si="20"/>
        <v>0</v>
      </c>
      <c r="J56" s="1">
        <f t="shared" si="21"/>
        <v>0</v>
      </c>
      <c r="K56" s="1">
        <f t="shared" si="22"/>
        <v>0</v>
      </c>
      <c r="L56" s="1" t="str">
        <f t="shared" si="18"/>
        <v>宽货币紧信用</v>
      </c>
      <c r="O56" s="48">
        <v>44469</v>
      </c>
      <c r="P56" s="54">
        <v>2.3775454545454551</v>
      </c>
      <c r="R56" s="52">
        <v>38837</v>
      </c>
      <c r="S56" s="53">
        <v>3325</v>
      </c>
      <c r="T56" s="14">
        <f t="shared" si="0"/>
        <v>259.60000000000002</v>
      </c>
      <c r="U56" s="62">
        <f t="shared" si="1"/>
        <v>3584.6</v>
      </c>
      <c r="V56" s="62">
        <f t="shared" si="10"/>
        <v>41343.200000000004</v>
      </c>
      <c r="W56" s="63">
        <f t="shared" si="2"/>
        <v>196660</v>
      </c>
      <c r="X56" s="64">
        <f t="shared" si="11"/>
        <v>21.022678734872372</v>
      </c>
      <c r="Y56" s="63"/>
      <c r="Z56" s="69">
        <v>43251</v>
      </c>
      <c r="AA56" s="67">
        <v>3095.7674999999999</v>
      </c>
      <c r="AB56" s="67"/>
      <c r="AC56" s="70">
        <v>38625</v>
      </c>
      <c r="AD56" s="53">
        <v>182581</v>
      </c>
      <c r="AG56" s="55"/>
      <c r="AH56" s="16"/>
      <c r="AI56" s="16"/>
      <c r="AJ56" s="16"/>
      <c r="AK56" s="16"/>
      <c r="AL56" s="16"/>
      <c r="AM56" s="48">
        <v>44804</v>
      </c>
      <c r="AN56" s="54">
        <v>1.6428086956521739</v>
      </c>
      <c r="AO56" s="16"/>
    </row>
    <row r="57" spans="1:41" x14ac:dyDescent="0.3">
      <c r="A57" s="8">
        <v>44773</v>
      </c>
      <c r="B57" s="9">
        <f t="shared" si="12"/>
        <v>1.945904761904762</v>
      </c>
      <c r="C57" s="9">
        <f t="shared" si="23"/>
        <v>28.383053625708211</v>
      </c>
      <c r="D57" s="7">
        <v>0</v>
      </c>
      <c r="E57" s="7">
        <v>1</v>
      </c>
      <c r="F57" s="7">
        <v>0</v>
      </c>
      <c r="G57" s="7">
        <v>1</v>
      </c>
      <c r="H57" s="1">
        <f t="shared" si="19"/>
        <v>1</v>
      </c>
      <c r="I57" s="1">
        <f t="shared" si="20"/>
        <v>0</v>
      </c>
      <c r="J57" s="1">
        <f t="shared" si="21"/>
        <v>0</v>
      </c>
      <c r="K57" s="1">
        <f t="shared" si="22"/>
        <v>0</v>
      </c>
      <c r="L57" s="1" t="str">
        <f t="shared" si="18"/>
        <v>宽货币紧信用</v>
      </c>
      <c r="O57" s="48">
        <v>44439</v>
      </c>
      <c r="P57" s="54">
        <v>2.3626818181818181</v>
      </c>
      <c r="R57" s="52">
        <v>38868</v>
      </c>
      <c r="S57" s="53">
        <v>3785</v>
      </c>
      <c r="T57" s="14">
        <f t="shared" si="0"/>
        <v>463.6</v>
      </c>
      <c r="U57" s="62">
        <f t="shared" si="1"/>
        <v>4248.6000000000004</v>
      </c>
      <c r="V57" s="62">
        <f t="shared" si="10"/>
        <v>43050.3</v>
      </c>
      <c r="W57" s="63">
        <f t="shared" si="2"/>
        <v>196660</v>
      </c>
      <c r="X57" s="64">
        <f t="shared" si="11"/>
        <v>21.890725109325743</v>
      </c>
      <c r="Y57" s="63"/>
      <c r="Z57" s="69">
        <v>43220</v>
      </c>
      <c r="AA57" s="67">
        <v>5278.3784999999998</v>
      </c>
      <c r="AB57" s="67"/>
      <c r="AC57" s="70">
        <v>38717</v>
      </c>
      <c r="AD57" s="53">
        <v>189907.5</v>
      </c>
      <c r="AG57" s="55"/>
      <c r="AH57" s="16"/>
      <c r="AI57" s="16"/>
      <c r="AJ57" s="16"/>
      <c r="AK57" s="16"/>
      <c r="AL57" s="16"/>
      <c r="AM57" s="48">
        <v>44773</v>
      </c>
      <c r="AN57" s="54">
        <v>1.945904761904762</v>
      </c>
      <c r="AO57" s="16"/>
    </row>
    <row r="58" spans="1:41" x14ac:dyDescent="0.3">
      <c r="A58" s="8">
        <v>44742</v>
      </c>
      <c r="B58" s="9">
        <f t="shared" si="12"/>
        <v>2.0006190476190482</v>
      </c>
      <c r="C58" s="9">
        <f t="shared" si="23"/>
        <v>28.628854241891506</v>
      </c>
      <c r="D58" s="7">
        <v>0</v>
      </c>
      <c r="E58" s="7">
        <v>1</v>
      </c>
      <c r="F58" s="7">
        <v>0</v>
      </c>
      <c r="G58" s="7">
        <v>1</v>
      </c>
      <c r="H58" s="1">
        <f t="shared" si="19"/>
        <v>1</v>
      </c>
      <c r="I58" s="1">
        <f t="shared" si="20"/>
        <v>0</v>
      </c>
      <c r="J58" s="1">
        <f t="shared" si="21"/>
        <v>0</v>
      </c>
      <c r="K58" s="1">
        <f t="shared" si="22"/>
        <v>0</v>
      </c>
      <c r="L58" s="1" t="str">
        <f t="shared" si="18"/>
        <v>宽货币紧信用</v>
      </c>
      <c r="O58" s="48">
        <v>44408</v>
      </c>
      <c r="P58" s="54">
        <v>2.4178636363636361</v>
      </c>
      <c r="R58" s="52">
        <v>38898</v>
      </c>
      <c r="S58" s="53">
        <v>3843</v>
      </c>
      <c r="T58" s="14">
        <f t="shared" si="0"/>
        <v>-891.8</v>
      </c>
      <c r="U58" s="62">
        <f t="shared" si="1"/>
        <v>2951.2</v>
      </c>
      <c r="V58" s="62">
        <f t="shared" si="10"/>
        <v>41384.699999999997</v>
      </c>
      <c r="W58" s="63">
        <f t="shared" si="2"/>
        <v>204675.5</v>
      </c>
      <c r="X58" s="64">
        <f t="shared" si="11"/>
        <v>20.219664786454654</v>
      </c>
      <c r="Y58" s="63"/>
      <c r="Z58" s="69">
        <v>43190</v>
      </c>
      <c r="AA58" s="67">
        <v>1622.9275</v>
      </c>
      <c r="AB58" s="67"/>
      <c r="AC58" s="70">
        <v>38807</v>
      </c>
      <c r="AD58" s="53">
        <v>196660</v>
      </c>
      <c r="AG58" s="55"/>
      <c r="AH58" s="16"/>
      <c r="AI58" s="16"/>
      <c r="AJ58" s="16"/>
      <c r="AK58" s="16"/>
      <c r="AL58" s="16"/>
      <c r="AM58" s="48">
        <v>44742</v>
      </c>
      <c r="AN58" s="54">
        <v>2.0006190476190482</v>
      </c>
      <c r="AO58" s="16"/>
    </row>
    <row r="59" spans="1:41" x14ac:dyDescent="0.3">
      <c r="A59" s="8">
        <v>44712</v>
      </c>
      <c r="B59" s="9">
        <f t="shared" ref="B59:B90" si="24">VLOOKUP(A59,O:P,2,0)</f>
        <v>2.0969500000000001</v>
      </c>
      <c r="C59" s="9">
        <f t="shared" si="23"/>
        <v>27.648711862331965</v>
      </c>
      <c r="D59" s="7">
        <v>0</v>
      </c>
      <c r="E59" s="7">
        <v>1</v>
      </c>
      <c r="F59" s="7">
        <v>0</v>
      </c>
      <c r="G59" s="7">
        <v>1</v>
      </c>
      <c r="H59" s="1">
        <f t="shared" si="19"/>
        <v>1</v>
      </c>
      <c r="I59" s="1">
        <f t="shared" si="20"/>
        <v>0</v>
      </c>
      <c r="J59" s="1">
        <f t="shared" si="21"/>
        <v>0</v>
      </c>
      <c r="K59" s="1">
        <f t="shared" si="22"/>
        <v>0</v>
      </c>
      <c r="L59" s="1" t="str">
        <f t="shared" si="18"/>
        <v>宽货币紧信用</v>
      </c>
      <c r="O59" s="48">
        <v>44377</v>
      </c>
      <c r="P59" s="54">
        <v>2.4500000000000002</v>
      </c>
      <c r="R59" s="52">
        <v>38929</v>
      </c>
      <c r="S59" s="53">
        <v>2254</v>
      </c>
      <c r="T59" s="14">
        <f t="shared" si="0"/>
        <v>569.79999999999995</v>
      </c>
      <c r="U59" s="62">
        <f t="shared" si="1"/>
        <v>2823.8</v>
      </c>
      <c r="V59" s="62">
        <f t="shared" si="10"/>
        <v>43378.7</v>
      </c>
      <c r="W59" s="63">
        <f t="shared" si="2"/>
        <v>204675.5</v>
      </c>
      <c r="X59" s="64">
        <f t="shared" si="11"/>
        <v>21.193889840259335</v>
      </c>
      <c r="Y59" s="63"/>
      <c r="Z59" s="69">
        <v>43159</v>
      </c>
      <c r="AA59" s="67">
        <v>65.610200000000106</v>
      </c>
      <c r="AB59" s="67"/>
      <c r="AC59" s="70">
        <v>38898</v>
      </c>
      <c r="AD59" s="53">
        <v>204675.5</v>
      </c>
      <c r="AG59" s="55"/>
      <c r="AH59" s="16"/>
      <c r="AI59" s="16"/>
      <c r="AJ59" s="16"/>
      <c r="AK59" s="16"/>
      <c r="AL59" s="16"/>
      <c r="AM59" s="48">
        <v>44712</v>
      </c>
      <c r="AN59" s="54">
        <v>2.0969500000000001</v>
      </c>
      <c r="AO59" s="16"/>
    </row>
    <row r="60" spans="1:41" x14ac:dyDescent="0.3">
      <c r="A60" s="8">
        <v>44681</v>
      </c>
      <c r="B60" s="9">
        <f t="shared" si="24"/>
        <v>2.3164761904761901</v>
      </c>
      <c r="C60" s="9">
        <f t="shared" si="23"/>
        <v>26.905114923479665</v>
      </c>
      <c r="D60" s="7">
        <v>0</v>
      </c>
      <c r="E60" s="7">
        <v>1</v>
      </c>
      <c r="F60" s="7">
        <v>0</v>
      </c>
      <c r="G60" s="7">
        <v>1</v>
      </c>
      <c r="H60" s="1">
        <f t="shared" si="19"/>
        <v>1</v>
      </c>
      <c r="I60" s="1">
        <f t="shared" si="20"/>
        <v>0</v>
      </c>
      <c r="J60" s="1">
        <f t="shared" si="21"/>
        <v>0</v>
      </c>
      <c r="K60" s="1">
        <f t="shared" si="22"/>
        <v>0</v>
      </c>
      <c r="L60" s="1" t="str">
        <f t="shared" si="18"/>
        <v>宽货币紧信用</v>
      </c>
      <c r="O60" s="48">
        <v>44347</v>
      </c>
      <c r="P60" s="54">
        <v>2.5134210526315788</v>
      </c>
      <c r="R60" s="52">
        <v>38960</v>
      </c>
      <c r="S60" s="53">
        <v>3362</v>
      </c>
      <c r="T60" s="14">
        <f t="shared" si="0"/>
        <v>551.07000000000005</v>
      </c>
      <c r="U60" s="62">
        <f t="shared" si="1"/>
        <v>3913.07</v>
      </c>
      <c r="V60" s="62">
        <f t="shared" si="10"/>
        <v>44250.869999999995</v>
      </c>
      <c r="W60" s="63">
        <f t="shared" si="2"/>
        <v>204675.5</v>
      </c>
      <c r="X60" s="64">
        <f t="shared" si="11"/>
        <v>21.620013142755237</v>
      </c>
      <c r="Y60" s="63"/>
      <c r="Z60" s="69">
        <v>43131</v>
      </c>
      <c r="AA60" s="67">
        <v>244.3</v>
      </c>
      <c r="AB60" s="67"/>
      <c r="AC60" s="70">
        <v>38990</v>
      </c>
      <c r="AD60" s="53">
        <v>212814.3</v>
      </c>
      <c r="AG60" s="55"/>
      <c r="AH60" s="16"/>
      <c r="AI60" s="16"/>
      <c r="AJ60" s="16"/>
      <c r="AK60" s="16"/>
      <c r="AL60" s="16"/>
      <c r="AM60" s="48">
        <v>44681</v>
      </c>
      <c r="AN60" s="54">
        <v>2.3164761904761901</v>
      </c>
      <c r="AO60" s="16"/>
    </row>
    <row r="61" spans="1:41" x14ac:dyDescent="0.3">
      <c r="A61" s="8">
        <v>44651</v>
      </c>
      <c r="B61" s="9">
        <f t="shared" si="24"/>
        <v>2.3658695652173911</v>
      </c>
      <c r="C61" s="9">
        <f t="shared" si="23"/>
        <v>27.677977456461996</v>
      </c>
      <c r="D61" s="7">
        <v>0</v>
      </c>
      <c r="E61" s="7">
        <v>1</v>
      </c>
      <c r="F61" s="7">
        <v>0</v>
      </c>
      <c r="G61" s="7">
        <v>1</v>
      </c>
      <c r="H61" s="1">
        <f t="shared" si="19"/>
        <v>1</v>
      </c>
      <c r="I61" s="1">
        <f t="shared" si="20"/>
        <v>0</v>
      </c>
      <c r="J61" s="1">
        <f t="shared" si="21"/>
        <v>0</v>
      </c>
      <c r="K61" s="1">
        <f t="shared" si="22"/>
        <v>0</v>
      </c>
      <c r="L61" s="1" t="str">
        <f t="shared" si="18"/>
        <v>宽货币紧信用</v>
      </c>
      <c r="O61" s="48">
        <v>44316</v>
      </c>
      <c r="P61" s="54">
        <v>2.6046363636363639</v>
      </c>
      <c r="R61" s="52">
        <v>38990</v>
      </c>
      <c r="S61" s="53">
        <v>3077</v>
      </c>
      <c r="T61" s="14">
        <f t="shared" si="0"/>
        <v>74.399999999999906</v>
      </c>
      <c r="U61" s="62">
        <f t="shared" si="1"/>
        <v>3151.4</v>
      </c>
      <c r="V61" s="62">
        <f t="shared" si="10"/>
        <v>41740.57</v>
      </c>
      <c r="W61" s="63">
        <f t="shared" si="2"/>
        <v>212814.3</v>
      </c>
      <c r="X61" s="64">
        <f t="shared" si="11"/>
        <v>19.613611491333057</v>
      </c>
      <c r="Y61" s="63"/>
      <c r="Z61" s="69">
        <v>43100</v>
      </c>
      <c r="AA61" s="67">
        <v>2008.51</v>
      </c>
      <c r="AB61" s="67"/>
      <c r="AC61" s="70">
        <v>39082</v>
      </c>
      <c r="AD61" s="53">
        <v>222578.3</v>
      </c>
      <c r="AG61" s="55"/>
      <c r="AH61" s="16"/>
      <c r="AI61" s="16"/>
      <c r="AJ61" s="16"/>
      <c r="AK61" s="16"/>
      <c r="AL61" s="16"/>
      <c r="AM61" s="48">
        <v>44651</v>
      </c>
      <c r="AN61" s="54">
        <v>2.3658695652173911</v>
      </c>
      <c r="AO61" s="16"/>
    </row>
    <row r="62" spans="1:41" x14ac:dyDescent="0.3">
      <c r="A62" s="8">
        <v>44620</v>
      </c>
      <c r="B62" s="9">
        <f t="shared" si="24"/>
        <v>2.4100625</v>
      </c>
      <c r="C62" s="9">
        <f t="shared" si="23"/>
        <v>27.108857127522633</v>
      </c>
      <c r="D62" s="7">
        <v>0</v>
      </c>
      <c r="E62" s="7">
        <v>1</v>
      </c>
      <c r="F62" s="7">
        <v>0</v>
      </c>
      <c r="G62" s="7">
        <v>1</v>
      </c>
      <c r="H62" s="1">
        <f t="shared" si="19"/>
        <v>1</v>
      </c>
      <c r="I62" s="1">
        <f t="shared" si="20"/>
        <v>0</v>
      </c>
      <c r="J62" s="1">
        <f t="shared" si="21"/>
        <v>0</v>
      </c>
      <c r="K62" s="1">
        <f t="shared" si="22"/>
        <v>0</v>
      </c>
      <c r="L62" s="1" t="str">
        <f t="shared" si="18"/>
        <v>宽货币紧信用</v>
      </c>
      <c r="O62" s="48">
        <v>44286</v>
      </c>
      <c r="P62" s="54">
        <v>2.715369565217391</v>
      </c>
      <c r="R62" s="52">
        <v>39021</v>
      </c>
      <c r="S62" s="53">
        <v>894</v>
      </c>
      <c r="T62" s="14">
        <f t="shared" si="0"/>
        <v>860.6</v>
      </c>
      <c r="U62" s="62">
        <f t="shared" si="1"/>
        <v>1754.6</v>
      </c>
      <c r="V62" s="62">
        <f t="shared" si="10"/>
        <v>43737.67</v>
      </c>
      <c r="W62" s="63">
        <f t="shared" si="2"/>
        <v>212814.3</v>
      </c>
      <c r="X62" s="64">
        <f t="shared" si="11"/>
        <v>20.552035272065837</v>
      </c>
      <c r="Y62" s="63"/>
      <c r="Z62" s="69">
        <v>43069</v>
      </c>
      <c r="AA62" s="67">
        <v>6015.1720999999998</v>
      </c>
      <c r="AB62" s="67"/>
      <c r="AC62" s="70">
        <v>39172</v>
      </c>
      <c r="AD62" s="53">
        <v>232827.2</v>
      </c>
      <c r="AG62" s="55"/>
      <c r="AH62" s="16"/>
      <c r="AI62" s="16"/>
      <c r="AJ62" s="16"/>
      <c r="AK62" s="16"/>
      <c r="AL62" s="16"/>
      <c r="AM62" s="48">
        <v>44620</v>
      </c>
      <c r="AN62" s="54">
        <v>2.4100625</v>
      </c>
      <c r="AO62" s="16"/>
    </row>
    <row r="63" spans="1:41" x14ac:dyDescent="0.3">
      <c r="A63" s="8">
        <v>44592</v>
      </c>
      <c r="B63" s="9">
        <f t="shared" si="24"/>
        <v>2.4822380952380949</v>
      </c>
      <c r="C63" s="9">
        <f t="shared" si="23"/>
        <v>27.541034721589202</v>
      </c>
      <c r="D63" s="7">
        <v>0</v>
      </c>
      <c r="E63" s="7">
        <v>1</v>
      </c>
      <c r="F63" s="7">
        <v>0</v>
      </c>
      <c r="G63" s="7">
        <v>1</v>
      </c>
      <c r="H63" s="1">
        <f t="shared" si="19"/>
        <v>1</v>
      </c>
      <c r="I63" s="1">
        <f t="shared" si="20"/>
        <v>0</v>
      </c>
      <c r="J63" s="1">
        <f t="shared" si="21"/>
        <v>0</v>
      </c>
      <c r="K63" s="1">
        <f t="shared" si="22"/>
        <v>0</v>
      </c>
      <c r="L63" s="1" t="str">
        <f t="shared" si="18"/>
        <v>宽货币紧信用</v>
      </c>
      <c r="O63" s="48">
        <v>44255</v>
      </c>
      <c r="P63" s="54">
        <v>2.8085882352941178</v>
      </c>
      <c r="R63" s="52">
        <v>39051</v>
      </c>
      <c r="S63" s="53">
        <v>2788</v>
      </c>
      <c r="T63" s="14">
        <f t="shared" si="0"/>
        <v>435.9</v>
      </c>
      <c r="U63" s="62">
        <f t="shared" si="1"/>
        <v>3223.9</v>
      </c>
      <c r="V63" s="62">
        <f t="shared" si="10"/>
        <v>44651.07</v>
      </c>
      <c r="W63" s="63">
        <f t="shared" si="2"/>
        <v>212814.3</v>
      </c>
      <c r="X63" s="64">
        <f t="shared" si="11"/>
        <v>20.981235753424464</v>
      </c>
      <c r="Y63" s="63"/>
      <c r="Z63" s="69">
        <v>43039</v>
      </c>
      <c r="AA63" s="67">
        <v>5891.9395000000004</v>
      </c>
      <c r="AB63" s="67"/>
      <c r="AC63" s="70">
        <v>39263</v>
      </c>
      <c r="AD63" s="53">
        <v>245162.9</v>
      </c>
      <c r="AG63" s="55"/>
      <c r="AH63" s="16"/>
      <c r="AI63" s="16"/>
      <c r="AJ63" s="16"/>
      <c r="AK63" s="16"/>
      <c r="AL63" s="16"/>
      <c r="AM63" s="48">
        <v>44592</v>
      </c>
      <c r="AN63" s="54">
        <v>2.4822380952380949</v>
      </c>
      <c r="AO63" s="16"/>
    </row>
    <row r="64" spans="1:41" x14ac:dyDescent="0.3">
      <c r="A64" s="8">
        <v>44561</v>
      </c>
      <c r="B64" s="9">
        <f t="shared" si="24"/>
        <v>2.4946956521739132</v>
      </c>
      <c r="C64" s="9">
        <f t="shared" si="23"/>
        <v>26.699766489496284</v>
      </c>
      <c r="D64" s="7">
        <v>0</v>
      </c>
      <c r="E64" s="7">
        <v>1</v>
      </c>
      <c r="F64" s="7">
        <v>0</v>
      </c>
      <c r="G64" s="7">
        <v>1</v>
      </c>
      <c r="H64" s="1">
        <f t="shared" si="19"/>
        <v>1</v>
      </c>
      <c r="I64" s="1">
        <f t="shared" si="20"/>
        <v>0</v>
      </c>
      <c r="J64" s="1">
        <f t="shared" si="21"/>
        <v>0</v>
      </c>
      <c r="K64" s="1">
        <f t="shared" si="22"/>
        <v>0</v>
      </c>
      <c r="L64" s="1" t="str">
        <f t="shared" si="18"/>
        <v>宽货币紧信用</v>
      </c>
      <c r="O64" s="48">
        <v>44227</v>
      </c>
      <c r="P64" s="54">
        <v>2.6309</v>
      </c>
      <c r="R64" s="52">
        <v>39082</v>
      </c>
      <c r="S64" s="53">
        <v>3837</v>
      </c>
      <c r="T64" s="14">
        <f t="shared" si="0"/>
        <v>-296.60000000000002</v>
      </c>
      <c r="U64" s="62">
        <f t="shared" si="1"/>
        <v>3540.4</v>
      </c>
      <c r="V64" s="62">
        <f t="shared" si="10"/>
        <v>45012.57</v>
      </c>
      <c r="W64" s="63">
        <f t="shared" si="2"/>
        <v>222578.3</v>
      </c>
      <c r="X64" s="64">
        <f t="shared" si="11"/>
        <v>20.2232517725223</v>
      </c>
      <c r="Y64" s="63"/>
      <c r="Z64" s="69">
        <v>43008</v>
      </c>
      <c r="AA64" s="67">
        <v>4908.3056999999999</v>
      </c>
      <c r="AB64" s="67"/>
      <c r="AC64" s="70">
        <v>39355</v>
      </c>
      <c r="AD64" s="53">
        <v>258836.5</v>
      </c>
      <c r="AG64" s="55"/>
      <c r="AH64" s="16"/>
      <c r="AI64" s="16"/>
      <c r="AJ64" s="16"/>
      <c r="AK64" s="16"/>
      <c r="AL64" s="16"/>
      <c r="AM64" s="48">
        <v>44561</v>
      </c>
      <c r="AN64" s="54">
        <v>2.4946956521739132</v>
      </c>
      <c r="AO64" s="16"/>
    </row>
    <row r="65" spans="1:41" x14ac:dyDescent="0.3">
      <c r="A65" s="8">
        <v>44530</v>
      </c>
      <c r="B65" s="9">
        <f t="shared" si="24"/>
        <v>2.4658636363636361</v>
      </c>
      <c r="C65" s="9">
        <f t="shared" si="23"/>
        <v>26.802177921961441</v>
      </c>
      <c r="D65" s="7">
        <v>0</v>
      </c>
      <c r="E65" s="7">
        <v>1</v>
      </c>
      <c r="F65" s="7">
        <v>0</v>
      </c>
      <c r="G65" s="7">
        <v>1</v>
      </c>
      <c r="H65" s="1">
        <f t="shared" si="19"/>
        <v>1</v>
      </c>
      <c r="I65" s="1">
        <f t="shared" si="20"/>
        <v>0</v>
      </c>
      <c r="J65" s="1">
        <f t="shared" si="21"/>
        <v>0</v>
      </c>
      <c r="K65" s="1">
        <f t="shared" si="22"/>
        <v>0</v>
      </c>
      <c r="L65" s="1" t="str">
        <f t="shared" si="18"/>
        <v>宽货币紧信用</v>
      </c>
      <c r="O65" s="48">
        <v>44196</v>
      </c>
      <c r="P65" s="54">
        <v>2.925652173913043</v>
      </c>
      <c r="R65" s="52">
        <v>39113</v>
      </c>
      <c r="S65" s="53">
        <v>6908</v>
      </c>
      <c r="T65" s="14">
        <f t="shared" si="0"/>
        <v>-300</v>
      </c>
      <c r="U65" s="62">
        <f t="shared" si="1"/>
        <v>6608</v>
      </c>
      <c r="V65" s="62">
        <f t="shared" si="10"/>
        <v>45297.57</v>
      </c>
      <c r="W65" s="63">
        <f t="shared" si="2"/>
        <v>222578.3</v>
      </c>
      <c r="X65" s="64">
        <f t="shared" si="11"/>
        <v>20.351296599893161</v>
      </c>
      <c r="Y65" s="63"/>
      <c r="Z65" s="69">
        <v>42978</v>
      </c>
      <c r="AA65" s="67">
        <v>4849.2963</v>
      </c>
      <c r="AB65" s="67"/>
      <c r="AC65" s="70">
        <v>39447</v>
      </c>
      <c r="AD65" s="53">
        <v>274179.7</v>
      </c>
      <c r="AG65" s="55"/>
      <c r="AH65" s="16"/>
      <c r="AI65" s="16"/>
      <c r="AJ65" s="16"/>
      <c r="AK65" s="16"/>
      <c r="AL65" s="16"/>
      <c r="AM65" s="48">
        <v>44530</v>
      </c>
      <c r="AN65" s="54">
        <v>2.4658636363636361</v>
      </c>
      <c r="AO65" s="16"/>
    </row>
    <row r="66" spans="1:41" x14ac:dyDescent="0.3">
      <c r="A66" s="8">
        <v>44500</v>
      </c>
      <c r="B66" s="9">
        <f t="shared" si="24"/>
        <v>2.4317176470588242</v>
      </c>
      <c r="C66" s="9">
        <f t="shared" si="23"/>
        <v>26.397219190038783</v>
      </c>
      <c r="D66" s="7">
        <v>0</v>
      </c>
      <c r="E66" s="7">
        <v>1</v>
      </c>
      <c r="F66" s="7">
        <v>0</v>
      </c>
      <c r="G66" s="7">
        <v>1</v>
      </c>
      <c r="H66" s="1">
        <f t="shared" si="19"/>
        <v>1</v>
      </c>
      <c r="I66" s="1">
        <f t="shared" si="20"/>
        <v>0</v>
      </c>
      <c r="J66" s="1">
        <f t="shared" si="21"/>
        <v>0</v>
      </c>
      <c r="K66" s="1">
        <f t="shared" si="22"/>
        <v>0</v>
      </c>
      <c r="L66" s="1" t="str">
        <f t="shared" si="18"/>
        <v>宽货币紧信用</v>
      </c>
      <c r="O66" s="48">
        <v>44165</v>
      </c>
      <c r="P66" s="54">
        <v>3.027857142857143</v>
      </c>
      <c r="R66" s="52">
        <v>39141</v>
      </c>
      <c r="S66" s="53">
        <v>3083</v>
      </c>
      <c r="T66" s="14">
        <f t="shared" si="0"/>
        <v>100</v>
      </c>
      <c r="U66" s="62">
        <f t="shared" si="1"/>
        <v>3183</v>
      </c>
      <c r="V66" s="62">
        <f t="shared" si="10"/>
        <v>46893.57</v>
      </c>
      <c r="W66" s="63">
        <f t="shared" si="2"/>
        <v>222578.3</v>
      </c>
      <c r="X66" s="64">
        <f t="shared" si="11"/>
        <v>21.068347633169989</v>
      </c>
      <c r="Y66" s="63"/>
      <c r="Z66" s="69">
        <v>42947</v>
      </c>
      <c r="AA66" s="67">
        <v>9455.4158000000007</v>
      </c>
      <c r="AB66" s="67"/>
      <c r="AC66" s="70">
        <v>39538</v>
      </c>
      <c r="AD66" s="53">
        <v>286708.7</v>
      </c>
      <c r="AG66" s="55"/>
      <c r="AH66" s="16"/>
      <c r="AI66" s="16"/>
      <c r="AJ66" s="16"/>
      <c r="AK66" s="16"/>
      <c r="AL66" s="16"/>
      <c r="AM66" s="48">
        <v>44500</v>
      </c>
      <c r="AN66" s="54">
        <v>2.4317176470588242</v>
      </c>
      <c r="AO66" s="16"/>
    </row>
    <row r="67" spans="1:41" x14ac:dyDescent="0.3">
      <c r="A67" s="8">
        <v>44469</v>
      </c>
      <c r="B67" s="9">
        <f t="shared" si="24"/>
        <v>2.3775454545454551</v>
      </c>
      <c r="C67" s="9">
        <f t="shared" si="23"/>
        <v>26.20060245049034</v>
      </c>
      <c r="D67" s="7">
        <v>0</v>
      </c>
      <c r="E67" s="7">
        <v>1</v>
      </c>
      <c r="F67" s="7">
        <v>0</v>
      </c>
      <c r="G67" s="7">
        <v>1</v>
      </c>
      <c r="H67" s="1">
        <f t="shared" si="19"/>
        <v>1</v>
      </c>
      <c r="I67" s="1">
        <f t="shared" si="20"/>
        <v>0</v>
      </c>
      <c r="J67" s="1">
        <f t="shared" si="21"/>
        <v>0</v>
      </c>
      <c r="K67" s="1">
        <f t="shared" si="22"/>
        <v>0</v>
      </c>
      <c r="L67" s="1" t="str">
        <f t="shared" ref="L67:L98" si="25">INDEX($H$3:$K$3,1,MATCH(1,H67:K67,0))</f>
        <v>宽货币紧信用</v>
      </c>
      <c r="O67" s="48">
        <v>44135</v>
      </c>
      <c r="P67" s="54">
        <v>2.834411764705882</v>
      </c>
      <c r="R67" s="52">
        <v>39172</v>
      </c>
      <c r="S67" s="53">
        <v>6311</v>
      </c>
      <c r="T67" s="14">
        <f t="shared" si="0"/>
        <v>105</v>
      </c>
      <c r="U67" s="62">
        <f t="shared" si="1"/>
        <v>6416</v>
      </c>
      <c r="V67" s="62">
        <f t="shared" si="10"/>
        <v>45398.570000000007</v>
      </c>
      <c r="W67" s="63">
        <f t="shared" si="2"/>
        <v>232827.2</v>
      </c>
      <c r="X67" s="64">
        <f t="shared" si="11"/>
        <v>19.498825738573501</v>
      </c>
      <c r="Y67" s="63"/>
      <c r="Z67" s="69">
        <v>42916</v>
      </c>
      <c r="AA67" s="67">
        <v>6580.5209999999997</v>
      </c>
      <c r="AB67" s="67"/>
      <c r="AC67" s="70">
        <v>39629</v>
      </c>
      <c r="AD67" s="53">
        <v>300922.7</v>
      </c>
      <c r="AG67" s="55"/>
      <c r="AH67" s="16"/>
      <c r="AI67" s="16"/>
      <c r="AJ67" s="16"/>
      <c r="AK67" s="16"/>
      <c r="AL67" s="16"/>
      <c r="AM67" s="48">
        <v>44469</v>
      </c>
      <c r="AN67" s="54">
        <v>2.3775454545454551</v>
      </c>
      <c r="AO67" s="16"/>
    </row>
    <row r="68" spans="1:41" x14ac:dyDescent="0.3">
      <c r="A68" s="8">
        <v>44439</v>
      </c>
      <c r="B68" s="9">
        <f t="shared" si="24"/>
        <v>2.3626818181818181</v>
      </c>
      <c r="C68" s="9">
        <f t="shared" si="23"/>
        <v>27.36825033226263</v>
      </c>
      <c r="D68" s="7">
        <v>0</v>
      </c>
      <c r="E68" s="7">
        <v>1</v>
      </c>
      <c r="F68" s="7">
        <v>0</v>
      </c>
      <c r="G68" s="7">
        <v>1</v>
      </c>
      <c r="H68" s="1">
        <f t="shared" si="19"/>
        <v>1</v>
      </c>
      <c r="I68" s="1">
        <f t="shared" si="20"/>
        <v>0</v>
      </c>
      <c r="J68" s="1">
        <f t="shared" si="21"/>
        <v>0</v>
      </c>
      <c r="K68" s="1">
        <f t="shared" si="22"/>
        <v>0</v>
      </c>
      <c r="L68" s="1" t="str">
        <f t="shared" si="25"/>
        <v>宽货币紧信用</v>
      </c>
      <c r="O68" s="48">
        <v>44104</v>
      </c>
      <c r="P68" s="54">
        <v>2.6766956521739131</v>
      </c>
      <c r="R68" s="52">
        <v>39202</v>
      </c>
      <c r="S68" s="53">
        <v>6103</v>
      </c>
      <c r="T68" s="14">
        <f t="shared" si="0"/>
        <v>-291.60000000000002</v>
      </c>
      <c r="U68" s="62">
        <f t="shared" si="1"/>
        <v>5811.4</v>
      </c>
      <c r="V68" s="62">
        <f t="shared" si="10"/>
        <v>47625.37</v>
      </c>
      <c r="W68" s="63">
        <f t="shared" si="2"/>
        <v>232827.2</v>
      </c>
      <c r="X68" s="64">
        <f t="shared" si="11"/>
        <v>20.455243201825215</v>
      </c>
      <c r="Y68" s="63"/>
      <c r="Z68" s="69">
        <v>42886</v>
      </c>
      <c r="AA68" s="67">
        <v>6536.9443000000001</v>
      </c>
      <c r="AB68" s="67"/>
      <c r="AC68" s="70">
        <v>39721</v>
      </c>
      <c r="AD68" s="53">
        <v>314096.90000000002</v>
      </c>
      <c r="AG68" s="55"/>
      <c r="AH68" s="16"/>
      <c r="AI68" s="16"/>
      <c r="AJ68" s="16"/>
      <c r="AK68" s="16"/>
      <c r="AL68" s="16"/>
      <c r="AM68" s="48">
        <v>44439</v>
      </c>
      <c r="AN68" s="54">
        <v>2.3626818181818181</v>
      </c>
      <c r="AO68" s="16"/>
    </row>
    <row r="69" spans="1:41" x14ac:dyDescent="0.3">
      <c r="A69" s="8">
        <v>44408</v>
      </c>
      <c r="B69" s="9">
        <f t="shared" si="24"/>
        <v>2.4178636363636361</v>
      </c>
      <c r="C69" s="9">
        <f t="shared" si="23"/>
        <v>27.902884585023351</v>
      </c>
      <c r="D69" s="7">
        <v>0</v>
      </c>
      <c r="E69" s="7">
        <v>1</v>
      </c>
      <c r="F69" s="7">
        <v>0</v>
      </c>
      <c r="G69" s="7">
        <v>1</v>
      </c>
      <c r="H69" s="1">
        <f t="shared" si="19"/>
        <v>1</v>
      </c>
      <c r="I69" s="1">
        <f t="shared" si="20"/>
        <v>0</v>
      </c>
      <c r="J69" s="1">
        <f t="shared" si="21"/>
        <v>0</v>
      </c>
      <c r="K69" s="1">
        <f t="shared" si="22"/>
        <v>0</v>
      </c>
      <c r="L69" s="1" t="str">
        <f t="shared" si="25"/>
        <v>宽货币紧信用</v>
      </c>
      <c r="O69" s="48">
        <v>44074</v>
      </c>
      <c r="P69" s="54">
        <v>2.6053809523809521</v>
      </c>
      <c r="R69" s="52">
        <v>39233</v>
      </c>
      <c r="S69" s="53">
        <v>3824</v>
      </c>
      <c r="T69" s="14">
        <f t="shared" ref="T69:T132" si="26">VLOOKUP(R69,Z:AA,2,0)</f>
        <v>937.8</v>
      </c>
      <c r="U69" s="62">
        <f t="shared" ref="U69:U132" si="27">S69+T69</f>
        <v>4761.8</v>
      </c>
      <c r="V69" s="62">
        <f t="shared" si="10"/>
        <v>48138.570000000007</v>
      </c>
      <c r="W69" s="63">
        <f t="shared" ref="W69:W132" si="28">VLOOKUP(R69,AC:AD,2,1)</f>
        <v>232827.2</v>
      </c>
      <c r="X69" s="64">
        <f t="shared" si="11"/>
        <v>20.675664183566184</v>
      </c>
      <c r="Y69" s="63"/>
      <c r="Z69" s="69">
        <v>42855</v>
      </c>
      <c r="AA69" s="67">
        <v>5006.3154000000004</v>
      </c>
      <c r="AB69" s="67"/>
      <c r="AC69" s="70">
        <v>39813</v>
      </c>
      <c r="AD69" s="53">
        <v>324317.90000000002</v>
      </c>
      <c r="AG69" s="55"/>
      <c r="AH69" s="16"/>
      <c r="AI69" s="16"/>
      <c r="AJ69" s="16"/>
      <c r="AK69" s="16"/>
      <c r="AL69" s="16"/>
      <c r="AM69" s="48">
        <v>44408</v>
      </c>
      <c r="AN69" s="54">
        <v>2.4178636363636361</v>
      </c>
      <c r="AO69" s="16"/>
    </row>
    <row r="70" spans="1:41" x14ac:dyDescent="0.3">
      <c r="A70" s="8">
        <v>44377</v>
      </c>
      <c r="B70" s="9">
        <f t="shared" si="24"/>
        <v>2.4500000000000002</v>
      </c>
      <c r="C70" s="9">
        <f t="shared" si="23"/>
        <v>28.456894844259967</v>
      </c>
      <c r="D70" s="7">
        <v>0</v>
      </c>
      <c r="E70" s="7">
        <v>1</v>
      </c>
      <c r="F70" s="7">
        <v>0</v>
      </c>
      <c r="G70" s="7">
        <v>1</v>
      </c>
      <c r="H70" s="1">
        <f t="shared" si="19"/>
        <v>1</v>
      </c>
      <c r="I70" s="1">
        <f t="shared" si="20"/>
        <v>0</v>
      </c>
      <c r="J70" s="1">
        <f t="shared" si="21"/>
        <v>0</v>
      </c>
      <c r="K70" s="1">
        <f t="shared" si="22"/>
        <v>0</v>
      </c>
      <c r="L70" s="1" t="str">
        <f t="shared" si="25"/>
        <v>宽货币紧信用</v>
      </c>
      <c r="O70" s="48">
        <v>44043</v>
      </c>
      <c r="P70" s="54">
        <v>2.3283043478260872</v>
      </c>
      <c r="R70" s="52">
        <v>39263</v>
      </c>
      <c r="S70" s="53">
        <v>7042</v>
      </c>
      <c r="T70" s="14">
        <f t="shared" si="26"/>
        <v>660.46</v>
      </c>
      <c r="U70" s="62">
        <f t="shared" si="27"/>
        <v>7702.46</v>
      </c>
      <c r="V70" s="62">
        <f t="shared" si="10"/>
        <v>52889.83</v>
      </c>
      <c r="W70" s="63">
        <f t="shared" si="28"/>
        <v>245162.9</v>
      </c>
      <c r="X70" s="64">
        <f t="shared" si="11"/>
        <v>21.57334164345421</v>
      </c>
      <c r="Y70" s="63"/>
      <c r="Z70" s="69">
        <v>42825</v>
      </c>
      <c r="AA70" s="67">
        <v>4072.0340999999999</v>
      </c>
      <c r="AB70" s="67"/>
      <c r="AC70" s="70">
        <v>39903</v>
      </c>
      <c r="AD70" s="53">
        <v>329049.59999999998</v>
      </c>
      <c r="AG70" s="55"/>
      <c r="AH70" s="16"/>
      <c r="AI70" s="16"/>
      <c r="AJ70" s="16"/>
      <c r="AK70" s="16"/>
      <c r="AL70" s="16"/>
      <c r="AM70" s="48">
        <v>44377</v>
      </c>
      <c r="AN70" s="54">
        <v>2.4500000000000002</v>
      </c>
      <c r="AO70" s="16"/>
    </row>
    <row r="71" spans="1:41" x14ac:dyDescent="0.3">
      <c r="A71" s="8">
        <v>44347</v>
      </c>
      <c r="B71" s="9">
        <f t="shared" si="24"/>
        <v>2.5134210526315788</v>
      </c>
      <c r="C71" s="9">
        <f t="shared" si="23"/>
        <v>29.150246109332308</v>
      </c>
      <c r="D71" s="7">
        <v>0</v>
      </c>
      <c r="E71" s="7">
        <v>1</v>
      </c>
      <c r="F71" s="7">
        <v>0</v>
      </c>
      <c r="G71" s="7">
        <v>1</v>
      </c>
      <c r="H71" s="1">
        <f t="shared" si="19"/>
        <v>1</v>
      </c>
      <c r="I71" s="1">
        <f t="shared" si="20"/>
        <v>0</v>
      </c>
      <c r="J71" s="1">
        <f t="shared" si="21"/>
        <v>0</v>
      </c>
      <c r="K71" s="1">
        <f t="shared" si="22"/>
        <v>0</v>
      </c>
      <c r="L71" s="1" t="str">
        <f t="shared" si="25"/>
        <v>宽货币紧信用</v>
      </c>
      <c r="O71" s="48">
        <v>44012</v>
      </c>
      <c r="P71" s="54">
        <v>1.8831904761904761</v>
      </c>
      <c r="R71" s="52">
        <v>39294</v>
      </c>
      <c r="S71" s="53">
        <v>3100</v>
      </c>
      <c r="T71" s="14">
        <f t="shared" si="26"/>
        <v>-187</v>
      </c>
      <c r="U71" s="62">
        <f t="shared" si="27"/>
        <v>2913</v>
      </c>
      <c r="V71" s="62">
        <f t="shared" si="10"/>
        <v>52979.03</v>
      </c>
      <c r="W71" s="63">
        <f t="shared" si="28"/>
        <v>245162.9</v>
      </c>
      <c r="X71" s="64">
        <f t="shared" si="11"/>
        <v>21.609725615091026</v>
      </c>
      <c r="Y71" s="63"/>
      <c r="Z71" s="69">
        <v>42794</v>
      </c>
      <c r="AA71" s="67">
        <v>-176.88</v>
      </c>
      <c r="AB71" s="67"/>
      <c r="AC71" s="70">
        <v>39994</v>
      </c>
      <c r="AD71" s="53">
        <v>334440.2</v>
      </c>
      <c r="AG71" s="55"/>
      <c r="AH71" s="16"/>
      <c r="AI71" s="16"/>
      <c r="AJ71" s="16"/>
      <c r="AK71" s="16"/>
      <c r="AL71" s="16"/>
      <c r="AM71" s="48">
        <v>44347</v>
      </c>
      <c r="AN71" s="54">
        <v>2.5134210526315788</v>
      </c>
      <c r="AO71" s="16"/>
    </row>
    <row r="72" spans="1:41" x14ac:dyDescent="0.3">
      <c r="A72" s="8">
        <v>44316</v>
      </c>
      <c r="B72" s="9">
        <f t="shared" si="24"/>
        <v>2.6046363636363639</v>
      </c>
      <c r="C72" s="9">
        <f t="shared" si="23"/>
        <v>30.292942866273005</v>
      </c>
      <c r="D72" s="7">
        <v>0</v>
      </c>
      <c r="E72" s="7">
        <v>1</v>
      </c>
      <c r="F72" s="7">
        <v>0</v>
      </c>
      <c r="G72" s="7">
        <v>1</v>
      </c>
      <c r="H72" s="1">
        <f t="shared" si="19"/>
        <v>1</v>
      </c>
      <c r="I72" s="1">
        <f t="shared" si="20"/>
        <v>0</v>
      </c>
      <c r="J72" s="1">
        <f t="shared" si="21"/>
        <v>0</v>
      </c>
      <c r="K72" s="1">
        <f t="shared" si="22"/>
        <v>0</v>
      </c>
      <c r="L72" s="1" t="str">
        <f t="shared" si="25"/>
        <v>宽货币紧信用</v>
      </c>
      <c r="O72" s="48">
        <v>43982</v>
      </c>
      <c r="P72" s="54">
        <v>1.4047368421052631</v>
      </c>
      <c r="R72" s="52">
        <v>39325</v>
      </c>
      <c r="S72" s="53">
        <v>6961</v>
      </c>
      <c r="T72" s="14">
        <f t="shared" si="26"/>
        <v>6321.4</v>
      </c>
      <c r="U72" s="62">
        <f t="shared" si="27"/>
        <v>13282.4</v>
      </c>
      <c r="V72" s="62">
        <f t="shared" si="10"/>
        <v>62348.36</v>
      </c>
      <c r="W72" s="63">
        <f t="shared" si="28"/>
        <v>245162.9</v>
      </c>
      <c r="X72" s="64">
        <f t="shared" si="11"/>
        <v>25.431400917512399</v>
      </c>
      <c r="Y72" s="63"/>
      <c r="Z72" s="69">
        <v>42766</v>
      </c>
      <c r="AA72" s="67">
        <v>753.2</v>
      </c>
      <c r="AB72" s="67"/>
      <c r="AC72" s="70">
        <v>40086</v>
      </c>
      <c r="AD72" s="53">
        <v>342101.9</v>
      </c>
      <c r="AG72" s="55"/>
      <c r="AH72" s="16"/>
      <c r="AI72" s="16"/>
      <c r="AJ72" s="16"/>
      <c r="AK72" s="16"/>
      <c r="AL72" s="16"/>
      <c r="AM72" s="48">
        <v>44316</v>
      </c>
      <c r="AN72" s="54">
        <v>2.6046363636363639</v>
      </c>
      <c r="AO72" s="16"/>
    </row>
    <row r="73" spans="1:41" x14ac:dyDescent="0.3">
      <c r="A73" s="8">
        <v>44286</v>
      </c>
      <c r="B73" s="9">
        <f t="shared" si="24"/>
        <v>2.715369565217391</v>
      </c>
      <c r="C73" s="9">
        <f t="shared" si="23"/>
        <v>31.446100149261518</v>
      </c>
      <c r="D73" s="7">
        <v>0</v>
      </c>
      <c r="E73" s="7">
        <v>1</v>
      </c>
      <c r="F73" s="7">
        <v>0</v>
      </c>
      <c r="G73" s="7">
        <v>1</v>
      </c>
      <c r="H73" s="1">
        <f t="shared" si="19"/>
        <v>1</v>
      </c>
      <c r="I73" s="1">
        <f t="shared" si="20"/>
        <v>0</v>
      </c>
      <c r="J73" s="1">
        <f t="shared" si="21"/>
        <v>0</v>
      </c>
      <c r="K73" s="1">
        <f t="shared" si="22"/>
        <v>0</v>
      </c>
      <c r="L73" s="1" t="str">
        <f t="shared" si="25"/>
        <v>宽货币紧信用</v>
      </c>
      <c r="O73" s="48">
        <v>43951</v>
      </c>
      <c r="P73" s="54">
        <v>1.5127272727272729</v>
      </c>
      <c r="R73" s="52">
        <v>39355</v>
      </c>
      <c r="S73" s="53">
        <v>5290</v>
      </c>
      <c r="T73" s="14">
        <f t="shared" si="26"/>
        <v>857.7</v>
      </c>
      <c r="U73" s="62">
        <f t="shared" si="27"/>
        <v>6147.7</v>
      </c>
      <c r="V73" s="62">
        <f t="shared" si="10"/>
        <v>65344.66</v>
      </c>
      <c r="W73" s="63">
        <f t="shared" si="28"/>
        <v>258836.5</v>
      </c>
      <c r="X73" s="64">
        <f t="shared" si="11"/>
        <v>25.245535308969174</v>
      </c>
      <c r="Y73" s="63"/>
      <c r="Z73" s="69">
        <v>42735</v>
      </c>
      <c r="AA73" s="67">
        <v>1781.6063999999999</v>
      </c>
      <c r="AB73" s="67"/>
      <c r="AC73" s="70">
        <v>40178</v>
      </c>
      <c r="AD73" s="53">
        <v>354521.59999999998</v>
      </c>
      <c r="AG73" s="55"/>
      <c r="AH73" s="16"/>
      <c r="AI73" s="16"/>
      <c r="AJ73" s="16"/>
      <c r="AK73" s="16"/>
      <c r="AL73" s="16"/>
      <c r="AM73" s="48">
        <v>44286</v>
      </c>
      <c r="AN73" s="54">
        <v>2.715369565217391</v>
      </c>
      <c r="AO73" s="16"/>
    </row>
    <row r="74" spans="1:41" x14ac:dyDescent="0.3">
      <c r="A74" s="8">
        <v>44255</v>
      </c>
      <c r="B74" s="9">
        <f t="shared" si="24"/>
        <v>2.8085882352941178</v>
      </c>
      <c r="C74" s="9">
        <f t="shared" si="23"/>
        <v>34.571865480363428</v>
      </c>
      <c r="D74" s="7">
        <v>0</v>
      </c>
      <c r="E74" s="7">
        <v>1</v>
      </c>
      <c r="F74" s="7">
        <v>0</v>
      </c>
      <c r="G74" s="7">
        <v>1</v>
      </c>
      <c r="H74" s="1">
        <f t="shared" si="19"/>
        <v>1</v>
      </c>
      <c r="I74" s="1">
        <f t="shared" si="20"/>
        <v>0</v>
      </c>
      <c r="J74" s="1">
        <f t="shared" si="21"/>
        <v>0</v>
      </c>
      <c r="K74" s="1">
        <f t="shared" si="22"/>
        <v>0</v>
      </c>
      <c r="L74" s="1" t="str">
        <f t="shared" si="25"/>
        <v>宽货币紧信用</v>
      </c>
      <c r="O74" s="48">
        <v>43921</v>
      </c>
      <c r="P74" s="54">
        <v>2.1530909090909089</v>
      </c>
      <c r="R74" s="52">
        <v>39386</v>
      </c>
      <c r="S74" s="53">
        <v>3688</v>
      </c>
      <c r="T74" s="14">
        <f t="shared" si="26"/>
        <v>211.8</v>
      </c>
      <c r="U74" s="62">
        <f t="shared" si="27"/>
        <v>3899.8</v>
      </c>
      <c r="V74" s="62">
        <f t="shared" si="10"/>
        <v>67489.86</v>
      </c>
      <c r="W74" s="63">
        <f t="shared" si="28"/>
        <v>258836.5</v>
      </c>
      <c r="X74" s="64">
        <f t="shared" si="11"/>
        <v>26.074321048229287</v>
      </c>
      <c r="Y74" s="63"/>
      <c r="Z74" s="69">
        <v>42704</v>
      </c>
      <c r="AA74" s="67">
        <v>5163.2214999999997</v>
      </c>
      <c r="AB74" s="67"/>
      <c r="AC74" s="70">
        <v>40268</v>
      </c>
      <c r="AD74" s="53">
        <v>368305.3</v>
      </c>
      <c r="AG74" s="55"/>
      <c r="AH74" s="16"/>
      <c r="AI74" s="16"/>
      <c r="AJ74" s="16"/>
      <c r="AK74" s="16"/>
      <c r="AL74" s="16"/>
      <c r="AM74" s="48">
        <v>44255</v>
      </c>
      <c r="AN74" s="54">
        <v>2.8085882352941178</v>
      </c>
      <c r="AO74" s="16"/>
    </row>
    <row r="75" spans="1:41" x14ac:dyDescent="0.3">
      <c r="A75" s="8">
        <v>44227</v>
      </c>
      <c r="B75" s="9">
        <f t="shared" si="24"/>
        <v>2.6309</v>
      </c>
      <c r="C75" s="9">
        <f t="shared" si="23"/>
        <v>33.749924507243676</v>
      </c>
      <c r="D75" s="7">
        <v>0</v>
      </c>
      <c r="E75" s="7">
        <v>1</v>
      </c>
      <c r="F75" s="7">
        <v>0</v>
      </c>
      <c r="G75" s="7">
        <v>1</v>
      </c>
      <c r="H75" s="1">
        <f t="shared" si="19"/>
        <v>1</v>
      </c>
      <c r="I75" s="1">
        <f t="shared" si="20"/>
        <v>0</v>
      </c>
      <c r="J75" s="1">
        <f t="shared" si="21"/>
        <v>0</v>
      </c>
      <c r="K75" s="1">
        <f t="shared" si="22"/>
        <v>0</v>
      </c>
      <c r="L75" s="1" t="str">
        <f t="shared" si="25"/>
        <v>宽货币紧信用</v>
      </c>
      <c r="O75" s="48">
        <v>43890</v>
      </c>
      <c r="P75" s="54">
        <v>2.6011500000000001</v>
      </c>
      <c r="R75" s="52">
        <v>39416</v>
      </c>
      <c r="S75" s="53">
        <v>3073</v>
      </c>
      <c r="T75" s="14">
        <f t="shared" si="26"/>
        <v>760</v>
      </c>
      <c r="U75" s="62">
        <f t="shared" si="27"/>
        <v>3833</v>
      </c>
      <c r="V75" s="62">
        <f t="shared" si="10"/>
        <v>68098.960000000006</v>
      </c>
      <c r="W75" s="63">
        <f t="shared" si="28"/>
        <v>258836.5</v>
      </c>
      <c r="X75" s="64">
        <f t="shared" si="11"/>
        <v>26.309643346282307</v>
      </c>
      <c r="Y75" s="63"/>
      <c r="Z75" s="69">
        <v>42674</v>
      </c>
      <c r="AA75" s="67">
        <v>5030.3035</v>
      </c>
      <c r="AB75" s="67"/>
      <c r="AC75" s="70">
        <v>40359</v>
      </c>
      <c r="AD75" s="53">
        <v>384024.7</v>
      </c>
      <c r="AG75" s="55"/>
      <c r="AH75" s="16"/>
      <c r="AI75" s="16"/>
      <c r="AJ75" s="16"/>
      <c r="AK75" s="16"/>
      <c r="AL75" s="16"/>
      <c r="AM75" s="48">
        <v>44227</v>
      </c>
      <c r="AN75" s="54">
        <v>2.6309</v>
      </c>
      <c r="AO75" s="16"/>
    </row>
    <row r="76" spans="1:41" x14ac:dyDescent="0.3">
      <c r="A76" s="8">
        <v>44196</v>
      </c>
      <c r="B76" s="9">
        <f t="shared" si="24"/>
        <v>2.925652173913043</v>
      </c>
      <c r="C76" s="9">
        <f t="shared" si="23"/>
        <v>33.619569655052459</v>
      </c>
      <c r="D76" s="7">
        <v>0</v>
      </c>
      <c r="E76" s="7">
        <v>1</v>
      </c>
      <c r="F76" s="7">
        <v>0</v>
      </c>
      <c r="G76" s="7">
        <v>1</v>
      </c>
      <c r="H76" s="1">
        <f t="shared" si="19"/>
        <v>1</v>
      </c>
      <c r="I76" s="1">
        <f t="shared" si="20"/>
        <v>0</v>
      </c>
      <c r="J76" s="1">
        <f t="shared" si="21"/>
        <v>0</v>
      </c>
      <c r="K76" s="1">
        <f t="shared" si="22"/>
        <v>0</v>
      </c>
      <c r="L76" s="1" t="str">
        <f t="shared" si="25"/>
        <v>宽货币紧信用</v>
      </c>
      <c r="O76" s="48">
        <v>43861</v>
      </c>
      <c r="P76" s="54">
        <v>2.8825882352941181</v>
      </c>
      <c r="R76" s="52">
        <v>39447</v>
      </c>
      <c r="S76" s="53">
        <v>4281</v>
      </c>
      <c r="T76" s="14">
        <f t="shared" si="26"/>
        <v>7757.28</v>
      </c>
      <c r="U76" s="62">
        <f t="shared" si="27"/>
        <v>12038.279999999999</v>
      </c>
      <c r="V76" s="62">
        <f t="shared" si="10"/>
        <v>76596.84</v>
      </c>
      <c r="W76" s="63">
        <f t="shared" si="28"/>
        <v>274179.7</v>
      </c>
      <c r="X76" s="64">
        <f t="shared" si="11"/>
        <v>27.936729086799637</v>
      </c>
      <c r="Y76" s="63"/>
      <c r="Z76" s="69">
        <v>42643</v>
      </c>
      <c r="AA76" s="67">
        <v>4548.1902</v>
      </c>
      <c r="AB76" s="67"/>
      <c r="AC76" s="70">
        <v>40451</v>
      </c>
      <c r="AD76" s="53">
        <v>400487.6</v>
      </c>
      <c r="AG76" s="55"/>
      <c r="AH76" s="16"/>
      <c r="AI76" s="16"/>
      <c r="AJ76" s="16"/>
      <c r="AK76" s="16"/>
      <c r="AL76" s="16"/>
      <c r="AM76" s="48">
        <v>44196</v>
      </c>
      <c r="AN76" s="54">
        <v>2.925652173913043</v>
      </c>
      <c r="AO76" s="16"/>
    </row>
    <row r="77" spans="1:41" x14ac:dyDescent="0.3">
      <c r="A77" s="8">
        <v>44165</v>
      </c>
      <c r="B77" s="9">
        <f t="shared" si="24"/>
        <v>3.027857142857143</v>
      </c>
      <c r="C77" s="9">
        <f t="shared" si="23"/>
        <v>34.815170945537908</v>
      </c>
      <c r="D77" s="7">
        <v>1</v>
      </c>
      <c r="E77" s="7">
        <v>0</v>
      </c>
      <c r="F77" s="7">
        <v>0</v>
      </c>
      <c r="G77" s="7">
        <v>1</v>
      </c>
      <c r="H77" s="1">
        <f t="shared" si="19"/>
        <v>0</v>
      </c>
      <c r="I77" s="1">
        <f t="shared" si="20"/>
        <v>1</v>
      </c>
      <c r="J77" s="1">
        <f t="shared" si="21"/>
        <v>0</v>
      </c>
      <c r="K77" s="1">
        <f t="shared" si="22"/>
        <v>0</v>
      </c>
      <c r="L77" s="1" t="str">
        <f t="shared" si="25"/>
        <v>宽货币宽信用</v>
      </c>
      <c r="O77" s="48">
        <v>43830</v>
      </c>
      <c r="P77" s="54">
        <v>3.0289954545454552</v>
      </c>
      <c r="R77" s="52">
        <v>39478</v>
      </c>
      <c r="S77" s="53">
        <v>10859</v>
      </c>
      <c r="T77" s="14">
        <f t="shared" si="26"/>
        <v>-280</v>
      </c>
      <c r="U77" s="62">
        <f t="shared" si="27"/>
        <v>10579</v>
      </c>
      <c r="V77" s="62">
        <f t="shared" si="10"/>
        <v>80567.839999999997</v>
      </c>
      <c r="W77" s="63">
        <f t="shared" si="28"/>
        <v>274179.7</v>
      </c>
      <c r="X77" s="64">
        <f t="shared" si="11"/>
        <v>29.38504929431318</v>
      </c>
      <c r="Y77" s="63"/>
      <c r="Z77" s="69">
        <v>42613</v>
      </c>
      <c r="AA77" s="67">
        <v>8939.2855</v>
      </c>
      <c r="AB77" s="67"/>
      <c r="AC77" s="70">
        <v>40543</v>
      </c>
      <c r="AD77" s="53">
        <v>419253.3</v>
      </c>
      <c r="AG77" s="55"/>
      <c r="AH77" s="16"/>
      <c r="AI77" s="16"/>
      <c r="AJ77" s="16"/>
      <c r="AK77" s="16"/>
      <c r="AL77" s="16"/>
      <c r="AM77" s="48">
        <v>44165</v>
      </c>
      <c r="AN77" s="54">
        <v>3.027857142857143</v>
      </c>
      <c r="AO77" s="16"/>
    </row>
    <row r="78" spans="1:41" x14ac:dyDescent="0.3">
      <c r="A78" s="8">
        <v>44135</v>
      </c>
      <c r="B78" s="9">
        <f t="shared" si="24"/>
        <v>2.834411764705882</v>
      </c>
      <c r="C78" s="9">
        <f t="shared" si="23"/>
        <v>34.675490282375662</v>
      </c>
      <c r="D78" s="7">
        <v>1</v>
      </c>
      <c r="E78" s="7">
        <v>0</v>
      </c>
      <c r="F78" s="7">
        <v>0</v>
      </c>
      <c r="G78" s="7">
        <v>1</v>
      </c>
      <c r="H78" s="1">
        <f t="shared" si="19"/>
        <v>0</v>
      </c>
      <c r="I78" s="1">
        <f t="shared" si="20"/>
        <v>1</v>
      </c>
      <c r="J78" s="1">
        <f t="shared" si="21"/>
        <v>0</v>
      </c>
      <c r="K78" s="1">
        <f t="shared" si="22"/>
        <v>0</v>
      </c>
      <c r="L78" s="1" t="str">
        <f t="shared" si="25"/>
        <v>宽货币宽信用</v>
      </c>
      <c r="O78" s="48">
        <v>43799</v>
      </c>
      <c r="P78" s="54">
        <v>2.9901428571428572</v>
      </c>
      <c r="R78" s="52">
        <v>39507</v>
      </c>
      <c r="S78" s="53">
        <v>4731</v>
      </c>
      <c r="T78" s="14">
        <f t="shared" si="26"/>
        <v>269.7</v>
      </c>
      <c r="U78" s="62">
        <f t="shared" si="27"/>
        <v>5000.7</v>
      </c>
      <c r="V78" s="62">
        <f t="shared" si="10"/>
        <v>82385.539999999994</v>
      </c>
      <c r="W78" s="63">
        <f t="shared" si="28"/>
        <v>274179.7</v>
      </c>
      <c r="X78" s="64">
        <f t="shared" si="11"/>
        <v>30.048008660013849</v>
      </c>
      <c r="Y78" s="63"/>
      <c r="Z78" s="69">
        <v>42582</v>
      </c>
      <c r="AA78" s="67">
        <v>5177.6318000000001</v>
      </c>
      <c r="AB78" s="67"/>
      <c r="AC78" s="70">
        <v>40633</v>
      </c>
      <c r="AD78" s="53">
        <v>436347.2</v>
      </c>
      <c r="AG78" s="55"/>
      <c r="AH78" s="16"/>
      <c r="AI78" s="16"/>
      <c r="AJ78" s="16"/>
      <c r="AK78" s="16"/>
      <c r="AL78" s="16"/>
      <c r="AM78" s="48">
        <v>44135</v>
      </c>
      <c r="AN78" s="54">
        <v>2.834411764705882</v>
      </c>
      <c r="AO78" s="16"/>
    </row>
    <row r="79" spans="1:41" x14ac:dyDescent="0.3">
      <c r="A79" s="8">
        <v>44104</v>
      </c>
      <c r="B79" s="9">
        <f t="shared" si="24"/>
        <v>2.6766956521739131</v>
      </c>
      <c r="C79" s="9">
        <f t="shared" si="23"/>
        <v>34.158466167805663</v>
      </c>
      <c r="D79" s="7">
        <v>1</v>
      </c>
      <c r="E79" s="7">
        <v>0</v>
      </c>
      <c r="F79" s="7">
        <v>0</v>
      </c>
      <c r="G79" s="7">
        <v>1</v>
      </c>
      <c r="H79" s="1">
        <f t="shared" si="19"/>
        <v>0</v>
      </c>
      <c r="I79" s="1">
        <f t="shared" si="20"/>
        <v>1</v>
      </c>
      <c r="J79" s="1">
        <f t="shared" si="21"/>
        <v>0</v>
      </c>
      <c r="K79" s="1">
        <f t="shared" si="22"/>
        <v>0</v>
      </c>
      <c r="L79" s="1" t="str">
        <f t="shared" si="25"/>
        <v>宽货币宽信用</v>
      </c>
      <c r="O79" s="48">
        <v>43769</v>
      </c>
      <c r="P79" s="54">
        <v>2.7748947368421049</v>
      </c>
      <c r="R79" s="52">
        <v>39538</v>
      </c>
      <c r="S79" s="53">
        <v>6391</v>
      </c>
      <c r="T79" s="14">
        <f t="shared" si="26"/>
        <v>-225.6</v>
      </c>
      <c r="U79" s="62">
        <f t="shared" si="27"/>
        <v>6165.4</v>
      </c>
      <c r="V79" s="62">
        <f t="shared" si="10"/>
        <v>82134.939999999988</v>
      </c>
      <c r="W79" s="63">
        <f t="shared" si="28"/>
        <v>286708.7</v>
      </c>
      <c r="X79" s="64">
        <f t="shared" si="11"/>
        <v>28.647522729516051</v>
      </c>
      <c r="Y79" s="63"/>
      <c r="Z79" s="69">
        <v>42551</v>
      </c>
      <c r="AA79" s="67">
        <v>11467.079299999999</v>
      </c>
      <c r="AB79" s="67"/>
      <c r="AC79" s="70">
        <v>40724</v>
      </c>
      <c r="AD79" s="53">
        <v>456049</v>
      </c>
      <c r="AG79" s="55"/>
      <c r="AH79" s="16"/>
      <c r="AI79" s="16"/>
      <c r="AJ79" s="16"/>
      <c r="AK79" s="16"/>
      <c r="AL79" s="16"/>
      <c r="AM79" s="48">
        <v>44104</v>
      </c>
      <c r="AN79" s="54">
        <v>2.6766956521739131</v>
      </c>
      <c r="AO79" s="16"/>
    </row>
    <row r="80" spans="1:41" x14ac:dyDescent="0.3">
      <c r="A80" s="8">
        <v>44074</v>
      </c>
      <c r="B80" s="9">
        <f t="shared" si="24"/>
        <v>2.6053809523809521</v>
      </c>
      <c r="C80" s="9">
        <f t="shared" ref="C80:C111" si="29">VLOOKUP(A80,R:X,7,0)</f>
        <v>33.678391869061805</v>
      </c>
      <c r="D80" s="7">
        <v>1</v>
      </c>
      <c r="E80" s="7">
        <v>0</v>
      </c>
      <c r="F80" s="7">
        <v>0</v>
      </c>
      <c r="G80" s="7">
        <v>1</v>
      </c>
      <c r="H80" s="1">
        <f t="shared" si="19"/>
        <v>0</v>
      </c>
      <c r="I80" s="1">
        <f t="shared" si="20"/>
        <v>1</v>
      </c>
      <c r="J80" s="1">
        <f t="shared" si="21"/>
        <v>0</v>
      </c>
      <c r="K80" s="1">
        <f t="shared" si="22"/>
        <v>0</v>
      </c>
      <c r="L80" s="1" t="str">
        <f t="shared" si="25"/>
        <v>宽货币宽信用</v>
      </c>
      <c r="O80" s="48">
        <v>43738</v>
      </c>
      <c r="P80" s="54">
        <v>2.713857142857143</v>
      </c>
      <c r="R80" s="52">
        <v>39568</v>
      </c>
      <c r="S80" s="53">
        <v>7076</v>
      </c>
      <c r="T80" s="14">
        <f t="shared" si="26"/>
        <v>-134.30000000000001</v>
      </c>
      <c r="U80" s="62">
        <f t="shared" si="27"/>
        <v>6941.7</v>
      </c>
      <c r="V80" s="62">
        <f t="shared" ref="V80:V143" si="30">SUM(U69:U80)</f>
        <v>83265.239999999991</v>
      </c>
      <c r="W80" s="63">
        <f t="shared" si="28"/>
        <v>286708.7</v>
      </c>
      <c r="X80" s="64">
        <f t="shared" ref="X80:X143" si="31">V80/W80*100</f>
        <v>29.041755621646637</v>
      </c>
      <c r="Y80" s="63"/>
      <c r="Z80" s="69">
        <v>42521</v>
      </c>
      <c r="AA80" s="67">
        <v>7373.4480999999996</v>
      </c>
      <c r="AB80" s="67"/>
      <c r="AC80" s="70">
        <v>40816</v>
      </c>
      <c r="AD80" s="53">
        <v>476817.6</v>
      </c>
      <c r="AG80" s="55"/>
      <c r="AH80" s="16"/>
      <c r="AI80" s="16"/>
      <c r="AJ80" s="16"/>
      <c r="AK80" s="16"/>
      <c r="AL80" s="16"/>
      <c r="AM80" s="48">
        <v>44074</v>
      </c>
      <c r="AN80" s="54">
        <v>2.6053809523809521</v>
      </c>
      <c r="AO80" s="16"/>
    </row>
    <row r="81" spans="1:41" x14ac:dyDescent="0.3">
      <c r="A81" s="8">
        <v>44043</v>
      </c>
      <c r="B81" s="9">
        <f t="shared" si="24"/>
        <v>2.3283043478260872</v>
      </c>
      <c r="C81" s="9">
        <f t="shared" si="29"/>
        <v>32.290536007994049</v>
      </c>
      <c r="D81" s="7">
        <v>1</v>
      </c>
      <c r="E81" s="7">
        <v>0</v>
      </c>
      <c r="F81" s="7">
        <v>0</v>
      </c>
      <c r="G81" s="7">
        <v>1</v>
      </c>
      <c r="H81" s="1">
        <f t="shared" si="19"/>
        <v>0</v>
      </c>
      <c r="I81" s="1">
        <f t="shared" si="20"/>
        <v>1</v>
      </c>
      <c r="J81" s="1">
        <f t="shared" si="21"/>
        <v>0</v>
      </c>
      <c r="K81" s="1">
        <f t="shared" si="22"/>
        <v>0</v>
      </c>
      <c r="L81" s="1" t="str">
        <f t="shared" si="25"/>
        <v>宽货币宽信用</v>
      </c>
      <c r="O81" s="48">
        <v>43708</v>
      </c>
      <c r="P81" s="54">
        <v>2.662281818181818</v>
      </c>
      <c r="R81" s="52">
        <v>39599</v>
      </c>
      <c r="S81" s="53">
        <v>5678</v>
      </c>
      <c r="T81" s="14">
        <f t="shared" si="26"/>
        <v>724.71</v>
      </c>
      <c r="U81" s="62">
        <f t="shared" si="27"/>
        <v>6402.71</v>
      </c>
      <c r="V81" s="62">
        <f t="shared" si="30"/>
        <v>84906.15</v>
      </c>
      <c r="W81" s="63">
        <f t="shared" si="28"/>
        <v>286708.7</v>
      </c>
      <c r="X81" s="64">
        <f t="shared" si="31"/>
        <v>29.614082167719356</v>
      </c>
      <c r="Y81" s="63"/>
      <c r="Z81" s="69">
        <v>42490</v>
      </c>
      <c r="AA81" s="67">
        <v>12207.2652</v>
      </c>
      <c r="AB81" s="67"/>
      <c r="AC81" s="70">
        <v>40908</v>
      </c>
      <c r="AD81" s="53">
        <v>495707.5</v>
      </c>
      <c r="AG81" s="55"/>
      <c r="AH81" s="16"/>
      <c r="AI81" s="16"/>
      <c r="AJ81" s="16"/>
      <c r="AK81" s="16"/>
      <c r="AL81" s="16"/>
      <c r="AM81" s="48">
        <v>44043</v>
      </c>
      <c r="AN81" s="54">
        <v>2.3283043478260872</v>
      </c>
      <c r="AO81" s="16"/>
    </row>
    <row r="82" spans="1:41" x14ac:dyDescent="0.3">
      <c r="A82" s="8">
        <v>44012</v>
      </c>
      <c r="B82" s="9">
        <f t="shared" si="24"/>
        <v>1.8831904761904761</v>
      </c>
      <c r="C82" s="9">
        <f t="shared" si="29"/>
        <v>31.885492102877162</v>
      </c>
      <c r="D82" s="7">
        <v>1</v>
      </c>
      <c r="E82" s="7">
        <v>0</v>
      </c>
      <c r="F82" s="7">
        <v>0</v>
      </c>
      <c r="G82" s="7">
        <v>1</v>
      </c>
      <c r="H82" s="1">
        <f t="shared" si="19"/>
        <v>0</v>
      </c>
      <c r="I82" s="1">
        <f t="shared" si="20"/>
        <v>1</v>
      </c>
      <c r="J82" s="1">
        <f t="shared" si="21"/>
        <v>0</v>
      </c>
      <c r="K82" s="1">
        <f t="shared" si="22"/>
        <v>0</v>
      </c>
      <c r="L82" s="1" t="str">
        <f t="shared" si="25"/>
        <v>宽货币宽信用</v>
      </c>
      <c r="O82" s="48">
        <v>43677</v>
      </c>
      <c r="P82" s="54">
        <v>2.6233913043478259</v>
      </c>
      <c r="R82" s="52">
        <v>39629</v>
      </c>
      <c r="S82" s="53">
        <v>5976</v>
      </c>
      <c r="T82" s="14">
        <f t="shared" si="26"/>
        <v>-13.9</v>
      </c>
      <c r="U82" s="62">
        <f t="shared" si="27"/>
        <v>5962.1</v>
      </c>
      <c r="V82" s="62">
        <f t="shared" si="30"/>
        <v>83165.790000000008</v>
      </c>
      <c r="W82" s="63">
        <f t="shared" si="28"/>
        <v>300922.7</v>
      </c>
      <c r="X82" s="64">
        <f t="shared" si="31"/>
        <v>27.636928021714546</v>
      </c>
      <c r="Y82" s="63"/>
      <c r="Z82" s="69">
        <v>42460</v>
      </c>
      <c r="AA82" s="67">
        <v>8335.3223999999991</v>
      </c>
      <c r="AB82" s="67"/>
      <c r="AC82" s="70">
        <v>40999</v>
      </c>
      <c r="AD82" s="53">
        <v>508866.1</v>
      </c>
      <c r="AG82" s="55"/>
      <c r="AH82" s="16"/>
      <c r="AI82" s="16"/>
      <c r="AJ82" s="16"/>
      <c r="AK82" s="16"/>
      <c r="AL82" s="16"/>
      <c r="AM82" s="48">
        <v>44012</v>
      </c>
      <c r="AN82" s="54">
        <v>1.8831904761904761</v>
      </c>
      <c r="AO82" s="16"/>
    </row>
    <row r="83" spans="1:41" x14ac:dyDescent="0.3">
      <c r="A83" s="8">
        <v>43982</v>
      </c>
      <c r="B83" s="9">
        <f t="shared" si="24"/>
        <v>1.4047368421052631</v>
      </c>
      <c r="C83" s="9">
        <f t="shared" si="29"/>
        <v>31.269445541126274</v>
      </c>
      <c r="D83" s="7">
        <v>1</v>
      </c>
      <c r="E83" s="7">
        <v>0</v>
      </c>
      <c r="F83" s="7">
        <v>0</v>
      </c>
      <c r="G83" s="7">
        <v>1</v>
      </c>
      <c r="H83" s="1">
        <f t="shared" si="19"/>
        <v>0</v>
      </c>
      <c r="I83" s="1">
        <f t="shared" si="20"/>
        <v>1</v>
      </c>
      <c r="J83" s="1">
        <f t="shared" si="21"/>
        <v>0</v>
      </c>
      <c r="K83" s="1">
        <f t="shared" si="22"/>
        <v>0</v>
      </c>
      <c r="L83" s="1" t="str">
        <f t="shared" si="25"/>
        <v>宽货币宽信用</v>
      </c>
      <c r="O83" s="48">
        <v>43646</v>
      </c>
      <c r="P83" s="54">
        <v>2.885947368421053</v>
      </c>
      <c r="R83" s="52">
        <v>39660</v>
      </c>
      <c r="S83" s="53">
        <v>4890</v>
      </c>
      <c r="T83" s="14">
        <f t="shared" si="26"/>
        <v>245.9</v>
      </c>
      <c r="U83" s="62">
        <f t="shared" si="27"/>
        <v>5135.8999999999996</v>
      </c>
      <c r="V83" s="62">
        <f t="shared" si="30"/>
        <v>85388.69</v>
      </c>
      <c r="W83" s="63">
        <f t="shared" si="28"/>
        <v>300922.7</v>
      </c>
      <c r="X83" s="64">
        <f t="shared" si="31"/>
        <v>28.375622709752374</v>
      </c>
      <c r="Y83" s="63"/>
      <c r="Z83" s="69">
        <v>42429</v>
      </c>
      <c r="AA83" s="67">
        <v>298.51</v>
      </c>
      <c r="AB83" s="67"/>
      <c r="AC83" s="70">
        <v>41090</v>
      </c>
      <c r="AD83" s="53">
        <v>521580.5</v>
      </c>
      <c r="AG83" s="55"/>
      <c r="AH83" s="16"/>
      <c r="AI83" s="16"/>
      <c r="AJ83" s="16"/>
      <c r="AK83" s="16"/>
      <c r="AL83" s="16"/>
      <c r="AM83" s="48">
        <v>43982</v>
      </c>
      <c r="AN83" s="54">
        <v>1.4047368421052631</v>
      </c>
      <c r="AO83" s="16"/>
    </row>
    <row r="84" spans="1:41" x14ac:dyDescent="0.3">
      <c r="A84" s="8">
        <v>43951</v>
      </c>
      <c r="B84" s="9">
        <f t="shared" si="24"/>
        <v>1.5127272727272729</v>
      </c>
      <c r="C84" s="9">
        <f t="shared" si="29"/>
        <v>29.786453392128841</v>
      </c>
      <c r="D84" s="7">
        <v>1</v>
      </c>
      <c r="E84" s="7">
        <v>0</v>
      </c>
      <c r="F84" s="7">
        <v>0</v>
      </c>
      <c r="G84" s="7">
        <v>1</v>
      </c>
      <c r="H84" s="1">
        <f t="shared" si="19"/>
        <v>0</v>
      </c>
      <c r="I84" s="1">
        <f t="shared" si="20"/>
        <v>1</v>
      </c>
      <c r="J84" s="1">
        <f t="shared" si="21"/>
        <v>0</v>
      </c>
      <c r="K84" s="1">
        <f t="shared" si="22"/>
        <v>0</v>
      </c>
      <c r="L84" s="1" t="str">
        <f t="shared" si="25"/>
        <v>宽货币宽信用</v>
      </c>
      <c r="O84" s="48">
        <v>43616</v>
      </c>
      <c r="P84" s="54">
        <v>2.906571428571429</v>
      </c>
      <c r="R84" s="52">
        <v>39691</v>
      </c>
      <c r="S84" s="53">
        <v>4575</v>
      </c>
      <c r="T84" s="14">
        <f t="shared" si="26"/>
        <v>91.5</v>
      </c>
      <c r="U84" s="62">
        <f t="shared" si="27"/>
        <v>4666.5</v>
      </c>
      <c r="V84" s="62">
        <f t="shared" si="30"/>
        <v>76772.789999999994</v>
      </c>
      <c r="W84" s="63">
        <f t="shared" si="28"/>
        <v>300922.7</v>
      </c>
      <c r="X84" s="64">
        <f t="shared" si="31"/>
        <v>25.512462170517541</v>
      </c>
      <c r="Y84" s="63"/>
      <c r="Z84" s="69">
        <v>42400</v>
      </c>
      <c r="AA84" s="67">
        <v>850</v>
      </c>
      <c r="AB84" s="67"/>
      <c r="AC84" s="70">
        <v>41182</v>
      </c>
      <c r="AD84" s="53">
        <v>533403</v>
      </c>
      <c r="AG84" s="55"/>
      <c r="AH84" s="16"/>
      <c r="AI84" s="16"/>
      <c r="AJ84" s="16"/>
      <c r="AK84" s="16"/>
      <c r="AL84" s="16"/>
      <c r="AM84" s="48">
        <v>43951</v>
      </c>
      <c r="AN84" s="54">
        <v>1.5127272727272729</v>
      </c>
      <c r="AO84" s="16"/>
    </row>
    <row r="85" spans="1:41" x14ac:dyDescent="0.3">
      <c r="A85" s="8">
        <v>43921</v>
      </c>
      <c r="B85" s="9">
        <f t="shared" si="24"/>
        <v>2.1530909090909089</v>
      </c>
      <c r="C85" s="9">
        <f t="shared" si="29"/>
        <v>28.346194704078986</v>
      </c>
      <c r="D85" s="7">
        <v>1</v>
      </c>
      <c r="E85" s="7">
        <v>0</v>
      </c>
      <c r="F85" s="7">
        <v>0</v>
      </c>
      <c r="G85" s="7">
        <v>1</v>
      </c>
      <c r="H85" s="1">
        <f t="shared" si="19"/>
        <v>0</v>
      </c>
      <c r="I85" s="1">
        <f t="shared" si="20"/>
        <v>1</v>
      </c>
      <c r="J85" s="1">
        <f t="shared" si="21"/>
        <v>0</v>
      </c>
      <c r="K85" s="1">
        <f t="shared" si="22"/>
        <v>0</v>
      </c>
      <c r="L85" s="1" t="str">
        <f t="shared" si="25"/>
        <v>宽货币宽信用</v>
      </c>
      <c r="O85" s="48">
        <v>43585</v>
      </c>
      <c r="P85" s="54">
        <v>2.8130454545454548</v>
      </c>
      <c r="R85" s="52">
        <v>39721</v>
      </c>
      <c r="S85" s="53">
        <v>5659</v>
      </c>
      <c r="T85" s="14">
        <f t="shared" si="26"/>
        <v>-316.5</v>
      </c>
      <c r="U85" s="62">
        <f t="shared" si="27"/>
        <v>5342.5</v>
      </c>
      <c r="V85" s="62">
        <f t="shared" si="30"/>
        <v>75967.59</v>
      </c>
      <c r="W85" s="63">
        <f t="shared" si="28"/>
        <v>314096.90000000002</v>
      </c>
      <c r="X85" s="64">
        <f t="shared" si="31"/>
        <v>24.186036220032733</v>
      </c>
      <c r="Y85" s="63"/>
      <c r="Z85" s="69">
        <v>42369</v>
      </c>
      <c r="AA85" s="67">
        <v>1948.6978999999999</v>
      </c>
      <c r="AB85" s="67"/>
      <c r="AC85" s="70">
        <v>41274</v>
      </c>
      <c r="AD85" s="53">
        <v>547510.69999999995</v>
      </c>
      <c r="AG85" s="55"/>
      <c r="AH85" s="16"/>
      <c r="AI85" s="16"/>
      <c r="AJ85" s="16"/>
      <c r="AK85" s="16"/>
      <c r="AL85" s="16"/>
      <c r="AM85" s="48">
        <v>43921</v>
      </c>
      <c r="AN85" s="54">
        <v>2.1530909090909089</v>
      </c>
      <c r="AO85" s="16"/>
    </row>
    <row r="86" spans="1:41" x14ac:dyDescent="0.3">
      <c r="A86" s="8">
        <v>43890</v>
      </c>
      <c r="B86" s="9">
        <f t="shared" si="24"/>
        <v>2.6011500000000001</v>
      </c>
      <c r="C86" s="9">
        <f t="shared" si="29"/>
        <v>25.803562169813983</v>
      </c>
      <c r="D86" s="7">
        <v>1</v>
      </c>
      <c r="E86" s="7">
        <v>0</v>
      </c>
      <c r="F86" s="7">
        <v>0</v>
      </c>
      <c r="G86" s="7">
        <v>1</v>
      </c>
      <c r="H86" s="1">
        <f t="shared" si="19"/>
        <v>0</v>
      </c>
      <c r="I86" s="1">
        <f t="shared" si="20"/>
        <v>1</v>
      </c>
      <c r="J86" s="1">
        <f t="shared" si="21"/>
        <v>0</v>
      </c>
      <c r="K86" s="1">
        <f t="shared" si="22"/>
        <v>0</v>
      </c>
      <c r="L86" s="1" t="str">
        <f t="shared" si="25"/>
        <v>宽货币宽信用</v>
      </c>
      <c r="O86" s="48">
        <v>43555</v>
      </c>
      <c r="P86" s="54">
        <v>2.7906428571428572</v>
      </c>
      <c r="R86" s="52">
        <v>39752</v>
      </c>
      <c r="S86" s="53">
        <v>1288</v>
      </c>
      <c r="T86" s="14">
        <f t="shared" si="26"/>
        <v>323.8</v>
      </c>
      <c r="U86" s="62">
        <f t="shared" si="27"/>
        <v>1611.8</v>
      </c>
      <c r="V86" s="62">
        <f t="shared" si="30"/>
        <v>73679.59</v>
      </c>
      <c r="W86" s="63">
        <f t="shared" si="28"/>
        <v>314096.90000000002</v>
      </c>
      <c r="X86" s="64">
        <f t="shared" si="31"/>
        <v>23.457598594573838</v>
      </c>
      <c r="Y86" s="63"/>
      <c r="Z86" s="69">
        <v>42338</v>
      </c>
      <c r="AA86" s="67">
        <v>9400.2369999999992</v>
      </c>
      <c r="AB86" s="67"/>
      <c r="AC86" s="70">
        <v>41364</v>
      </c>
      <c r="AD86" s="53">
        <v>560012.9</v>
      </c>
      <c r="AG86" s="55"/>
      <c r="AH86" s="16"/>
      <c r="AI86" s="16"/>
      <c r="AJ86" s="16"/>
      <c r="AK86" s="16"/>
      <c r="AL86" s="16"/>
      <c r="AM86" s="48">
        <v>43890</v>
      </c>
      <c r="AN86" s="54">
        <v>2.6011500000000001</v>
      </c>
      <c r="AO86" s="16"/>
    </row>
    <row r="87" spans="1:41" x14ac:dyDescent="0.3">
      <c r="A87" s="8">
        <v>43861</v>
      </c>
      <c r="B87" s="9">
        <f t="shared" si="24"/>
        <v>2.8825882352941181</v>
      </c>
      <c r="C87" s="9">
        <f t="shared" si="29"/>
        <v>25.895832987166163</v>
      </c>
      <c r="D87" s="7">
        <v>1</v>
      </c>
      <c r="E87" s="7">
        <v>0</v>
      </c>
      <c r="F87" s="7">
        <v>0</v>
      </c>
      <c r="G87" s="7">
        <v>1</v>
      </c>
      <c r="H87" s="1">
        <f t="shared" si="19"/>
        <v>0</v>
      </c>
      <c r="I87" s="1">
        <f t="shared" si="20"/>
        <v>1</v>
      </c>
      <c r="J87" s="1">
        <f t="shared" si="21"/>
        <v>0</v>
      </c>
      <c r="K87" s="1">
        <f t="shared" si="22"/>
        <v>0</v>
      </c>
      <c r="L87" s="1" t="str">
        <f t="shared" si="25"/>
        <v>宽货币宽信用</v>
      </c>
      <c r="O87" s="48">
        <v>43524</v>
      </c>
      <c r="P87" s="54">
        <v>2.8118235294117651</v>
      </c>
      <c r="R87" s="52">
        <v>39782</v>
      </c>
      <c r="S87" s="53">
        <v>4517</v>
      </c>
      <c r="T87" s="14">
        <f t="shared" si="26"/>
        <v>705</v>
      </c>
      <c r="U87" s="62">
        <f t="shared" si="27"/>
        <v>5222</v>
      </c>
      <c r="V87" s="62">
        <f t="shared" si="30"/>
        <v>75068.59</v>
      </c>
      <c r="W87" s="63">
        <f t="shared" si="28"/>
        <v>314096.90000000002</v>
      </c>
      <c r="X87" s="64">
        <f t="shared" si="31"/>
        <v>23.899818813875587</v>
      </c>
      <c r="Y87" s="63"/>
      <c r="Z87" s="69">
        <v>42308</v>
      </c>
      <c r="AA87" s="67">
        <v>5917.9063999999998</v>
      </c>
      <c r="AB87" s="67"/>
      <c r="AC87" s="70">
        <v>41455</v>
      </c>
      <c r="AD87" s="53">
        <v>572635.6</v>
      </c>
      <c r="AG87" s="55"/>
      <c r="AH87" s="16"/>
      <c r="AI87" s="16"/>
      <c r="AJ87" s="16"/>
      <c r="AK87" s="16"/>
      <c r="AL87" s="16"/>
      <c r="AM87" s="48">
        <v>43861</v>
      </c>
      <c r="AN87" s="54">
        <v>2.8825882352941181</v>
      </c>
      <c r="AO87" s="16"/>
    </row>
    <row r="88" spans="1:41" x14ac:dyDescent="0.3">
      <c r="A88" s="8">
        <v>43830</v>
      </c>
      <c r="B88" s="9">
        <f t="shared" si="24"/>
        <v>3.0289954545454552</v>
      </c>
      <c r="C88" s="9">
        <f t="shared" si="29"/>
        <v>25.523632623481863</v>
      </c>
      <c r="D88" s="7">
        <v>1</v>
      </c>
      <c r="E88" s="7">
        <v>0</v>
      </c>
      <c r="F88" s="7">
        <v>0</v>
      </c>
      <c r="G88" s="7">
        <v>1</v>
      </c>
      <c r="H88" s="1">
        <f t="shared" si="19"/>
        <v>0</v>
      </c>
      <c r="I88" s="1">
        <f t="shared" si="20"/>
        <v>1</v>
      </c>
      <c r="J88" s="1">
        <f t="shared" si="21"/>
        <v>0</v>
      </c>
      <c r="K88" s="1">
        <f t="shared" si="22"/>
        <v>0</v>
      </c>
      <c r="L88" s="1" t="str">
        <f t="shared" si="25"/>
        <v>宽货币宽信用</v>
      </c>
      <c r="O88" s="48">
        <v>43496</v>
      </c>
      <c r="P88" s="54">
        <v>2.998409090909091</v>
      </c>
      <c r="R88" s="52">
        <v>39813</v>
      </c>
      <c r="S88" s="53">
        <v>8164</v>
      </c>
      <c r="T88" s="14">
        <f t="shared" si="26"/>
        <v>-208.1</v>
      </c>
      <c r="U88" s="62">
        <f t="shared" si="27"/>
        <v>7955.9</v>
      </c>
      <c r="V88" s="62">
        <f t="shared" si="30"/>
        <v>70986.210000000006</v>
      </c>
      <c r="W88" s="63">
        <f t="shared" si="28"/>
        <v>324317.90000000002</v>
      </c>
      <c r="X88" s="64">
        <f t="shared" si="31"/>
        <v>21.88784831179531</v>
      </c>
      <c r="Y88" s="63"/>
      <c r="Z88" s="69">
        <v>42277</v>
      </c>
      <c r="AA88" s="67">
        <v>6576.4242999999997</v>
      </c>
      <c r="AB88" s="67"/>
      <c r="AC88" s="70">
        <v>41547</v>
      </c>
      <c r="AD88" s="53">
        <v>587223.69999999995</v>
      </c>
      <c r="AG88" s="55"/>
      <c r="AH88" s="16"/>
      <c r="AI88" s="16"/>
      <c r="AJ88" s="16"/>
      <c r="AK88" s="16"/>
      <c r="AL88" s="16"/>
      <c r="AM88" s="48">
        <v>43830</v>
      </c>
      <c r="AN88" s="54">
        <v>3.0289954545454552</v>
      </c>
      <c r="AO88" s="16"/>
    </row>
    <row r="89" spans="1:41" x14ac:dyDescent="0.3">
      <c r="A89" s="8">
        <v>43799</v>
      </c>
      <c r="B89" s="9">
        <f t="shared" si="24"/>
        <v>2.9901428571428572</v>
      </c>
      <c r="C89" s="9">
        <f t="shared" si="29"/>
        <v>25.73514857665829</v>
      </c>
      <c r="D89" s="7">
        <v>1</v>
      </c>
      <c r="E89" s="7">
        <v>0</v>
      </c>
      <c r="F89" s="7">
        <v>0</v>
      </c>
      <c r="G89" s="7">
        <v>1</v>
      </c>
      <c r="H89" s="1">
        <f t="shared" si="19"/>
        <v>0</v>
      </c>
      <c r="I89" s="1">
        <f t="shared" si="20"/>
        <v>1</v>
      </c>
      <c r="J89" s="1">
        <f t="shared" si="21"/>
        <v>0</v>
      </c>
      <c r="K89" s="1">
        <f t="shared" si="22"/>
        <v>0</v>
      </c>
      <c r="L89" s="1" t="str">
        <f t="shared" si="25"/>
        <v>宽货币宽信用</v>
      </c>
      <c r="O89" s="48">
        <v>43465</v>
      </c>
      <c r="P89" s="54">
        <v>3.1983333333333328</v>
      </c>
      <c r="R89" s="52">
        <v>39844</v>
      </c>
      <c r="S89" s="53">
        <v>13990</v>
      </c>
      <c r="T89" s="14">
        <f t="shared" si="26"/>
        <v>0</v>
      </c>
      <c r="U89" s="62">
        <f t="shared" si="27"/>
        <v>13990</v>
      </c>
      <c r="V89" s="62">
        <f t="shared" si="30"/>
        <v>74397.210000000006</v>
      </c>
      <c r="W89" s="63">
        <f t="shared" si="28"/>
        <v>324317.90000000002</v>
      </c>
      <c r="X89" s="64">
        <f t="shared" si="31"/>
        <v>22.939594145127359</v>
      </c>
      <c r="Y89" s="63"/>
      <c r="Z89" s="69">
        <v>42247</v>
      </c>
      <c r="AA89" s="67">
        <v>5368.0960999999998</v>
      </c>
      <c r="AB89" s="67"/>
      <c r="AC89" s="70">
        <v>41639</v>
      </c>
      <c r="AD89" s="53">
        <v>603660.4</v>
      </c>
      <c r="AG89" s="55"/>
      <c r="AH89" s="16"/>
      <c r="AI89" s="16"/>
      <c r="AJ89" s="16"/>
      <c r="AK89" s="16"/>
      <c r="AL89" s="16"/>
      <c r="AM89" s="48">
        <v>43799</v>
      </c>
      <c r="AN89" s="54">
        <v>2.9901428571428572</v>
      </c>
      <c r="AO89" s="16"/>
    </row>
    <row r="90" spans="1:41" x14ac:dyDescent="0.3">
      <c r="A90" s="8">
        <v>43769</v>
      </c>
      <c r="B90" s="9">
        <f t="shared" si="24"/>
        <v>2.7748947368421049</v>
      </c>
      <c r="C90" s="9">
        <f t="shared" si="29"/>
        <v>25.349197254177007</v>
      </c>
      <c r="D90" s="7">
        <v>1</v>
      </c>
      <c r="E90" s="7">
        <v>0</v>
      </c>
      <c r="F90" s="7">
        <v>0</v>
      </c>
      <c r="G90" s="7">
        <v>1</v>
      </c>
      <c r="H90" s="1">
        <f t="shared" si="19"/>
        <v>0</v>
      </c>
      <c r="I90" s="1">
        <f t="shared" si="20"/>
        <v>1</v>
      </c>
      <c r="J90" s="1">
        <f t="shared" si="21"/>
        <v>0</v>
      </c>
      <c r="K90" s="1">
        <f t="shared" si="22"/>
        <v>0</v>
      </c>
      <c r="L90" s="1" t="str">
        <f t="shared" si="25"/>
        <v>宽货币宽信用</v>
      </c>
      <c r="O90" s="48">
        <v>43434</v>
      </c>
      <c r="P90" s="54">
        <v>3.0350181818181818</v>
      </c>
      <c r="R90" s="52">
        <v>39872</v>
      </c>
      <c r="S90" s="53">
        <v>11131</v>
      </c>
      <c r="T90" s="14">
        <f t="shared" si="26"/>
        <v>-10.7</v>
      </c>
      <c r="U90" s="62">
        <f t="shared" si="27"/>
        <v>11120.3</v>
      </c>
      <c r="V90" s="62">
        <f t="shared" si="30"/>
        <v>80516.810000000012</v>
      </c>
      <c r="W90" s="63">
        <f t="shared" si="28"/>
        <v>324317.90000000002</v>
      </c>
      <c r="X90" s="64">
        <f t="shared" si="31"/>
        <v>24.826508188416369</v>
      </c>
      <c r="Y90" s="63"/>
      <c r="Z90" s="69">
        <v>42216</v>
      </c>
      <c r="AA90" s="67">
        <v>6643.5136000000002</v>
      </c>
      <c r="AB90" s="67"/>
      <c r="AC90" s="70">
        <v>41729</v>
      </c>
      <c r="AD90" s="53">
        <v>615320.1</v>
      </c>
      <c r="AG90" s="55"/>
      <c r="AH90" s="16"/>
      <c r="AI90" s="16"/>
      <c r="AJ90" s="16"/>
      <c r="AK90" s="16"/>
      <c r="AL90" s="16"/>
      <c r="AM90" s="48">
        <v>43769</v>
      </c>
      <c r="AN90" s="54">
        <v>2.7748947368421049</v>
      </c>
      <c r="AO90" s="16"/>
    </row>
    <row r="91" spans="1:41" x14ac:dyDescent="0.3">
      <c r="A91" s="8">
        <v>43738</v>
      </c>
      <c r="B91" s="9">
        <f t="shared" ref="B91:B122" si="32">VLOOKUP(A91,O:P,2,0)</f>
        <v>2.713857142857143</v>
      </c>
      <c r="C91" s="9">
        <f t="shared" si="29"/>
        <v>25.43609778396781</v>
      </c>
      <c r="D91" s="7">
        <v>1</v>
      </c>
      <c r="E91" s="7">
        <v>0</v>
      </c>
      <c r="F91" s="7">
        <v>0</v>
      </c>
      <c r="G91" s="7">
        <v>1</v>
      </c>
      <c r="H91" s="1">
        <f t="shared" si="19"/>
        <v>0</v>
      </c>
      <c r="I91" s="1">
        <f t="shared" si="20"/>
        <v>1</v>
      </c>
      <c r="J91" s="1">
        <f t="shared" si="21"/>
        <v>0</v>
      </c>
      <c r="K91" s="1">
        <f t="shared" si="22"/>
        <v>0</v>
      </c>
      <c r="L91" s="1" t="str">
        <f t="shared" si="25"/>
        <v>宽货币宽信用</v>
      </c>
      <c r="O91" s="48">
        <v>43404</v>
      </c>
      <c r="P91" s="54">
        <v>2.8684444444444441</v>
      </c>
      <c r="R91" s="52">
        <v>39903</v>
      </c>
      <c r="S91" s="53">
        <v>22011</v>
      </c>
      <c r="T91" s="14">
        <f t="shared" si="26"/>
        <v>75</v>
      </c>
      <c r="U91" s="62">
        <f t="shared" si="27"/>
        <v>22086</v>
      </c>
      <c r="V91" s="62">
        <f t="shared" si="30"/>
        <v>96437.41</v>
      </c>
      <c r="W91" s="63">
        <f t="shared" si="28"/>
        <v>329049.59999999998</v>
      </c>
      <c r="X91" s="64">
        <f t="shared" si="31"/>
        <v>29.307864224724788</v>
      </c>
      <c r="Y91" s="63"/>
      <c r="Z91" s="69">
        <v>42185</v>
      </c>
      <c r="AA91" s="67">
        <v>8221.1597999999994</v>
      </c>
      <c r="AB91" s="67"/>
      <c r="AC91" s="70">
        <v>41820</v>
      </c>
      <c r="AD91" s="53">
        <v>628668.6</v>
      </c>
      <c r="AG91" s="55"/>
      <c r="AH91" s="16"/>
      <c r="AI91" s="16"/>
      <c r="AJ91" s="16"/>
      <c r="AK91" s="16"/>
      <c r="AL91" s="16"/>
      <c r="AM91" s="48">
        <v>43738</v>
      </c>
      <c r="AN91" s="54">
        <v>2.713857142857143</v>
      </c>
      <c r="AO91" s="16"/>
    </row>
    <row r="92" spans="1:41" x14ac:dyDescent="0.3">
      <c r="A92" s="8">
        <v>43708</v>
      </c>
      <c r="B92" s="9">
        <f t="shared" si="32"/>
        <v>2.662281818181818</v>
      </c>
      <c r="C92" s="9">
        <f t="shared" si="29"/>
        <v>25.673319206846372</v>
      </c>
      <c r="D92" s="7">
        <v>1</v>
      </c>
      <c r="E92" s="7">
        <v>0</v>
      </c>
      <c r="F92" s="7">
        <v>0</v>
      </c>
      <c r="G92" s="7">
        <v>1</v>
      </c>
      <c r="H92" s="1">
        <f t="shared" si="19"/>
        <v>0</v>
      </c>
      <c r="I92" s="1">
        <f t="shared" si="20"/>
        <v>1</v>
      </c>
      <c r="J92" s="1">
        <f t="shared" si="21"/>
        <v>0</v>
      </c>
      <c r="K92" s="1">
        <f t="shared" si="22"/>
        <v>0</v>
      </c>
      <c r="L92" s="1" t="str">
        <f t="shared" si="25"/>
        <v>宽货币宽信用</v>
      </c>
      <c r="O92" s="48">
        <v>43373</v>
      </c>
      <c r="P92" s="54">
        <v>2.8399047619047622</v>
      </c>
      <c r="R92" s="52">
        <v>39933</v>
      </c>
      <c r="S92" s="53">
        <v>5452</v>
      </c>
      <c r="T92" s="14">
        <f t="shared" si="26"/>
        <v>579.11</v>
      </c>
      <c r="U92" s="62">
        <f t="shared" si="27"/>
        <v>6031.11</v>
      </c>
      <c r="V92" s="62">
        <f t="shared" si="30"/>
        <v>95526.819999999992</v>
      </c>
      <c r="W92" s="63">
        <f t="shared" si="28"/>
        <v>329049.59999999998</v>
      </c>
      <c r="X92" s="64">
        <f t="shared" si="31"/>
        <v>29.031130869024004</v>
      </c>
      <c r="Y92" s="63"/>
      <c r="Z92" s="69">
        <v>42155</v>
      </c>
      <c r="AA92" s="67">
        <v>2574.5</v>
      </c>
      <c r="AB92" s="67"/>
      <c r="AC92" s="70">
        <v>41912</v>
      </c>
      <c r="AD92" s="53">
        <v>642298.19999999995</v>
      </c>
      <c r="AG92" s="55"/>
      <c r="AH92" s="16"/>
      <c r="AI92" s="16"/>
      <c r="AJ92" s="16"/>
      <c r="AK92" s="16"/>
      <c r="AL92" s="16"/>
      <c r="AM92" s="48">
        <v>43708</v>
      </c>
      <c r="AN92" s="54">
        <v>2.662281818181818</v>
      </c>
      <c r="AO92" s="16"/>
    </row>
    <row r="93" spans="1:41" x14ac:dyDescent="0.3">
      <c r="A93" s="8">
        <v>43677</v>
      </c>
      <c r="B93" s="9">
        <f t="shared" si="32"/>
        <v>2.6233913043478259</v>
      </c>
      <c r="C93" s="9">
        <f t="shared" si="29"/>
        <v>25.892159005308081</v>
      </c>
      <c r="D93" s="7">
        <v>1</v>
      </c>
      <c r="E93" s="7">
        <v>0</v>
      </c>
      <c r="F93" s="7">
        <v>0</v>
      </c>
      <c r="G93" s="7">
        <v>1</v>
      </c>
      <c r="H93" s="1">
        <f t="shared" si="19"/>
        <v>0</v>
      </c>
      <c r="I93" s="1">
        <f t="shared" si="20"/>
        <v>1</v>
      </c>
      <c r="J93" s="1">
        <f t="shared" si="21"/>
        <v>0</v>
      </c>
      <c r="K93" s="1">
        <f t="shared" si="22"/>
        <v>0</v>
      </c>
      <c r="L93" s="1" t="str">
        <f t="shared" si="25"/>
        <v>宽货币宽信用</v>
      </c>
      <c r="O93" s="48">
        <v>43343</v>
      </c>
      <c r="P93" s="54">
        <v>2.8839999999999999</v>
      </c>
      <c r="R93" s="52">
        <v>39964</v>
      </c>
      <c r="S93" s="53">
        <v>14959</v>
      </c>
      <c r="T93" s="14">
        <f t="shared" si="26"/>
        <v>2240.5</v>
      </c>
      <c r="U93" s="62">
        <f t="shared" si="27"/>
        <v>17199.5</v>
      </c>
      <c r="V93" s="62">
        <f t="shared" si="30"/>
        <v>106323.61</v>
      </c>
      <c r="W93" s="63">
        <f t="shared" si="28"/>
        <v>329049.59999999998</v>
      </c>
      <c r="X93" s="64">
        <f t="shared" si="31"/>
        <v>32.312335283191352</v>
      </c>
      <c r="Y93" s="63"/>
      <c r="Z93" s="69">
        <v>42124</v>
      </c>
      <c r="AA93" s="67">
        <v>825.5</v>
      </c>
      <c r="AB93" s="67"/>
      <c r="AC93" s="70">
        <v>42004</v>
      </c>
      <c r="AD93" s="53">
        <v>655782.9</v>
      </c>
      <c r="AG93" s="55"/>
      <c r="AH93" s="16"/>
      <c r="AI93" s="16"/>
      <c r="AJ93" s="16"/>
      <c r="AK93" s="16"/>
      <c r="AL93" s="16"/>
      <c r="AM93" s="48">
        <v>43677</v>
      </c>
      <c r="AN93" s="54">
        <v>2.6233913043478259</v>
      </c>
      <c r="AO93" s="16"/>
    </row>
    <row r="94" spans="1:41" x14ac:dyDescent="0.3">
      <c r="A94" s="8">
        <v>43646</v>
      </c>
      <c r="B94" s="9">
        <f t="shared" si="32"/>
        <v>2.885947368421053</v>
      </c>
      <c r="C94" s="9">
        <f t="shared" si="29"/>
        <v>26.460253052799722</v>
      </c>
      <c r="D94" s="7">
        <v>1</v>
      </c>
      <c r="E94" s="7">
        <v>0</v>
      </c>
      <c r="F94" s="7">
        <v>0</v>
      </c>
      <c r="G94" s="7">
        <v>1</v>
      </c>
      <c r="H94" s="1">
        <f t="shared" si="19"/>
        <v>0</v>
      </c>
      <c r="I94" s="1">
        <f t="shared" si="20"/>
        <v>1</v>
      </c>
      <c r="J94" s="1">
        <f t="shared" si="21"/>
        <v>0</v>
      </c>
      <c r="K94" s="1">
        <f t="shared" si="22"/>
        <v>0</v>
      </c>
      <c r="L94" s="1" t="str">
        <f t="shared" si="25"/>
        <v>宽货币宽信用</v>
      </c>
      <c r="O94" s="48">
        <v>43312</v>
      </c>
      <c r="P94" s="54">
        <v>3.597336363636364</v>
      </c>
      <c r="R94" s="52">
        <v>39994</v>
      </c>
      <c r="S94" s="53">
        <v>21067</v>
      </c>
      <c r="T94" s="14">
        <f t="shared" si="26"/>
        <v>1783.64</v>
      </c>
      <c r="U94" s="62">
        <f t="shared" si="27"/>
        <v>22850.639999999999</v>
      </c>
      <c r="V94" s="62">
        <f t="shared" si="30"/>
        <v>123212.15</v>
      </c>
      <c r="W94" s="63">
        <f t="shared" si="28"/>
        <v>334440.2</v>
      </c>
      <c r="X94" s="64">
        <f t="shared" si="31"/>
        <v>36.841309746854591</v>
      </c>
      <c r="Y94" s="63"/>
      <c r="Z94" s="69">
        <v>42094</v>
      </c>
      <c r="AA94" s="67">
        <v>450</v>
      </c>
      <c r="AB94" s="67"/>
      <c r="AC94" s="70">
        <v>42094</v>
      </c>
      <c r="AD94" s="53">
        <v>666414.9</v>
      </c>
      <c r="AG94" s="55"/>
      <c r="AH94" s="16"/>
      <c r="AI94" s="16"/>
      <c r="AJ94" s="16"/>
      <c r="AK94" s="16"/>
      <c r="AL94" s="16"/>
      <c r="AM94" s="48">
        <v>43646</v>
      </c>
      <c r="AN94" s="54">
        <v>2.885947368421053</v>
      </c>
      <c r="AO94" s="16"/>
    </row>
    <row r="95" spans="1:41" x14ac:dyDescent="0.3">
      <c r="A95" s="8">
        <v>43616</v>
      </c>
      <c r="B95" s="9">
        <f t="shared" si="32"/>
        <v>2.906571428571429</v>
      </c>
      <c r="C95" s="9">
        <f t="shared" si="29"/>
        <v>26.348098763544698</v>
      </c>
      <c r="D95" s="7">
        <v>1</v>
      </c>
      <c r="E95" s="7">
        <v>0</v>
      </c>
      <c r="F95" s="7">
        <v>0</v>
      </c>
      <c r="G95" s="7">
        <v>1</v>
      </c>
      <c r="H95" s="1">
        <f t="shared" si="19"/>
        <v>0</v>
      </c>
      <c r="I95" s="1">
        <f t="shared" si="20"/>
        <v>1</v>
      </c>
      <c r="J95" s="1">
        <f t="shared" si="21"/>
        <v>0</v>
      </c>
      <c r="K95" s="1">
        <f t="shared" si="22"/>
        <v>0</v>
      </c>
      <c r="L95" s="1" t="str">
        <f t="shared" si="25"/>
        <v>宽货币宽信用</v>
      </c>
      <c r="O95" s="48">
        <v>43281</v>
      </c>
      <c r="P95" s="54">
        <v>4.3137999999999996</v>
      </c>
      <c r="R95" s="52">
        <v>40025</v>
      </c>
      <c r="S95" s="53">
        <v>7388</v>
      </c>
      <c r="T95" s="14">
        <f t="shared" si="26"/>
        <v>1525</v>
      </c>
      <c r="U95" s="62">
        <f t="shared" si="27"/>
        <v>8913</v>
      </c>
      <c r="V95" s="62">
        <f t="shared" si="30"/>
        <v>126989.25</v>
      </c>
      <c r="W95" s="63">
        <f t="shared" si="28"/>
        <v>334440.2</v>
      </c>
      <c r="X95" s="64">
        <f t="shared" si="31"/>
        <v>37.970689528352153</v>
      </c>
      <c r="Y95" s="63"/>
      <c r="Z95" s="69">
        <v>42063</v>
      </c>
      <c r="AA95" s="67">
        <v>-489.7</v>
      </c>
      <c r="AB95" s="67"/>
      <c r="AC95" s="70">
        <v>42185</v>
      </c>
      <c r="AD95" s="53">
        <v>678839.5</v>
      </c>
      <c r="AG95" s="55"/>
      <c r="AH95" s="16"/>
      <c r="AI95" s="16"/>
      <c r="AJ95" s="16"/>
      <c r="AK95" s="16"/>
      <c r="AL95" s="16"/>
      <c r="AM95" s="48">
        <v>43616</v>
      </c>
      <c r="AN95" s="54">
        <v>2.906571428571429</v>
      </c>
      <c r="AO95" s="16"/>
    </row>
    <row r="96" spans="1:41" x14ac:dyDescent="0.3">
      <c r="A96" s="8">
        <v>43585</v>
      </c>
      <c r="B96" s="9">
        <f t="shared" si="32"/>
        <v>2.8130454545454548</v>
      </c>
      <c r="C96" s="9">
        <f t="shared" si="29"/>
        <v>25.729213904130454</v>
      </c>
      <c r="D96" s="7">
        <v>1</v>
      </c>
      <c r="E96" s="7">
        <v>0</v>
      </c>
      <c r="F96" s="7">
        <v>0</v>
      </c>
      <c r="G96" s="7">
        <v>1</v>
      </c>
      <c r="H96" s="1">
        <f t="shared" si="19"/>
        <v>0</v>
      </c>
      <c r="I96" s="1">
        <f t="shared" si="20"/>
        <v>1</v>
      </c>
      <c r="J96" s="1">
        <f t="shared" si="21"/>
        <v>0</v>
      </c>
      <c r="K96" s="1">
        <f t="shared" si="22"/>
        <v>0</v>
      </c>
      <c r="L96" s="1" t="str">
        <f t="shared" si="25"/>
        <v>宽货币宽信用</v>
      </c>
      <c r="O96" s="48">
        <v>43251</v>
      </c>
      <c r="P96" s="54">
        <v>4.118122727272727</v>
      </c>
      <c r="R96" s="52">
        <v>40056</v>
      </c>
      <c r="S96" s="53">
        <v>7650</v>
      </c>
      <c r="T96" s="14">
        <f t="shared" si="26"/>
        <v>1015.1</v>
      </c>
      <c r="U96" s="62">
        <f t="shared" si="27"/>
        <v>8665.1</v>
      </c>
      <c r="V96" s="62">
        <f t="shared" si="30"/>
        <v>130987.85</v>
      </c>
      <c r="W96" s="63">
        <f t="shared" si="28"/>
        <v>334440.2</v>
      </c>
      <c r="X96" s="64">
        <f t="shared" si="31"/>
        <v>39.16629938625799</v>
      </c>
      <c r="Y96" s="63"/>
      <c r="Z96" s="69">
        <v>42035</v>
      </c>
      <c r="AA96" s="67">
        <v>-100</v>
      </c>
      <c r="AB96" s="67"/>
      <c r="AC96" s="70">
        <v>42277</v>
      </c>
      <c r="AD96" s="53">
        <v>690356.5</v>
      </c>
      <c r="AG96" s="55"/>
      <c r="AH96" s="16"/>
      <c r="AI96" s="16"/>
      <c r="AJ96" s="16"/>
      <c r="AK96" s="16"/>
      <c r="AL96" s="16"/>
      <c r="AM96" s="48">
        <v>43585</v>
      </c>
      <c r="AN96" s="54">
        <v>2.8130454545454548</v>
      </c>
      <c r="AO96" s="16"/>
    </row>
    <row r="97" spans="1:41" x14ac:dyDescent="0.3">
      <c r="A97" s="8">
        <v>43555</v>
      </c>
      <c r="B97" s="9">
        <f t="shared" si="32"/>
        <v>2.7906428571428572</v>
      </c>
      <c r="C97" s="9">
        <f t="shared" si="29"/>
        <v>26.310619338263102</v>
      </c>
      <c r="D97" s="7">
        <v>1</v>
      </c>
      <c r="E97" s="7">
        <v>0</v>
      </c>
      <c r="F97" s="7">
        <v>0</v>
      </c>
      <c r="G97" s="7">
        <v>1</v>
      </c>
      <c r="H97" s="1">
        <f t="shared" si="19"/>
        <v>0</v>
      </c>
      <c r="I97" s="1">
        <f t="shared" si="20"/>
        <v>1</v>
      </c>
      <c r="J97" s="1">
        <f t="shared" si="21"/>
        <v>0</v>
      </c>
      <c r="K97" s="1">
        <f t="shared" si="22"/>
        <v>0</v>
      </c>
      <c r="L97" s="1" t="str">
        <f t="shared" si="25"/>
        <v>宽货币宽信用</v>
      </c>
      <c r="O97" s="48">
        <v>43220</v>
      </c>
      <c r="P97" s="54">
        <v>4.1458950000000003</v>
      </c>
      <c r="R97" s="52">
        <v>40086</v>
      </c>
      <c r="S97" s="53">
        <v>11871</v>
      </c>
      <c r="T97" s="14">
        <f t="shared" si="26"/>
        <v>358.5</v>
      </c>
      <c r="U97" s="62">
        <f t="shared" si="27"/>
        <v>12229.5</v>
      </c>
      <c r="V97" s="62">
        <f t="shared" si="30"/>
        <v>137874.85</v>
      </c>
      <c r="W97" s="63">
        <f t="shared" si="28"/>
        <v>342101.9</v>
      </c>
      <c r="X97" s="64">
        <f t="shared" si="31"/>
        <v>40.30227543313849</v>
      </c>
      <c r="Y97" s="63"/>
      <c r="Z97" s="69">
        <v>42004</v>
      </c>
      <c r="AA97" s="67">
        <v>630.29999999999995</v>
      </c>
      <c r="AB97" s="67"/>
      <c r="AC97" s="70">
        <v>42369</v>
      </c>
      <c r="AD97" s="53">
        <v>702511.5</v>
      </c>
      <c r="AG97" s="55"/>
      <c r="AH97" s="16"/>
      <c r="AI97" s="16"/>
      <c r="AJ97" s="16"/>
      <c r="AK97" s="16"/>
      <c r="AL97" s="16"/>
      <c r="AM97" s="48">
        <v>43555</v>
      </c>
      <c r="AN97" s="54">
        <v>2.7906428571428572</v>
      </c>
      <c r="AO97" s="16"/>
    </row>
    <row r="98" spans="1:41" x14ac:dyDescent="0.3">
      <c r="A98" s="8">
        <v>43524</v>
      </c>
      <c r="B98" s="9">
        <f t="shared" si="32"/>
        <v>2.8118235294117651</v>
      </c>
      <c r="C98" s="9">
        <f t="shared" si="29"/>
        <v>25.415842794324551</v>
      </c>
      <c r="D98" s="7">
        <v>1</v>
      </c>
      <c r="E98" s="7">
        <v>0</v>
      </c>
      <c r="F98" s="7">
        <v>0</v>
      </c>
      <c r="G98" s="7">
        <v>1</v>
      </c>
      <c r="H98" s="1">
        <f t="shared" si="19"/>
        <v>0</v>
      </c>
      <c r="I98" s="1">
        <f t="shared" si="20"/>
        <v>1</v>
      </c>
      <c r="J98" s="1">
        <f t="shared" si="21"/>
        <v>0</v>
      </c>
      <c r="K98" s="1">
        <f t="shared" si="22"/>
        <v>0</v>
      </c>
      <c r="L98" s="1" t="str">
        <f t="shared" si="25"/>
        <v>宽货币宽信用</v>
      </c>
      <c r="O98" s="48">
        <v>43190</v>
      </c>
      <c r="P98" s="54">
        <v>4.6795636363636364</v>
      </c>
      <c r="R98" s="52">
        <v>40117</v>
      </c>
      <c r="S98" s="53">
        <v>5985</v>
      </c>
      <c r="T98" s="14">
        <f t="shared" si="26"/>
        <v>-116.6</v>
      </c>
      <c r="U98" s="62">
        <f t="shared" si="27"/>
        <v>5868.4</v>
      </c>
      <c r="V98" s="62">
        <f t="shared" si="30"/>
        <v>142131.44999999998</v>
      </c>
      <c r="W98" s="63">
        <f t="shared" si="28"/>
        <v>342101.9</v>
      </c>
      <c r="X98" s="64">
        <f t="shared" si="31"/>
        <v>41.546524588141715</v>
      </c>
      <c r="Y98" s="63"/>
      <c r="Z98" s="69">
        <v>41973</v>
      </c>
      <c r="AA98" s="67">
        <v>1141.8</v>
      </c>
      <c r="AB98" s="67"/>
      <c r="AC98" s="70">
        <v>42460</v>
      </c>
      <c r="AD98" s="53">
        <v>714075.4</v>
      </c>
      <c r="AG98" s="55"/>
      <c r="AH98" s="16"/>
      <c r="AI98" s="16"/>
      <c r="AJ98" s="16"/>
      <c r="AK98" s="16"/>
      <c r="AL98" s="16"/>
      <c r="AM98" s="48">
        <v>43524</v>
      </c>
      <c r="AN98" s="54">
        <v>2.8118235294117651</v>
      </c>
      <c r="AO98" s="16"/>
    </row>
    <row r="99" spans="1:41" x14ac:dyDescent="0.3">
      <c r="A99" s="8">
        <v>43496</v>
      </c>
      <c r="B99" s="9">
        <f t="shared" si="32"/>
        <v>2.998409090909091</v>
      </c>
      <c r="C99" s="9">
        <f t="shared" si="29"/>
        <v>25.672171357445823</v>
      </c>
      <c r="D99" s="7">
        <v>1</v>
      </c>
      <c r="E99" s="7">
        <v>0</v>
      </c>
      <c r="F99" s="7">
        <v>0</v>
      </c>
      <c r="G99" s="7">
        <v>1</v>
      </c>
      <c r="H99" s="1">
        <f t="shared" si="19"/>
        <v>0</v>
      </c>
      <c r="I99" s="1">
        <f t="shared" si="20"/>
        <v>1</v>
      </c>
      <c r="J99" s="1">
        <f t="shared" si="21"/>
        <v>0</v>
      </c>
      <c r="K99" s="1">
        <f t="shared" si="22"/>
        <v>0</v>
      </c>
      <c r="L99" s="1" t="str">
        <f t="shared" ref="L99:L130" si="33">INDEX($H$3:$K$3,1,MATCH(1,H99:K99,0))</f>
        <v>宽货币宽信用</v>
      </c>
      <c r="O99" s="48">
        <v>43159</v>
      </c>
      <c r="P99" s="54">
        <v>4.7089705882352941</v>
      </c>
      <c r="R99" s="52">
        <v>40147</v>
      </c>
      <c r="S99" s="53">
        <v>9501</v>
      </c>
      <c r="T99" s="14">
        <f t="shared" si="26"/>
        <v>1267.0999999999999</v>
      </c>
      <c r="U99" s="62">
        <f t="shared" si="27"/>
        <v>10768.1</v>
      </c>
      <c r="V99" s="62">
        <f t="shared" si="30"/>
        <v>147677.55000000002</v>
      </c>
      <c r="W99" s="63">
        <f t="shared" si="28"/>
        <v>342101.9</v>
      </c>
      <c r="X99" s="64">
        <f t="shared" si="31"/>
        <v>43.167708217931562</v>
      </c>
      <c r="Y99" s="63"/>
      <c r="Z99" s="69">
        <v>41943</v>
      </c>
      <c r="AA99" s="67">
        <v>1388.4</v>
      </c>
      <c r="AB99" s="67"/>
      <c r="AC99" s="70">
        <v>42551</v>
      </c>
      <c r="AD99" s="53">
        <v>727190.6</v>
      </c>
      <c r="AG99" s="55"/>
      <c r="AH99" s="16"/>
      <c r="AI99" s="16"/>
      <c r="AJ99" s="16"/>
      <c r="AK99" s="16"/>
      <c r="AL99" s="16"/>
      <c r="AM99" s="48">
        <v>43496</v>
      </c>
      <c r="AN99" s="54">
        <v>2.998409090909091</v>
      </c>
      <c r="AO99" s="16"/>
    </row>
    <row r="100" spans="1:41" x14ac:dyDescent="0.3">
      <c r="A100" s="8">
        <v>43465</v>
      </c>
      <c r="B100" s="9">
        <f t="shared" si="32"/>
        <v>3.1983333333333328</v>
      </c>
      <c r="C100" s="9">
        <f t="shared" si="29"/>
        <v>24.029676397722628</v>
      </c>
      <c r="D100" s="7">
        <v>0</v>
      </c>
      <c r="E100" s="7">
        <v>1</v>
      </c>
      <c r="F100" s="7">
        <v>0</v>
      </c>
      <c r="G100" s="7">
        <v>1</v>
      </c>
      <c r="H100" s="1">
        <f t="shared" ref="H100:H163" si="34">INT(AND(G100=1,E100=1))</f>
        <v>1</v>
      </c>
      <c r="I100" s="1">
        <f t="shared" ref="I100:I163" si="35">INT(AND(G100=1,D100=1))</f>
        <v>0</v>
      </c>
      <c r="J100" s="1">
        <f t="shared" ref="J100:J163" si="36">INT(AND(F100=1,E100=1))</f>
        <v>0</v>
      </c>
      <c r="K100" s="1">
        <f t="shared" ref="K100:K163" si="37">INT(AND(F100=1,D100=1))</f>
        <v>0</v>
      </c>
      <c r="L100" s="1" t="str">
        <f t="shared" si="33"/>
        <v>宽货币紧信用</v>
      </c>
      <c r="O100" s="48">
        <v>43131</v>
      </c>
      <c r="P100" s="54">
        <v>4.7037818181818176</v>
      </c>
      <c r="R100" s="52">
        <v>40178</v>
      </c>
      <c r="S100" s="53">
        <v>8100</v>
      </c>
      <c r="T100" s="14">
        <f t="shared" si="26"/>
        <v>16.899999999999899</v>
      </c>
      <c r="U100" s="62">
        <f t="shared" si="27"/>
        <v>8116.9</v>
      </c>
      <c r="V100" s="62">
        <f t="shared" si="30"/>
        <v>147838.54999999999</v>
      </c>
      <c r="W100" s="63">
        <f t="shared" si="28"/>
        <v>354521.59999999998</v>
      </c>
      <c r="X100" s="64">
        <f t="shared" si="31"/>
        <v>41.700858283388094</v>
      </c>
      <c r="Y100" s="63"/>
      <c r="Z100" s="69">
        <v>41912</v>
      </c>
      <c r="AA100" s="67">
        <v>1856.52</v>
      </c>
      <c r="AB100" s="67"/>
      <c r="AC100" s="70">
        <v>42643</v>
      </c>
      <c r="AD100" s="53">
        <v>741909.4</v>
      </c>
      <c r="AG100" s="55"/>
      <c r="AH100" s="16"/>
      <c r="AI100" s="16"/>
      <c r="AJ100" s="16"/>
      <c r="AK100" s="16"/>
      <c r="AL100" s="16"/>
      <c r="AM100" s="48">
        <v>43465</v>
      </c>
      <c r="AN100" s="54">
        <v>3.1983333333333328</v>
      </c>
      <c r="AO100" s="16"/>
    </row>
    <row r="101" spans="1:41" x14ac:dyDescent="0.3">
      <c r="A101" s="8">
        <v>43434</v>
      </c>
      <c r="B101" s="9">
        <f t="shared" si="32"/>
        <v>3.0350181818181818</v>
      </c>
      <c r="C101" s="9">
        <f t="shared" si="29"/>
        <v>24.522766707835391</v>
      </c>
      <c r="D101" s="7">
        <v>0</v>
      </c>
      <c r="E101" s="7">
        <v>1</v>
      </c>
      <c r="F101" s="7">
        <v>0</v>
      </c>
      <c r="G101" s="7">
        <v>1</v>
      </c>
      <c r="H101" s="1">
        <f t="shared" si="34"/>
        <v>1</v>
      </c>
      <c r="I101" s="1">
        <f t="shared" si="35"/>
        <v>0</v>
      </c>
      <c r="J101" s="1">
        <f t="shared" si="36"/>
        <v>0</v>
      </c>
      <c r="K101" s="1">
        <f t="shared" si="37"/>
        <v>0</v>
      </c>
      <c r="L101" s="1" t="str">
        <f t="shared" si="33"/>
        <v>宽货币紧信用</v>
      </c>
      <c r="O101" s="48">
        <v>43100</v>
      </c>
      <c r="P101" s="54">
        <v>4.8368952380952379</v>
      </c>
      <c r="R101" s="52">
        <v>40209</v>
      </c>
      <c r="S101" s="53">
        <v>20550</v>
      </c>
      <c r="T101" s="14">
        <f t="shared" si="26"/>
        <v>-275.10000000000002</v>
      </c>
      <c r="U101" s="62">
        <f t="shared" si="27"/>
        <v>20274.900000000001</v>
      </c>
      <c r="V101" s="62">
        <f t="shared" si="30"/>
        <v>154123.45000000001</v>
      </c>
      <c r="W101" s="63">
        <f t="shared" si="28"/>
        <v>354521.59999999998</v>
      </c>
      <c r="X101" s="64">
        <f t="shared" si="31"/>
        <v>43.473641662454419</v>
      </c>
      <c r="Y101" s="63"/>
      <c r="Z101" s="69">
        <v>41882</v>
      </c>
      <c r="AA101" s="67">
        <v>1346.5</v>
      </c>
      <c r="AB101" s="67"/>
      <c r="AC101" s="70">
        <v>42735</v>
      </c>
      <c r="AD101" s="53">
        <v>761192.9</v>
      </c>
      <c r="AG101" s="55"/>
      <c r="AH101" s="16"/>
      <c r="AI101" s="16"/>
      <c r="AJ101" s="16"/>
      <c r="AK101" s="16"/>
      <c r="AL101" s="16"/>
      <c r="AM101" s="48">
        <v>43434</v>
      </c>
      <c r="AN101" s="54">
        <v>3.0350181818181818</v>
      </c>
      <c r="AO101" s="16"/>
    </row>
    <row r="102" spans="1:41" x14ac:dyDescent="0.3">
      <c r="A102" s="8">
        <v>43404</v>
      </c>
      <c r="B102" s="9">
        <f t="shared" si="32"/>
        <v>2.8684444444444441</v>
      </c>
      <c r="C102" s="9">
        <f t="shared" si="29"/>
        <v>25.27132526343032</v>
      </c>
      <c r="D102" s="7">
        <v>0</v>
      </c>
      <c r="E102" s="7">
        <v>1</v>
      </c>
      <c r="F102" s="7">
        <v>0</v>
      </c>
      <c r="G102" s="7">
        <v>1</v>
      </c>
      <c r="H102" s="1">
        <f t="shared" si="34"/>
        <v>1</v>
      </c>
      <c r="I102" s="1">
        <f t="shared" si="35"/>
        <v>0</v>
      </c>
      <c r="J102" s="1">
        <f t="shared" si="36"/>
        <v>0</v>
      </c>
      <c r="K102" s="1">
        <f t="shared" si="37"/>
        <v>0</v>
      </c>
      <c r="L102" s="1" t="str">
        <f t="shared" si="33"/>
        <v>宽货币紧信用</v>
      </c>
      <c r="O102" s="48">
        <v>43069</v>
      </c>
      <c r="P102" s="54">
        <v>4.5628136363636358</v>
      </c>
      <c r="R102" s="52">
        <v>40237</v>
      </c>
      <c r="S102" s="53">
        <v>10877</v>
      </c>
      <c r="T102" s="14">
        <f t="shared" si="26"/>
        <v>-500</v>
      </c>
      <c r="U102" s="62">
        <f t="shared" si="27"/>
        <v>10377</v>
      </c>
      <c r="V102" s="62">
        <f t="shared" si="30"/>
        <v>153380.15</v>
      </c>
      <c r="W102" s="63">
        <f t="shared" si="28"/>
        <v>354521.59999999998</v>
      </c>
      <c r="X102" s="64">
        <f t="shared" si="31"/>
        <v>43.263978837960792</v>
      </c>
      <c r="Y102" s="63"/>
      <c r="Z102" s="69">
        <v>41851</v>
      </c>
      <c r="AA102" s="67">
        <v>2087.6765999999998</v>
      </c>
      <c r="AB102" s="67"/>
      <c r="AC102" s="70">
        <v>42825</v>
      </c>
      <c r="AD102" s="53">
        <v>780732</v>
      </c>
      <c r="AG102" s="55"/>
      <c r="AH102" s="16"/>
      <c r="AI102" s="16"/>
      <c r="AJ102" s="16"/>
      <c r="AK102" s="16"/>
      <c r="AL102" s="16"/>
      <c r="AM102" s="48">
        <v>43404</v>
      </c>
      <c r="AN102" s="54">
        <v>2.8684444444444441</v>
      </c>
      <c r="AO102" s="16"/>
    </row>
    <row r="103" spans="1:41" x14ac:dyDescent="0.3">
      <c r="A103" s="8">
        <v>43373</v>
      </c>
      <c r="B103" s="9">
        <f t="shared" si="32"/>
        <v>2.8399047619047622</v>
      </c>
      <c r="C103" s="9">
        <f t="shared" si="29"/>
        <v>25.964475669766397</v>
      </c>
      <c r="D103" s="7">
        <v>0</v>
      </c>
      <c r="E103" s="7">
        <v>1</v>
      </c>
      <c r="F103" s="7">
        <v>0</v>
      </c>
      <c r="G103" s="7">
        <v>1</v>
      </c>
      <c r="H103" s="1">
        <f t="shared" si="34"/>
        <v>1</v>
      </c>
      <c r="I103" s="1">
        <f t="shared" si="35"/>
        <v>0</v>
      </c>
      <c r="J103" s="1">
        <f t="shared" si="36"/>
        <v>0</v>
      </c>
      <c r="K103" s="1">
        <f t="shared" si="37"/>
        <v>0</v>
      </c>
      <c r="L103" s="1" t="str">
        <f t="shared" si="33"/>
        <v>宽货币紧信用</v>
      </c>
      <c r="O103" s="48">
        <v>43039</v>
      </c>
      <c r="P103" s="54">
        <v>4.3731352941176471</v>
      </c>
      <c r="R103" s="52">
        <v>40268</v>
      </c>
      <c r="S103" s="53">
        <v>13830</v>
      </c>
      <c r="T103" s="14">
        <f t="shared" si="26"/>
        <v>725</v>
      </c>
      <c r="U103" s="62">
        <f t="shared" si="27"/>
        <v>14555</v>
      </c>
      <c r="V103" s="62">
        <f t="shared" si="30"/>
        <v>145849.15</v>
      </c>
      <c r="W103" s="63">
        <f t="shared" si="28"/>
        <v>368305.3</v>
      </c>
      <c r="X103" s="64">
        <f t="shared" si="31"/>
        <v>39.600068204285954</v>
      </c>
      <c r="Y103" s="63"/>
      <c r="Z103" s="69">
        <v>41820</v>
      </c>
      <c r="AA103" s="67">
        <v>1441.9</v>
      </c>
      <c r="AB103" s="67"/>
      <c r="AC103" s="70">
        <v>42916</v>
      </c>
      <c r="AD103" s="53">
        <v>801395.4</v>
      </c>
      <c r="AG103" s="55"/>
      <c r="AH103" s="16"/>
      <c r="AI103" s="16"/>
      <c r="AJ103" s="16"/>
      <c r="AK103" s="16"/>
      <c r="AL103" s="16"/>
      <c r="AM103" s="48">
        <v>43373</v>
      </c>
      <c r="AN103" s="54">
        <v>2.8399047619047622</v>
      </c>
      <c r="AO103" s="16"/>
    </row>
    <row r="104" spans="1:41" x14ac:dyDescent="0.3">
      <c r="A104" s="8">
        <v>43343</v>
      </c>
      <c r="B104" s="9">
        <f t="shared" si="32"/>
        <v>2.8839999999999999</v>
      </c>
      <c r="C104" s="9">
        <f t="shared" si="29"/>
        <v>26.874398078296551</v>
      </c>
      <c r="D104" s="7">
        <v>0</v>
      </c>
      <c r="E104" s="7">
        <v>1</v>
      </c>
      <c r="F104" s="7">
        <v>0</v>
      </c>
      <c r="G104" s="7">
        <v>1</v>
      </c>
      <c r="H104" s="1">
        <f t="shared" si="34"/>
        <v>1</v>
      </c>
      <c r="I104" s="1">
        <f t="shared" si="35"/>
        <v>0</v>
      </c>
      <c r="J104" s="1">
        <f t="shared" si="36"/>
        <v>0</v>
      </c>
      <c r="K104" s="1">
        <f t="shared" si="37"/>
        <v>0</v>
      </c>
      <c r="L104" s="1" t="str">
        <f t="shared" si="33"/>
        <v>宽货币紧信用</v>
      </c>
      <c r="O104" s="48">
        <v>43008</v>
      </c>
      <c r="P104" s="54">
        <v>4.3786181818181822</v>
      </c>
      <c r="R104" s="52">
        <v>40298</v>
      </c>
      <c r="S104" s="53">
        <v>14919</v>
      </c>
      <c r="T104" s="14">
        <f t="shared" si="26"/>
        <v>331.5</v>
      </c>
      <c r="U104" s="62">
        <f t="shared" si="27"/>
        <v>15250.5</v>
      </c>
      <c r="V104" s="62">
        <f t="shared" si="30"/>
        <v>155068.53999999998</v>
      </c>
      <c r="W104" s="63">
        <f t="shared" si="28"/>
        <v>368305.3</v>
      </c>
      <c r="X104" s="64">
        <f t="shared" si="31"/>
        <v>42.103260528697248</v>
      </c>
      <c r="Y104" s="63"/>
      <c r="Z104" s="69">
        <v>41790</v>
      </c>
      <c r="AA104" s="67">
        <v>1249.29</v>
      </c>
      <c r="AB104" s="67"/>
      <c r="AC104" s="70">
        <v>43008</v>
      </c>
      <c r="AD104" s="53">
        <v>823313.2</v>
      </c>
      <c r="AG104" s="55"/>
      <c r="AH104" s="16"/>
      <c r="AI104" s="16"/>
      <c r="AJ104" s="16"/>
      <c r="AK104" s="16"/>
      <c r="AL104" s="16"/>
      <c r="AM104" s="48">
        <v>43343</v>
      </c>
      <c r="AN104" s="54">
        <v>2.8839999999999999</v>
      </c>
      <c r="AO104" s="16"/>
    </row>
    <row r="105" spans="1:41" x14ac:dyDescent="0.3">
      <c r="A105" s="8">
        <v>43312</v>
      </c>
      <c r="B105" s="9">
        <f t="shared" si="32"/>
        <v>3.597336363636364</v>
      </c>
      <c r="C105" s="9">
        <f t="shared" si="29"/>
        <v>26.470819327366719</v>
      </c>
      <c r="D105" s="7">
        <v>0</v>
      </c>
      <c r="E105" s="7">
        <v>1</v>
      </c>
      <c r="F105" s="7">
        <v>0</v>
      </c>
      <c r="G105" s="7">
        <v>1</v>
      </c>
      <c r="H105" s="1">
        <f t="shared" si="34"/>
        <v>1</v>
      </c>
      <c r="I105" s="1">
        <f t="shared" si="35"/>
        <v>0</v>
      </c>
      <c r="J105" s="1">
        <f t="shared" si="36"/>
        <v>0</v>
      </c>
      <c r="K105" s="1">
        <f t="shared" si="37"/>
        <v>0</v>
      </c>
      <c r="L105" s="1" t="str">
        <f t="shared" si="33"/>
        <v>宽货币紧信用</v>
      </c>
      <c r="O105" s="48">
        <v>42978</v>
      </c>
      <c r="P105" s="54">
        <v>4.323721739130435</v>
      </c>
      <c r="R105" s="52">
        <v>40329</v>
      </c>
      <c r="S105" s="53">
        <v>10805</v>
      </c>
      <c r="T105" s="14">
        <f t="shared" si="26"/>
        <v>926.9</v>
      </c>
      <c r="U105" s="62">
        <f t="shared" si="27"/>
        <v>11731.9</v>
      </c>
      <c r="V105" s="62">
        <f t="shared" si="30"/>
        <v>149600.94</v>
      </c>
      <c r="W105" s="63">
        <f t="shared" si="28"/>
        <v>368305.3</v>
      </c>
      <c r="X105" s="64">
        <f t="shared" si="31"/>
        <v>40.618731253663739</v>
      </c>
      <c r="Y105" s="63"/>
      <c r="Z105" s="69">
        <v>41759</v>
      </c>
      <c r="AA105" s="67">
        <v>1008.29</v>
      </c>
      <c r="AB105" s="67"/>
      <c r="AC105" s="70">
        <v>43100</v>
      </c>
      <c r="AD105" s="53">
        <v>847382.9</v>
      </c>
      <c r="AG105" s="55"/>
      <c r="AH105" s="16"/>
      <c r="AI105" s="16"/>
      <c r="AJ105" s="16"/>
      <c r="AK105" s="16"/>
      <c r="AL105" s="16"/>
      <c r="AM105" s="48">
        <v>43312</v>
      </c>
      <c r="AN105" s="54">
        <v>3.597336363636364</v>
      </c>
      <c r="AO105" s="16"/>
    </row>
    <row r="106" spans="1:41" x14ac:dyDescent="0.3">
      <c r="A106" s="8">
        <v>43281</v>
      </c>
      <c r="B106" s="9">
        <f t="shared" si="32"/>
        <v>4.3137999999999996</v>
      </c>
      <c r="C106" s="9">
        <f t="shared" si="29"/>
        <v>26.78604058948984</v>
      </c>
      <c r="D106" s="7">
        <v>0</v>
      </c>
      <c r="E106" s="7">
        <v>1</v>
      </c>
      <c r="F106" s="7">
        <v>0</v>
      </c>
      <c r="G106" s="7">
        <v>1</v>
      </c>
      <c r="H106" s="1">
        <f t="shared" si="34"/>
        <v>1</v>
      </c>
      <c r="I106" s="1">
        <f t="shared" si="35"/>
        <v>0</v>
      </c>
      <c r="J106" s="1">
        <f t="shared" si="36"/>
        <v>0</v>
      </c>
      <c r="K106" s="1">
        <f t="shared" si="37"/>
        <v>0</v>
      </c>
      <c r="L106" s="1" t="str">
        <f t="shared" si="33"/>
        <v>宽货币紧信用</v>
      </c>
      <c r="O106" s="48">
        <v>42947</v>
      </c>
      <c r="P106" s="54">
        <v>4.3090952380952379</v>
      </c>
      <c r="R106" s="52">
        <v>40359</v>
      </c>
      <c r="S106" s="53">
        <v>10196</v>
      </c>
      <c r="T106" s="14">
        <f t="shared" si="26"/>
        <v>1850.1</v>
      </c>
      <c r="U106" s="62">
        <f t="shared" si="27"/>
        <v>12046.1</v>
      </c>
      <c r="V106" s="62">
        <f t="shared" si="30"/>
        <v>138796.4</v>
      </c>
      <c r="W106" s="63">
        <f t="shared" si="28"/>
        <v>384024.7</v>
      </c>
      <c r="X106" s="64">
        <f t="shared" si="31"/>
        <v>36.142571037748347</v>
      </c>
      <c r="Y106" s="63"/>
      <c r="Z106" s="69">
        <v>41729</v>
      </c>
      <c r="AA106" s="67">
        <v>-25.3</v>
      </c>
      <c r="AB106" s="67"/>
      <c r="AC106" s="70">
        <v>43190</v>
      </c>
      <c r="AD106" s="53">
        <v>867843.8</v>
      </c>
      <c r="AG106" s="55"/>
      <c r="AH106" s="16"/>
      <c r="AI106" s="16"/>
      <c r="AJ106" s="16"/>
      <c r="AK106" s="16"/>
      <c r="AL106" s="16"/>
      <c r="AM106" s="48">
        <v>43281</v>
      </c>
      <c r="AN106" s="54">
        <v>4.3137999999999996</v>
      </c>
      <c r="AO106" s="16"/>
    </row>
    <row r="107" spans="1:41" x14ac:dyDescent="0.3">
      <c r="A107" s="8">
        <v>43251</v>
      </c>
      <c r="B107" s="9">
        <f t="shared" si="32"/>
        <v>4.118122727272727</v>
      </c>
      <c r="C107" s="9">
        <f t="shared" si="29"/>
        <v>28.111947978541764</v>
      </c>
      <c r="D107" s="7">
        <v>0</v>
      </c>
      <c r="E107" s="7">
        <v>1</v>
      </c>
      <c r="F107" s="7">
        <v>0</v>
      </c>
      <c r="G107" s="7">
        <v>1</v>
      </c>
      <c r="H107" s="1">
        <f t="shared" si="34"/>
        <v>1</v>
      </c>
      <c r="I107" s="1">
        <f t="shared" si="35"/>
        <v>0</v>
      </c>
      <c r="J107" s="1">
        <f t="shared" si="36"/>
        <v>0</v>
      </c>
      <c r="K107" s="1">
        <f t="shared" si="37"/>
        <v>0</v>
      </c>
      <c r="L107" s="1" t="str">
        <f t="shared" si="33"/>
        <v>宽货币紧信用</v>
      </c>
      <c r="O107" s="48">
        <v>42916</v>
      </c>
      <c r="P107" s="54">
        <v>4.6691227272727271</v>
      </c>
      <c r="R107" s="52">
        <v>40390</v>
      </c>
      <c r="S107" s="53">
        <v>7202</v>
      </c>
      <c r="T107" s="14">
        <f t="shared" si="26"/>
        <v>1096.4000000000001</v>
      </c>
      <c r="U107" s="62">
        <f t="shared" si="27"/>
        <v>8298.4</v>
      </c>
      <c r="V107" s="62">
        <f t="shared" si="30"/>
        <v>138181.79999999999</v>
      </c>
      <c r="W107" s="63">
        <f t="shared" si="28"/>
        <v>384024.7</v>
      </c>
      <c r="X107" s="64">
        <f t="shared" si="31"/>
        <v>35.982529248769673</v>
      </c>
      <c r="Y107" s="63"/>
      <c r="Z107" s="69">
        <v>41698</v>
      </c>
      <c r="AA107" s="67">
        <v>-40</v>
      </c>
      <c r="AB107" s="67"/>
      <c r="AC107" s="70">
        <v>43281</v>
      </c>
      <c r="AD107" s="53">
        <v>890220.6</v>
      </c>
      <c r="AG107" s="55"/>
      <c r="AH107" s="16"/>
      <c r="AI107" s="16"/>
      <c r="AJ107" s="16"/>
      <c r="AK107" s="16"/>
      <c r="AL107" s="16"/>
      <c r="AM107" s="48">
        <v>43251</v>
      </c>
      <c r="AN107" s="54">
        <v>4.118122727272727</v>
      </c>
      <c r="AO107" s="16"/>
    </row>
    <row r="108" spans="1:41" x14ac:dyDescent="0.3">
      <c r="A108" s="8">
        <v>43220</v>
      </c>
      <c r="B108" s="9">
        <f t="shared" si="32"/>
        <v>4.1458950000000003</v>
      </c>
      <c r="C108" s="9">
        <f t="shared" si="29"/>
        <v>28.869930980321573</v>
      </c>
      <c r="D108" s="7">
        <v>0</v>
      </c>
      <c r="E108" s="7">
        <v>1</v>
      </c>
      <c r="F108" s="7">
        <v>0</v>
      </c>
      <c r="G108" s="7">
        <v>1</v>
      </c>
      <c r="H108" s="1">
        <f t="shared" si="34"/>
        <v>1</v>
      </c>
      <c r="I108" s="1">
        <f t="shared" si="35"/>
        <v>0</v>
      </c>
      <c r="J108" s="1">
        <f t="shared" si="36"/>
        <v>0</v>
      </c>
      <c r="K108" s="1">
        <f t="shared" si="37"/>
        <v>0</v>
      </c>
      <c r="L108" s="1" t="str">
        <f t="shared" si="33"/>
        <v>宽货币紧信用</v>
      </c>
      <c r="O108" s="48">
        <v>42886</v>
      </c>
      <c r="P108" s="54">
        <v>4.4370333333333329</v>
      </c>
      <c r="R108" s="52">
        <v>40421</v>
      </c>
      <c r="S108" s="53">
        <v>10646</v>
      </c>
      <c r="T108" s="14">
        <f t="shared" si="26"/>
        <v>1691.6</v>
      </c>
      <c r="U108" s="62">
        <f t="shared" si="27"/>
        <v>12337.6</v>
      </c>
      <c r="V108" s="62">
        <f t="shared" si="30"/>
        <v>141854.29999999999</v>
      </c>
      <c r="W108" s="63">
        <f t="shared" si="28"/>
        <v>384024.7</v>
      </c>
      <c r="X108" s="64">
        <f t="shared" si="31"/>
        <v>36.938847943895269</v>
      </c>
      <c r="Y108" s="63"/>
      <c r="Z108" s="69">
        <v>41670</v>
      </c>
      <c r="AA108" s="67">
        <v>-210</v>
      </c>
      <c r="AB108" s="67"/>
      <c r="AC108" s="70">
        <v>43373</v>
      </c>
      <c r="AD108" s="53">
        <v>912262.1</v>
      </c>
      <c r="AG108" s="55"/>
      <c r="AH108" s="16"/>
      <c r="AI108" s="16"/>
      <c r="AJ108" s="16"/>
      <c r="AK108" s="16"/>
      <c r="AL108" s="16"/>
      <c r="AM108" s="48">
        <v>43220</v>
      </c>
      <c r="AN108" s="54">
        <v>4.1458950000000003</v>
      </c>
      <c r="AO108" s="16"/>
    </row>
    <row r="109" spans="1:41" x14ac:dyDescent="0.3">
      <c r="A109" s="8">
        <v>43190</v>
      </c>
      <c r="B109" s="9">
        <f t="shared" si="32"/>
        <v>4.6795636363636364</v>
      </c>
      <c r="C109" s="9">
        <f t="shared" si="29"/>
        <v>28.560656802295526</v>
      </c>
      <c r="D109" s="7">
        <v>0</v>
      </c>
      <c r="E109" s="7">
        <v>1</v>
      </c>
      <c r="F109" s="7">
        <v>1</v>
      </c>
      <c r="G109" s="7">
        <v>0</v>
      </c>
      <c r="H109" s="1">
        <f t="shared" si="34"/>
        <v>0</v>
      </c>
      <c r="I109" s="1">
        <f t="shared" si="35"/>
        <v>0</v>
      </c>
      <c r="J109" s="1">
        <f t="shared" si="36"/>
        <v>1</v>
      </c>
      <c r="K109" s="1">
        <f t="shared" si="37"/>
        <v>0</v>
      </c>
      <c r="L109" s="1" t="str">
        <f t="shared" si="33"/>
        <v>紧货币紧信用</v>
      </c>
      <c r="O109" s="48">
        <v>42855</v>
      </c>
      <c r="P109" s="54">
        <v>4.2873052631578954</v>
      </c>
      <c r="R109" s="52">
        <v>40451</v>
      </c>
      <c r="S109" s="53">
        <v>11224</v>
      </c>
      <c r="T109" s="14">
        <f t="shared" si="26"/>
        <v>866.1</v>
      </c>
      <c r="U109" s="62">
        <f t="shared" si="27"/>
        <v>12090.1</v>
      </c>
      <c r="V109" s="62">
        <f t="shared" si="30"/>
        <v>141714.9</v>
      </c>
      <c r="W109" s="63">
        <f t="shared" si="28"/>
        <v>400487.6</v>
      </c>
      <c r="X109" s="64">
        <f t="shared" si="31"/>
        <v>35.385589965831656</v>
      </c>
      <c r="Y109" s="63"/>
      <c r="Z109" s="69">
        <v>41639</v>
      </c>
      <c r="AA109" s="67">
        <v>604.9</v>
      </c>
      <c r="AB109" s="67"/>
      <c r="AC109" s="70">
        <v>43465</v>
      </c>
      <c r="AD109" s="53">
        <v>936010.1</v>
      </c>
      <c r="AG109" s="55"/>
      <c r="AH109" s="16"/>
      <c r="AI109" s="16"/>
      <c r="AJ109" s="16"/>
      <c r="AK109" s="16"/>
      <c r="AL109" s="16"/>
      <c r="AM109" s="48">
        <v>43190</v>
      </c>
      <c r="AN109" s="54">
        <v>4.6795636363636364</v>
      </c>
      <c r="AO109" s="16"/>
    </row>
    <row r="110" spans="1:41" x14ac:dyDescent="0.3">
      <c r="A110" s="8">
        <v>43159</v>
      </c>
      <c r="B110" s="9">
        <f t="shared" si="32"/>
        <v>4.7089705882352941</v>
      </c>
      <c r="C110" s="9">
        <f t="shared" si="29"/>
        <v>30.239228589224538</v>
      </c>
      <c r="D110" s="7">
        <v>0</v>
      </c>
      <c r="E110" s="7">
        <v>1</v>
      </c>
      <c r="F110" s="7">
        <v>1</v>
      </c>
      <c r="G110" s="7">
        <v>0</v>
      </c>
      <c r="H110" s="1">
        <f t="shared" si="34"/>
        <v>0</v>
      </c>
      <c r="I110" s="1">
        <f t="shared" si="35"/>
        <v>0</v>
      </c>
      <c r="J110" s="1">
        <f t="shared" si="36"/>
        <v>1</v>
      </c>
      <c r="K110" s="1">
        <f t="shared" si="37"/>
        <v>0</v>
      </c>
      <c r="L110" s="1" t="str">
        <f t="shared" si="33"/>
        <v>紧货币紧信用</v>
      </c>
      <c r="O110" s="48">
        <v>42825</v>
      </c>
      <c r="P110" s="54">
        <v>4.3482913043478257</v>
      </c>
      <c r="R110" s="52">
        <v>40482</v>
      </c>
      <c r="S110" s="53">
        <v>8608</v>
      </c>
      <c r="T110" s="14">
        <f t="shared" si="26"/>
        <v>739.77</v>
      </c>
      <c r="U110" s="62">
        <f t="shared" si="27"/>
        <v>9347.77</v>
      </c>
      <c r="V110" s="62">
        <f t="shared" si="30"/>
        <v>145194.26999999999</v>
      </c>
      <c r="W110" s="63">
        <f t="shared" si="28"/>
        <v>400487.6</v>
      </c>
      <c r="X110" s="64">
        <f t="shared" si="31"/>
        <v>36.25437341880248</v>
      </c>
      <c r="Y110" s="63"/>
      <c r="Z110" s="69">
        <v>41608</v>
      </c>
      <c r="AA110" s="67">
        <v>331.2</v>
      </c>
      <c r="AB110" s="67"/>
      <c r="AC110" s="70">
        <v>43555</v>
      </c>
      <c r="AD110" s="53">
        <v>951728.7</v>
      </c>
      <c r="AG110" s="55"/>
      <c r="AH110" s="16"/>
      <c r="AI110" s="16"/>
      <c r="AJ110" s="16"/>
      <c r="AK110" s="16"/>
      <c r="AL110" s="16"/>
      <c r="AM110" s="48">
        <v>43159</v>
      </c>
      <c r="AN110" s="54">
        <v>4.7089705882352941</v>
      </c>
      <c r="AO110" s="16"/>
    </row>
    <row r="111" spans="1:41" x14ac:dyDescent="0.3">
      <c r="A111" s="8">
        <v>43131</v>
      </c>
      <c r="B111" s="9">
        <f t="shared" si="32"/>
        <v>4.7037818181818176</v>
      </c>
      <c r="C111" s="9">
        <f t="shared" si="29"/>
        <v>30.120148322676794</v>
      </c>
      <c r="D111" s="7">
        <v>0</v>
      </c>
      <c r="E111" s="7">
        <v>1</v>
      </c>
      <c r="F111" s="7">
        <v>1</v>
      </c>
      <c r="G111" s="7">
        <v>0</v>
      </c>
      <c r="H111" s="1">
        <f t="shared" si="34"/>
        <v>0</v>
      </c>
      <c r="I111" s="1">
        <f t="shared" si="35"/>
        <v>0</v>
      </c>
      <c r="J111" s="1">
        <f t="shared" si="36"/>
        <v>1</v>
      </c>
      <c r="K111" s="1">
        <f t="shared" si="37"/>
        <v>0</v>
      </c>
      <c r="L111" s="1" t="str">
        <f t="shared" si="33"/>
        <v>紧货币紧信用</v>
      </c>
      <c r="O111" s="48">
        <v>42794</v>
      </c>
      <c r="P111" s="54">
        <v>4.1763947368421048</v>
      </c>
      <c r="R111" s="52">
        <v>40512</v>
      </c>
      <c r="S111" s="53">
        <v>10554</v>
      </c>
      <c r="T111" s="14">
        <f t="shared" si="26"/>
        <v>537.6</v>
      </c>
      <c r="U111" s="62">
        <f t="shared" si="27"/>
        <v>11091.6</v>
      </c>
      <c r="V111" s="62">
        <f t="shared" si="30"/>
        <v>145517.77000000002</v>
      </c>
      <c r="W111" s="63">
        <f t="shared" si="28"/>
        <v>400487.6</v>
      </c>
      <c r="X111" s="64">
        <f t="shared" si="31"/>
        <v>36.335149952208262</v>
      </c>
      <c r="Y111" s="63"/>
      <c r="Z111" s="69">
        <v>41578</v>
      </c>
      <c r="AA111" s="67">
        <v>1973.06</v>
      </c>
      <c r="AB111" s="67"/>
      <c r="AC111" s="70">
        <v>43646</v>
      </c>
      <c r="AD111" s="53">
        <v>969880.2</v>
      </c>
      <c r="AG111" s="55"/>
      <c r="AH111" s="16"/>
      <c r="AI111" s="16"/>
      <c r="AJ111" s="16"/>
      <c r="AK111" s="16"/>
      <c r="AL111" s="16"/>
      <c r="AM111" s="48">
        <v>43131</v>
      </c>
      <c r="AN111" s="54">
        <v>4.7037818181818176</v>
      </c>
      <c r="AO111" s="16"/>
    </row>
    <row r="112" spans="1:41" x14ac:dyDescent="0.3">
      <c r="A112" s="8">
        <v>43100</v>
      </c>
      <c r="B112" s="9">
        <f t="shared" si="32"/>
        <v>4.8368952380952379</v>
      </c>
      <c r="C112" s="9">
        <f t="shared" ref="C112:C143" si="38">VLOOKUP(A112,R:X,7,0)</f>
        <v>30.863950967856439</v>
      </c>
      <c r="D112" s="7">
        <v>0</v>
      </c>
      <c r="E112" s="7">
        <v>1</v>
      </c>
      <c r="F112" s="7">
        <v>1</v>
      </c>
      <c r="G112" s="7">
        <v>0</v>
      </c>
      <c r="H112" s="1">
        <f t="shared" si="34"/>
        <v>0</v>
      </c>
      <c r="I112" s="1">
        <f t="shared" si="35"/>
        <v>0</v>
      </c>
      <c r="J112" s="1">
        <f t="shared" si="36"/>
        <v>1</v>
      </c>
      <c r="K112" s="1">
        <f t="shared" si="37"/>
        <v>0</v>
      </c>
      <c r="L112" s="1" t="str">
        <f t="shared" si="33"/>
        <v>紧货币紧信用</v>
      </c>
      <c r="O112" s="48">
        <v>42766</v>
      </c>
      <c r="P112" s="54">
        <v>3.6514315789473679</v>
      </c>
      <c r="R112" s="52">
        <v>40543</v>
      </c>
      <c r="S112" s="53">
        <v>10780</v>
      </c>
      <c r="T112" s="14">
        <f t="shared" si="26"/>
        <v>1036.8</v>
      </c>
      <c r="U112" s="62">
        <f t="shared" si="27"/>
        <v>11816.8</v>
      </c>
      <c r="V112" s="62">
        <f t="shared" si="30"/>
        <v>149217.67000000001</v>
      </c>
      <c r="W112" s="63">
        <f t="shared" si="28"/>
        <v>419253.3</v>
      </c>
      <c r="X112" s="64">
        <f t="shared" si="31"/>
        <v>35.591292900974189</v>
      </c>
      <c r="Y112" s="63"/>
      <c r="Z112" s="69">
        <v>41547</v>
      </c>
      <c r="AA112" s="67">
        <v>1005.8</v>
      </c>
      <c r="AB112" s="67"/>
      <c r="AC112" s="70">
        <v>43738</v>
      </c>
      <c r="AD112" s="53">
        <v>987106.6</v>
      </c>
      <c r="AG112" s="55"/>
      <c r="AH112" s="16"/>
      <c r="AI112" s="16"/>
      <c r="AJ112" s="16"/>
      <c r="AK112" s="16"/>
      <c r="AL112" s="16"/>
      <c r="AM112" s="48">
        <v>43100</v>
      </c>
      <c r="AN112" s="54">
        <v>4.8368952380952379</v>
      </c>
      <c r="AO112" s="16"/>
    </row>
    <row r="113" spans="1:41" x14ac:dyDescent="0.3">
      <c r="A113" s="8">
        <v>43069</v>
      </c>
      <c r="B113" s="9">
        <f t="shared" si="32"/>
        <v>4.5628136363636358</v>
      </c>
      <c r="C113" s="9">
        <f t="shared" si="38"/>
        <v>31.775461223748142</v>
      </c>
      <c r="D113" s="7">
        <v>0</v>
      </c>
      <c r="E113" s="7">
        <v>1</v>
      </c>
      <c r="F113" s="7">
        <v>1</v>
      </c>
      <c r="G113" s="7">
        <v>0</v>
      </c>
      <c r="H113" s="1">
        <f t="shared" si="34"/>
        <v>0</v>
      </c>
      <c r="I113" s="1">
        <f t="shared" si="35"/>
        <v>0</v>
      </c>
      <c r="J113" s="1">
        <f t="shared" si="36"/>
        <v>1</v>
      </c>
      <c r="K113" s="1">
        <f t="shared" si="37"/>
        <v>0</v>
      </c>
      <c r="L113" s="1" t="str">
        <f t="shared" si="33"/>
        <v>紧货币紧信用</v>
      </c>
      <c r="O113" s="48">
        <v>42735</v>
      </c>
      <c r="P113" s="54">
        <v>3.1734818181818181</v>
      </c>
      <c r="R113" s="52">
        <v>40574</v>
      </c>
      <c r="S113" s="53">
        <v>17560</v>
      </c>
      <c r="T113" s="14">
        <f t="shared" si="26"/>
        <v>-218.1</v>
      </c>
      <c r="U113" s="62">
        <f t="shared" si="27"/>
        <v>17341.900000000001</v>
      </c>
      <c r="V113" s="62">
        <f t="shared" si="30"/>
        <v>146284.67000000001</v>
      </c>
      <c r="W113" s="63">
        <f t="shared" si="28"/>
        <v>419253.3</v>
      </c>
      <c r="X113" s="64">
        <f t="shared" si="31"/>
        <v>34.89171581952963</v>
      </c>
      <c r="Y113" s="63"/>
      <c r="Z113" s="69">
        <v>41517</v>
      </c>
      <c r="AA113" s="67">
        <v>1686.3</v>
      </c>
      <c r="AB113" s="67"/>
      <c r="AC113" s="70">
        <v>43830</v>
      </c>
      <c r="AD113" s="53">
        <v>1005872.4</v>
      </c>
      <c r="AG113" s="55"/>
      <c r="AH113" s="16"/>
      <c r="AI113" s="16"/>
      <c r="AJ113" s="16"/>
      <c r="AK113" s="16"/>
      <c r="AL113" s="16"/>
      <c r="AM113" s="48">
        <v>43069</v>
      </c>
      <c r="AN113" s="54">
        <v>4.5628136363636358</v>
      </c>
      <c r="AO113" s="16"/>
    </row>
    <row r="114" spans="1:41" x14ac:dyDescent="0.3">
      <c r="A114" s="8">
        <v>43039</v>
      </c>
      <c r="B114" s="9">
        <f t="shared" si="32"/>
        <v>4.3731352941176471</v>
      </c>
      <c r="C114" s="9">
        <f t="shared" si="38"/>
        <v>31.840471750240372</v>
      </c>
      <c r="D114" s="7">
        <v>0</v>
      </c>
      <c r="E114" s="7">
        <v>1</v>
      </c>
      <c r="F114" s="7">
        <v>1</v>
      </c>
      <c r="G114" s="7">
        <v>0</v>
      </c>
      <c r="H114" s="1">
        <f t="shared" si="34"/>
        <v>0</v>
      </c>
      <c r="I114" s="1">
        <f t="shared" si="35"/>
        <v>0</v>
      </c>
      <c r="J114" s="1">
        <f t="shared" si="36"/>
        <v>1</v>
      </c>
      <c r="K114" s="1">
        <f t="shared" si="37"/>
        <v>0</v>
      </c>
      <c r="L114" s="1" t="str">
        <f t="shared" si="33"/>
        <v>紧货币紧信用</v>
      </c>
      <c r="O114" s="48">
        <v>42704</v>
      </c>
      <c r="P114" s="54">
        <v>2.9201045454545449</v>
      </c>
      <c r="R114" s="52">
        <v>40602</v>
      </c>
      <c r="S114" s="53">
        <v>6468</v>
      </c>
      <c r="T114" s="14">
        <f t="shared" si="26"/>
        <v>90.8</v>
      </c>
      <c r="U114" s="62">
        <f t="shared" si="27"/>
        <v>6558.8</v>
      </c>
      <c r="V114" s="62">
        <f t="shared" si="30"/>
        <v>142466.47</v>
      </c>
      <c r="W114" s="63">
        <f t="shared" si="28"/>
        <v>419253.3</v>
      </c>
      <c r="X114" s="64">
        <f t="shared" si="31"/>
        <v>33.981001461407701</v>
      </c>
      <c r="Y114" s="63"/>
      <c r="Z114" s="69">
        <v>41486</v>
      </c>
      <c r="AA114" s="67">
        <v>1607</v>
      </c>
      <c r="AB114" s="67"/>
      <c r="AC114" s="70">
        <v>43921</v>
      </c>
      <c r="AD114" s="53">
        <v>994089.6</v>
      </c>
      <c r="AG114" s="55"/>
      <c r="AH114" s="16"/>
      <c r="AI114" s="16"/>
      <c r="AJ114" s="16"/>
      <c r="AK114" s="16"/>
      <c r="AL114" s="16"/>
      <c r="AM114" s="48">
        <v>43039</v>
      </c>
      <c r="AN114" s="54">
        <v>4.3731352941176471</v>
      </c>
      <c r="AO114" s="16"/>
    </row>
    <row r="115" spans="1:41" x14ac:dyDescent="0.3">
      <c r="A115" s="8">
        <v>43008</v>
      </c>
      <c r="B115" s="9">
        <f t="shared" si="32"/>
        <v>4.3786181818181822</v>
      </c>
      <c r="C115" s="9">
        <f t="shared" si="38"/>
        <v>31.601698955148539</v>
      </c>
      <c r="D115" s="7">
        <v>0</v>
      </c>
      <c r="E115" s="7">
        <v>1</v>
      </c>
      <c r="F115" s="7">
        <v>1</v>
      </c>
      <c r="G115" s="7">
        <v>0</v>
      </c>
      <c r="H115" s="1">
        <f t="shared" si="34"/>
        <v>0</v>
      </c>
      <c r="I115" s="1">
        <f t="shared" si="35"/>
        <v>0</v>
      </c>
      <c r="J115" s="1">
        <f t="shared" si="36"/>
        <v>1</v>
      </c>
      <c r="K115" s="1">
        <f t="shared" si="37"/>
        <v>0</v>
      </c>
      <c r="L115" s="1" t="str">
        <f t="shared" si="33"/>
        <v>紧货币紧信用</v>
      </c>
      <c r="O115" s="48">
        <v>42674</v>
      </c>
      <c r="P115" s="54">
        <v>2.8082777777777781</v>
      </c>
      <c r="R115" s="52">
        <v>40633</v>
      </c>
      <c r="S115" s="53">
        <v>18212</v>
      </c>
      <c r="T115" s="14">
        <f t="shared" si="26"/>
        <v>104.9</v>
      </c>
      <c r="U115" s="62">
        <f t="shared" si="27"/>
        <v>18316.900000000001</v>
      </c>
      <c r="V115" s="62">
        <f t="shared" si="30"/>
        <v>146228.37000000002</v>
      </c>
      <c r="W115" s="63">
        <f t="shared" si="28"/>
        <v>436347.2</v>
      </c>
      <c r="X115" s="64">
        <f t="shared" si="31"/>
        <v>33.511930407712029</v>
      </c>
      <c r="Y115" s="63"/>
      <c r="Z115" s="69">
        <v>41455</v>
      </c>
      <c r="AA115" s="67">
        <v>877.9</v>
      </c>
      <c r="AB115" s="67"/>
      <c r="AC115" s="70">
        <v>44012</v>
      </c>
      <c r="AD115" s="53">
        <v>1001345.7</v>
      </c>
      <c r="AG115" s="55"/>
      <c r="AH115" s="16"/>
      <c r="AI115" s="16"/>
      <c r="AJ115" s="16"/>
      <c r="AK115" s="16"/>
      <c r="AL115" s="16"/>
      <c r="AM115" s="48">
        <v>43008</v>
      </c>
      <c r="AN115" s="54">
        <v>4.3786181818181822</v>
      </c>
      <c r="AO115" s="16"/>
    </row>
    <row r="116" spans="1:41" x14ac:dyDescent="0.3">
      <c r="A116" s="8">
        <v>42978</v>
      </c>
      <c r="B116" s="9">
        <f t="shared" si="32"/>
        <v>4.323721739130435</v>
      </c>
      <c r="C116" s="9">
        <f t="shared" si="38"/>
        <v>31.994885693628888</v>
      </c>
      <c r="D116" s="7">
        <v>0</v>
      </c>
      <c r="E116" s="7">
        <v>1</v>
      </c>
      <c r="F116" s="7">
        <v>1</v>
      </c>
      <c r="G116" s="7">
        <v>0</v>
      </c>
      <c r="H116" s="1">
        <f t="shared" si="34"/>
        <v>0</v>
      </c>
      <c r="I116" s="1">
        <f t="shared" si="35"/>
        <v>0</v>
      </c>
      <c r="J116" s="1">
        <f t="shared" si="36"/>
        <v>1</v>
      </c>
      <c r="K116" s="1">
        <f t="shared" si="37"/>
        <v>0</v>
      </c>
      <c r="L116" s="1" t="str">
        <f t="shared" si="33"/>
        <v>紧货币紧信用</v>
      </c>
      <c r="O116" s="48">
        <v>42643</v>
      </c>
      <c r="P116" s="54">
        <v>2.79327619047619</v>
      </c>
      <c r="R116" s="52">
        <v>40663</v>
      </c>
      <c r="S116" s="53">
        <v>13673</v>
      </c>
      <c r="T116" s="14">
        <f t="shared" si="26"/>
        <v>545</v>
      </c>
      <c r="U116" s="62">
        <f t="shared" si="27"/>
        <v>14218</v>
      </c>
      <c r="V116" s="62">
        <f t="shared" si="30"/>
        <v>145195.87000000002</v>
      </c>
      <c r="W116" s="63">
        <f t="shared" si="28"/>
        <v>436347.2</v>
      </c>
      <c r="X116" s="64">
        <f t="shared" si="31"/>
        <v>33.275306911560342</v>
      </c>
      <c r="Y116" s="63"/>
      <c r="Z116" s="69">
        <v>41425</v>
      </c>
      <c r="AA116" s="67">
        <v>1804.24</v>
      </c>
      <c r="AB116" s="67"/>
      <c r="AC116" s="70">
        <v>44104</v>
      </c>
      <c r="AD116" s="53">
        <v>1015232.7</v>
      </c>
      <c r="AG116" s="55"/>
      <c r="AH116" s="16"/>
      <c r="AI116" s="16"/>
      <c r="AJ116" s="16"/>
      <c r="AK116" s="16"/>
      <c r="AL116" s="16"/>
      <c r="AM116" s="48">
        <v>42978</v>
      </c>
      <c r="AN116" s="54">
        <v>4.323721739130435</v>
      </c>
      <c r="AO116" s="16"/>
    </row>
    <row r="117" spans="1:41" x14ac:dyDescent="0.3">
      <c r="A117" s="8">
        <v>42947</v>
      </c>
      <c r="B117" s="9">
        <f t="shared" si="32"/>
        <v>4.3090952380952379</v>
      </c>
      <c r="C117" s="9">
        <f t="shared" si="38"/>
        <v>32.376567169464657</v>
      </c>
      <c r="D117" s="7">
        <v>0</v>
      </c>
      <c r="E117" s="7">
        <v>1</v>
      </c>
      <c r="F117" s="7">
        <v>1</v>
      </c>
      <c r="G117" s="7">
        <v>0</v>
      </c>
      <c r="H117" s="1">
        <f t="shared" si="34"/>
        <v>0</v>
      </c>
      <c r="I117" s="1">
        <f t="shared" si="35"/>
        <v>0</v>
      </c>
      <c r="J117" s="1">
        <f t="shared" si="36"/>
        <v>1</v>
      </c>
      <c r="K117" s="1">
        <f t="shared" si="37"/>
        <v>0</v>
      </c>
      <c r="L117" s="1" t="str">
        <f t="shared" si="33"/>
        <v>紧货币紧信用</v>
      </c>
      <c r="O117" s="48">
        <v>42613</v>
      </c>
      <c r="P117" s="54">
        <v>2.8061826086956518</v>
      </c>
      <c r="R117" s="52">
        <v>40694</v>
      </c>
      <c r="S117" s="53">
        <v>10854</v>
      </c>
      <c r="T117" s="14">
        <f t="shared" si="26"/>
        <v>440.71</v>
      </c>
      <c r="U117" s="62">
        <f t="shared" si="27"/>
        <v>11294.71</v>
      </c>
      <c r="V117" s="62">
        <f t="shared" si="30"/>
        <v>144758.68</v>
      </c>
      <c r="W117" s="63">
        <f t="shared" si="28"/>
        <v>436347.2</v>
      </c>
      <c r="X117" s="64">
        <f t="shared" si="31"/>
        <v>33.175113762618395</v>
      </c>
      <c r="Y117" s="63"/>
      <c r="Z117" s="69">
        <v>41394</v>
      </c>
      <c r="AA117" s="67">
        <v>1411.1</v>
      </c>
      <c r="AB117" s="67"/>
      <c r="AC117" s="70">
        <v>44196</v>
      </c>
      <c r="AD117" s="53">
        <v>1034867.5</v>
      </c>
      <c r="AG117" s="55"/>
      <c r="AH117" s="16"/>
      <c r="AI117" s="16"/>
      <c r="AJ117" s="16"/>
      <c r="AK117" s="16"/>
      <c r="AL117" s="16"/>
      <c r="AM117" s="48">
        <v>42947</v>
      </c>
      <c r="AN117" s="54">
        <v>4.3090952380952379</v>
      </c>
      <c r="AO117" s="16"/>
    </row>
    <row r="118" spans="1:41" x14ac:dyDescent="0.3">
      <c r="A118" s="8">
        <v>42916</v>
      </c>
      <c r="B118" s="9">
        <f t="shared" si="32"/>
        <v>4.6691227272727271</v>
      </c>
      <c r="C118" s="9">
        <f t="shared" si="38"/>
        <v>30.976574760224473</v>
      </c>
      <c r="D118" s="7">
        <v>0</v>
      </c>
      <c r="E118" s="7">
        <v>1</v>
      </c>
      <c r="F118" s="7">
        <v>1</v>
      </c>
      <c r="G118" s="7">
        <v>0</v>
      </c>
      <c r="H118" s="1">
        <f t="shared" si="34"/>
        <v>0</v>
      </c>
      <c r="I118" s="1">
        <f t="shared" si="35"/>
        <v>0</v>
      </c>
      <c r="J118" s="1">
        <f t="shared" si="36"/>
        <v>1</v>
      </c>
      <c r="K118" s="1">
        <f t="shared" si="37"/>
        <v>0</v>
      </c>
      <c r="L118" s="1" t="str">
        <f t="shared" si="33"/>
        <v>紧货币紧信用</v>
      </c>
      <c r="O118" s="48">
        <v>42582</v>
      </c>
      <c r="P118" s="54">
        <v>2.8957999999999999</v>
      </c>
      <c r="R118" s="52">
        <v>40724</v>
      </c>
      <c r="S118" s="53">
        <v>10873</v>
      </c>
      <c r="T118" s="14">
        <f t="shared" si="26"/>
        <v>1182.5</v>
      </c>
      <c r="U118" s="62">
        <f t="shared" si="27"/>
        <v>12055.5</v>
      </c>
      <c r="V118" s="62">
        <f t="shared" si="30"/>
        <v>144768.07999999999</v>
      </c>
      <c r="W118" s="63">
        <f t="shared" si="28"/>
        <v>456049</v>
      </c>
      <c r="X118" s="64">
        <f t="shared" si="31"/>
        <v>31.743974879892288</v>
      </c>
      <c r="Y118" s="63"/>
      <c r="Z118" s="69">
        <v>41364</v>
      </c>
      <c r="AA118" s="67">
        <v>20</v>
      </c>
      <c r="AB118" s="67"/>
      <c r="AC118" s="70">
        <v>44286</v>
      </c>
      <c r="AD118" s="53">
        <v>1080251.6000000001</v>
      </c>
      <c r="AG118" s="55"/>
      <c r="AH118" s="16"/>
      <c r="AI118" s="16"/>
      <c r="AJ118" s="16"/>
      <c r="AK118" s="16"/>
      <c r="AL118" s="16"/>
      <c r="AM118" s="48">
        <v>42916</v>
      </c>
      <c r="AN118" s="54">
        <v>4.6691227272727271</v>
      </c>
      <c r="AO118" s="16"/>
    </row>
    <row r="119" spans="1:41" x14ac:dyDescent="0.3">
      <c r="A119" s="8">
        <v>42886</v>
      </c>
      <c r="B119" s="9">
        <f t="shared" si="32"/>
        <v>4.4370333333333329</v>
      </c>
      <c r="C119" s="9">
        <f t="shared" si="38"/>
        <v>32.060298995429925</v>
      </c>
      <c r="D119" s="7">
        <v>0</v>
      </c>
      <c r="E119" s="7">
        <v>1</v>
      </c>
      <c r="F119" s="7">
        <v>1</v>
      </c>
      <c r="G119" s="7">
        <v>0</v>
      </c>
      <c r="H119" s="1">
        <f t="shared" si="34"/>
        <v>0</v>
      </c>
      <c r="I119" s="1">
        <f t="shared" si="35"/>
        <v>0</v>
      </c>
      <c r="J119" s="1">
        <f t="shared" si="36"/>
        <v>1</v>
      </c>
      <c r="K119" s="1">
        <f t="shared" si="37"/>
        <v>0</v>
      </c>
      <c r="L119" s="1" t="str">
        <f t="shared" si="33"/>
        <v>紧货币紧信用</v>
      </c>
      <c r="O119" s="48">
        <v>42551</v>
      </c>
      <c r="P119" s="54">
        <v>2.954042857142857</v>
      </c>
      <c r="R119" s="52">
        <v>40755</v>
      </c>
      <c r="S119" s="53">
        <v>5393</v>
      </c>
      <c r="T119" s="14">
        <f t="shared" si="26"/>
        <v>1153.93</v>
      </c>
      <c r="U119" s="62">
        <f t="shared" si="27"/>
        <v>6546.93</v>
      </c>
      <c r="V119" s="62">
        <f t="shared" si="30"/>
        <v>143016.60999999999</v>
      </c>
      <c r="W119" s="63">
        <f t="shared" si="28"/>
        <v>456049</v>
      </c>
      <c r="X119" s="64">
        <f t="shared" si="31"/>
        <v>31.359921850502904</v>
      </c>
      <c r="Y119" s="63"/>
      <c r="Z119" s="69">
        <v>41333</v>
      </c>
      <c r="AA119" s="67">
        <v>-280</v>
      </c>
      <c r="AB119" s="67"/>
      <c r="AC119" s="70">
        <v>44377</v>
      </c>
      <c r="AD119" s="53">
        <v>1114780.8</v>
      </c>
      <c r="AG119" s="55"/>
      <c r="AH119" s="16"/>
      <c r="AI119" s="16"/>
      <c r="AJ119" s="16"/>
      <c r="AK119" s="16"/>
      <c r="AL119" s="16"/>
      <c r="AM119" s="48">
        <v>42886</v>
      </c>
      <c r="AN119" s="54">
        <v>4.4370333333333329</v>
      </c>
      <c r="AO119" s="16"/>
    </row>
    <row r="120" spans="1:41" x14ac:dyDescent="0.3">
      <c r="A120" s="8">
        <v>42855</v>
      </c>
      <c r="B120" s="9">
        <f t="shared" si="32"/>
        <v>4.2873052631578954</v>
      </c>
      <c r="C120" s="9">
        <f t="shared" si="38"/>
        <v>31.590447005630608</v>
      </c>
      <c r="D120" s="7">
        <v>0</v>
      </c>
      <c r="E120" s="7">
        <v>1</v>
      </c>
      <c r="F120" s="7">
        <v>1</v>
      </c>
      <c r="G120" s="7">
        <v>0</v>
      </c>
      <c r="H120" s="1">
        <f t="shared" si="34"/>
        <v>0</v>
      </c>
      <c r="I120" s="1">
        <f t="shared" si="35"/>
        <v>0</v>
      </c>
      <c r="J120" s="1">
        <f t="shared" si="36"/>
        <v>1</v>
      </c>
      <c r="K120" s="1">
        <f t="shared" si="37"/>
        <v>0</v>
      </c>
      <c r="L120" s="1" t="str">
        <f t="shared" si="33"/>
        <v>紧货币紧信用</v>
      </c>
      <c r="O120" s="48">
        <v>42521</v>
      </c>
      <c r="P120" s="54">
        <v>2.9165952380952378</v>
      </c>
      <c r="R120" s="52">
        <v>40786</v>
      </c>
      <c r="S120" s="53">
        <v>10741</v>
      </c>
      <c r="T120" s="14">
        <f t="shared" si="26"/>
        <v>1419.7</v>
      </c>
      <c r="U120" s="62">
        <f t="shared" si="27"/>
        <v>12160.7</v>
      </c>
      <c r="V120" s="62">
        <f t="shared" si="30"/>
        <v>142839.71</v>
      </c>
      <c r="W120" s="63">
        <f t="shared" si="28"/>
        <v>456049</v>
      </c>
      <c r="X120" s="64">
        <f t="shared" si="31"/>
        <v>31.321132159044314</v>
      </c>
      <c r="Y120" s="63"/>
      <c r="Z120" s="69">
        <v>41305</v>
      </c>
      <c r="AA120" s="67">
        <v>240</v>
      </c>
      <c r="AB120" s="67"/>
      <c r="AC120" s="70">
        <v>44469</v>
      </c>
      <c r="AD120" s="53">
        <v>1142832.5</v>
      </c>
      <c r="AG120" s="55"/>
      <c r="AH120" s="16"/>
      <c r="AI120" s="16"/>
      <c r="AJ120" s="16"/>
      <c r="AK120" s="16"/>
      <c r="AL120" s="16"/>
      <c r="AM120" s="48">
        <v>42855</v>
      </c>
      <c r="AN120" s="54">
        <v>4.2873052631578954</v>
      </c>
      <c r="AO120" s="16"/>
    </row>
    <row r="121" spans="1:41" x14ac:dyDescent="0.3">
      <c r="A121" s="8">
        <v>42825</v>
      </c>
      <c r="B121" s="9">
        <f t="shared" si="32"/>
        <v>4.3482913043478257</v>
      </c>
      <c r="C121" s="9">
        <f t="shared" si="38"/>
        <v>31.649025548587733</v>
      </c>
      <c r="D121" s="7">
        <v>0</v>
      </c>
      <c r="E121" s="7">
        <v>1</v>
      </c>
      <c r="F121" s="7">
        <v>1</v>
      </c>
      <c r="G121" s="7">
        <v>0</v>
      </c>
      <c r="H121" s="1">
        <f t="shared" si="34"/>
        <v>0</v>
      </c>
      <c r="I121" s="1">
        <f t="shared" si="35"/>
        <v>0</v>
      </c>
      <c r="J121" s="1">
        <f t="shared" si="36"/>
        <v>1</v>
      </c>
      <c r="K121" s="1">
        <f t="shared" si="37"/>
        <v>0</v>
      </c>
      <c r="L121" s="1" t="str">
        <f t="shared" si="33"/>
        <v>紧货币紧信用</v>
      </c>
      <c r="O121" s="48">
        <v>42490</v>
      </c>
      <c r="P121" s="54">
        <v>2.8587600000000002</v>
      </c>
      <c r="R121" s="52">
        <v>40816</v>
      </c>
      <c r="S121" s="53">
        <v>4279</v>
      </c>
      <c r="T121" s="14">
        <f t="shared" si="26"/>
        <v>411.85</v>
      </c>
      <c r="U121" s="62">
        <f t="shared" si="27"/>
        <v>4690.8500000000004</v>
      </c>
      <c r="V121" s="62">
        <f t="shared" si="30"/>
        <v>135440.46</v>
      </c>
      <c r="W121" s="63">
        <f t="shared" si="28"/>
        <v>476817.6</v>
      </c>
      <c r="X121" s="64">
        <f t="shared" si="31"/>
        <v>28.40508823499804</v>
      </c>
      <c r="Y121" s="63"/>
      <c r="Z121" s="69">
        <v>41274</v>
      </c>
      <c r="AA121" s="67">
        <v>510.1</v>
      </c>
      <c r="AB121" s="67"/>
      <c r="AC121" s="70">
        <v>44561</v>
      </c>
      <c r="AD121" s="53">
        <v>1173823</v>
      </c>
      <c r="AG121" s="55"/>
      <c r="AH121" s="16"/>
      <c r="AI121" s="16"/>
      <c r="AJ121" s="16"/>
      <c r="AK121" s="16"/>
      <c r="AL121" s="16"/>
      <c r="AM121" s="48">
        <v>42825</v>
      </c>
      <c r="AN121" s="54">
        <v>4.3482913043478257</v>
      </c>
      <c r="AO121" s="16"/>
    </row>
    <row r="122" spans="1:41" x14ac:dyDescent="0.3">
      <c r="A122" s="8">
        <v>42794</v>
      </c>
      <c r="B122" s="9">
        <f t="shared" si="32"/>
        <v>4.1763947368421048</v>
      </c>
      <c r="C122" s="9">
        <f t="shared" si="38"/>
        <v>33.354062155335399</v>
      </c>
      <c r="D122" s="7">
        <v>0</v>
      </c>
      <c r="E122" s="7">
        <v>1</v>
      </c>
      <c r="F122" s="7">
        <v>1</v>
      </c>
      <c r="G122" s="7">
        <v>0</v>
      </c>
      <c r="H122" s="1">
        <f t="shared" si="34"/>
        <v>0</v>
      </c>
      <c r="I122" s="1">
        <f t="shared" si="35"/>
        <v>0</v>
      </c>
      <c r="J122" s="1">
        <f t="shared" si="36"/>
        <v>1</v>
      </c>
      <c r="K122" s="1">
        <f t="shared" si="37"/>
        <v>0</v>
      </c>
      <c r="L122" s="1" t="str">
        <f t="shared" si="33"/>
        <v>紧货币紧信用</v>
      </c>
      <c r="O122" s="48">
        <v>42460</v>
      </c>
      <c r="P122" s="54">
        <v>2.8105217391304351</v>
      </c>
      <c r="R122" s="52">
        <v>40847</v>
      </c>
      <c r="S122" s="53">
        <v>7908</v>
      </c>
      <c r="T122" s="14">
        <f t="shared" si="26"/>
        <v>335.74</v>
      </c>
      <c r="U122" s="62">
        <f t="shared" si="27"/>
        <v>8243.74</v>
      </c>
      <c r="V122" s="62">
        <f t="shared" si="30"/>
        <v>134336.43</v>
      </c>
      <c r="W122" s="63">
        <f t="shared" si="28"/>
        <v>476817.6</v>
      </c>
      <c r="X122" s="64">
        <f t="shared" si="31"/>
        <v>28.173546865719722</v>
      </c>
      <c r="Y122" s="63"/>
      <c r="Z122" s="69">
        <v>41243</v>
      </c>
      <c r="AA122" s="67">
        <v>355.56</v>
      </c>
      <c r="AB122" s="67"/>
      <c r="AC122" s="70">
        <v>44651</v>
      </c>
      <c r="AD122" s="53">
        <v>1195943.6000000001</v>
      </c>
      <c r="AG122" s="55"/>
      <c r="AH122" s="16"/>
      <c r="AI122" s="16"/>
      <c r="AJ122" s="16"/>
      <c r="AK122" s="16"/>
      <c r="AL122" s="16"/>
      <c r="AM122" s="48">
        <v>42794</v>
      </c>
      <c r="AN122" s="54">
        <v>4.1763947368421048</v>
      </c>
      <c r="AO122" s="16"/>
    </row>
    <row r="123" spans="1:41" x14ac:dyDescent="0.3">
      <c r="A123" s="8">
        <v>42766</v>
      </c>
      <c r="B123" s="9">
        <f t="shared" ref="B123:B154" si="39">VLOOKUP(A123,O:P,2,0)</f>
        <v>3.6514315789473679</v>
      </c>
      <c r="C123" s="9">
        <f t="shared" si="38"/>
        <v>33.032880479967694</v>
      </c>
      <c r="D123" s="7">
        <v>0</v>
      </c>
      <c r="E123" s="7">
        <v>1</v>
      </c>
      <c r="F123" s="7">
        <v>1</v>
      </c>
      <c r="G123" s="7">
        <v>0</v>
      </c>
      <c r="H123" s="1">
        <f t="shared" si="34"/>
        <v>0</v>
      </c>
      <c r="I123" s="1">
        <f t="shared" si="35"/>
        <v>0</v>
      </c>
      <c r="J123" s="1">
        <f t="shared" si="36"/>
        <v>1</v>
      </c>
      <c r="K123" s="1">
        <f t="shared" si="37"/>
        <v>0</v>
      </c>
      <c r="L123" s="1" t="str">
        <f t="shared" si="33"/>
        <v>紧货币紧信用</v>
      </c>
      <c r="O123" s="48">
        <v>42429</v>
      </c>
      <c r="P123" s="54">
        <v>2.9994166666666668</v>
      </c>
      <c r="R123" s="52">
        <v>40877</v>
      </c>
      <c r="S123" s="53">
        <v>9581</v>
      </c>
      <c r="T123" s="14">
        <f t="shared" si="26"/>
        <v>198.1</v>
      </c>
      <c r="U123" s="62">
        <f t="shared" si="27"/>
        <v>9779.1</v>
      </c>
      <c r="V123" s="62">
        <f t="shared" si="30"/>
        <v>133023.93</v>
      </c>
      <c r="W123" s="63">
        <f t="shared" si="28"/>
        <v>476817.6</v>
      </c>
      <c r="X123" s="64">
        <f t="shared" si="31"/>
        <v>27.898284375408959</v>
      </c>
      <c r="Y123" s="63"/>
      <c r="Z123" s="69">
        <v>41213</v>
      </c>
      <c r="AA123" s="67">
        <v>705.2</v>
      </c>
      <c r="AB123" s="67"/>
      <c r="AC123" s="70">
        <v>44742</v>
      </c>
      <c r="AD123" s="53">
        <v>1207075.8999999999</v>
      </c>
      <c r="AG123" s="55"/>
      <c r="AH123" s="16"/>
      <c r="AI123" s="16"/>
      <c r="AJ123" s="16"/>
      <c r="AK123" s="16"/>
      <c r="AL123" s="16"/>
      <c r="AM123" s="48">
        <v>42766</v>
      </c>
      <c r="AN123" s="54">
        <v>3.6514315789473679</v>
      </c>
      <c r="AO123" s="16"/>
    </row>
    <row r="124" spans="1:41" x14ac:dyDescent="0.3">
      <c r="A124" s="8">
        <v>42735</v>
      </c>
      <c r="B124" s="9">
        <f t="shared" si="39"/>
        <v>3.1734818181818181</v>
      </c>
      <c r="C124" s="9">
        <f t="shared" si="38"/>
        <v>32.755411131659265</v>
      </c>
      <c r="D124" s="7">
        <v>0</v>
      </c>
      <c r="E124" s="7">
        <v>1</v>
      </c>
      <c r="F124" s="7">
        <v>0</v>
      </c>
      <c r="G124" s="7">
        <v>1</v>
      </c>
      <c r="H124" s="1">
        <f t="shared" si="34"/>
        <v>1</v>
      </c>
      <c r="I124" s="1">
        <f t="shared" si="35"/>
        <v>0</v>
      </c>
      <c r="J124" s="1">
        <f t="shared" si="36"/>
        <v>0</v>
      </c>
      <c r="K124" s="1">
        <f t="shared" si="37"/>
        <v>0</v>
      </c>
      <c r="L124" s="1" t="str">
        <f t="shared" si="33"/>
        <v>宽货币紧信用</v>
      </c>
      <c r="O124" s="48">
        <v>42400</v>
      </c>
      <c r="P124" s="54">
        <v>3.0480049999999999</v>
      </c>
      <c r="R124" s="52">
        <v>40908</v>
      </c>
      <c r="S124" s="53">
        <v>12744</v>
      </c>
      <c r="T124" s="14">
        <f t="shared" si="26"/>
        <v>520</v>
      </c>
      <c r="U124" s="62">
        <f t="shared" si="27"/>
        <v>13264</v>
      </c>
      <c r="V124" s="62">
        <f t="shared" si="30"/>
        <v>134471.13</v>
      </c>
      <c r="W124" s="63">
        <f t="shared" si="28"/>
        <v>495707.5</v>
      </c>
      <c r="X124" s="64">
        <f t="shared" si="31"/>
        <v>27.127112258741292</v>
      </c>
      <c r="Y124" s="63"/>
      <c r="Z124" s="69">
        <v>41182</v>
      </c>
      <c r="AA124" s="67">
        <v>1005.72</v>
      </c>
      <c r="AB124" s="67"/>
      <c r="AC124" s="70">
        <v>44834</v>
      </c>
      <c r="AD124" s="53">
        <v>1224513.6000000001</v>
      </c>
      <c r="AG124" s="55"/>
      <c r="AH124" s="16"/>
      <c r="AI124" s="16"/>
      <c r="AJ124" s="16"/>
      <c r="AK124" s="16"/>
      <c r="AL124" s="16"/>
      <c r="AM124" s="48">
        <v>42735</v>
      </c>
      <c r="AN124" s="54">
        <v>3.1734818181818181</v>
      </c>
      <c r="AO124" s="16"/>
    </row>
    <row r="125" spans="1:41" x14ac:dyDescent="0.3">
      <c r="A125" s="8">
        <v>42704</v>
      </c>
      <c r="B125" s="9">
        <f t="shared" si="39"/>
        <v>2.9201045454545449</v>
      </c>
      <c r="C125" s="9">
        <f t="shared" si="38"/>
        <v>33.860732240351723</v>
      </c>
      <c r="D125" s="7">
        <v>1</v>
      </c>
      <c r="E125" s="7">
        <v>0</v>
      </c>
      <c r="F125" s="7">
        <v>0</v>
      </c>
      <c r="G125" s="7">
        <v>1</v>
      </c>
      <c r="H125" s="1">
        <f t="shared" si="34"/>
        <v>0</v>
      </c>
      <c r="I125" s="1">
        <f t="shared" si="35"/>
        <v>1</v>
      </c>
      <c r="J125" s="1">
        <f t="shared" si="36"/>
        <v>0</v>
      </c>
      <c r="K125" s="1">
        <f t="shared" si="37"/>
        <v>0</v>
      </c>
      <c r="L125" s="1" t="str">
        <f t="shared" si="33"/>
        <v>宽货币宽信用</v>
      </c>
      <c r="O125" s="48">
        <v>42369</v>
      </c>
      <c r="P125" s="54">
        <v>3.0591217391304348</v>
      </c>
      <c r="R125" s="52">
        <v>40939</v>
      </c>
      <c r="S125" s="53">
        <v>9754</v>
      </c>
      <c r="T125" s="14">
        <f t="shared" si="26"/>
        <v>-714.7</v>
      </c>
      <c r="U125" s="62">
        <f t="shared" si="27"/>
        <v>9039.2999999999993</v>
      </c>
      <c r="V125" s="62">
        <f t="shared" si="30"/>
        <v>126168.53000000001</v>
      </c>
      <c r="W125" s="63">
        <f t="shared" si="28"/>
        <v>495707.5</v>
      </c>
      <c r="X125" s="64">
        <f t="shared" si="31"/>
        <v>25.452213250757762</v>
      </c>
      <c r="Y125" s="63"/>
      <c r="Z125" s="69">
        <v>41152</v>
      </c>
      <c r="AA125" s="67">
        <v>1465.2</v>
      </c>
      <c r="AB125" s="67"/>
      <c r="AC125" s="70">
        <v>44926</v>
      </c>
      <c r="AD125" s="53">
        <v>1234029.3</v>
      </c>
      <c r="AG125" s="55"/>
      <c r="AH125" s="16"/>
      <c r="AI125" s="16"/>
      <c r="AJ125" s="16"/>
      <c r="AK125" s="16"/>
      <c r="AL125" s="16"/>
      <c r="AM125" s="48">
        <v>42704</v>
      </c>
      <c r="AN125" s="54">
        <v>2.9201045454545449</v>
      </c>
      <c r="AO125" s="16"/>
    </row>
    <row r="126" spans="1:41" x14ac:dyDescent="0.3">
      <c r="A126" s="8">
        <v>42674</v>
      </c>
      <c r="B126" s="9">
        <f t="shared" si="39"/>
        <v>2.8082777777777781</v>
      </c>
      <c r="C126" s="9">
        <f t="shared" si="38"/>
        <v>33.343690065121159</v>
      </c>
      <c r="D126" s="7">
        <v>1</v>
      </c>
      <c r="E126" s="7">
        <v>0</v>
      </c>
      <c r="F126" s="7">
        <v>0</v>
      </c>
      <c r="G126" s="7">
        <v>1</v>
      </c>
      <c r="H126" s="1">
        <f t="shared" si="34"/>
        <v>0</v>
      </c>
      <c r="I126" s="1">
        <f t="shared" si="35"/>
        <v>1</v>
      </c>
      <c r="J126" s="1">
        <f t="shared" si="36"/>
        <v>0</v>
      </c>
      <c r="K126" s="1">
        <f t="shared" si="37"/>
        <v>0</v>
      </c>
      <c r="L126" s="1" t="str">
        <f t="shared" si="33"/>
        <v>宽货币宽信用</v>
      </c>
      <c r="O126" s="48">
        <v>42338</v>
      </c>
      <c r="P126" s="54">
        <v>3.0417666666666672</v>
      </c>
      <c r="R126" s="52">
        <v>40968</v>
      </c>
      <c r="S126" s="53">
        <v>10431</v>
      </c>
      <c r="T126" s="14">
        <f t="shared" si="26"/>
        <v>840</v>
      </c>
      <c r="U126" s="62">
        <f t="shared" si="27"/>
        <v>11271</v>
      </c>
      <c r="V126" s="62">
        <f t="shared" si="30"/>
        <v>130880.73000000003</v>
      </c>
      <c r="W126" s="63">
        <f t="shared" si="28"/>
        <v>495707.5</v>
      </c>
      <c r="X126" s="64">
        <f t="shared" si="31"/>
        <v>26.402814159559828</v>
      </c>
      <c r="Y126" s="63"/>
      <c r="Z126" s="69">
        <v>41121</v>
      </c>
      <c r="AA126" s="67">
        <v>1192.3900000000001</v>
      </c>
      <c r="AB126" s="67"/>
      <c r="AC126" s="70">
        <v>45016</v>
      </c>
      <c r="AD126" s="53">
        <v>1249222.3</v>
      </c>
      <c r="AG126" s="55"/>
      <c r="AH126" s="16"/>
      <c r="AI126" s="16"/>
      <c r="AJ126" s="16"/>
      <c r="AK126" s="16"/>
      <c r="AL126" s="16"/>
      <c r="AM126" s="48">
        <v>42674</v>
      </c>
      <c r="AN126" s="54">
        <v>2.8082777777777781</v>
      </c>
      <c r="AO126" s="16"/>
    </row>
    <row r="127" spans="1:41" x14ac:dyDescent="0.3">
      <c r="A127" s="8">
        <v>42643</v>
      </c>
      <c r="B127" s="9">
        <f t="shared" si="39"/>
        <v>2.79327619047619</v>
      </c>
      <c r="C127" s="9">
        <f t="shared" si="38"/>
        <v>33.022303504983221</v>
      </c>
      <c r="D127" s="7">
        <v>1</v>
      </c>
      <c r="E127" s="7">
        <v>0</v>
      </c>
      <c r="F127" s="7">
        <v>0</v>
      </c>
      <c r="G127" s="7">
        <v>1</v>
      </c>
      <c r="H127" s="1">
        <f t="shared" si="34"/>
        <v>0</v>
      </c>
      <c r="I127" s="1">
        <f t="shared" si="35"/>
        <v>1</v>
      </c>
      <c r="J127" s="1">
        <f t="shared" si="36"/>
        <v>0</v>
      </c>
      <c r="K127" s="1">
        <f t="shared" si="37"/>
        <v>0</v>
      </c>
      <c r="L127" s="1" t="str">
        <f t="shared" si="33"/>
        <v>宽货币宽信用</v>
      </c>
      <c r="O127" s="48">
        <v>42308</v>
      </c>
      <c r="P127" s="54">
        <v>3.1360333333333328</v>
      </c>
      <c r="R127" s="52">
        <v>40999</v>
      </c>
      <c r="S127" s="53">
        <v>18704</v>
      </c>
      <c r="T127" s="14">
        <f t="shared" si="26"/>
        <v>-173.5</v>
      </c>
      <c r="U127" s="62">
        <f t="shared" si="27"/>
        <v>18530.5</v>
      </c>
      <c r="V127" s="62">
        <f t="shared" si="30"/>
        <v>131094.33000000002</v>
      </c>
      <c r="W127" s="63">
        <f t="shared" si="28"/>
        <v>508866.1</v>
      </c>
      <c r="X127" s="64">
        <f t="shared" si="31"/>
        <v>25.762048208752759</v>
      </c>
      <c r="Y127" s="63"/>
      <c r="Z127" s="69">
        <v>41090</v>
      </c>
      <c r="AA127" s="67">
        <v>766.9</v>
      </c>
      <c r="AB127" s="67"/>
      <c r="AC127" s="70">
        <v>45107</v>
      </c>
      <c r="AD127" s="53">
        <v>1266348.3</v>
      </c>
      <c r="AG127" s="55"/>
      <c r="AH127" s="16"/>
      <c r="AI127" s="16"/>
      <c r="AJ127" s="16"/>
      <c r="AK127" s="16"/>
      <c r="AL127" s="16"/>
      <c r="AM127" s="48">
        <v>42643</v>
      </c>
      <c r="AN127" s="54">
        <v>2.79327619047619</v>
      </c>
      <c r="AO127" s="16"/>
    </row>
    <row r="128" spans="1:41" x14ac:dyDescent="0.3">
      <c r="A128" s="8">
        <v>42613</v>
      </c>
      <c r="B128" s="9">
        <f t="shared" si="39"/>
        <v>2.8061826086956518</v>
      </c>
      <c r="C128" s="9">
        <f t="shared" si="38"/>
        <v>33.482254569847299</v>
      </c>
      <c r="D128" s="7">
        <v>1</v>
      </c>
      <c r="E128" s="7">
        <v>0</v>
      </c>
      <c r="F128" s="7">
        <v>0</v>
      </c>
      <c r="G128" s="7">
        <v>1</v>
      </c>
      <c r="H128" s="1">
        <f t="shared" si="34"/>
        <v>0</v>
      </c>
      <c r="I128" s="1">
        <f t="shared" si="35"/>
        <v>1</v>
      </c>
      <c r="J128" s="1">
        <f t="shared" si="36"/>
        <v>0</v>
      </c>
      <c r="K128" s="1">
        <f t="shared" si="37"/>
        <v>0</v>
      </c>
      <c r="L128" s="1" t="str">
        <f t="shared" si="33"/>
        <v>宽货币宽信用</v>
      </c>
      <c r="O128" s="48">
        <v>42277</v>
      </c>
      <c r="P128" s="54">
        <v>3.122757142857143</v>
      </c>
      <c r="R128" s="52">
        <v>41029</v>
      </c>
      <c r="S128" s="53">
        <v>9637</v>
      </c>
      <c r="T128" s="14">
        <f t="shared" si="26"/>
        <v>154.19</v>
      </c>
      <c r="U128" s="62">
        <f t="shared" si="27"/>
        <v>9791.19</v>
      </c>
      <c r="V128" s="62">
        <f t="shared" si="30"/>
        <v>126667.52</v>
      </c>
      <c r="W128" s="63">
        <f t="shared" si="28"/>
        <v>508866.1</v>
      </c>
      <c r="X128" s="64">
        <f t="shared" si="31"/>
        <v>24.892112089997745</v>
      </c>
      <c r="Y128" s="63"/>
      <c r="Z128" s="69">
        <v>41060</v>
      </c>
      <c r="AA128" s="67">
        <v>-457.77</v>
      </c>
      <c r="AB128" s="67"/>
      <c r="AC128" s="70">
        <v>45199</v>
      </c>
      <c r="AD128" s="53">
        <v>1279389.3999999999</v>
      </c>
      <c r="AG128" s="55"/>
      <c r="AH128" s="16"/>
      <c r="AI128" s="16"/>
      <c r="AJ128" s="16"/>
      <c r="AK128" s="16"/>
      <c r="AL128" s="16"/>
      <c r="AM128" s="48">
        <v>42613</v>
      </c>
      <c r="AN128" s="54">
        <v>2.8061826086956518</v>
      </c>
      <c r="AO128" s="16"/>
    </row>
    <row r="129" spans="1:41" x14ac:dyDescent="0.3">
      <c r="A129" s="8">
        <v>42582</v>
      </c>
      <c r="B129" s="9">
        <f t="shared" si="39"/>
        <v>2.8957999999999999</v>
      </c>
      <c r="C129" s="9">
        <f t="shared" si="38"/>
        <v>32.508756095032034</v>
      </c>
      <c r="D129" s="7">
        <v>1</v>
      </c>
      <c r="E129" s="7">
        <v>0</v>
      </c>
      <c r="F129" s="7">
        <v>0</v>
      </c>
      <c r="G129" s="7">
        <v>1</v>
      </c>
      <c r="H129" s="1">
        <f t="shared" si="34"/>
        <v>0</v>
      </c>
      <c r="I129" s="1">
        <f t="shared" si="35"/>
        <v>1</v>
      </c>
      <c r="J129" s="1">
        <f t="shared" si="36"/>
        <v>0</v>
      </c>
      <c r="K129" s="1">
        <f t="shared" si="37"/>
        <v>0</v>
      </c>
      <c r="L129" s="1" t="str">
        <f t="shared" si="33"/>
        <v>宽货币宽信用</v>
      </c>
      <c r="O129" s="48">
        <v>42247</v>
      </c>
      <c r="P129" s="54">
        <v>3.1092523809523809</v>
      </c>
      <c r="R129" s="52">
        <v>41060</v>
      </c>
      <c r="S129" s="53">
        <v>11432</v>
      </c>
      <c r="T129" s="14">
        <f t="shared" si="26"/>
        <v>-457.77</v>
      </c>
      <c r="U129" s="62">
        <f t="shared" si="27"/>
        <v>10974.23</v>
      </c>
      <c r="V129" s="62">
        <f t="shared" si="30"/>
        <v>126347.04000000001</v>
      </c>
      <c r="W129" s="63">
        <f t="shared" si="28"/>
        <v>508866.1</v>
      </c>
      <c r="X129" s="64">
        <f t="shared" si="31"/>
        <v>24.82913285046892</v>
      </c>
      <c r="Y129" s="63"/>
      <c r="Z129" s="69">
        <v>41029</v>
      </c>
      <c r="AA129" s="67">
        <v>154.19</v>
      </c>
      <c r="AB129" s="67"/>
      <c r="AC129" s="70">
        <v>45291</v>
      </c>
      <c r="AD129" s="53">
        <v>1294271.8</v>
      </c>
      <c r="AG129" s="55"/>
      <c r="AH129" s="16"/>
      <c r="AI129" s="16"/>
      <c r="AJ129" s="16"/>
      <c r="AK129" s="16"/>
      <c r="AL129" s="16"/>
      <c r="AM129" s="48">
        <v>42582</v>
      </c>
      <c r="AN129" s="54">
        <v>2.8957999999999999</v>
      </c>
      <c r="AO129" s="16"/>
    </row>
    <row r="130" spans="1:41" x14ac:dyDescent="0.3">
      <c r="A130" s="8">
        <v>42551</v>
      </c>
      <c r="B130" s="9">
        <f t="shared" si="39"/>
        <v>2.954042857142857</v>
      </c>
      <c r="C130" s="9">
        <f t="shared" si="38"/>
        <v>33.08437984484398</v>
      </c>
      <c r="D130" s="7">
        <v>1</v>
      </c>
      <c r="E130" s="7">
        <v>0</v>
      </c>
      <c r="F130" s="7">
        <v>0</v>
      </c>
      <c r="G130" s="7">
        <v>1</v>
      </c>
      <c r="H130" s="1">
        <f t="shared" si="34"/>
        <v>0</v>
      </c>
      <c r="I130" s="1">
        <f t="shared" si="35"/>
        <v>1</v>
      </c>
      <c r="J130" s="1">
        <f t="shared" si="36"/>
        <v>0</v>
      </c>
      <c r="K130" s="1">
        <f t="shared" si="37"/>
        <v>0</v>
      </c>
      <c r="L130" s="1" t="str">
        <f t="shared" si="33"/>
        <v>宽货币宽信用</v>
      </c>
      <c r="O130" s="48">
        <v>42216</v>
      </c>
      <c r="P130" s="54">
        <v>3.1721826086956519</v>
      </c>
      <c r="R130" s="52">
        <v>41090</v>
      </c>
      <c r="S130" s="53">
        <v>17802</v>
      </c>
      <c r="T130" s="14">
        <f t="shared" si="26"/>
        <v>766.9</v>
      </c>
      <c r="U130" s="62">
        <f t="shared" si="27"/>
        <v>18568.900000000001</v>
      </c>
      <c r="V130" s="62">
        <f t="shared" si="30"/>
        <v>132860.44</v>
      </c>
      <c r="W130" s="63">
        <f t="shared" si="28"/>
        <v>521580.5</v>
      </c>
      <c r="X130" s="64">
        <f t="shared" si="31"/>
        <v>25.472662417402493</v>
      </c>
      <c r="Y130" s="63"/>
      <c r="Z130" s="69">
        <v>40999</v>
      </c>
      <c r="AA130" s="67">
        <v>-173.5</v>
      </c>
      <c r="AB130" s="67"/>
      <c r="AC130" s="70">
        <v>45382</v>
      </c>
      <c r="AD130" s="53">
        <v>1306428.2</v>
      </c>
      <c r="AG130" s="55"/>
      <c r="AH130" s="16"/>
      <c r="AI130" s="16"/>
      <c r="AJ130" s="16"/>
      <c r="AK130" s="16"/>
      <c r="AL130" s="16"/>
      <c r="AM130" s="48">
        <v>42551</v>
      </c>
      <c r="AN130" s="54">
        <v>2.954042857142857</v>
      </c>
      <c r="AO130" s="16"/>
    </row>
    <row r="131" spans="1:41" x14ac:dyDescent="0.3">
      <c r="A131" s="8">
        <v>42521</v>
      </c>
      <c r="B131" s="9">
        <f t="shared" si="39"/>
        <v>2.9165952380952378</v>
      </c>
      <c r="C131" s="9">
        <f t="shared" si="38"/>
        <v>33.504246302281246</v>
      </c>
      <c r="D131" s="7">
        <v>1</v>
      </c>
      <c r="E131" s="7">
        <v>0</v>
      </c>
      <c r="F131" s="7">
        <v>0</v>
      </c>
      <c r="G131" s="7">
        <v>1</v>
      </c>
      <c r="H131" s="1">
        <f t="shared" si="34"/>
        <v>0</v>
      </c>
      <c r="I131" s="1">
        <f t="shared" si="35"/>
        <v>1</v>
      </c>
      <c r="J131" s="1">
        <f t="shared" si="36"/>
        <v>0</v>
      </c>
      <c r="K131" s="1">
        <f t="shared" si="37"/>
        <v>0</v>
      </c>
      <c r="L131" s="1" t="str">
        <f t="shared" ref="L131:L162" si="40">INDEX($H$3:$K$3,1,MATCH(1,H131:K131,0))</f>
        <v>宽货币宽信用</v>
      </c>
      <c r="O131" s="48">
        <v>42185</v>
      </c>
      <c r="P131" s="54">
        <v>3.0175714285714288</v>
      </c>
      <c r="R131" s="52">
        <v>41121</v>
      </c>
      <c r="S131" s="53">
        <v>10522</v>
      </c>
      <c r="T131" s="14">
        <f t="shared" si="26"/>
        <v>1192.3900000000001</v>
      </c>
      <c r="U131" s="62">
        <f t="shared" si="27"/>
        <v>11714.39</v>
      </c>
      <c r="V131" s="62">
        <f t="shared" si="30"/>
        <v>138027.90000000002</v>
      </c>
      <c r="W131" s="63">
        <f t="shared" si="28"/>
        <v>521580.5</v>
      </c>
      <c r="X131" s="64">
        <f t="shared" si="31"/>
        <v>26.463393474257575</v>
      </c>
      <c r="Y131" s="63"/>
      <c r="Z131" s="69">
        <v>40968</v>
      </c>
      <c r="AA131" s="67">
        <v>840</v>
      </c>
      <c r="AB131" s="67"/>
      <c r="AC131" s="70">
        <v>45473</v>
      </c>
      <c r="AD131" s="53">
        <v>1318776.1000000001</v>
      </c>
      <c r="AG131" s="55"/>
      <c r="AH131" s="16"/>
      <c r="AI131" s="16"/>
      <c r="AJ131" s="16"/>
      <c r="AK131" s="16"/>
      <c r="AL131" s="16"/>
      <c r="AM131" s="48">
        <v>42521</v>
      </c>
      <c r="AN131" s="54">
        <v>2.9165952380952378</v>
      </c>
      <c r="AO131" s="16"/>
    </row>
    <row r="132" spans="1:41" x14ac:dyDescent="0.3">
      <c r="A132" s="8">
        <v>42490</v>
      </c>
      <c r="B132" s="9">
        <f t="shared" si="39"/>
        <v>2.8587600000000002</v>
      </c>
      <c r="C132" s="9">
        <f t="shared" si="38"/>
        <v>33.620207711958706</v>
      </c>
      <c r="D132" s="7">
        <v>1</v>
      </c>
      <c r="E132" s="7">
        <v>0</v>
      </c>
      <c r="F132" s="7">
        <v>0</v>
      </c>
      <c r="G132" s="7">
        <v>1</v>
      </c>
      <c r="H132" s="1">
        <f t="shared" si="34"/>
        <v>0</v>
      </c>
      <c r="I132" s="1">
        <f t="shared" si="35"/>
        <v>1</v>
      </c>
      <c r="J132" s="1">
        <f t="shared" si="36"/>
        <v>0</v>
      </c>
      <c r="K132" s="1">
        <f t="shared" si="37"/>
        <v>0</v>
      </c>
      <c r="L132" s="1" t="str">
        <f t="shared" si="40"/>
        <v>宽货币宽信用</v>
      </c>
      <c r="O132" s="48">
        <v>42155</v>
      </c>
      <c r="P132" s="54">
        <v>3.34545</v>
      </c>
      <c r="R132" s="52">
        <v>41152</v>
      </c>
      <c r="S132" s="53">
        <v>12475</v>
      </c>
      <c r="T132" s="14">
        <f t="shared" si="26"/>
        <v>1465.2</v>
      </c>
      <c r="U132" s="62">
        <f t="shared" si="27"/>
        <v>13940.2</v>
      </c>
      <c r="V132" s="62">
        <f t="shared" si="30"/>
        <v>139807.4</v>
      </c>
      <c r="W132" s="63">
        <f t="shared" si="28"/>
        <v>521580.5</v>
      </c>
      <c r="X132" s="64">
        <f t="shared" si="31"/>
        <v>26.804568038874148</v>
      </c>
      <c r="Y132" s="63"/>
      <c r="Z132" s="69">
        <v>40939</v>
      </c>
      <c r="AA132" s="67">
        <v>-714.7</v>
      </c>
      <c r="AB132" s="67"/>
      <c r="AC132" s="70">
        <v>45565</v>
      </c>
      <c r="AD132" s="53">
        <v>1331778.6000000001</v>
      </c>
      <c r="AG132" s="55"/>
      <c r="AH132" s="16"/>
      <c r="AI132" s="16"/>
      <c r="AJ132" s="16"/>
      <c r="AK132" s="16"/>
      <c r="AL132" s="16"/>
      <c r="AM132" s="48">
        <v>42490</v>
      </c>
      <c r="AN132" s="54">
        <v>2.8587600000000002</v>
      </c>
      <c r="AO132" s="16"/>
    </row>
    <row r="133" spans="1:41" x14ac:dyDescent="0.3">
      <c r="A133" s="8">
        <v>42460</v>
      </c>
      <c r="B133" s="9">
        <f t="shared" si="39"/>
        <v>2.8105217391304351</v>
      </c>
      <c r="C133" s="9">
        <f t="shared" si="38"/>
        <v>32.414625612365306</v>
      </c>
      <c r="D133" s="7">
        <v>1</v>
      </c>
      <c r="E133" s="7">
        <v>0</v>
      </c>
      <c r="F133" s="7">
        <v>0</v>
      </c>
      <c r="G133" s="7">
        <v>1</v>
      </c>
      <c r="H133" s="1">
        <f t="shared" si="34"/>
        <v>0</v>
      </c>
      <c r="I133" s="1">
        <f t="shared" si="35"/>
        <v>1</v>
      </c>
      <c r="J133" s="1">
        <f t="shared" si="36"/>
        <v>0</v>
      </c>
      <c r="K133" s="1">
        <f t="shared" si="37"/>
        <v>0</v>
      </c>
      <c r="L133" s="1" t="str">
        <f t="shared" si="40"/>
        <v>宽货币宽信用</v>
      </c>
      <c r="O133" s="48">
        <v>42124</v>
      </c>
      <c r="P133" s="54">
        <v>4.5715095238095236</v>
      </c>
      <c r="R133" s="52">
        <v>41182</v>
      </c>
      <c r="S133" s="53">
        <v>16462</v>
      </c>
      <c r="T133" s="14">
        <f t="shared" ref="T133:T196" si="41">VLOOKUP(R133,Z:AA,2,0)</f>
        <v>1005.72</v>
      </c>
      <c r="U133" s="62">
        <f t="shared" ref="U133:U184" si="42">S133+T133</f>
        <v>17467.72</v>
      </c>
      <c r="V133" s="62">
        <f t="shared" si="30"/>
        <v>152584.26999999999</v>
      </c>
      <c r="W133" s="63">
        <f t="shared" ref="W133:W196" si="43">VLOOKUP(R133,AC:AD,2,1)</f>
        <v>533403</v>
      </c>
      <c r="X133" s="64">
        <f t="shared" si="31"/>
        <v>28.605813990547485</v>
      </c>
      <c r="Y133" s="63"/>
      <c r="Z133" s="69">
        <v>40908</v>
      </c>
      <c r="AA133" s="67">
        <v>520</v>
      </c>
      <c r="AB133" s="67"/>
      <c r="AC133" s="70">
        <v>45657</v>
      </c>
      <c r="AD133" s="53">
        <v>1348066.2</v>
      </c>
      <c r="AG133" s="55"/>
      <c r="AH133" s="16"/>
      <c r="AI133" s="16"/>
      <c r="AJ133" s="16"/>
      <c r="AK133" s="16"/>
      <c r="AL133" s="16"/>
      <c r="AM133" s="48">
        <v>42460</v>
      </c>
      <c r="AN133" s="54">
        <v>2.8105217391304351</v>
      </c>
      <c r="AO133" s="16"/>
    </row>
    <row r="134" spans="1:41" x14ac:dyDescent="0.3">
      <c r="A134" s="8">
        <v>42429</v>
      </c>
      <c r="B134" s="9">
        <f t="shared" si="39"/>
        <v>2.9994166666666668</v>
      </c>
      <c r="C134" s="9">
        <f t="shared" si="38"/>
        <v>30.189049588512074</v>
      </c>
      <c r="D134" s="7">
        <v>1</v>
      </c>
      <c r="E134" s="7">
        <v>0</v>
      </c>
      <c r="F134" s="7">
        <v>0</v>
      </c>
      <c r="G134" s="7">
        <v>1</v>
      </c>
      <c r="H134" s="1">
        <f t="shared" si="34"/>
        <v>0</v>
      </c>
      <c r="I134" s="1">
        <f t="shared" si="35"/>
        <v>1</v>
      </c>
      <c r="J134" s="1">
        <f t="shared" si="36"/>
        <v>0</v>
      </c>
      <c r="K134" s="1">
        <f t="shared" si="37"/>
        <v>0</v>
      </c>
      <c r="L134" s="1" t="str">
        <f t="shared" si="40"/>
        <v>宽货币宽信用</v>
      </c>
      <c r="O134" s="48">
        <v>42094</v>
      </c>
      <c r="P134" s="54">
        <v>4.8994909090909093</v>
      </c>
      <c r="R134" s="52">
        <v>41213</v>
      </c>
      <c r="S134" s="53">
        <v>12906</v>
      </c>
      <c r="T134" s="14">
        <f t="shared" si="41"/>
        <v>705.2</v>
      </c>
      <c r="U134" s="62">
        <f t="shared" si="42"/>
        <v>13611.2</v>
      </c>
      <c r="V134" s="62">
        <f t="shared" si="30"/>
        <v>157951.73000000001</v>
      </c>
      <c r="W134" s="63">
        <f t="shared" si="43"/>
        <v>533403</v>
      </c>
      <c r="X134" s="64">
        <f t="shared" si="31"/>
        <v>29.6120812968806</v>
      </c>
      <c r="Y134" s="63"/>
      <c r="Z134" s="69">
        <v>40877</v>
      </c>
      <c r="AA134" s="67">
        <v>198.1</v>
      </c>
      <c r="AB134" s="67"/>
      <c r="AC134" s="70">
        <v>45747</v>
      </c>
      <c r="AD134" s="53">
        <v>1362007.4</v>
      </c>
      <c r="AG134" s="55"/>
      <c r="AH134" s="16"/>
      <c r="AI134" s="16"/>
      <c r="AJ134" s="16"/>
      <c r="AK134" s="16"/>
      <c r="AL134" s="16"/>
      <c r="AM134" s="48">
        <v>42429</v>
      </c>
      <c r="AN134" s="54">
        <v>2.9994166666666668</v>
      </c>
      <c r="AO134" s="16"/>
    </row>
    <row r="135" spans="1:41" x14ac:dyDescent="0.3">
      <c r="A135" s="8">
        <v>42400</v>
      </c>
      <c r="B135" s="9">
        <f t="shared" si="39"/>
        <v>3.0480049999999999</v>
      </c>
      <c r="C135" s="9">
        <f t="shared" si="38"/>
        <v>30.830859722581057</v>
      </c>
      <c r="D135" s="7">
        <v>1</v>
      </c>
      <c r="E135" s="7">
        <v>0</v>
      </c>
      <c r="F135" s="7">
        <v>0</v>
      </c>
      <c r="G135" s="7">
        <v>1</v>
      </c>
      <c r="H135" s="1">
        <f t="shared" si="34"/>
        <v>0</v>
      </c>
      <c r="I135" s="1">
        <f t="shared" si="35"/>
        <v>1</v>
      </c>
      <c r="J135" s="1">
        <f t="shared" si="36"/>
        <v>0</v>
      </c>
      <c r="K135" s="1">
        <f t="shared" si="37"/>
        <v>0</v>
      </c>
      <c r="L135" s="1" t="str">
        <f t="shared" si="40"/>
        <v>宽货币宽信用</v>
      </c>
      <c r="O135" s="48">
        <v>42063</v>
      </c>
      <c r="P135" s="54">
        <v>4.9052411764705877</v>
      </c>
      <c r="R135" s="52">
        <v>41243</v>
      </c>
      <c r="S135" s="53">
        <v>11225</v>
      </c>
      <c r="T135" s="14">
        <f t="shared" si="41"/>
        <v>355.56</v>
      </c>
      <c r="U135" s="62">
        <f t="shared" si="42"/>
        <v>11580.56</v>
      </c>
      <c r="V135" s="62">
        <f t="shared" si="30"/>
        <v>159753.19</v>
      </c>
      <c r="W135" s="63">
        <f t="shared" si="43"/>
        <v>533403</v>
      </c>
      <c r="X135" s="64">
        <f t="shared" si="31"/>
        <v>29.949810930947145</v>
      </c>
      <c r="Y135" s="63"/>
      <c r="Z135" s="69">
        <v>40847</v>
      </c>
      <c r="AA135" s="67">
        <v>335.74</v>
      </c>
      <c r="AB135" s="67"/>
      <c r="AC135" s="70">
        <v>45838</v>
      </c>
      <c r="AD135" s="53">
        <v>1374817.3</v>
      </c>
      <c r="AG135" s="55"/>
      <c r="AH135" s="16"/>
      <c r="AI135" s="16"/>
      <c r="AJ135" s="16"/>
      <c r="AK135" s="16"/>
      <c r="AL135" s="16"/>
      <c r="AM135" s="48">
        <v>42400</v>
      </c>
      <c r="AN135" s="54">
        <v>3.0480049999999999</v>
      </c>
      <c r="AO135" s="16"/>
    </row>
    <row r="136" spans="1:41" x14ac:dyDescent="0.3">
      <c r="A136" s="8">
        <v>42369</v>
      </c>
      <c r="B136" s="9">
        <f t="shared" si="39"/>
        <v>3.0591217391304348</v>
      </c>
      <c r="C136" s="9">
        <f t="shared" si="38"/>
        <v>28.668332845796829</v>
      </c>
      <c r="D136" s="7">
        <v>1</v>
      </c>
      <c r="E136" s="7">
        <v>0</v>
      </c>
      <c r="F136" s="7">
        <v>0</v>
      </c>
      <c r="G136" s="7">
        <v>1</v>
      </c>
      <c r="H136" s="1">
        <f t="shared" si="34"/>
        <v>0</v>
      </c>
      <c r="I136" s="1">
        <f t="shared" si="35"/>
        <v>1</v>
      </c>
      <c r="J136" s="1">
        <f t="shared" si="36"/>
        <v>0</v>
      </c>
      <c r="K136" s="1">
        <f t="shared" si="37"/>
        <v>0</v>
      </c>
      <c r="L136" s="1" t="str">
        <f t="shared" si="40"/>
        <v>宽货币宽信用</v>
      </c>
      <c r="O136" s="48">
        <v>42035</v>
      </c>
      <c r="P136" s="54">
        <v>4.9401714285714293</v>
      </c>
      <c r="R136" s="52">
        <v>41274</v>
      </c>
      <c r="S136" s="53">
        <v>16282</v>
      </c>
      <c r="T136" s="14">
        <f t="shared" si="41"/>
        <v>510.1</v>
      </c>
      <c r="U136" s="62">
        <f t="shared" si="42"/>
        <v>16792.099999999999</v>
      </c>
      <c r="V136" s="62">
        <f t="shared" si="30"/>
        <v>163281.29</v>
      </c>
      <c r="W136" s="63">
        <f t="shared" si="43"/>
        <v>547510.69999999995</v>
      </c>
      <c r="X136" s="64">
        <f t="shared" si="31"/>
        <v>29.822483834562508</v>
      </c>
      <c r="Y136" s="63"/>
      <c r="Z136" s="69">
        <v>40816</v>
      </c>
      <c r="AA136" s="67">
        <v>411.85</v>
      </c>
      <c r="AB136" s="67"/>
      <c r="AC136" s="70">
        <v>45930</v>
      </c>
      <c r="AD136" s="53">
        <v>1387480.3</v>
      </c>
      <c r="AG136" s="55"/>
      <c r="AH136" s="16"/>
      <c r="AI136" s="16"/>
      <c r="AJ136" s="16"/>
      <c r="AK136" s="16"/>
      <c r="AL136" s="16"/>
      <c r="AM136" s="48">
        <v>42369</v>
      </c>
      <c r="AN136" s="54">
        <v>3.0591217391304348</v>
      </c>
      <c r="AO136" s="16"/>
    </row>
    <row r="137" spans="1:41" x14ac:dyDescent="0.3">
      <c r="A137" s="8">
        <v>42338</v>
      </c>
      <c r="B137" s="9">
        <f t="shared" si="39"/>
        <v>3.0417666666666672</v>
      </c>
      <c r="C137" s="9">
        <f t="shared" si="38"/>
        <v>28.812785452154067</v>
      </c>
      <c r="D137" s="7">
        <v>1</v>
      </c>
      <c r="E137" s="7">
        <v>0</v>
      </c>
      <c r="F137" s="7">
        <v>0</v>
      </c>
      <c r="G137" s="7">
        <v>1</v>
      </c>
      <c r="H137" s="1">
        <f t="shared" si="34"/>
        <v>0</v>
      </c>
      <c r="I137" s="1">
        <f t="shared" si="35"/>
        <v>1</v>
      </c>
      <c r="J137" s="1">
        <f t="shared" si="36"/>
        <v>0</v>
      </c>
      <c r="K137" s="1">
        <f t="shared" si="37"/>
        <v>0</v>
      </c>
      <c r="L137" s="1" t="str">
        <f t="shared" si="40"/>
        <v>宽货币宽信用</v>
      </c>
      <c r="O137" s="48">
        <v>42004</v>
      </c>
      <c r="P137" s="54">
        <v>4.655347826086957</v>
      </c>
      <c r="R137" s="52">
        <v>41305</v>
      </c>
      <c r="S137" s="53">
        <v>25446</v>
      </c>
      <c r="T137" s="14">
        <f t="shared" si="41"/>
        <v>240</v>
      </c>
      <c r="U137" s="62">
        <f t="shared" si="42"/>
        <v>25686</v>
      </c>
      <c r="V137" s="62">
        <f t="shared" si="30"/>
        <v>179927.99000000002</v>
      </c>
      <c r="W137" s="63">
        <f t="shared" si="43"/>
        <v>547510.69999999995</v>
      </c>
      <c r="X137" s="64">
        <f t="shared" si="31"/>
        <v>32.862917564898737</v>
      </c>
      <c r="Y137" s="63"/>
      <c r="Z137" s="69">
        <v>40786</v>
      </c>
      <c r="AA137" s="67">
        <v>1419.7</v>
      </c>
      <c r="AB137" s="67"/>
      <c r="AC137" s="70">
        <v>46022</v>
      </c>
      <c r="AD137" s="53">
        <v>1401879.2</v>
      </c>
      <c r="AG137" s="55"/>
      <c r="AH137" s="16"/>
      <c r="AI137" s="16"/>
      <c r="AJ137" s="16"/>
      <c r="AK137" s="16"/>
      <c r="AL137" s="16"/>
      <c r="AM137" s="48">
        <v>42338</v>
      </c>
      <c r="AN137" s="54">
        <v>3.0417666666666672</v>
      </c>
      <c r="AO137" s="16"/>
    </row>
    <row r="138" spans="1:41" x14ac:dyDescent="0.3">
      <c r="A138" s="8">
        <v>42308</v>
      </c>
      <c r="B138" s="9">
        <f t="shared" si="39"/>
        <v>3.1360333333333328</v>
      </c>
      <c r="C138" s="9">
        <f t="shared" si="38"/>
        <v>27.790931236252568</v>
      </c>
      <c r="D138" s="7">
        <v>1</v>
      </c>
      <c r="E138" s="7">
        <v>0</v>
      </c>
      <c r="F138" s="7">
        <v>0</v>
      </c>
      <c r="G138" s="7">
        <v>1</v>
      </c>
      <c r="H138" s="1">
        <f t="shared" si="34"/>
        <v>0</v>
      </c>
      <c r="I138" s="1">
        <f t="shared" si="35"/>
        <v>1</v>
      </c>
      <c r="J138" s="1">
        <f t="shared" si="36"/>
        <v>0</v>
      </c>
      <c r="K138" s="1">
        <f t="shared" si="37"/>
        <v>0</v>
      </c>
      <c r="L138" s="1" t="str">
        <f t="shared" si="40"/>
        <v>宽货币宽信用</v>
      </c>
      <c r="O138" s="48">
        <v>41973</v>
      </c>
      <c r="P138" s="54">
        <v>4.2655200000000004</v>
      </c>
      <c r="R138" s="52">
        <v>41333</v>
      </c>
      <c r="S138" s="53">
        <v>10705</v>
      </c>
      <c r="T138" s="14">
        <f t="shared" si="41"/>
        <v>-280</v>
      </c>
      <c r="U138" s="62">
        <f t="shared" si="42"/>
        <v>10425</v>
      </c>
      <c r="V138" s="62">
        <f t="shared" si="30"/>
        <v>179081.99</v>
      </c>
      <c r="W138" s="63">
        <f t="shared" si="43"/>
        <v>547510.69999999995</v>
      </c>
      <c r="X138" s="64">
        <f t="shared" si="31"/>
        <v>32.708400036748145</v>
      </c>
      <c r="Y138" s="63"/>
      <c r="Z138" s="69">
        <v>40755</v>
      </c>
      <c r="AA138" s="67">
        <v>1153.93</v>
      </c>
      <c r="AB138" s="67"/>
      <c r="AC138" s="67"/>
      <c r="AD138" s="14"/>
      <c r="AG138" s="55"/>
      <c r="AH138" s="16"/>
      <c r="AI138" s="16"/>
      <c r="AJ138" s="16"/>
      <c r="AK138" s="16"/>
      <c r="AL138" s="16"/>
      <c r="AM138" s="48">
        <v>42308</v>
      </c>
      <c r="AN138" s="54">
        <v>3.1360333333333328</v>
      </c>
      <c r="AO138" s="16"/>
    </row>
    <row r="139" spans="1:41" x14ac:dyDescent="0.3">
      <c r="A139" s="8">
        <v>42277</v>
      </c>
      <c r="B139" s="9">
        <f t="shared" si="39"/>
        <v>3.122757142857143</v>
      </c>
      <c r="C139" s="9">
        <f t="shared" si="38"/>
        <v>27.310671196693303</v>
      </c>
      <c r="D139" s="7">
        <v>1</v>
      </c>
      <c r="E139" s="7">
        <v>0</v>
      </c>
      <c r="F139" s="7">
        <v>0</v>
      </c>
      <c r="G139" s="7">
        <v>1</v>
      </c>
      <c r="H139" s="1">
        <f t="shared" si="34"/>
        <v>0</v>
      </c>
      <c r="I139" s="1">
        <f t="shared" si="35"/>
        <v>1</v>
      </c>
      <c r="J139" s="1">
        <f t="shared" si="36"/>
        <v>0</v>
      </c>
      <c r="K139" s="1">
        <f t="shared" si="37"/>
        <v>0</v>
      </c>
      <c r="L139" s="1" t="str">
        <f t="shared" si="40"/>
        <v>宽货币宽信用</v>
      </c>
      <c r="O139" s="48">
        <v>41943</v>
      </c>
      <c r="P139" s="54">
        <v>4.4996789473684213</v>
      </c>
      <c r="R139" s="52">
        <v>41364</v>
      </c>
      <c r="S139" s="53">
        <v>25503</v>
      </c>
      <c r="T139" s="14">
        <f t="shared" si="41"/>
        <v>20</v>
      </c>
      <c r="U139" s="62">
        <f t="shared" si="42"/>
        <v>25523</v>
      </c>
      <c r="V139" s="62">
        <f t="shared" si="30"/>
        <v>186074.49</v>
      </c>
      <c r="W139" s="63">
        <f t="shared" si="43"/>
        <v>560012.9</v>
      </c>
      <c r="X139" s="64">
        <f t="shared" si="31"/>
        <v>33.226822096419561</v>
      </c>
      <c r="Y139" s="63"/>
      <c r="Z139" s="69">
        <v>40724</v>
      </c>
      <c r="AA139" s="67">
        <v>1182.5</v>
      </c>
      <c r="AB139" s="67"/>
      <c r="AC139" s="67"/>
      <c r="AD139" s="14"/>
      <c r="AG139" s="55"/>
      <c r="AH139" s="16"/>
      <c r="AI139" s="16"/>
      <c r="AJ139" s="16"/>
      <c r="AK139" s="16"/>
      <c r="AL139" s="16"/>
      <c r="AM139" s="48">
        <v>42277</v>
      </c>
      <c r="AN139" s="54">
        <v>3.122757142857143</v>
      </c>
      <c r="AO139" s="16"/>
    </row>
    <row r="140" spans="1:41" x14ac:dyDescent="0.3">
      <c r="A140" s="8">
        <v>42247</v>
      </c>
      <c r="B140" s="9">
        <f t="shared" si="39"/>
        <v>3.1092523809523809</v>
      </c>
      <c r="C140" s="9">
        <f t="shared" si="38"/>
        <v>26.752286733462032</v>
      </c>
      <c r="D140" s="7">
        <v>1</v>
      </c>
      <c r="E140" s="7">
        <v>0</v>
      </c>
      <c r="F140" s="7">
        <v>0</v>
      </c>
      <c r="G140" s="7">
        <v>1</v>
      </c>
      <c r="H140" s="1">
        <f t="shared" si="34"/>
        <v>0</v>
      </c>
      <c r="I140" s="1">
        <f t="shared" si="35"/>
        <v>1</v>
      </c>
      <c r="J140" s="1">
        <f t="shared" si="36"/>
        <v>0</v>
      </c>
      <c r="K140" s="1">
        <f t="shared" si="37"/>
        <v>0</v>
      </c>
      <c r="L140" s="1" t="str">
        <f t="shared" si="40"/>
        <v>宽货币宽信用</v>
      </c>
      <c r="O140" s="48">
        <v>41912</v>
      </c>
      <c r="P140" s="54">
        <v>4.616222727272727</v>
      </c>
      <c r="R140" s="52">
        <v>41394</v>
      </c>
      <c r="S140" s="53">
        <v>17629</v>
      </c>
      <c r="T140" s="14">
        <f t="shared" si="41"/>
        <v>1411.1</v>
      </c>
      <c r="U140" s="62">
        <f t="shared" si="42"/>
        <v>19040.099999999999</v>
      </c>
      <c r="V140" s="62">
        <f t="shared" si="30"/>
        <v>195323.4</v>
      </c>
      <c r="W140" s="63">
        <f t="shared" si="43"/>
        <v>560012.9</v>
      </c>
      <c r="X140" s="64">
        <f t="shared" si="31"/>
        <v>34.878375123144487</v>
      </c>
      <c r="Y140" s="63"/>
      <c r="Z140" s="69">
        <v>40694</v>
      </c>
      <c r="AA140" s="67">
        <v>440.71</v>
      </c>
      <c r="AB140" s="67"/>
      <c r="AC140" s="67"/>
      <c r="AD140" s="14"/>
      <c r="AG140" s="55"/>
      <c r="AH140" s="16"/>
      <c r="AI140" s="16"/>
      <c r="AJ140" s="16"/>
      <c r="AK140" s="16"/>
      <c r="AL140" s="16"/>
      <c r="AM140" s="48">
        <v>42247</v>
      </c>
      <c r="AN140" s="54">
        <v>3.1092523809523809</v>
      </c>
      <c r="AO140" s="16"/>
    </row>
    <row r="141" spans="1:41" x14ac:dyDescent="0.3">
      <c r="A141" s="8">
        <v>42216</v>
      </c>
      <c r="B141" s="9">
        <f t="shared" si="39"/>
        <v>3.1721826086956519</v>
      </c>
      <c r="C141" s="9">
        <f t="shared" si="38"/>
        <v>25.93595296089871</v>
      </c>
      <c r="D141" s="7">
        <v>1</v>
      </c>
      <c r="E141" s="7">
        <v>0</v>
      </c>
      <c r="F141" s="7">
        <v>0</v>
      </c>
      <c r="G141" s="7">
        <v>1</v>
      </c>
      <c r="H141" s="1">
        <f t="shared" si="34"/>
        <v>0</v>
      </c>
      <c r="I141" s="1">
        <f t="shared" si="35"/>
        <v>1</v>
      </c>
      <c r="J141" s="1">
        <f t="shared" si="36"/>
        <v>0</v>
      </c>
      <c r="K141" s="1">
        <f t="shared" si="37"/>
        <v>0</v>
      </c>
      <c r="L141" s="1" t="str">
        <f t="shared" si="40"/>
        <v>宽货币宽信用</v>
      </c>
      <c r="O141" s="48">
        <v>41882</v>
      </c>
      <c r="P141" s="54">
        <v>4.6852476190476189</v>
      </c>
      <c r="R141" s="52">
        <v>41425</v>
      </c>
      <c r="S141" s="53">
        <v>11871</v>
      </c>
      <c r="T141" s="14">
        <f t="shared" si="41"/>
        <v>1804.24</v>
      </c>
      <c r="U141" s="62">
        <f t="shared" si="42"/>
        <v>13675.24</v>
      </c>
      <c r="V141" s="62">
        <f t="shared" si="30"/>
        <v>198024.41</v>
      </c>
      <c r="W141" s="63">
        <f t="shared" si="43"/>
        <v>560012.9</v>
      </c>
      <c r="X141" s="64">
        <f t="shared" si="31"/>
        <v>35.360687227026375</v>
      </c>
      <c r="Y141" s="63"/>
      <c r="Z141" s="69">
        <v>40663</v>
      </c>
      <c r="AA141" s="67">
        <v>545</v>
      </c>
      <c r="AB141" s="67"/>
      <c r="AC141" s="67"/>
      <c r="AD141" s="14"/>
      <c r="AG141" s="55"/>
      <c r="AH141" s="16"/>
      <c r="AI141" s="16"/>
      <c r="AJ141" s="16"/>
      <c r="AK141" s="16"/>
      <c r="AL141" s="16"/>
      <c r="AM141" s="48">
        <v>42216</v>
      </c>
      <c r="AN141" s="54">
        <v>3.1721826086956519</v>
      </c>
      <c r="AO141" s="16"/>
    </row>
    <row r="142" spans="1:41" x14ac:dyDescent="0.3">
      <c r="A142" s="8">
        <v>42185</v>
      </c>
      <c r="B142" s="9">
        <f t="shared" si="39"/>
        <v>3.0175714285714288</v>
      </c>
      <c r="C142" s="9">
        <f t="shared" si="38"/>
        <v>24.561572566122038</v>
      </c>
      <c r="D142" s="7">
        <v>1</v>
      </c>
      <c r="E142" s="7">
        <v>0</v>
      </c>
      <c r="F142" s="7">
        <v>0</v>
      </c>
      <c r="G142" s="7">
        <v>1</v>
      </c>
      <c r="H142" s="1">
        <f t="shared" si="34"/>
        <v>0</v>
      </c>
      <c r="I142" s="1">
        <f t="shared" si="35"/>
        <v>1</v>
      </c>
      <c r="J142" s="1">
        <f t="shared" si="36"/>
        <v>0</v>
      </c>
      <c r="K142" s="1">
        <f t="shared" si="37"/>
        <v>0</v>
      </c>
      <c r="L142" s="1" t="str">
        <f t="shared" si="40"/>
        <v>宽货币宽信用</v>
      </c>
      <c r="O142" s="48">
        <v>41851</v>
      </c>
      <c r="P142" s="54">
        <v>4.7455043478260874</v>
      </c>
      <c r="R142" s="52">
        <v>41455</v>
      </c>
      <c r="S142" s="53">
        <v>10375</v>
      </c>
      <c r="T142" s="14">
        <f t="shared" si="41"/>
        <v>877.9</v>
      </c>
      <c r="U142" s="62">
        <f t="shared" si="42"/>
        <v>11252.9</v>
      </c>
      <c r="V142" s="62">
        <f t="shared" si="30"/>
        <v>190708.40999999997</v>
      </c>
      <c r="W142" s="63">
        <f t="shared" si="43"/>
        <v>572635.6</v>
      </c>
      <c r="X142" s="64">
        <f t="shared" si="31"/>
        <v>33.303624503960286</v>
      </c>
      <c r="Y142" s="63"/>
      <c r="Z142" s="69">
        <v>40633</v>
      </c>
      <c r="AA142" s="67">
        <v>104.9</v>
      </c>
      <c r="AB142" s="67"/>
      <c r="AC142" s="67"/>
      <c r="AD142" s="14"/>
      <c r="AG142" s="55"/>
      <c r="AH142" s="16"/>
      <c r="AI142" s="16"/>
      <c r="AJ142" s="16"/>
      <c r="AK142" s="16"/>
      <c r="AL142" s="16"/>
      <c r="AM142" s="48">
        <v>42185</v>
      </c>
      <c r="AN142" s="54">
        <v>3.0175714285714288</v>
      </c>
      <c r="AO142" s="16"/>
    </row>
    <row r="143" spans="1:41" x14ac:dyDescent="0.3">
      <c r="A143" s="8">
        <v>42155</v>
      </c>
      <c r="B143" s="9">
        <f t="shared" si="39"/>
        <v>3.34545</v>
      </c>
      <c r="C143" s="9">
        <f t="shared" si="38"/>
        <v>24.195646976080518</v>
      </c>
      <c r="D143" s="7">
        <v>0</v>
      </c>
      <c r="E143" s="7">
        <v>1</v>
      </c>
      <c r="F143" s="7">
        <v>0</v>
      </c>
      <c r="G143" s="7">
        <v>1</v>
      </c>
      <c r="H143" s="1">
        <f t="shared" si="34"/>
        <v>1</v>
      </c>
      <c r="I143" s="1">
        <f t="shared" si="35"/>
        <v>0</v>
      </c>
      <c r="J143" s="1">
        <f t="shared" si="36"/>
        <v>0</v>
      </c>
      <c r="K143" s="1">
        <f t="shared" si="37"/>
        <v>0</v>
      </c>
      <c r="L143" s="1" t="str">
        <f t="shared" si="40"/>
        <v>宽货币紧信用</v>
      </c>
      <c r="O143" s="48">
        <v>41820</v>
      </c>
      <c r="P143" s="54">
        <v>4.7909899999999999</v>
      </c>
      <c r="R143" s="52">
        <v>41486</v>
      </c>
      <c r="S143" s="53">
        <v>8191</v>
      </c>
      <c r="T143" s="14">
        <f t="shared" si="41"/>
        <v>1607</v>
      </c>
      <c r="U143" s="62">
        <f t="shared" si="42"/>
        <v>9798</v>
      </c>
      <c r="V143" s="62">
        <f t="shared" si="30"/>
        <v>188792.02</v>
      </c>
      <c r="W143" s="63">
        <f t="shared" si="43"/>
        <v>572635.6</v>
      </c>
      <c r="X143" s="64">
        <f t="shared" si="31"/>
        <v>32.968963159118992</v>
      </c>
      <c r="Y143" s="63"/>
      <c r="Z143" s="69">
        <v>40602</v>
      </c>
      <c r="AA143" s="67">
        <v>90.8</v>
      </c>
      <c r="AB143" s="67"/>
      <c r="AC143" s="67"/>
      <c r="AD143" s="14"/>
      <c r="AG143" s="55"/>
      <c r="AH143" s="16"/>
      <c r="AI143" s="16"/>
      <c r="AJ143" s="16"/>
      <c r="AK143" s="16"/>
      <c r="AL143" s="16"/>
      <c r="AM143" s="48">
        <v>42155</v>
      </c>
      <c r="AN143" s="54">
        <v>3.34545</v>
      </c>
      <c r="AO143" s="16"/>
    </row>
    <row r="144" spans="1:41" x14ac:dyDescent="0.3">
      <c r="A144" s="8">
        <v>42124</v>
      </c>
      <c r="B144" s="9">
        <f t="shared" si="39"/>
        <v>4.5715095238095236</v>
      </c>
      <c r="C144" s="9">
        <f t="shared" ref="C144:C175" si="44">VLOOKUP(A144,R:X,7,0)</f>
        <v>24.23928195483024</v>
      </c>
      <c r="D144" s="7">
        <v>0</v>
      </c>
      <c r="E144" s="7">
        <v>1</v>
      </c>
      <c r="F144" s="7">
        <v>0</v>
      </c>
      <c r="G144" s="7">
        <v>1</v>
      </c>
      <c r="H144" s="1">
        <f t="shared" si="34"/>
        <v>1</v>
      </c>
      <c r="I144" s="1">
        <f t="shared" si="35"/>
        <v>0</v>
      </c>
      <c r="J144" s="1">
        <f t="shared" si="36"/>
        <v>0</v>
      </c>
      <c r="K144" s="1">
        <f t="shared" si="37"/>
        <v>0</v>
      </c>
      <c r="L144" s="1" t="str">
        <f t="shared" si="40"/>
        <v>宽货币紧信用</v>
      </c>
      <c r="O144" s="48">
        <v>41790</v>
      </c>
      <c r="P144" s="54">
        <v>5.2250523809523806</v>
      </c>
      <c r="R144" s="52">
        <v>41517</v>
      </c>
      <c r="S144" s="53">
        <v>15841</v>
      </c>
      <c r="T144" s="14">
        <f t="shared" si="41"/>
        <v>1686.3</v>
      </c>
      <c r="U144" s="62">
        <f t="shared" si="42"/>
        <v>17527.3</v>
      </c>
      <c r="V144" s="62">
        <f t="shared" ref="V144:V207" si="45">SUM(U133:U144)</f>
        <v>192379.11999999997</v>
      </c>
      <c r="W144" s="63">
        <f t="shared" si="43"/>
        <v>572635.6</v>
      </c>
      <c r="X144" s="64">
        <f t="shared" ref="X144:X207" si="46">V144/W144*100</f>
        <v>33.595382473601006</v>
      </c>
      <c r="Y144" s="63"/>
      <c r="Z144" s="69">
        <v>40574</v>
      </c>
      <c r="AA144" s="67">
        <v>-218.1</v>
      </c>
      <c r="AB144" s="67"/>
      <c r="AC144" s="67"/>
      <c r="AD144" s="14"/>
      <c r="AG144" s="55"/>
      <c r="AH144" s="16"/>
      <c r="AI144" s="16"/>
      <c r="AJ144" s="16"/>
      <c r="AK144" s="16"/>
      <c r="AL144" s="16"/>
      <c r="AM144" s="48">
        <v>42124</v>
      </c>
      <c r="AN144" s="54">
        <v>4.5715095238095236</v>
      </c>
      <c r="AO144" s="16"/>
    </row>
    <row r="145" spans="1:41" x14ac:dyDescent="0.3">
      <c r="A145" s="8">
        <v>42094</v>
      </c>
      <c r="B145" s="9">
        <f t="shared" si="39"/>
        <v>4.8994909090909093</v>
      </c>
      <c r="C145" s="9">
        <f t="shared" si="44"/>
        <v>24.96852585378868</v>
      </c>
      <c r="D145" s="7">
        <v>0</v>
      </c>
      <c r="E145" s="7">
        <v>1</v>
      </c>
      <c r="F145" s="7">
        <v>0</v>
      </c>
      <c r="G145" s="7">
        <v>1</v>
      </c>
      <c r="H145" s="1">
        <f t="shared" si="34"/>
        <v>1</v>
      </c>
      <c r="I145" s="1">
        <f t="shared" si="35"/>
        <v>0</v>
      </c>
      <c r="J145" s="1">
        <f t="shared" si="36"/>
        <v>0</v>
      </c>
      <c r="K145" s="1">
        <f t="shared" si="37"/>
        <v>0</v>
      </c>
      <c r="L145" s="1" t="str">
        <f t="shared" si="40"/>
        <v>宽货币紧信用</v>
      </c>
      <c r="O145" s="48">
        <v>41759</v>
      </c>
      <c r="P145" s="54">
        <v>5.4992000000000001</v>
      </c>
      <c r="R145" s="52">
        <v>41547</v>
      </c>
      <c r="S145" s="53">
        <v>14120</v>
      </c>
      <c r="T145" s="14">
        <f t="shared" si="41"/>
        <v>1005.8</v>
      </c>
      <c r="U145" s="62">
        <f t="shared" si="42"/>
        <v>15125.8</v>
      </c>
      <c r="V145" s="62">
        <f t="shared" si="45"/>
        <v>190037.19999999995</v>
      </c>
      <c r="W145" s="63">
        <f t="shared" si="43"/>
        <v>587223.69999999995</v>
      </c>
      <c r="X145" s="64">
        <f t="shared" si="46"/>
        <v>32.361977215837847</v>
      </c>
      <c r="Y145" s="63"/>
      <c r="Z145" s="69">
        <v>40543</v>
      </c>
      <c r="AA145" s="67">
        <v>1036.8</v>
      </c>
      <c r="AB145" s="67"/>
      <c r="AC145" s="67"/>
      <c r="AD145" s="14"/>
      <c r="AG145" s="55"/>
      <c r="AH145" s="16"/>
      <c r="AI145" s="16"/>
      <c r="AJ145" s="16"/>
      <c r="AK145" s="16"/>
      <c r="AL145" s="16"/>
      <c r="AM145" s="48">
        <v>42094</v>
      </c>
      <c r="AN145" s="54">
        <v>4.8994909090909093</v>
      </c>
      <c r="AO145" s="16"/>
    </row>
    <row r="146" spans="1:41" x14ac:dyDescent="0.3">
      <c r="A146" s="8">
        <v>42063</v>
      </c>
      <c r="B146" s="9">
        <f t="shared" si="39"/>
        <v>4.9052411764705877</v>
      </c>
      <c r="C146" s="9">
        <f t="shared" si="44"/>
        <v>26.597167538220347</v>
      </c>
      <c r="D146" s="7">
        <v>0</v>
      </c>
      <c r="E146" s="7">
        <v>1</v>
      </c>
      <c r="F146" s="7">
        <v>0</v>
      </c>
      <c r="G146" s="7">
        <v>1</v>
      </c>
      <c r="H146" s="1">
        <f t="shared" si="34"/>
        <v>1</v>
      </c>
      <c r="I146" s="1">
        <f t="shared" si="35"/>
        <v>0</v>
      </c>
      <c r="J146" s="1">
        <f t="shared" si="36"/>
        <v>0</v>
      </c>
      <c r="K146" s="1">
        <f t="shared" si="37"/>
        <v>0</v>
      </c>
      <c r="L146" s="1" t="str">
        <f t="shared" si="40"/>
        <v>宽货币紧信用</v>
      </c>
      <c r="O146" s="48">
        <v>41729</v>
      </c>
      <c r="P146" s="54">
        <v>5.5027333333333326</v>
      </c>
      <c r="R146" s="52">
        <v>41578</v>
      </c>
      <c r="S146" s="53">
        <v>8645</v>
      </c>
      <c r="T146" s="14">
        <f t="shared" si="41"/>
        <v>1973.06</v>
      </c>
      <c r="U146" s="62">
        <f t="shared" si="42"/>
        <v>10618.06</v>
      </c>
      <c r="V146" s="62">
        <f t="shared" si="45"/>
        <v>187044.06</v>
      </c>
      <c r="W146" s="63">
        <f t="shared" si="43"/>
        <v>587223.69999999995</v>
      </c>
      <c r="X146" s="64">
        <f t="shared" si="46"/>
        <v>31.852266861844985</v>
      </c>
      <c r="Y146" s="63"/>
      <c r="Z146" s="69">
        <v>40512</v>
      </c>
      <c r="AA146" s="67">
        <v>537.6</v>
      </c>
      <c r="AB146" s="67"/>
      <c r="AC146" s="67"/>
      <c r="AD146" s="14"/>
      <c r="AG146" s="55"/>
      <c r="AH146" s="16"/>
      <c r="AI146" s="16"/>
      <c r="AJ146" s="16"/>
      <c r="AK146" s="16"/>
      <c r="AL146" s="16"/>
      <c r="AM146" s="48">
        <v>42063</v>
      </c>
      <c r="AN146" s="54">
        <v>4.9052411764705877</v>
      </c>
      <c r="AO146" s="16"/>
    </row>
    <row r="147" spans="1:41" x14ac:dyDescent="0.3">
      <c r="A147" s="8">
        <v>42035</v>
      </c>
      <c r="B147" s="9">
        <f t="shared" si="39"/>
        <v>4.9401714285714293</v>
      </c>
      <c r="C147" s="9">
        <f t="shared" si="44"/>
        <v>26.019339113599944</v>
      </c>
      <c r="D147" s="7">
        <v>0</v>
      </c>
      <c r="E147" s="7">
        <v>1</v>
      </c>
      <c r="F147" s="7">
        <v>0</v>
      </c>
      <c r="G147" s="7">
        <v>1</v>
      </c>
      <c r="H147" s="1">
        <f t="shared" si="34"/>
        <v>1</v>
      </c>
      <c r="I147" s="1">
        <f t="shared" si="35"/>
        <v>0</v>
      </c>
      <c r="J147" s="1">
        <f t="shared" si="36"/>
        <v>0</v>
      </c>
      <c r="K147" s="1">
        <f t="shared" si="37"/>
        <v>0</v>
      </c>
      <c r="L147" s="1" t="str">
        <f t="shared" si="40"/>
        <v>宽货币紧信用</v>
      </c>
      <c r="O147" s="48">
        <v>41698</v>
      </c>
      <c r="P147" s="54">
        <v>5.5834705882352944</v>
      </c>
      <c r="R147" s="52">
        <v>41608</v>
      </c>
      <c r="S147" s="53">
        <v>12310</v>
      </c>
      <c r="T147" s="14">
        <f t="shared" si="41"/>
        <v>331.2</v>
      </c>
      <c r="U147" s="62">
        <f t="shared" si="42"/>
        <v>12641.2</v>
      </c>
      <c r="V147" s="62">
        <f t="shared" si="45"/>
        <v>188104.7</v>
      </c>
      <c r="W147" s="63">
        <f t="shared" si="43"/>
        <v>587223.69999999995</v>
      </c>
      <c r="X147" s="64">
        <f t="shared" si="46"/>
        <v>32.032886274855734</v>
      </c>
      <c r="Y147" s="63"/>
      <c r="Z147" s="69">
        <v>40482</v>
      </c>
      <c r="AA147" s="67">
        <v>739.77</v>
      </c>
      <c r="AB147" s="67"/>
      <c r="AC147" s="67"/>
      <c r="AD147" s="14"/>
      <c r="AG147" s="55"/>
      <c r="AH147" s="16"/>
      <c r="AI147" s="16"/>
      <c r="AJ147" s="16"/>
      <c r="AK147" s="16"/>
      <c r="AL147" s="16"/>
      <c r="AM147" s="48">
        <v>42035</v>
      </c>
      <c r="AN147" s="54">
        <v>4.9401714285714293</v>
      </c>
      <c r="AO147" s="16"/>
    </row>
    <row r="148" spans="1:41" x14ac:dyDescent="0.3">
      <c r="A148" s="8">
        <v>42004</v>
      </c>
      <c r="B148" s="9">
        <f t="shared" si="39"/>
        <v>4.655347826086957</v>
      </c>
      <c r="C148" s="9">
        <f t="shared" si="44"/>
        <v>26.839427591051852</v>
      </c>
      <c r="D148" s="7">
        <v>0</v>
      </c>
      <c r="E148" s="7">
        <v>1</v>
      </c>
      <c r="F148" s="7">
        <v>0</v>
      </c>
      <c r="G148" s="7">
        <v>1</v>
      </c>
      <c r="H148" s="1">
        <f t="shared" si="34"/>
        <v>1</v>
      </c>
      <c r="I148" s="1">
        <f t="shared" si="35"/>
        <v>0</v>
      </c>
      <c r="J148" s="1">
        <f t="shared" si="36"/>
        <v>0</v>
      </c>
      <c r="K148" s="1">
        <f t="shared" si="37"/>
        <v>0</v>
      </c>
      <c r="L148" s="1" t="str">
        <f t="shared" si="40"/>
        <v>宽货币紧信用</v>
      </c>
      <c r="O148" s="48">
        <v>41670</v>
      </c>
      <c r="P148" s="54">
        <v>5.5868045454545454</v>
      </c>
      <c r="R148" s="52">
        <v>41639</v>
      </c>
      <c r="S148" s="53">
        <v>12532</v>
      </c>
      <c r="T148" s="14">
        <f t="shared" si="41"/>
        <v>604.9</v>
      </c>
      <c r="U148" s="62">
        <f t="shared" si="42"/>
        <v>13136.9</v>
      </c>
      <c r="V148" s="62">
        <f t="shared" si="45"/>
        <v>184449.5</v>
      </c>
      <c r="W148" s="63">
        <f t="shared" si="43"/>
        <v>603660.4</v>
      </c>
      <c r="X148" s="64">
        <f t="shared" si="46"/>
        <v>30.555176387253496</v>
      </c>
      <c r="Y148" s="63"/>
      <c r="Z148" s="69">
        <v>40451</v>
      </c>
      <c r="AA148" s="67">
        <v>866.1</v>
      </c>
      <c r="AB148" s="67"/>
      <c r="AC148" s="67"/>
      <c r="AD148" s="14"/>
      <c r="AG148" s="55"/>
      <c r="AH148" s="16"/>
      <c r="AI148" s="16"/>
      <c r="AJ148" s="16"/>
      <c r="AK148" s="16"/>
      <c r="AL148" s="16"/>
      <c r="AM148" s="48">
        <v>42004</v>
      </c>
      <c r="AN148" s="54">
        <v>4.655347826086957</v>
      </c>
      <c r="AO148" s="16"/>
    </row>
    <row r="149" spans="1:41" x14ac:dyDescent="0.3">
      <c r="A149" s="8">
        <v>41973</v>
      </c>
      <c r="B149" s="9">
        <f t="shared" si="39"/>
        <v>4.2655200000000004</v>
      </c>
      <c r="C149" s="9">
        <f t="shared" si="44"/>
        <v>26.711888122993336</v>
      </c>
      <c r="D149" s="7">
        <v>0</v>
      </c>
      <c r="E149" s="7">
        <v>1</v>
      </c>
      <c r="F149" s="7">
        <v>0</v>
      </c>
      <c r="G149" s="7">
        <v>1</v>
      </c>
      <c r="H149" s="1">
        <f t="shared" si="34"/>
        <v>1</v>
      </c>
      <c r="I149" s="1">
        <f t="shared" si="35"/>
        <v>0</v>
      </c>
      <c r="J149" s="1">
        <f t="shared" si="36"/>
        <v>0</v>
      </c>
      <c r="K149" s="1">
        <f t="shared" si="37"/>
        <v>0</v>
      </c>
      <c r="L149" s="1" t="str">
        <f t="shared" si="40"/>
        <v>宽货币紧信用</v>
      </c>
      <c r="O149" s="48">
        <v>41639</v>
      </c>
      <c r="P149" s="54">
        <v>5.2987409090909088</v>
      </c>
      <c r="R149" s="52">
        <v>41670</v>
      </c>
      <c r="S149" s="53">
        <v>26004</v>
      </c>
      <c r="T149" s="14">
        <f t="shared" si="41"/>
        <v>-210</v>
      </c>
      <c r="U149" s="62">
        <f t="shared" si="42"/>
        <v>25794</v>
      </c>
      <c r="V149" s="62">
        <f t="shared" si="45"/>
        <v>184557.5</v>
      </c>
      <c r="W149" s="63">
        <f t="shared" si="43"/>
        <v>603660.4</v>
      </c>
      <c r="X149" s="64">
        <f t="shared" si="46"/>
        <v>30.573067241117684</v>
      </c>
      <c r="Y149" s="63"/>
      <c r="Z149" s="69">
        <v>40421</v>
      </c>
      <c r="AA149" s="67">
        <v>1691.6</v>
      </c>
      <c r="AB149" s="67"/>
      <c r="AC149" s="67"/>
      <c r="AD149" s="14"/>
      <c r="AG149" s="55"/>
      <c r="AH149" s="16"/>
      <c r="AI149" s="16"/>
      <c r="AJ149" s="16"/>
      <c r="AK149" s="16"/>
      <c r="AL149" s="16"/>
      <c r="AM149" s="48">
        <v>41973</v>
      </c>
      <c r="AN149" s="54">
        <v>4.2655200000000004</v>
      </c>
      <c r="AO149" s="16"/>
    </row>
    <row r="150" spans="1:41" x14ac:dyDescent="0.3">
      <c r="A150" s="8">
        <v>41943</v>
      </c>
      <c r="B150" s="9">
        <f t="shared" si="39"/>
        <v>4.4996789473684213</v>
      </c>
      <c r="C150" s="9">
        <f t="shared" si="44"/>
        <v>26.718178036307744</v>
      </c>
      <c r="D150" s="7">
        <v>0</v>
      </c>
      <c r="E150" s="7">
        <v>1</v>
      </c>
      <c r="F150" s="7">
        <v>0</v>
      </c>
      <c r="G150" s="7">
        <v>1</v>
      </c>
      <c r="H150" s="1">
        <f t="shared" si="34"/>
        <v>1</v>
      </c>
      <c r="I150" s="1">
        <f t="shared" si="35"/>
        <v>0</v>
      </c>
      <c r="J150" s="1">
        <f t="shared" si="36"/>
        <v>0</v>
      </c>
      <c r="K150" s="1">
        <f t="shared" si="37"/>
        <v>0</v>
      </c>
      <c r="L150" s="1" t="str">
        <f t="shared" si="40"/>
        <v>宽货币紧信用</v>
      </c>
      <c r="O150" s="48">
        <v>41608</v>
      </c>
      <c r="P150" s="54">
        <v>4.7047142857142861</v>
      </c>
      <c r="R150" s="52">
        <v>41698</v>
      </c>
      <c r="S150" s="53">
        <v>9370</v>
      </c>
      <c r="T150" s="14">
        <f t="shared" si="41"/>
        <v>-40</v>
      </c>
      <c r="U150" s="62">
        <f t="shared" si="42"/>
        <v>9330</v>
      </c>
      <c r="V150" s="62">
        <f t="shared" si="45"/>
        <v>183462.5</v>
      </c>
      <c r="W150" s="63">
        <f t="shared" si="43"/>
        <v>603660.4</v>
      </c>
      <c r="X150" s="64">
        <f t="shared" si="46"/>
        <v>30.391673861661289</v>
      </c>
      <c r="Y150" s="63"/>
      <c r="Z150" s="69">
        <v>40390</v>
      </c>
      <c r="AA150" s="67">
        <v>1096.4000000000001</v>
      </c>
      <c r="AB150" s="67"/>
      <c r="AC150" s="67"/>
      <c r="AD150" s="14"/>
      <c r="AG150" s="55"/>
      <c r="AH150" s="16"/>
      <c r="AI150" s="16"/>
      <c r="AJ150" s="16"/>
      <c r="AK150" s="16"/>
      <c r="AL150" s="16"/>
      <c r="AM150" s="48">
        <v>41943</v>
      </c>
      <c r="AN150" s="54">
        <v>4.4996789473684213</v>
      </c>
      <c r="AO150" s="16"/>
    </row>
    <row r="151" spans="1:41" x14ac:dyDescent="0.3">
      <c r="A151" s="8">
        <v>41912</v>
      </c>
      <c r="B151" s="9">
        <f t="shared" si="39"/>
        <v>4.616222727272727</v>
      </c>
      <c r="C151" s="9">
        <f t="shared" si="44"/>
        <v>27.095364209334544</v>
      </c>
      <c r="D151" s="7">
        <v>0</v>
      </c>
      <c r="E151" s="7">
        <v>1</v>
      </c>
      <c r="F151" s="7">
        <v>0</v>
      </c>
      <c r="G151" s="7">
        <v>1</v>
      </c>
      <c r="H151" s="1">
        <f t="shared" si="34"/>
        <v>1</v>
      </c>
      <c r="I151" s="1">
        <f t="shared" si="35"/>
        <v>0</v>
      </c>
      <c r="J151" s="1">
        <f t="shared" si="36"/>
        <v>0</v>
      </c>
      <c r="K151" s="1">
        <f t="shared" si="37"/>
        <v>0</v>
      </c>
      <c r="L151" s="1" t="str">
        <f t="shared" si="40"/>
        <v>宽货币紧信用</v>
      </c>
      <c r="O151" s="48">
        <v>41578</v>
      </c>
      <c r="P151" s="54">
        <v>4.6779842105263159</v>
      </c>
      <c r="R151" s="52">
        <v>41729</v>
      </c>
      <c r="S151" s="53">
        <v>20934</v>
      </c>
      <c r="T151" s="14">
        <f t="shared" si="41"/>
        <v>-25.3</v>
      </c>
      <c r="U151" s="62">
        <f t="shared" si="42"/>
        <v>20908.7</v>
      </c>
      <c r="V151" s="62">
        <f t="shared" si="45"/>
        <v>178848.2</v>
      </c>
      <c r="W151" s="63">
        <f t="shared" si="43"/>
        <v>615320.1</v>
      </c>
      <c r="X151" s="64">
        <f t="shared" si="46"/>
        <v>29.06587969416244</v>
      </c>
      <c r="Y151" s="63"/>
      <c r="Z151" s="69">
        <v>40359</v>
      </c>
      <c r="AA151" s="67">
        <v>1850.1</v>
      </c>
      <c r="AB151" s="67"/>
      <c r="AC151" s="67"/>
      <c r="AD151" s="14"/>
      <c r="AG151" s="55"/>
      <c r="AH151" s="16"/>
      <c r="AI151" s="16"/>
      <c r="AJ151" s="16"/>
      <c r="AK151" s="16"/>
      <c r="AL151" s="16"/>
      <c r="AM151" s="48">
        <v>41912</v>
      </c>
      <c r="AN151" s="54">
        <v>4.616222727272727</v>
      </c>
      <c r="AO151" s="16"/>
    </row>
    <row r="152" spans="1:41" x14ac:dyDescent="0.3">
      <c r="A152" s="8">
        <v>41882</v>
      </c>
      <c r="B152" s="9">
        <f t="shared" si="39"/>
        <v>4.6852476190476189</v>
      </c>
      <c r="C152" s="9">
        <f t="shared" si="44"/>
        <v>27.987291969091505</v>
      </c>
      <c r="D152" s="7">
        <v>0</v>
      </c>
      <c r="E152" s="7">
        <v>1</v>
      </c>
      <c r="F152" s="7">
        <v>0</v>
      </c>
      <c r="G152" s="7">
        <v>1</v>
      </c>
      <c r="H152" s="1">
        <f t="shared" si="34"/>
        <v>1</v>
      </c>
      <c r="I152" s="1">
        <f t="shared" si="35"/>
        <v>0</v>
      </c>
      <c r="J152" s="1">
        <f t="shared" si="36"/>
        <v>0</v>
      </c>
      <c r="K152" s="1">
        <f t="shared" si="37"/>
        <v>0</v>
      </c>
      <c r="L152" s="1" t="str">
        <f t="shared" si="40"/>
        <v>宽货币紧信用</v>
      </c>
      <c r="O152" s="48">
        <v>41547</v>
      </c>
      <c r="P152" s="54">
        <v>4.6620571428571429</v>
      </c>
      <c r="R152" s="52">
        <v>41759</v>
      </c>
      <c r="S152" s="53">
        <v>15259</v>
      </c>
      <c r="T152" s="14">
        <f t="shared" si="41"/>
        <v>1008.29</v>
      </c>
      <c r="U152" s="62">
        <f t="shared" si="42"/>
        <v>16267.29</v>
      </c>
      <c r="V152" s="62">
        <f t="shared" si="45"/>
        <v>176075.39</v>
      </c>
      <c r="W152" s="63">
        <f t="shared" si="43"/>
        <v>615320.1</v>
      </c>
      <c r="X152" s="64">
        <f t="shared" si="46"/>
        <v>28.615250826358512</v>
      </c>
      <c r="Y152" s="63"/>
      <c r="Z152" s="69">
        <v>40329</v>
      </c>
      <c r="AA152" s="67">
        <v>926.9</v>
      </c>
      <c r="AB152" s="67"/>
      <c r="AC152" s="67"/>
      <c r="AD152" s="14"/>
      <c r="AG152" s="55"/>
      <c r="AH152" s="16"/>
      <c r="AI152" s="16"/>
      <c r="AJ152" s="16"/>
      <c r="AK152" s="16"/>
      <c r="AL152" s="16"/>
      <c r="AM152" s="48">
        <v>41882</v>
      </c>
      <c r="AN152" s="54">
        <v>4.6852476190476189</v>
      </c>
      <c r="AO152" s="16"/>
    </row>
    <row r="153" spans="1:41" x14ac:dyDescent="0.3">
      <c r="A153" s="8">
        <v>41851</v>
      </c>
      <c r="B153" s="9">
        <f t="shared" si="39"/>
        <v>4.7455043478260874</v>
      </c>
      <c r="C153" s="9">
        <f t="shared" si="44"/>
        <v>29.037734125738108</v>
      </c>
      <c r="D153" s="7">
        <v>0</v>
      </c>
      <c r="E153" s="7">
        <v>1</v>
      </c>
      <c r="F153" s="7">
        <v>0</v>
      </c>
      <c r="G153" s="7">
        <v>1</v>
      </c>
      <c r="H153" s="1">
        <f t="shared" si="34"/>
        <v>1</v>
      </c>
      <c r="I153" s="1">
        <f t="shared" si="35"/>
        <v>0</v>
      </c>
      <c r="J153" s="1">
        <f t="shared" si="36"/>
        <v>0</v>
      </c>
      <c r="K153" s="1">
        <f t="shared" si="37"/>
        <v>0</v>
      </c>
      <c r="L153" s="1" t="str">
        <f t="shared" si="40"/>
        <v>宽货币紧信用</v>
      </c>
      <c r="O153" s="48">
        <v>41517</v>
      </c>
      <c r="P153" s="54">
        <v>4.6560818181818178</v>
      </c>
      <c r="R153" s="52">
        <v>41790</v>
      </c>
      <c r="S153" s="53">
        <v>14013</v>
      </c>
      <c r="T153" s="14">
        <f t="shared" si="41"/>
        <v>1249.29</v>
      </c>
      <c r="U153" s="62">
        <f t="shared" si="42"/>
        <v>15262.29</v>
      </c>
      <c r="V153" s="62">
        <f t="shared" si="45"/>
        <v>177662.44</v>
      </c>
      <c r="W153" s="63">
        <f t="shared" si="43"/>
        <v>615320.1</v>
      </c>
      <c r="X153" s="64">
        <f t="shared" si="46"/>
        <v>28.8731734913259</v>
      </c>
      <c r="Y153" s="63"/>
      <c r="Z153" s="69">
        <v>40298</v>
      </c>
      <c r="AA153" s="67">
        <v>331.5</v>
      </c>
      <c r="AB153" s="67"/>
      <c r="AC153" s="67"/>
      <c r="AD153" s="14"/>
      <c r="AG153" s="55"/>
      <c r="AH153" s="16"/>
      <c r="AI153" s="16"/>
      <c r="AJ153" s="16"/>
      <c r="AK153" s="16"/>
      <c r="AL153" s="16"/>
      <c r="AM153" s="48">
        <v>41851</v>
      </c>
      <c r="AN153" s="54">
        <v>4.7455043478260874</v>
      </c>
      <c r="AO153" s="16"/>
    </row>
    <row r="154" spans="1:41" x14ac:dyDescent="0.3">
      <c r="A154" s="8">
        <v>41820</v>
      </c>
      <c r="B154" s="9">
        <f t="shared" si="39"/>
        <v>4.7909899999999999</v>
      </c>
      <c r="C154" s="9">
        <f t="shared" si="44"/>
        <v>29.828822371596104</v>
      </c>
      <c r="D154" s="7">
        <v>0</v>
      </c>
      <c r="E154" s="7">
        <v>1</v>
      </c>
      <c r="F154" s="7">
        <v>0</v>
      </c>
      <c r="G154" s="7">
        <v>1</v>
      </c>
      <c r="H154" s="1">
        <f t="shared" si="34"/>
        <v>1</v>
      </c>
      <c r="I154" s="1">
        <f t="shared" si="35"/>
        <v>0</v>
      </c>
      <c r="J154" s="1">
        <f t="shared" si="36"/>
        <v>0</v>
      </c>
      <c r="K154" s="1">
        <f t="shared" si="37"/>
        <v>0</v>
      </c>
      <c r="L154" s="1" t="str">
        <f t="shared" si="40"/>
        <v>宽货币紧信用</v>
      </c>
      <c r="O154" s="48">
        <v>41486</v>
      </c>
      <c r="P154" s="54">
        <v>4.7758434782608701</v>
      </c>
      <c r="R154" s="52">
        <v>41820</v>
      </c>
      <c r="S154" s="53">
        <v>19673</v>
      </c>
      <c r="T154" s="14">
        <f t="shared" si="41"/>
        <v>1441.9</v>
      </c>
      <c r="U154" s="62">
        <f t="shared" si="42"/>
        <v>21114.9</v>
      </c>
      <c r="V154" s="62">
        <f t="shared" si="45"/>
        <v>187524.44</v>
      </c>
      <c r="W154" s="63">
        <f t="shared" si="43"/>
        <v>628668.6</v>
      </c>
      <c r="X154" s="64">
        <f t="shared" si="46"/>
        <v>29.828822371596104</v>
      </c>
      <c r="Y154" s="63"/>
      <c r="Z154" s="69">
        <v>40268</v>
      </c>
      <c r="AA154" s="67">
        <v>725</v>
      </c>
      <c r="AB154" s="67"/>
      <c r="AC154" s="67"/>
      <c r="AD154" s="14"/>
      <c r="AG154" s="55"/>
      <c r="AH154" s="16"/>
      <c r="AI154" s="16"/>
      <c r="AJ154" s="16"/>
      <c r="AK154" s="16"/>
      <c r="AL154" s="16"/>
      <c r="AM154" s="48">
        <v>41820</v>
      </c>
      <c r="AN154" s="54">
        <v>4.7909899999999999</v>
      </c>
      <c r="AO154" s="16"/>
    </row>
    <row r="155" spans="1:41" x14ac:dyDescent="0.3">
      <c r="A155" s="8">
        <v>41790</v>
      </c>
      <c r="B155" s="9">
        <f t="shared" ref="B155:B186" si="47">VLOOKUP(A155,O:P,2,0)</f>
        <v>5.2250523809523806</v>
      </c>
      <c r="C155" s="9">
        <f t="shared" si="44"/>
        <v>28.8731734913259</v>
      </c>
      <c r="D155" s="7">
        <v>0</v>
      </c>
      <c r="E155" s="7">
        <v>1</v>
      </c>
      <c r="F155" s="7">
        <v>0</v>
      </c>
      <c r="G155" s="7">
        <v>1</v>
      </c>
      <c r="H155" s="1">
        <f t="shared" si="34"/>
        <v>1</v>
      </c>
      <c r="I155" s="1">
        <f t="shared" si="35"/>
        <v>0</v>
      </c>
      <c r="J155" s="1">
        <f t="shared" si="36"/>
        <v>0</v>
      </c>
      <c r="K155" s="1">
        <f t="shared" si="37"/>
        <v>0</v>
      </c>
      <c r="L155" s="1" t="str">
        <f t="shared" si="40"/>
        <v>宽货币紧信用</v>
      </c>
      <c r="O155" s="48">
        <v>41455</v>
      </c>
      <c r="P155" s="54">
        <v>5.0758157894736842</v>
      </c>
      <c r="R155" s="52">
        <v>41851</v>
      </c>
      <c r="S155" s="53">
        <v>2737</v>
      </c>
      <c r="T155" s="14">
        <f t="shared" si="41"/>
        <v>2087.6765999999998</v>
      </c>
      <c r="U155" s="62">
        <f t="shared" si="42"/>
        <v>4824.6765999999998</v>
      </c>
      <c r="V155" s="62">
        <f t="shared" si="45"/>
        <v>182551.11660000001</v>
      </c>
      <c r="W155" s="63">
        <f t="shared" si="43"/>
        <v>628668.6</v>
      </c>
      <c r="X155" s="64">
        <f t="shared" si="46"/>
        <v>29.037734125738108</v>
      </c>
      <c r="Y155" s="63"/>
      <c r="Z155" s="69">
        <v>40237</v>
      </c>
      <c r="AA155" s="67">
        <v>-500</v>
      </c>
      <c r="AB155" s="67"/>
      <c r="AC155" s="67"/>
      <c r="AD155" s="14"/>
      <c r="AG155" s="55"/>
      <c r="AH155" s="16"/>
      <c r="AI155" s="16"/>
      <c r="AJ155" s="16"/>
      <c r="AK155" s="16"/>
      <c r="AL155" s="16"/>
      <c r="AM155" s="48">
        <v>41790</v>
      </c>
      <c r="AN155" s="54">
        <v>5.2250523809523806</v>
      </c>
      <c r="AO155" s="16"/>
    </row>
    <row r="156" spans="1:41" x14ac:dyDescent="0.3">
      <c r="A156" s="8">
        <v>41759</v>
      </c>
      <c r="B156" s="9">
        <f t="shared" si="47"/>
        <v>5.4992000000000001</v>
      </c>
      <c r="C156" s="9">
        <f t="shared" si="44"/>
        <v>28.615250826358512</v>
      </c>
      <c r="D156" s="7">
        <v>0</v>
      </c>
      <c r="E156" s="7">
        <v>1</v>
      </c>
      <c r="F156" s="7">
        <v>0</v>
      </c>
      <c r="G156" s="7">
        <v>1</v>
      </c>
      <c r="H156" s="1">
        <f t="shared" si="34"/>
        <v>1</v>
      </c>
      <c r="I156" s="1">
        <f t="shared" si="35"/>
        <v>0</v>
      </c>
      <c r="J156" s="1">
        <f t="shared" si="36"/>
        <v>0</v>
      </c>
      <c r="K156" s="1">
        <f t="shared" si="37"/>
        <v>0</v>
      </c>
      <c r="L156" s="1" t="str">
        <f t="shared" si="40"/>
        <v>宽货币紧信用</v>
      </c>
      <c r="O156" s="48">
        <v>41425</v>
      </c>
      <c r="P156" s="54">
        <v>3.8820409090909092</v>
      </c>
      <c r="R156" s="52">
        <v>41882</v>
      </c>
      <c r="S156" s="53">
        <v>9577</v>
      </c>
      <c r="T156" s="14">
        <f t="shared" si="41"/>
        <v>1346.5</v>
      </c>
      <c r="U156" s="62">
        <f t="shared" si="42"/>
        <v>10923.5</v>
      </c>
      <c r="V156" s="62">
        <f t="shared" si="45"/>
        <v>175947.31659999999</v>
      </c>
      <c r="W156" s="63">
        <f t="shared" si="43"/>
        <v>628668.6</v>
      </c>
      <c r="X156" s="64">
        <f t="shared" si="46"/>
        <v>27.987291969091505</v>
      </c>
      <c r="Y156" s="63"/>
      <c r="Z156" s="69">
        <v>40209</v>
      </c>
      <c r="AA156" s="67">
        <v>-275.10000000000002</v>
      </c>
      <c r="AB156" s="67"/>
      <c r="AC156" s="67"/>
      <c r="AD156" s="14"/>
      <c r="AG156" s="55"/>
      <c r="AH156" s="16"/>
      <c r="AI156" s="16"/>
      <c r="AJ156" s="16"/>
      <c r="AK156" s="16"/>
      <c r="AL156" s="16"/>
      <c r="AM156" s="48">
        <v>41759</v>
      </c>
      <c r="AN156" s="54">
        <v>5.4992000000000001</v>
      </c>
      <c r="AO156" s="16"/>
    </row>
    <row r="157" spans="1:41" x14ac:dyDescent="0.3">
      <c r="A157" s="8">
        <v>41729</v>
      </c>
      <c r="B157" s="9">
        <f t="shared" si="47"/>
        <v>5.5027333333333326</v>
      </c>
      <c r="C157" s="9">
        <f t="shared" si="44"/>
        <v>29.06587969416244</v>
      </c>
      <c r="D157" s="7">
        <v>0</v>
      </c>
      <c r="E157" s="7">
        <v>1</v>
      </c>
      <c r="F157" s="7">
        <v>1</v>
      </c>
      <c r="G157" s="7">
        <v>0</v>
      </c>
      <c r="H157" s="1">
        <f t="shared" si="34"/>
        <v>0</v>
      </c>
      <c r="I157" s="1">
        <f t="shared" si="35"/>
        <v>0</v>
      </c>
      <c r="J157" s="1">
        <f t="shared" si="36"/>
        <v>1</v>
      </c>
      <c r="K157" s="1">
        <f t="shared" si="37"/>
        <v>0</v>
      </c>
      <c r="L157" s="1" t="str">
        <f t="shared" si="40"/>
        <v>紧货币紧信用</v>
      </c>
      <c r="O157" s="48">
        <v>41394</v>
      </c>
      <c r="P157" s="54">
        <v>3.8816904761904758</v>
      </c>
      <c r="R157" s="52">
        <v>41912</v>
      </c>
      <c r="S157" s="53">
        <v>11355</v>
      </c>
      <c r="T157" s="14">
        <f t="shared" si="41"/>
        <v>1856.52</v>
      </c>
      <c r="U157" s="62">
        <f t="shared" si="42"/>
        <v>13211.52</v>
      </c>
      <c r="V157" s="62">
        <f t="shared" si="45"/>
        <v>174033.03659999999</v>
      </c>
      <c r="W157" s="63">
        <f t="shared" si="43"/>
        <v>642298.19999999995</v>
      </c>
      <c r="X157" s="64">
        <f t="shared" si="46"/>
        <v>27.095364209334544</v>
      </c>
      <c r="Y157" s="63"/>
      <c r="Z157" s="69">
        <v>40178</v>
      </c>
      <c r="AA157" s="67">
        <v>16.899999999999899</v>
      </c>
      <c r="AB157" s="67"/>
      <c r="AC157" s="67"/>
      <c r="AD157" s="14"/>
      <c r="AG157" s="55"/>
      <c r="AH157" s="16"/>
      <c r="AI157" s="16"/>
      <c r="AJ157" s="16"/>
      <c r="AK157" s="16"/>
      <c r="AL157" s="16"/>
      <c r="AM157" s="48">
        <v>41729</v>
      </c>
      <c r="AN157" s="54">
        <v>5.5027333333333326</v>
      </c>
      <c r="AO157" s="16"/>
    </row>
    <row r="158" spans="1:41" x14ac:dyDescent="0.3">
      <c r="A158" s="8">
        <v>41698</v>
      </c>
      <c r="B158" s="9">
        <f t="shared" si="47"/>
        <v>5.5834705882352944</v>
      </c>
      <c r="C158" s="9">
        <f t="shared" si="44"/>
        <v>30.391673861661289</v>
      </c>
      <c r="D158" s="7">
        <v>0</v>
      </c>
      <c r="E158" s="7">
        <v>1</v>
      </c>
      <c r="F158" s="7">
        <v>1</v>
      </c>
      <c r="G158" s="7">
        <v>0</v>
      </c>
      <c r="H158" s="1">
        <f t="shared" si="34"/>
        <v>0</v>
      </c>
      <c r="I158" s="1">
        <f t="shared" si="35"/>
        <v>0</v>
      </c>
      <c r="J158" s="1">
        <f t="shared" si="36"/>
        <v>1</v>
      </c>
      <c r="K158" s="1">
        <f t="shared" si="37"/>
        <v>0</v>
      </c>
      <c r="L158" s="1" t="str">
        <f t="shared" si="40"/>
        <v>紧货币紧信用</v>
      </c>
      <c r="O158" s="48">
        <v>41364</v>
      </c>
      <c r="P158" s="54">
        <v>3.8831523809523811</v>
      </c>
      <c r="R158" s="52">
        <v>41943</v>
      </c>
      <c r="S158" s="53">
        <v>6807</v>
      </c>
      <c r="T158" s="14">
        <f t="shared" si="41"/>
        <v>1388.4</v>
      </c>
      <c r="U158" s="62">
        <f t="shared" si="42"/>
        <v>8195.4</v>
      </c>
      <c r="V158" s="62">
        <f t="shared" si="45"/>
        <v>171610.37659999999</v>
      </c>
      <c r="W158" s="63">
        <f t="shared" si="43"/>
        <v>642298.19999999995</v>
      </c>
      <c r="X158" s="64">
        <f t="shared" si="46"/>
        <v>26.718178036307744</v>
      </c>
      <c r="Y158" s="63"/>
      <c r="Z158" s="69">
        <v>40147</v>
      </c>
      <c r="AA158" s="67">
        <v>1267.0999999999999</v>
      </c>
      <c r="AB158" s="67"/>
      <c r="AC158" s="67"/>
      <c r="AD158" s="14"/>
      <c r="AG158" s="55"/>
      <c r="AH158" s="16"/>
      <c r="AI158" s="16"/>
      <c r="AJ158" s="16"/>
      <c r="AK158" s="16"/>
      <c r="AL158" s="16"/>
      <c r="AM158" s="48">
        <v>41698</v>
      </c>
      <c r="AN158" s="54">
        <v>5.5834705882352944</v>
      </c>
      <c r="AO158" s="16"/>
    </row>
    <row r="159" spans="1:41" x14ac:dyDescent="0.3">
      <c r="A159" s="8">
        <v>41670</v>
      </c>
      <c r="B159" s="9">
        <f t="shared" si="47"/>
        <v>5.5868045454545454</v>
      </c>
      <c r="C159" s="9">
        <f t="shared" si="44"/>
        <v>30.573067241117684</v>
      </c>
      <c r="D159" s="7">
        <v>0</v>
      </c>
      <c r="E159" s="7">
        <v>1</v>
      </c>
      <c r="F159" s="7">
        <v>1</v>
      </c>
      <c r="G159" s="7">
        <v>0</v>
      </c>
      <c r="H159" s="1">
        <f t="shared" si="34"/>
        <v>0</v>
      </c>
      <c r="I159" s="1">
        <f t="shared" si="35"/>
        <v>0</v>
      </c>
      <c r="J159" s="1">
        <f t="shared" si="36"/>
        <v>1</v>
      </c>
      <c r="K159" s="1">
        <f t="shared" si="37"/>
        <v>0</v>
      </c>
      <c r="L159" s="1" t="str">
        <f t="shared" si="40"/>
        <v>紧货币紧信用</v>
      </c>
      <c r="O159" s="48">
        <v>41333</v>
      </c>
      <c r="P159" s="54">
        <v>3.8871882352941181</v>
      </c>
      <c r="R159" s="52">
        <v>41973</v>
      </c>
      <c r="S159" s="53">
        <v>11459</v>
      </c>
      <c r="T159" s="14">
        <f t="shared" si="41"/>
        <v>1141.8</v>
      </c>
      <c r="U159" s="62">
        <f t="shared" si="42"/>
        <v>12600.8</v>
      </c>
      <c r="V159" s="62">
        <f t="shared" si="45"/>
        <v>171569.97659999999</v>
      </c>
      <c r="W159" s="63">
        <f t="shared" si="43"/>
        <v>642298.19999999995</v>
      </c>
      <c r="X159" s="64">
        <f t="shared" si="46"/>
        <v>26.711888122993336</v>
      </c>
      <c r="Y159" s="63"/>
      <c r="Z159" s="69">
        <v>40117</v>
      </c>
      <c r="AA159" s="67">
        <v>-116.6</v>
      </c>
      <c r="AB159" s="67"/>
      <c r="AC159" s="67"/>
      <c r="AD159" s="14"/>
      <c r="AG159" s="55"/>
      <c r="AH159" s="16"/>
      <c r="AI159" s="16"/>
      <c r="AJ159" s="16"/>
      <c r="AK159" s="16"/>
      <c r="AL159" s="16"/>
      <c r="AM159" s="48">
        <v>41670</v>
      </c>
      <c r="AN159" s="54">
        <v>5.5868045454545454</v>
      </c>
      <c r="AO159" s="16"/>
    </row>
    <row r="160" spans="1:41" x14ac:dyDescent="0.3">
      <c r="A160" s="8">
        <v>41639</v>
      </c>
      <c r="B160" s="9">
        <f t="shared" si="47"/>
        <v>5.2987409090909088</v>
      </c>
      <c r="C160" s="9">
        <f t="shared" si="44"/>
        <v>30.555176387253496</v>
      </c>
      <c r="D160" s="7">
        <v>0</v>
      </c>
      <c r="E160" s="7">
        <v>1</v>
      </c>
      <c r="F160" s="7">
        <v>1</v>
      </c>
      <c r="G160" s="7">
        <v>0</v>
      </c>
      <c r="H160" s="1">
        <f t="shared" si="34"/>
        <v>0</v>
      </c>
      <c r="I160" s="1">
        <f t="shared" si="35"/>
        <v>0</v>
      </c>
      <c r="J160" s="1">
        <f t="shared" si="36"/>
        <v>1</v>
      </c>
      <c r="K160" s="1">
        <f t="shared" si="37"/>
        <v>0</v>
      </c>
      <c r="L160" s="1" t="str">
        <f t="shared" si="40"/>
        <v>紧货币紧信用</v>
      </c>
      <c r="O160" s="48">
        <v>41305</v>
      </c>
      <c r="P160" s="54">
        <v>3.895104545454545</v>
      </c>
      <c r="R160" s="52">
        <v>42004</v>
      </c>
      <c r="S160" s="53">
        <v>16945</v>
      </c>
      <c r="T160" s="14">
        <f t="shared" si="41"/>
        <v>630.29999999999995</v>
      </c>
      <c r="U160" s="62">
        <f t="shared" si="42"/>
        <v>17575.3</v>
      </c>
      <c r="V160" s="62">
        <f t="shared" si="45"/>
        <v>176008.37659999996</v>
      </c>
      <c r="W160" s="63">
        <f t="shared" si="43"/>
        <v>655782.9</v>
      </c>
      <c r="X160" s="64">
        <f t="shared" si="46"/>
        <v>26.839427591051852</v>
      </c>
      <c r="Y160" s="63"/>
      <c r="Z160" s="69">
        <v>40086</v>
      </c>
      <c r="AA160" s="67">
        <v>358.5</v>
      </c>
      <c r="AB160" s="67"/>
      <c r="AC160" s="67"/>
      <c r="AD160" s="14"/>
      <c r="AG160" s="55"/>
      <c r="AH160" s="16"/>
      <c r="AI160" s="16"/>
      <c r="AJ160" s="16"/>
      <c r="AK160" s="16"/>
      <c r="AL160" s="16"/>
      <c r="AM160" s="48">
        <v>41639</v>
      </c>
      <c r="AN160" s="54">
        <v>5.2987409090909088</v>
      </c>
      <c r="AO160" s="16"/>
    </row>
    <row r="161" spans="1:41" x14ac:dyDescent="0.3">
      <c r="A161" s="8">
        <v>41608</v>
      </c>
      <c r="B161" s="9">
        <f t="shared" si="47"/>
        <v>4.7047142857142861</v>
      </c>
      <c r="C161" s="9">
        <f t="shared" si="44"/>
        <v>32.032886274855734</v>
      </c>
      <c r="D161" s="7">
        <v>0</v>
      </c>
      <c r="E161" s="7">
        <v>1</v>
      </c>
      <c r="F161" s="7">
        <v>1</v>
      </c>
      <c r="G161" s="7">
        <v>0</v>
      </c>
      <c r="H161" s="1">
        <f t="shared" si="34"/>
        <v>0</v>
      </c>
      <c r="I161" s="1">
        <f t="shared" si="35"/>
        <v>0</v>
      </c>
      <c r="J161" s="1">
        <f t="shared" si="36"/>
        <v>1</v>
      </c>
      <c r="K161" s="1">
        <f t="shared" si="37"/>
        <v>0</v>
      </c>
      <c r="L161" s="1" t="str">
        <f t="shared" si="40"/>
        <v>紧货币紧信用</v>
      </c>
      <c r="O161" s="48">
        <v>41274</v>
      </c>
      <c r="P161" s="54">
        <v>3.8654809523809521</v>
      </c>
      <c r="R161" s="52">
        <v>42035</v>
      </c>
      <c r="S161" s="53">
        <v>20516</v>
      </c>
      <c r="T161" s="14">
        <f t="shared" si="41"/>
        <v>-100</v>
      </c>
      <c r="U161" s="62">
        <f t="shared" si="42"/>
        <v>20416</v>
      </c>
      <c r="V161" s="62">
        <f t="shared" si="45"/>
        <v>170630.37659999999</v>
      </c>
      <c r="W161" s="63">
        <f t="shared" si="43"/>
        <v>655782.9</v>
      </c>
      <c r="X161" s="64">
        <f t="shared" si="46"/>
        <v>26.019339113599944</v>
      </c>
      <c r="Y161" s="63"/>
      <c r="Z161" s="69">
        <v>40056</v>
      </c>
      <c r="AA161" s="67">
        <v>1015.1</v>
      </c>
      <c r="AB161" s="67"/>
      <c r="AC161" s="67"/>
      <c r="AD161" s="14"/>
      <c r="AG161" s="55"/>
      <c r="AH161" s="16"/>
      <c r="AI161" s="16"/>
      <c r="AJ161" s="16"/>
      <c r="AK161" s="16"/>
      <c r="AL161" s="16"/>
      <c r="AM161" s="48">
        <v>41608</v>
      </c>
      <c r="AN161" s="54">
        <v>4.7047142857142861</v>
      </c>
      <c r="AO161" s="16"/>
    </row>
    <row r="162" spans="1:41" x14ac:dyDescent="0.3">
      <c r="A162" s="8">
        <v>41578</v>
      </c>
      <c r="B162" s="9">
        <f t="shared" si="47"/>
        <v>4.6779842105263159</v>
      </c>
      <c r="C162" s="9">
        <f t="shared" si="44"/>
        <v>31.852266861844985</v>
      </c>
      <c r="D162" s="7">
        <v>0</v>
      </c>
      <c r="E162" s="7">
        <v>1</v>
      </c>
      <c r="F162" s="7">
        <v>1</v>
      </c>
      <c r="G162" s="7">
        <v>0</v>
      </c>
      <c r="H162" s="1">
        <f t="shared" si="34"/>
        <v>0</v>
      </c>
      <c r="I162" s="1">
        <f t="shared" si="35"/>
        <v>0</v>
      </c>
      <c r="J162" s="1">
        <f t="shared" si="36"/>
        <v>1</v>
      </c>
      <c r="K162" s="1">
        <f t="shared" si="37"/>
        <v>0</v>
      </c>
      <c r="L162" s="1" t="str">
        <f t="shared" si="40"/>
        <v>紧货币紧信用</v>
      </c>
      <c r="O162" s="48">
        <v>41243</v>
      </c>
      <c r="P162" s="54">
        <v>3.7712772727272732</v>
      </c>
      <c r="R162" s="52">
        <v>42063</v>
      </c>
      <c r="S162" s="53">
        <v>13609</v>
      </c>
      <c r="T162" s="14">
        <f t="shared" si="41"/>
        <v>-489.7</v>
      </c>
      <c r="U162" s="62">
        <f t="shared" si="42"/>
        <v>13119.3</v>
      </c>
      <c r="V162" s="62">
        <f t="shared" si="45"/>
        <v>174419.67660000001</v>
      </c>
      <c r="W162" s="63">
        <f t="shared" si="43"/>
        <v>655782.9</v>
      </c>
      <c r="X162" s="64">
        <f t="shared" si="46"/>
        <v>26.597167538220347</v>
      </c>
      <c r="Y162" s="63"/>
      <c r="Z162" s="69">
        <v>40025</v>
      </c>
      <c r="AA162" s="67">
        <v>1525</v>
      </c>
      <c r="AB162" s="67"/>
      <c r="AC162" s="67"/>
      <c r="AD162" s="14"/>
      <c r="AG162" s="55"/>
      <c r="AH162" s="16"/>
      <c r="AI162" s="16"/>
      <c r="AJ162" s="16"/>
      <c r="AK162" s="16"/>
      <c r="AL162" s="16"/>
      <c r="AM162" s="48">
        <v>41578</v>
      </c>
      <c r="AN162" s="54">
        <v>4.6779842105263159</v>
      </c>
      <c r="AO162" s="16"/>
    </row>
    <row r="163" spans="1:41" x14ac:dyDescent="0.3">
      <c r="A163" s="8">
        <v>41547</v>
      </c>
      <c r="B163" s="9">
        <f t="shared" si="47"/>
        <v>4.6620571428571429</v>
      </c>
      <c r="C163" s="9">
        <f t="shared" si="44"/>
        <v>32.361977215837847</v>
      </c>
      <c r="D163" s="7">
        <v>0</v>
      </c>
      <c r="E163" s="7">
        <v>1</v>
      </c>
      <c r="F163" s="7">
        <v>1</v>
      </c>
      <c r="G163" s="7">
        <v>0</v>
      </c>
      <c r="H163" s="1">
        <f t="shared" si="34"/>
        <v>0</v>
      </c>
      <c r="I163" s="1">
        <f t="shared" si="35"/>
        <v>0</v>
      </c>
      <c r="J163" s="1">
        <f t="shared" si="36"/>
        <v>1</v>
      </c>
      <c r="K163" s="1">
        <f t="shared" si="37"/>
        <v>0</v>
      </c>
      <c r="L163" s="1" t="str">
        <f t="shared" ref="L163:L194" si="48">INDEX($H$3:$K$3,1,MATCH(1,H163:K163,0))</f>
        <v>紧货币紧信用</v>
      </c>
      <c r="O163" s="48">
        <v>41213</v>
      </c>
      <c r="P163" s="54">
        <v>3.7028833333333329</v>
      </c>
      <c r="R163" s="52">
        <v>42094</v>
      </c>
      <c r="S163" s="53">
        <v>12433</v>
      </c>
      <c r="T163" s="14">
        <f t="shared" si="41"/>
        <v>450</v>
      </c>
      <c r="U163" s="62">
        <f t="shared" si="42"/>
        <v>12883</v>
      </c>
      <c r="V163" s="62">
        <f t="shared" si="45"/>
        <v>166393.97659999999</v>
      </c>
      <c r="W163" s="63">
        <f t="shared" si="43"/>
        <v>666414.9</v>
      </c>
      <c r="X163" s="64">
        <f t="shared" si="46"/>
        <v>24.96852585378868</v>
      </c>
      <c r="Y163" s="63"/>
      <c r="Z163" s="69">
        <v>39994</v>
      </c>
      <c r="AA163" s="67">
        <v>1783.64</v>
      </c>
      <c r="AB163" s="67"/>
      <c r="AC163" s="67"/>
      <c r="AD163" s="14"/>
      <c r="AG163" s="55"/>
      <c r="AH163" s="16"/>
      <c r="AI163" s="16"/>
      <c r="AJ163" s="16"/>
      <c r="AK163" s="16"/>
      <c r="AL163" s="16"/>
      <c r="AM163" s="48">
        <v>41547</v>
      </c>
      <c r="AN163" s="54">
        <v>4.6620571428571429</v>
      </c>
      <c r="AO163" s="16"/>
    </row>
    <row r="164" spans="1:41" x14ac:dyDescent="0.3">
      <c r="A164" s="8">
        <v>41517</v>
      </c>
      <c r="B164" s="9">
        <f t="shared" si="47"/>
        <v>4.6560818181818178</v>
      </c>
      <c r="C164" s="9">
        <f t="shared" si="44"/>
        <v>33.595382473601006</v>
      </c>
      <c r="D164" s="7">
        <v>0</v>
      </c>
      <c r="E164" s="7">
        <v>1</v>
      </c>
      <c r="F164" s="7">
        <v>1</v>
      </c>
      <c r="G164" s="7">
        <v>0</v>
      </c>
      <c r="H164" s="1">
        <f t="shared" ref="H164:H207" si="49">INT(AND(G164=1,E164=1))</f>
        <v>0</v>
      </c>
      <c r="I164" s="1">
        <f t="shared" ref="I164:I207" si="50">INT(AND(G164=1,D164=1))</f>
        <v>0</v>
      </c>
      <c r="J164" s="1">
        <f t="shared" ref="J164:J207" si="51">INT(AND(F164=1,E164=1))</f>
        <v>1</v>
      </c>
      <c r="K164" s="1">
        <f t="shared" ref="K164:K207" si="52">INT(AND(F164=1,D164=1))</f>
        <v>0</v>
      </c>
      <c r="L164" s="1" t="str">
        <f t="shared" si="48"/>
        <v>紧货币紧信用</v>
      </c>
      <c r="O164" s="48">
        <v>41182</v>
      </c>
      <c r="P164" s="54">
        <v>3.6579380952380949</v>
      </c>
      <c r="R164" s="52">
        <v>42124</v>
      </c>
      <c r="S164" s="53">
        <v>10582</v>
      </c>
      <c r="T164" s="14">
        <f t="shared" si="41"/>
        <v>825.5</v>
      </c>
      <c r="U164" s="62">
        <f t="shared" si="42"/>
        <v>11407.5</v>
      </c>
      <c r="V164" s="62">
        <f t="shared" si="45"/>
        <v>161534.18659999999</v>
      </c>
      <c r="W164" s="63">
        <f t="shared" si="43"/>
        <v>666414.9</v>
      </c>
      <c r="X164" s="64">
        <f t="shared" si="46"/>
        <v>24.23928195483024</v>
      </c>
      <c r="Y164" s="63"/>
      <c r="Z164" s="69">
        <v>39964</v>
      </c>
      <c r="AA164" s="67">
        <v>2240.5</v>
      </c>
      <c r="AB164" s="67"/>
      <c r="AC164" s="67"/>
      <c r="AD164" s="14"/>
      <c r="AG164" s="55"/>
      <c r="AH164" s="16"/>
      <c r="AI164" s="16"/>
      <c r="AJ164" s="16"/>
      <c r="AK164" s="16"/>
      <c r="AL164" s="16"/>
      <c r="AM164" s="48">
        <v>41517</v>
      </c>
      <c r="AN164" s="54">
        <v>4.6560818181818178</v>
      </c>
      <c r="AO164" s="16"/>
    </row>
    <row r="165" spans="1:41" x14ac:dyDescent="0.3">
      <c r="A165" s="8">
        <v>41486</v>
      </c>
      <c r="B165" s="9">
        <f t="shared" si="47"/>
        <v>4.7758434782608701</v>
      </c>
      <c r="C165" s="9">
        <f t="shared" si="44"/>
        <v>32.968963159118992</v>
      </c>
      <c r="D165" s="7">
        <v>0</v>
      </c>
      <c r="E165" s="7">
        <v>1</v>
      </c>
      <c r="F165" s="7">
        <v>1</v>
      </c>
      <c r="G165" s="7">
        <v>0</v>
      </c>
      <c r="H165" s="1">
        <f t="shared" si="49"/>
        <v>0</v>
      </c>
      <c r="I165" s="1">
        <f t="shared" si="50"/>
        <v>0</v>
      </c>
      <c r="J165" s="1">
        <f t="shared" si="51"/>
        <v>1</v>
      </c>
      <c r="K165" s="1">
        <f t="shared" si="52"/>
        <v>0</v>
      </c>
      <c r="L165" s="1" t="str">
        <f t="shared" si="48"/>
        <v>紧货币紧信用</v>
      </c>
      <c r="O165" s="48">
        <v>41152</v>
      </c>
      <c r="P165" s="54">
        <v>3.6378652173913042</v>
      </c>
      <c r="R165" s="52">
        <v>42155</v>
      </c>
      <c r="S165" s="53">
        <v>12397</v>
      </c>
      <c r="T165" s="14">
        <f t="shared" si="41"/>
        <v>2574.5</v>
      </c>
      <c r="U165" s="62">
        <f t="shared" si="42"/>
        <v>14971.5</v>
      </c>
      <c r="V165" s="62">
        <f t="shared" si="45"/>
        <v>161243.39660000001</v>
      </c>
      <c r="W165" s="63">
        <f t="shared" si="43"/>
        <v>666414.9</v>
      </c>
      <c r="X165" s="64">
        <f t="shared" si="46"/>
        <v>24.195646976080518</v>
      </c>
      <c r="Y165" s="63"/>
      <c r="Z165" s="69">
        <v>39933</v>
      </c>
      <c r="AA165" s="67">
        <v>579.11</v>
      </c>
      <c r="AB165" s="67"/>
      <c r="AC165" s="67"/>
      <c r="AD165" s="14"/>
      <c r="AG165" s="55"/>
      <c r="AH165" s="16"/>
      <c r="AI165" s="16"/>
      <c r="AJ165" s="16"/>
      <c r="AK165" s="16"/>
      <c r="AL165" s="16"/>
      <c r="AM165" s="48">
        <v>41486</v>
      </c>
      <c r="AN165" s="54">
        <v>4.7758434782608701</v>
      </c>
      <c r="AO165" s="16"/>
    </row>
    <row r="166" spans="1:41" x14ac:dyDescent="0.3">
      <c r="A166" s="8">
        <v>41455</v>
      </c>
      <c r="B166" s="9">
        <f t="shared" si="47"/>
        <v>5.0758157894736842</v>
      </c>
      <c r="C166" s="9">
        <f t="shared" si="44"/>
        <v>33.303624503960286</v>
      </c>
      <c r="D166" s="7">
        <v>0</v>
      </c>
      <c r="E166" s="7">
        <v>1</v>
      </c>
      <c r="F166" s="7">
        <v>1</v>
      </c>
      <c r="G166" s="7">
        <v>0</v>
      </c>
      <c r="H166" s="1">
        <f t="shared" si="49"/>
        <v>0</v>
      </c>
      <c r="I166" s="1">
        <f t="shared" si="50"/>
        <v>0</v>
      </c>
      <c r="J166" s="1">
        <f t="shared" si="51"/>
        <v>1</v>
      </c>
      <c r="K166" s="1">
        <f t="shared" si="52"/>
        <v>0</v>
      </c>
      <c r="L166" s="1" t="str">
        <f t="shared" si="48"/>
        <v>紧货币紧信用</v>
      </c>
      <c r="O166" s="48">
        <v>41121</v>
      </c>
      <c r="P166" s="54">
        <v>3.8686409090909089</v>
      </c>
      <c r="R166" s="52">
        <v>42185</v>
      </c>
      <c r="S166" s="53">
        <v>18384</v>
      </c>
      <c r="T166" s="14">
        <f t="shared" si="41"/>
        <v>8221.1597999999994</v>
      </c>
      <c r="U166" s="62">
        <f t="shared" si="42"/>
        <v>26605.159800000001</v>
      </c>
      <c r="V166" s="62">
        <f t="shared" si="45"/>
        <v>166733.65640000001</v>
      </c>
      <c r="W166" s="63">
        <f t="shared" si="43"/>
        <v>678839.5</v>
      </c>
      <c r="X166" s="64">
        <f t="shared" si="46"/>
        <v>24.561572566122038</v>
      </c>
      <c r="Y166" s="63"/>
      <c r="Z166" s="69">
        <v>39903</v>
      </c>
      <c r="AA166" s="67">
        <v>75</v>
      </c>
      <c r="AB166" s="67"/>
      <c r="AC166" s="67"/>
      <c r="AD166" s="14"/>
      <c r="AG166" s="55"/>
      <c r="AH166" s="16"/>
      <c r="AI166" s="16"/>
      <c r="AJ166" s="16"/>
      <c r="AK166" s="16"/>
      <c r="AL166" s="16"/>
      <c r="AM166" s="48">
        <v>41455</v>
      </c>
      <c r="AN166" s="54">
        <v>5.0758157894736842</v>
      </c>
      <c r="AO166" s="16"/>
    </row>
    <row r="167" spans="1:41" x14ac:dyDescent="0.3">
      <c r="A167" s="8">
        <v>41425</v>
      </c>
      <c r="B167" s="9">
        <f t="shared" si="47"/>
        <v>3.8820409090909092</v>
      </c>
      <c r="C167" s="9">
        <f t="shared" si="44"/>
        <v>35.360687227026375</v>
      </c>
      <c r="D167" s="7">
        <v>1</v>
      </c>
      <c r="E167" s="7">
        <v>0</v>
      </c>
      <c r="F167" s="7">
        <v>1</v>
      </c>
      <c r="G167" s="7">
        <v>0</v>
      </c>
      <c r="H167" s="1">
        <f t="shared" si="49"/>
        <v>0</v>
      </c>
      <c r="I167" s="1">
        <f t="shared" si="50"/>
        <v>0</v>
      </c>
      <c r="J167" s="1">
        <f t="shared" si="51"/>
        <v>0</v>
      </c>
      <c r="K167" s="1">
        <f t="shared" si="52"/>
        <v>1</v>
      </c>
      <c r="L167" s="1" t="str">
        <f t="shared" si="48"/>
        <v>紧货币宽信用</v>
      </c>
      <c r="O167" s="48">
        <v>41090</v>
      </c>
      <c r="P167" s="54">
        <v>4.1006349999999996</v>
      </c>
      <c r="R167" s="52">
        <v>42216</v>
      </c>
      <c r="S167" s="53">
        <v>7511</v>
      </c>
      <c r="T167" s="14">
        <f t="shared" si="41"/>
        <v>6643.5136000000002</v>
      </c>
      <c r="U167" s="62">
        <f t="shared" si="42"/>
        <v>14154.5136</v>
      </c>
      <c r="V167" s="62">
        <f t="shared" si="45"/>
        <v>176063.49340000001</v>
      </c>
      <c r="W167" s="63">
        <f t="shared" si="43"/>
        <v>678839.5</v>
      </c>
      <c r="X167" s="64">
        <f t="shared" si="46"/>
        <v>25.93595296089871</v>
      </c>
      <c r="Y167" s="63"/>
      <c r="Z167" s="69">
        <v>39872</v>
      </c>
      <c r="AA167" s="67">
        <v>-10.7</v>
      </c>
      <c r="AB167" s="67"/>
      <c r="AC167" s="67"/>
      <c r="AD167" s="14"/>
      <c r="AG167" s="55"/>
      <c r="AH167" s="16"/>
      <c r="AI167" s="16"/>
      <c r="AJ167" s="16"/>
      <c r="AK167" s="16"/>
      <c r="AL167" s="16"/>
      <c r="AM167" s="48">
        <v>41425</v>
      </c>
      <c r="AN167" s="54">
        <v>3.8820409090909092</v>
      </c>
      <c r="AO167" s="16"/>
    </row>
    <row r="168" spans="1:41" x14ac:dyDescent="0.3">
      <c r="A168" s="8">
        <v>41394</v>
      </c>
      <c r="B168" s="9">
        <f t="shared" si="47"/>
        <v>3.8816904761904758</v>
      </c>
      <c r="C168" s="9">
        <f t="shared" si="44"/>
        <v>34.878375123144487</v>
      </c>
      <c r="D168" s="7">
        <v>1</v>
      </c>
      <c r="E168" s="7">
        <v>0</v>
      </c>
      <c r="F168" s="7">
        <v>1</v>
      </c>
      <c r="G168" s="7">
        <v>0</v>
      </c>
      <c r="H168" s="1">
        <f t="shared" si="49"/>
        <v>0</v>
      </c>
      <c r="I168" s="1">
        <f t="shared" si="50"/>
        <v>0</v>
      </c>
      <c r="J168" s="1">
        <f t="shared" si="51"/>
        <v>0</v>
      </c>
      <c r="K168" s="1">
        <f t="shared" si="52"/>
        <v>1</v>
      </c>
      <c r="L168" s="1" t="str">
        <f t="shared" si="48"/>
        <v>紧货币宽信用</v>
      </c>
      <c r="O168" s="48">
        <v>41060</v>
      </c>
      <c r="P168" s="54">
        <v>4.4712318181818178</v>
      </c>
      <c r="R168" s="52">
        <v>42247</v>
      </c>
      <c r="S168" s="53">
        <v>11097</v>
      </c>
      <c r="T168" s="14">
        <f t="shared" si="41"/>
        <v>5368.0960999999998</v>
      </c>
      <c r="U168" s="62">
        <f t="shared" si="42"/>
        <v>16465.096099999999</v>
      </c>
      <c r="V168" s="62">
        <f t="shared" si="45"/>
        <v>181605.0895</v>
      </c>
      <c r="W168" s="63">
        <f t="shared" si="43"/>
        <v>678839.5</v>
      </c>
      <c r="X168" s="64">
        <f t="shared" si="46"/>
        <v>26.752286733462032</v>
      </c>
      <c r="Y168" s="63"/>
      <c r="Z168" s="69">
        <v>39844</v>
      </c>
      <c r="AA168" s="67">
        <v>0</v>
      </c>
      <c r="AB168" s="67"/>
      <c r="AC168" s="67"/>
      <c r="AD168" s="14"/>
      <c r="AG168" s="55"/>
      <c r="AH168" s="16"/>
      <c r="AI168" s="16"/>
      <c r="AJ168" s="16"/>
      <c r="AK168" s="16"/>
      <c r="AL168" s="16"/>
      <c r="AM168" s="48">
        <v>41394</v>
      </c>
      <c r="AN168" s="54">
        <v>3.8816904761904758</v>
      </c>
      <c r="AO168" s="16"/>
    </row>
    <row r="169" spans="1:41" x14ac:dyDescent="0.3">
      <c r="A169" s="8">
        <v>41364</v>
      </c>
      <c r="B169" s="9">
        <f t="shared" si="47"/>
        <v>3.8831523809523811</v>
      </c>
      <c r="C169" s="9">
        <f t="shared" si="44"/>
        <v>33.226822096419561</v>
      </c>
      <c r="D169" s="7">
        <v>1</v>
      </c>
      <c r="E169" s="7">
        <v>0</v>
      </c>
      <c r="F169" s="7">
        <v>1</v>
      </c>
      <c r="G169" s="7">
        <v>0</v>
      </c>
      <c r="H169" s="1">
        <f t="shared" si="49"/>
        <v>0</v>
      </c>
      <c r="I169" s="1">
        <f t="shared" si="50"/>
        <v>0</v>
      </c>
      <c r="J169" s="1">
        <f t="shared" si="51"/>
        <v>0</v>
      </c>
      <c r="K169" s="1">
        <f t="shared" si="52"/>
        <v>1</v>
      </c>
      <c r="L169" s="1" t="str">
        <f t="shared" si="48"/>
        <v>紧货币宽信用</v>
      </c>
      <c r="O169" s="48">
        <v>41029</v>
      </c>
      <c r="P169" s="54">
        <v>4.8003</v>
      </c>
      <c r="R169" s="52">
        <v>42277</v>
      </c>
      <c r="S169" s="53">
        <v>13571</v>
      </c>
      <c r="T169" s="14">
        <f t="shared" si="41"/>
        <v>6576.4242999999997</v>
      </c>
      <c r="U169" s="62">
        <f t="shared" si="42"/>
        <v>20147.424299999999</v>
      </c>
      <c r="V169" s="62">
        <f t="shared" si="45"/>
        <v>188540.9938</v>
      </c>
      <c r="W169" s="63">
        <f t="shared" si="43"/>
        <v>690356.5</v>
      </c>
      <c r="X169" s="64">
        <f t="shared" si="46"/>
        <v>27.310671196693303</v>
      </c>
      <c r="Y169" s="63"/>
      <c r="Z169" s="69">
        <v>39813</v>
      </c>
      <c r="AA169" s="67">
        <v>-208.1</v>
      </c>
      <c r="AB169" s="67"/>
      <c r="AC169" s="67"/>
      <c r="AD169" s="14"/>
      <c r="AG169" s="55"/>
      <c r="AH169" s="16"/>
      <c r="AI169" s="16"/>
      <c r="AJ169" s="16"/>
      <c r="AK169" s="16"/>
      <c r="AL169" s="16"/>
      <c r="AM169" s="48">
        <v>41364</v>
      </c>
      <c r="AN169" s="54">
        <v>3.8831523809523811</v>
      </c>
      <c r="AO169" s="16"/>
    </row>
    <row r="170" spans="1:41" x14ac:dyDescent="0.3">
      <c r="A170" s="8">
        <v>41333</v>
      </c>
      <c r="B170" s="9">
        <f t="shared" si="47"/>
        <v>3.8871882352941181</v>
      </c>
      <c r="C170" s="9">
        <f t="shared" si="44"/>
        <v>32.708400036748145</v>
      </c>
      <c r="D170" s="7">
        <v>1</v>
      </c>
      <c r="E170" s="7">
        <v>0</v>
      </c>
      <c r="F170" s="7">
        <v>1</v>
      </c>
      <c r="G170" s="7">
        <v>0</v>
      </c>
      <c r="H170" s="1">
        <f t="shared" si="49"/>
        <v>0</v>
      </c>
      <c r="I170" s="1">
        <f t="shared" si="50"/>
        <v>0</v>
      </c>
      <c r="J170" s="1">
        <f t="shared" si="51"/>
        <v>0</v>
      </c>
      <c r="K170" s="1">
        <f t="shared" si="52"/>
        <v>1</v>
      </c>
      <c r="L170" s="1" t="str">
        <f t="shared" si="48"/>
        <v>紧货币宽信用</v>
      </c>
      <c r="O170" s="48">
        <v>40999</v>
      </c>
      <c r="P170" s="54">
        <v>5.0405043478260874</v>
      </c>
      <c r="R170" s="52">
        <v>42308</v>
      </c>
      <c r="S170" s="53">
        <v>5593</v>
      </c>
      <c r="T170" s="14">
        <f t="shared" si="41"/>
        <v>5917.9063999999998</v>
      </c>
      <c r="U170" s="62">
        <f t="shared" si="42"/>
        <v>11510.9064</v>
      </c>
      <c r="V170" s="62">
        <f t="shared" si="45"/>
        <v>191856.50019999998</v>
      </c>
      <c r="W170" s="63">
        <f t="shared" si="43"/>
        <v>690356.5</v>
      </c>
      <c r="X170" s="64">
        <f t="shared" si="46"/>
        <v>27.790931236252568</v>
      </c>
      <c r="Y170" s="63"/>
      <c r="Z170" s="69">
        <v>39782</v>
      </c>
      <c r="AA170" s="67">
        <v>705</v>
      </c>
      <c r="AB170" s="67"/>
      <c r="AC170" s="67"/>
      <c r="AD170" s="14"/>
      <c r="AG170" s="55"/>
      <c r="AH170" s="16"/>
      <c r="AI170" s="16"/>
      <c r="AJ170" s="16"/>
      <c r="AK170" s="16"/>
      <c r="AL170" s="16"/>
      <c r="AM170" s="48">
        <v>41333</v>
      </c>
      <c r="AN170" s="54">
        <v>3.8871882352941181</v>
      </c>
      <c r="AO170" s="16"/>
    </row>
    <row r="171" spans="1:41" x14ac:dyDescent="0.3">
      <c r="A171" s="8">
        <v>41305</v>
      </c>
      <c r="B171" s="9">
        <f t="shared" si="47"/>
        <v>3.895104545454545</v>
      </c>
      <c r="C171" s="9">
        <f t="shared" si="44"/>
        <v>32.862917564898737</v>
      </c>
      <c r="D171" s="7">
        <v>1</v>
      </c>
      <c r="E171" s="7">
        <v>0</v>
      </c>
      <c r="F171" s="7">
        <v>1</v>
      </c>
      <c r="G171" s="7">
        <v>0</v>
      </c>
      <c r="H171" s="1">
        <f t="shared" si="49"/>
        <v>0</v>
      </c>
      <c r="I171" s="1">
        <f t="shared" si="50"/>
        <v>0</v>
      </c>
      <c r="J171" s="1">
        <f t="shared" si="51"/>
        <v>0</v>
      </c>
      <c r="K171" s="1">
        <f t="shared" si="52"/>
        <v>1</v>
      </c>
      <c r="L171" s="1" t="str">
        <f t="shared" si="48"/>
        <v>紧货币宽信用</v>
      </c>
      <c r="O171" s="48">
        <v>40968</v>
      </c>
      <c r="P171" s="54">
        <v>5.3338238095238104</v>
      </c>
      <c r="R171" s="52">
        <v>42338</v>
      </c>
      <c r="S171" s="53">
        <v>10255</v>
      </c>
      <c r="T171" s="14">
        <f t="shared" si="41"/>
        <v>9400.2369999999992</v>
      </c>
      <c r="U171" s="62">
        <f t="shared" si="42"/>
        <v>19655.237000000001</v>
      </c>
      <c r="V171" s="62">
        <f t="shared" si="45"/>
        <v>198910.93719999999</v>
      </c>
      <c r="W171" s="63">
        <f t="shared" si="43"/>
        <v>690356.5</v>
      </c>
      <c r="X171" s="64">
        <f t="shared" si="46"/>
        <v>28.812785452154067</v>
      </c>
      <c r="Y171" s="63"/>
      <c r="Z171" s="69">
        <v>39752</v>
      </c>
      <c r="AA171" s="67">
        <v>323.8</v>
      </c>
      <c r="AB171" s="67"/>
      <c r="AC171" s="67"/>
      <c r="AD171" s="14"/>
      <c r="AG171" s="55"/>
      <c r="AH171" s="16"/>
      <c r="AI171" s="16"/>
      <c r="AJ171" s="16"/>
      <c r="AK171" s="16"/>
      <c r="AL171" s="16"/>
      <c r="AM171" s="48">
        <v>41305</v>
      </c>
      <c r="AN171" s="54">
        <v>3.895104545454545</v>
      </c>
      <c r="AO171" s="16"/>
    </row>
    <row r="172" spans="1:41" x14ac:dyDescent="0.3">
      <c r="A172" s="8">
        <v>41274</v>
      </c>
      <c r="B172" s="9">
        <f t="shared" si="47"/>
        <v>3.8654809523809521</v>
      </c>
      <c r="C172" s="9">
        <f t="shared" si="44"/>
        <v>29.822483834562508</v>
      </c>
      <c r="D172" s="7">
        <v>1</v>
      </c>
      <c r="E172" s="7">
        <v>0</v>
      </c>
      <c r="F172" s="7">
        <v>1</v>
      </c>
      <c r="G172" s="7">
        <v>0</v>
      </c>
      <c r="H172" s="1">
        <f t="shared" si="49"/>
        <v>0</v>
      </c>
      <c r="I172" s="1">
        <f t="shared" si="50"/>
        <v>0</v>
      </c>
      <c r="J172" s="1">
        <f t="shared" si="51"/>
        <v>0</v>
      </c>
      <c r="K172" s="1">
        <f t="shared" si="52"/>
        <v>1</v>
      </c>
      <c r="L172" s="1" t="str">
        <f t="shared" si="48"/>
        <v>紧货币宽信用</v>
      </c>
      <c r="O172" s="48">
        <v>40939</v>
      </c>
      <c r="P172" s="54">
        <v>5.4820529411764714</v>
      </c>
      <c r="R172" s="52">
        <v>42369</v>
      </c>
      <c r="S172" s="53">
        <v>18114</v>
      </c>
      <c r="T172" s="14">
        <f t="shared" si="41"/>
        <v>1948.6978999999999</v>
      </c>
      <c r="U172" s="62">
        <f t="shared" si="42"/>
        <v>20062.697899999999</v>
      </c>
      <c r="V172" s="62">
        <f t="shared" si="45"/>
        <v>201398.3351</v>
      </c>
      <c r="W172" s="63">
        <f t="shared" si="43"/>
        <v>702511.5</v>
      </c>
      <c r="X172" s="64">
        <f t="shared" si="46"/>
        <v>28.668332845796829</v>
      </c>
      <c r="Y172" s="63"/>
      <c r="Z172" s="69">
        <v>39721</v>
      </c>
      <c r="AA172" s="67">
        <v>-316.5</v>
      </c>
      <c r="AB172" s="67"/>
      <c r="AC172" s="67"/>
      <c r="AD172" s="14"/>
      <c r="AG172" s="55"/>
      <c r="AH172" s="16"/>
      <c r="AI172" s="16"/>
      <c r="AJ172" s="16"/>
      <c r="AK172" s="16"/>
      <c r="AL172" s="16"/>
      <c r="AM172" s="48">
        <v>41274</v>
      </c>
      <c r="AN172" s="54">
        <v>3.8654809523809521</v>
      </c>
      <c r="AO172" s="16"/>
    </row>
    <row r="173" spans="1:41" x14ac:dyDescent="0.3">
      <c r="A173" s="8">
        <v>41243</v>
      </c>
      <c r="B173" s="9">
        <f t="shared" si="47"/>
        <v>3.7712772727272732</v>
      </c>
      <c r="C173" s="9">
        <f t="shared" si="44"/>
        <v>29.949810930947145</v>
      </c>
      <c r="D173" s="7">
        <v>1</v>
      </c>
      <c r="E173" s="7">
        <v>0</v>
      </c>
      <c r="F173" s="7">
        <v>1</v>
      </c>
      <c r="G173" s="7">
        <v>0</v>
      </c>
      <c r="H173" s="1">
        <f t="shared" si="49"/>
        <v>0</v>
      </c>
      <c r="I173" s="1">
        <f t="shared" si="50"/>
        <v>0</v>
      </c>
      <c r="J173" s="1">
        <f t="shared" si="51"/>
        <v>0</v>
      </c>
      <c r="K173" s="1">
        <f t="shared" si="52"/>
        <v>1</v>
      </c>
      <c r="L173" s="1" t="str">
        <f t="shared" si="48"/>
        <v>紧货币宽信用</v>
      </c>
      <c r="O173" s="48">
        <v>40908</v>
      </c>
      <c r="P173" s="54">
        <v>5.4768695652173909</v>
      </c>
      <c r="R173" s="52">
        <v>42400</v>
      </c>
      <c r="S173" s="53">
        <v>34758</v>
      </c>
      <c r="T173" s="14">
        <f t="shared" si="41"/>
        <v>850</v>
      </c>
      <c r="U173" s="62">
        <f t="shared" si="42"/>
        <v>35608</v>
      </c>
      <c r="V173" s="62">
        <f t="shared" si="45"/>
        <v>216590.3351</v>
      </c>
      <c r="W173" s="63">
        <f t="shared" si="43"/>
        <v>702511.5</v>
      </c>
      <c r="X173" s="64">
        <f t="shared" si="46"/>
        <v>30.830859722581057</v>
      </c>
      <c r="Y173" s="63"/>
      <c r="Z173" s="69">
        <v>39691</v>
      </c>
      <c r="AA173" s="67">
        <v>91.5</v>
      </c>
      <c r="AB173" s="67"/>
      <c r="AC173" s="67"/>
      <c r="AD173" s="14"/>
      <c r="AG173" s="55"/>
      <c r="AH173" s="16"/>
      <c r="AI173" s="16"/>
      <c r="AJ173" s="16"/>
      <c r="AK173" s="16"/>
      <c r="AL173" s="16"/>
      <c r="AM173" s="48">
        <v>41243</v>
      </c>
      <c r="AN173" s="54">
        <v>3.7712772727272732</v>
      </c>
      <c r="AO173" s="16"/>
    </row>
    <row r="174" spans="1:41" x14ac:dyDescent="0.3">
      <c r="A174" s="8">
        <v>41213</v>
      </c>
      <c r="B174" s="9">
        <f t="shared" si="47"/>
        <v>3.7028833333333329</v>
      </c>
      <c r="C174" s="9">
        <f t="shared" si="44"/>
        <v>29.6120812968806</v>
      </c>
      <c r="D174" s="7">
        <v>1</v>
      </c>
      <c r="E174" s="7">
        <v>0</v>
      </c>
      <c r="F174" s="7">
        <v>1</v>
      </c>
      <c r="G174" s="7">
        <v>0</v>
      </c>
      <c r="H174" s="1">
        <f t="shared" si="49"/>
        <v>0</v>
      </c>
      <c r="I174" s="1">
        <f t="shared" si="50"/>
        <v>0</v>
      </c>
      <c r="J174" s="1">
        <f t="shared" si="51"/>
        <v>0</v>
      </c>
      <c r="K174" s="1">
        <f t="shared" si="52"/>
        <v>1</v>
      </c>
      <c r="L174" s="1" t="str">
        <f t="shared" si="48"/>
        <v>紧货币宽信用</v>
      </c>
      <c r="O174" s="48">
        <v>40877</v>
      </c>
      <c r="P174" s="54">
        <v>5.6804727272727273</v>
      </c>
      <c r="R174" s="52">
        <v>42429</v>
      </c>
      <c r="S174" s="53">
        <v>8312</v>
      </c>
      <c r="T174" s="14">
        <f t="shared" si="41"/>
        <v>298.51</v>
      </c>
      <c r="U174" s="62">
        <f t="shared" si="42"/>
        <v>8610.51</v>
      </c>
      <c r="V174" s="62">
        <f t="shared" si="45"/>
        <v>212081.54509999999</v>
      </c>
      <c r="W174" s="63">
        <f t="shared" si="43"/>
        <v>702511.5</v>
      </c>
      <c r="X174" s="64">
        <f t="shared" si="46"/>
        <v>30.189049588512074</v>
      </c>
      <c r="Y174" s="63"/>
      <c r="Z174" s="69">
        <v>39660</v>
      </c>
      <c r="AA174" s="67">
        <v>245.9</v>
      </c>
      <c r="AB174" s="67"/>
      <c r="AC174" s="67"/>
      <c r="AD174" s="14"/>
      <c r="AG174" s="55"/>
      <c r="AH174" s="16"/>
      <c r="AI174" s="16"/>
      <c r="AJ174" s="16"/>
      <c r="AK174" s="16"/>
      <c r="AL174" s="16"/>
      <c r="AM174" s="48">
        <v>41213</v>
      </c>
      <c r="AN174" s="54">
        <v>3.7028833333333329</v>
      </c>
      <c r="AO174" s="16"/>
    </row>
    <row r="175" spans="1:41" x14ac:dyDescent="0.3">
      <c r="A175" s="8">
        <v>41182</v>
      </c>
      <c r="B175" s="9">
        <f t="shared" si="47"/>
        <v>3.6579380952380949</v>
      </c>
      <c r="C175" s="9">
        <f t="shared" si="44"/>
        <v>28.605813990547485</v>
      </c>
      <c r="D175" s="7">
        <v>1</v>
      </c>
      <c r="E175" s="7">
        <v>0</v>
      </c>
      <c r="F175" s="7">
        <v>1</v>
      </c>
      <c r="G175" s="7">
        <v>0</v>
      </c>
      <c r="H175" s="1">
        <f t="shared" si="49"/>
        <v>0</v>
      </c>
      <c r="I175" s="1">
        <f t="shared" si="50"/>
        <v>0</v>
      </c>
      <c r="J175" s="1">
        <f t="shared" si="51"/>
        <v>0</v>
      </c>
      <c r="K175" s="1">
        <f t="shared" si="52"/>
        <v>1</v>
      </c>
      <c r="L175" s="1" t="str">
        <f t="shared" si="48"/>
        <v>紧货币宽信用</v>
      </c>
      <c r="O175" s="48">
        <v>40847</v>
      </c>
      <c r="P175" s="54">
        <v>5.6384222222222222</v>
      </c>
      <c r="R175" s="52">
        <v>42460</v>
      </c>
      <c r="S175" s="53">
        <v>23931</v>
      </c>
      <c r="T175" s="14">
        <f t="shared" si="41"/>
        <v>8335.3223999999991</v>
      </c>
      <c r="U175" s="62">
        <f t="shared" si="42"/>
        <v>32266.322399999997</v>
      </c>
      <c r="V175" s="62">
        <f t="shared" si="45"/>
        <v>231464.86749999999</v>
      </c>
      <c r="W175" s="63">
        <f t="shared" si="43"/>
        <v>714075.4</v>
      </c>
      <c r="X175" s="64">
        <f t="shared" si="46"/>
        <v>32.414625612365306</v>
      </c>
      <c r="Y175" s="63"/>
      <c r="Z175" s="69">
        <v>39629</v>
      </c>
      <c r="AA175" s="67">
        <v>-13.9</v>
      </c>
      <c r="AB175" s="67"/>
      <c r="AC175" s="67"/>
      <c r="AD175" s="14"/>
      <c r="AG175" s="55"/>
      <c r="AH175" s="16"/>
      <c r="AI175" s="16"/>
      <c r="AJ175" s="16"/>
      <c r="AK175" s="16"/>
      <c r="AL175" s="16"/>
      <c r="AM175" s="48">
        <v>41182</v>
      </c>
      <c r="AN175" s="54">
        <v>3.6579380952380949</v>
      </c>
      <c r="AO175" s="16"/>
    </row>
    <row r="176" spans="1:41" x14ac:dyDescent="0.3">
      <c r="A176" s="8">
        <v>41152</v>
      </c>
      <c r="B176" s="9">
        <f t="shared" si="47"/>
        <v>3.6378652173913042</v>
      </c>
      <c r="C176" s="9">
        <f t="shared" ref="C176:C207" si="53">VLOOKUP(A176,R:X,7,0)</f>
        <v>26.804568038874148</v>
      </c>
      <c r="D176" s="7">
        <v>1</v>
      </c>
      <c r="E176" s="7">
        <v>0</v>
      </c>
      <c r="F176" s="7">
        <v>1</v>
      </c>
      <c r="G176" s="7">
        <v>0</v>
      </c>
      <c r="H176" s="1">
        <f t="shared" si="49"/>
        <v>0</v>
      </c>
      <c r="I176" s="1">
        <f t="shared" si="50"/>
        <v>0</v>
      </c>
      <c r="J176" s="1">
        <f t="shared" si="51"/>
        <v>0</v>
      </c>
      <c r="K176" s="1">
        <f t="shared" si="52"/>
        <v>1</v>
      </c>
      <c r="L176" s="1" t="str">
        <f t="shared" si="48"/>
        <v>紧货币宽信用</v>
      </c>
      <c r="O176" s="48">
        <v>40816</v>
      </c>
      <c r="P176" s="54">
        <v>5.6253714285714294</v>
      </c>
      <c r="R176" s="52">
        <v>42490</v>
      </c>
      <c r="S176" s="53">
        <v>7809</v>
      </c>
      <c r="T176" s="14">
        <f t="shared" si="41"/>
        <v>12207.2652</v>
      </c>
      <c r="U176" s="62">
        <f t="shared" si="42"/>
        <v>20016.265200000002</v>
      </c>
      <c r="V176" s="62">
        <f t="shared" si="45"/>
        <v>240073.63269999999</v>
      </c>
      <c r="W176" s="63">
        <f t="shared" si="43"/>
        <v>714075.4</v>
      </c>
      <c r="X176" s="64">
        <f t="shared" si="46"/>
        <v>33.620207711958706</v>
      </c>
      <c r="Y176" s="63"/>
      <c r="Z176" s="69">
        <v>39599</v>
      </c>
      <c r="AA176" s="67">
        <v>724.71</v>
      </c>
      <c r="AB176" s="67"/>
      <c r="AC176" s="67"/>
      <c r="AD176" s="14"/>
      <c r="AG176" s="55"/>
      <c r="AH176" s="16"/>
      <c r="AI176" s="16"/>
      <c r="AJ176" s="16"/>
      <c r="AK176" s="16"/>
      <c r="AL176" s="16"/>
      <c r="AM176" s="48">
        <v>41152</v>
      </c>
      <c r="AN176" s="54">
        <v>3.6378652173913042</v>
      </c>
      <c r="AO176" s="16"/>
    </row>
    <row r="177" spans="1:41" x14ac:dyDescent="0.3">
      <c r="A177" s="8">
        <v>41121</v>
      </c>
      <c r="B177" s="9">
        <f t="shared" si="47"/>
        <v>3.8686409090909089</v>
      </c>
      <c r="C177" s="9">
        <f t="shared" si="53"/>
        <v>26.463393474257575</v>
      </c>
      <c r="D177" s="7">
        <v>1</v>
      </c>
      <c r="E177" s="7">
        <v>0</v>
      </c>
      <c r="F177" s="7">
        <v>1</v>
      </c>
      <c r="G177" s="7">
        <v>0</v>
      </c>
      <c r="H177" s="1">
        <f t="shared" si="49"/>
        <v>0</v>
      </c>
      <c r="I177" s="1">
        <f t="shared" si="50"/>
        <v>0</v>
      </c>
      <c r="J177" s="1">
        <f t="shared" si="51"/>
        <v>0</v>
      </c>
      <c r="K177" s="1">
        <f t="shared" si="52"/>
        <v>1</v>
      </c>
      <c r="L177" s="1" t="str">
        <f t="shared" si="48"/>
        <v>紧货币宽信用</v>
      </c>
      <c r="O177" s="48">
        <v>40786</v>
      </c>
      <c r="P177" s="54">
        <v>5.5837826086956523</v>
      </c>
      <c r="R177" s="52">
        <v>42521</v>
      </c>
      <c r="S177" s="53">
        <v>6770</v>
      </c>
      <c r="T177" s="14">
        <f t="shared" si="41"/>
        <v>7373.4480999999996</v>
      </c>
      <c r="U177" s="62">
        <f t="shared" si="42"/>
        <v>14143.4481</v>
      </c>
      <c r="V177" s="62">
        <f t="shared" si="45"/>
        <v>239245.5808</v>
      </c>
      <c r="W177" s="63">
        <f t="shared" si="43"/>
        <v>714075.4</v>
      </c>
      <c r="X177" s="64">
        <f t="shared" si="46"/>
        <v>33.504246302281246</v>
      </c>
      <c r="Y177" s="63"/>
      <c r="Z177" s="69">
        <v>39568</v>
      </c>
      <c r="AA177" s="67">
        <v>-134.30000000000001</v>
      </c>
      <c r="AB177" s="67"/>
      <c r="AC177" s="67"/>
      <c r="AD177" s="14"/>
      <c r="AG177" s="55"/>
      <c r="AH177" s="16"/>
      <c r="AI177" s="16"/>
      <c r="AJ177" s="16"/>
      <c r="AK177" s="16"/>
      <c r="AL177" s="16"/>
      <c r="AM177" s="48">
        <v>41121</v>
      </c>
      <c r="AN177" s="54">
        <v>3.8686409090909089</v>
      </c>
      <c r="AO177" s="16"/>
    </row>
    <row r="178" spans="1:41" x14ac:dyDescent="0.3">
      <c r="A178" s="8">
        <v>41090</v>
      </c>
      <c r="B178" s="9">
        <f t="shared" si="47"/>
        <v>4.1006349999999996</v>
      </c>
      <c r="C178" s="9">
        <f t="shared" si="53"/>
        <v>25.472662417402493</v>
      </c>
      <c r="D178" s="7">
        <v>1</v>
      </c>
      <c r="E178" s="7">
        <v>0</v>
      </c>
      <c r="F178" s="7">
        <v>0</v>
      </c>
      <c r="G178" s="7">
        <v>1</v>
      </c>
      <c r="H178" s="1">
        <f t="shared" si="49"/>
        <v>0</v>
      </c>
      <c r="I178" s="1">
        <f t="shared" si="50"/>
        <v>1</v>
      </c>
      <c r="J178" s="1">
        <f t="shared" si="51"/>
        <v>0</v>
      </c>
      <c r="K178" s="1">
        <f t="shared" si="52"/>
        <v>0</v>
      </c>
      <c r="L178" s="1" t="str">
        <f t="shared" si="48"/>
        <v>宽货币宽信用</v>
      </c>
      <c r="O178" s="48">
        <v>40755</v>
      </c>
      <c r="P178" s="54">
        <v>6.1268476190476209</v>
      </c>
      <c r="R178" s="52">
        <v>42551</v>
      </c>
      <c r="S178" s="53">
        <v>16479</v>
      </c>
      <c r="T178" s="14">
        <f t="shared" si="41"/>
        <v>11467.079299999999</v>
      </c>
      <c r="U178" s="62">
        <f t="shared" si="42"/>
        <v>27946.079299999998</v>
      </c>
      <c r="V178" s="62">
        <f t="shared" si="45"/>
        <v>240586.50030000001</v>
      </c>
      <c r="W178" s="63">
        <f t="shared" si="43"/>
        <v>727190.6</v>
      </c>
      <c r="X178" s="64">
        <f t="shared" si="46"/>
        <v>33.08437984484398</v>
      </c>
      <c r="Y178" s="63"/>
      <c r="Z178" s="69">
        <v>39538</v>
      </c>
      <c r="AA178" s="67">
        <v>-225.6</v>
      </c>
      <c r="AB178" s="67"/>
      <c r="AC178" s="67"/>
      <c r="AD178" s="14"/>
      <c r="AG178" s="55"/>
      <c r="AH178" s="16"/>
      <c r="AI178" s="16"/>
      <c r="AJ178" s="16"/>
      <c r="AK178" s="16"/>
      <c r="AL178" s="16"/>
      <c r="AM178" s="48">
        <v>41090</v>
      </c>
      <c r="AN178" s="54">
        <v>4.1006349999999996</v>
      </c>
      <c r="AO178" s="16"/>
    </row>
    <row r="179" spans="1:41" x14ac:dyDescent="0.3">
      <c r="A179" s="8">
        <v>41060</v>
      </c>
      <c r="B179" s="9">
        <f t="shared" si="47"/>
        <v>4.4712318181818178</v>
      </c>
      <c r="C179" s="9">
        <f t="shared" si="53"/>
        <v>24.82913285046892</v>
      </c>
      <c r="D179" s="7">
        <v>0</v>
      </c>
      <c r="E179" s="7">
        <v>1</v>
      </c>
      <c r="F179" s="7">
        <v>0</v>
      </c>
      <c r="G179" s="7">
        <v>1</v>
      </c>
      <c r="H179" s="1">
        <f t="shared" si="49"/>
        <v>1</v>
      </c>
      <c r="I179" s="1">
        <f t="shared" si="50"/>
        <v>0</v>
      </c>
      <c r="J179" s="1">
        <f t="shared" si="51"/>
        <v>0</v>
      </c>
      <c r="K179" s="1">
        <f t="shared" si="52"/>
        <v>0</v>
      </c>
      <c r="L179" s="1" t="str">
        <f t="shared" si="48"/>
        <v>宽货币紧信用</v>
      </c>
      <c r="O179" s="48">
        <v>40724</v>
      </c>
      <c r="P179" s="54">
        <v>5.4796714285714287</v>
      </c>
      <c r="R179" s="52">
        <v>42582</v>
      </c>
      <c r="S179" s="53">
        <v>4791</v>
      </c>
      <c r="T179" s="14">
        <f t="shared" si="41"/>
        <v>5177.6318000000001</v>
      </c>
      <c r="U179" s="62">
        <f t="shared" si="42"/>
        <v>9968.6317999999992</v>
      </c>
      <c r="V179" s="62">
        <f t="shared" si="45"/>
        <v>236400.61850000001</v>
      </c>
      <c r="W179" s="63">
        <f t="shared" si="43"/>
        <v>727190.6</v>
      </c>
      <c r="X179" s="64">
        <f t="shared" si="46"/>
        <v>32.508756095032034</v>
      </c>
      <c r="Y179" s="63"/>
      <c r="Z179" s="69">
        <v>39507</v>
      </c>
      <c r="AA179" s="67">
        <v>269.7</v>
      </c>
      <c r="AB179" s="67"/>
      <c r="AC179" s="67"/>
      <c r="AD179" s="14"/>
      <c r="AG179" s="55"/>
      <c r="AH179" s="16"/>
      <c r="AI179" s="16"/>
      <c r="AJ179" s="16"/>
      <c r="AK179" s="16"/>
      <c r="AL179" s="16"/>
      <c r="AM179" s="48">
        <v>41060</v>
      </c>
      <c r="AN179" s="54">
        <v>4.4712318181818178</v>
      </c>
      <c r="AO179" s="16"/>
    </row>
    <row r="180" spans="1:41" x14ac:dyDescent="0.3">
      <c r="A180" s="8">
        <v>41029</v>
      </c>
      <c r="B180" s="9">
        <f t="shared" si="47"/>
        <v>4.8003</v>
      </c>
      <c r="C180" s="9">
        <f t="shared" si="53"/>
        <v>24.892112089997745</v>
      </c>
      <c r="D180" s="7">
        <v>0</v>
      </c>
      <c r="E180" s="7">
        <v>1</v>
      </c>
      <c r="F180" s="7">
        <v>0</v>
      </c>
      <c r="G180" s="7">
        <v>1</v>
      </c>
      <c r="H180" s="1">
        <f t="shared" si="49"/>
        <v>1</v>
      </c>
      <c r="I180" s="1">
        <f t="shared" si="50"/>
        <v>0</v>
      </c>
      <c r="J180" s="1">
        <f t="shared" si="51"/>
        <v>0</v>
      </c>
      <c r="K180" s="1">
        <f t="shared" si="52"/>
        <v>0</v>
      </c>
      <c r="L180" s="1" t="str">
        <f t="shared" si="48"/>
        <v>宽货币紧信用</v>
      </c>
      <c r="O180" s="48">
        <v>40694</v>
      </c>
      <c r="P180" s="54">
        <v>4.5537476190476189</v>
      </c>
      <c r="R180" s="52">
        <v>42613</v>
      </c>
      <c r="S180" s="53">
        <v>14605</v>
      </c>
      <c r="T180" s="14">
        <f t="shared" si="41"/>
        <v>8939.2855</v>
      </c>
      <c r="U180" s="62">
        <f t="shared" si="42"/>
        <v>23544.285499999998</v>
      </c>
      <c r="V180" s="62">
        <f t="shared" si="45"/>
        <v>243479.80789999999</v>
      </c>
      <c r="W180" s="63">
        <f t="shared" si="43"/>
        <v>727190.6</v>
      </c>
      <c r="X180" s="64">
        <f t="shared" si="46"/>
        <v>33.482254569847299</v>
      </c>
      <c r="Y180" s="63"/>
      <c r="Z180" s="69">
        <v>39478</v>
      </c>
      <c r="AA180" s="67">
        <v>-280</v>
      </c>
      <c r="AB180" s="67"/>
      <c r="AC180" s="67"/>
      <c r="AD180" s="14"/>
      <c r="AG180" s="55"/>
      <c r="AH180" s="16"/>
      <c r="AI180" s="16"/>
      <c r="AJ180" s="16"/>
      <c r="AK180" s="16"/>
      <c r="AL180" s="16"/>
      <c r="AM180" s="48">
        <v>41029</v>
      </c>
      <c r="AN180" s="54">
        <v>4.8003</v>
      </c>
      <c r="AO180" s="16"/>
    </row>
    <row r="181" spans="1:41" x14ac:dyDescent="0.3">
      <c r="A181" s="8">
        <v>40999</v>
      </c>
      <c r="B181" s="9">
        <f t="shared" si="47"/>
        <v>5.0405043478260874</v>
      </c>
      <c r="C181" s="9">
        <f t="shared" si="53"/>
        <v>25.762048208752759</v>
      </c>
      <c r="D181" s="7">
        <v>0</v>
      </c>
      <c r="E181" s="7">
        <v>1</v>
      </c>
      <c r="F181" s="7">
        <v>0</v>
      </c>
      <c r="G181" s="7">
        <v>1</v>
      </c>
      <c r="H181" s="1">
        <f t="shared" si="49"/>
        <v>1</v>
      </c>
      <c r="I181" s="1">
        <f t="shared" si="50"/>
        <v>0</v>
      </c>
      <c r="J181" s="1">
        <f t="shared" si="51"/>
        <v>0</v>
      </c>
      <c r="K181" s="1">
        <f t="shared" si="52"/>
        <v>0</v>
      </c>
      <c r="L181" s="1" t="str">
        <f t="shared" si="48"/>
        <v>宽货币紧信用</v>
      </c>
      <c r="O181" s="48">
        <v>40663</v>
      </c>
      <c r="P181" s="54">
        <v>4.3248899999999999</v>
      </c>
      <c r="R181" s="52">
        <v>42643</v>
      </c>
      <c r="S181" s="53">
        <v>17115</v>
      </c>
      <c r="T181" s="14">
        <f t="shared" si="41"/>
        <v>4548.1902</v>
      </c>
      <c r="U181" s="62">
        <f t="shared" si="42"/>
        <v>21663.190200000001</v>
      </c>
      <c r="V181" s="62">
        <f t="shared" si="45"/>
        <v>244995.57379999998</v>
      </c>
      <c r="W181" s="63">
        <f t="shared" si="43"/>
        <v>741909.4</v>
      </c>
      <c r="X181" s="64">
        <f t="shared" si="46"/>
        <v>33.022303504983221</v>
      </c>
      <c r="Y181" s="63"/>
      <c r="Z181" s="69">
        <v>39447</v>
      </c>
      <c r="AA181" s="67">
        <v>7757.28</v>
      </c>
      <c r="AB181" s="67"/>
      <c r="AC181" s="67"/>
      <c r="AD181" s="14"/>
      <c r="AG181" s="55"/>
      <c r="AH181" s="16"/>
      <c r="AI181" s="16"/>
      <c r="AJ181" s="16"/>
      <c r="AK181" s="16"/>
      <c r="AL181" s="16"/>
      <c r="AM181" s="48">
        <v>40999</v>
      </c>
      <c r="AN181" s="54">
        <v>5.0405043478260874</v>
      </c>
      <c r="AO181" s="16"/>
    </row>
    <row r="182" spans="1:41" x14ac:dyDescent="0.3">
      <c r="A182" s="8">
        <v>40968</v>
      </c>
      <c r="B182" s="9">
        <f t="shared" si="47"/>
        <v>5.3338238095238104</v>
      </c>
      <c r="C182" s="9">
        <f t="shared" si="53"/>
        <v>26.402814159559828</v>
      </c>
      <c r="D182" s="7">
        <v>0</v>
      </c>
      <c r="E182" s="7">
        <v>1</v>
      </c>
      <c r="F182" s="7">
        <v>0</v>
      </c>
      <c r="G182" s="7">
        <v>1</v>
      </c>
      <c r="H182" s="1">
        <f t="shared" si="49"/>
        <v>1</v>
      </c>
      <c r="I182" s="1">
        <f t="shared" si="50"/>
        <v>0</v>
      </c>
      <c r="J182" s="1">
        <f t="shared" si="51"/>
        <v>0</v>
      </c>
      <c r="K182" s="1">
        <f t="shared" si="52"/>
        <v>0</v>
      </c>
      <c r="L182" s="1" t="str">
        <f t="shared" si="48"/>
        <v>宽货币紧信用</v>
      </c>
      <c r="O182" s="48">
        <v>40633</v>
      </c>
      <c r="P182" s="54">
        <v>4.3012695652173907</v>
      </c>
      <c r="R182" s="52">
        <v>42674</v>
      </c>
      <c r="S182" s="53">
        <v>8865</v>
      </c>
      <c r="T182" s="14">
        <f t="shared" si="41"/>
        <v>5030.3035</v>
      </c>
      <c r="U182" s="62">
        <f t="shared" si="42"/>
        <v>13895.3035</v>
      </c>
      <c r="V182" s="62">
        <f t="shared" si="45"/>
        <v>247379.97090000001</v>
      </c>
      <c r="W182" s="63">
        <f t="shared" si="43"/>
        <v>741909.4</v>
      </c>
      <c r="X182" s="64">
        <f t="shared" si="46"/>
        <v>33.343690065121159</v>
      </c>
      <c r="Y182" s="63"/>
      <c r="Z182" s="69">
        <v>39416</v>
      </c>
      <c r="AA182" s="67">
        <v>760</v>
      </c>
      <c r="AB182" s="67"/>
      <c r="AC182" s="67"/>
      <c r="AD182" s="14"/>
      <c r="AG182" s="55"/>
      <c r="AH182" s="16"/>
      <c r="AI182" s="16"/>
      <c r="AJ182" s="16"/>
      <c r="AK182" s="16"/>
      <c r="AL182" s="16"/>
      <c r="AM182" s="48">
        <v>40968</v>
      </c>
      <c r="AN182" s="54">
        <v>5.3338238095238104</v>
      </c>
      <c r="AO182" s="16"/>
    </row>
    <row r="183" spans="1:41" x14ac:dyDescent="0.3">
      <c r="A183" s="8">
        <v>40939</v>
      </c>
      <c r="B183" s="9">
        <f t="shared" si="47"/>
        <v>5.4820529411764714</v>
      </c>
      <c r="C183" s="9">
        <f t="shared" si="53"/>
        <v>25.452213250757762</v>
      </c>
      <c r="D183" s="7">
        <v>0</v>
      </c>
      <c r="E183" s="7">
        <v>1</v>
      </c>
      <c r="F183" s="7">
        <v>0</v>
      </c>
      <c r="G183" s="7">
        <v>1</v>
      </c>
      <c r="H183" s="1">
        <f t="shared" si="49"/>
        <v>1</v>
      </c>
      <c r="I183" s="1">
        <f t="shared" si="50"/>
        <v>0</v>
      </c>
      <c r="J183" s="1">
        <f t="shared" si="51"/>
        <v>0</v>
      </c>
      <c r="K183" s="1">
        <f t="shared" si="52"/>
        <v>0</v>
      </c>
      <c r="L183" s="1" t="str">
        <f t="shared" si="48"/>
        <v>宽货币紧信用</v>
      </c>
      <c r="O183" s="48">
        <v>40602</v>
      </c>
      <c r="P183" s="54">
        <v>5.07309375</v>
      </c>
      <c r="R183" s="52">
        <v>42704</v>
      </c>
      <c r="S183" s="53">
        <v>18328</v>
      </c>
      <c r="T183" s="14">
        <f t="shared" si="41"/>
        <v>5163.2214999999997</v>
      </c>
      <c r="U183" s="62">
        <f t="shared" si="42"/>
        <v>23491.2215</v>
      </c>
      <c r="V183" s="62">
        <f t="shared" si="45"/>
        <v>251215.95540000004</v>
      </c>
      <c r="W183" s="63">
        <f t="shared" si="43"/>
        <v>741909.4</v>
      </c>
      <c r="X183" s="64">
        <f t="shared" si="46"/>
        <v>33.860732240351723</v>
      </c>
      <c r="Y183" s="63"/>
      <c r="Z183" s="69">
        <v>39386</v>
      </c>
      <c r="AA183" s="67">
        <v>211.8</v>
      </c>
      <c r="AB183" s="67"/>
      <c r="AC183" s="67"/>
      <c r="AD183" s="14"/>
      <c r="AG183" s="55"/>
      <c r="AH183" s="16"/>
      <c r="AI183" s="16"/>
      <c r="AJ183" s="16"/>
      <c r="AK183" s="16"/>
      <c r="AL183" s="16"/>
      <c r="AM183" s="48">
        <v>40939</v>
      </c>
      <c r="AN183" s="54">
        <v>5.4820529411764714</v>
      </c>
      <c r="AO183" s="16"/>
    </row>
    <row r="184" spans="1:41" x14ac:dyDescent="0.3">
      <c r="A184" s="8">
        <v>40908</v>
      </c>
      <c r="B184" s="9">
        <f t="shared" si="47"/>
        <v>5.4768695652173909</v>
      </c>
      <c r="C184" s="9">
        <f t="shared" si="53"/>
        <v>27.127112258741292</v>
      </c>
      <c r="D184" s="7">
        <v>0</v>
      </c>
      <c r="E184" s="7">
        <v>1</v>
      </c>
      <c r="F184" s="7">
        <v>0</v>
      </c>
      <c r="G184" s="7">
        <v>1</v>
      </c>
      <c r="H184" s="1">
        <f t="shared" si="49"/>
        <v>1</v>
      </c>
      <c r="I184" s="1">
        <f t="shared" si="50"/>
        <v>0</v>
      </c>
      <c r="J184" s="1">
        <f t="shared" si="51"/>
        <v>0</v>
      </c>
      <c r="K184" s="1">
        <f t="shared" si="52"/>
        <v>0</v>
      </c>
      <c r="L184" s="1" t="str">
        <f t="shared" si="48"/>
        <v>宽货币紧信用</v>
      </c>
      <c r="O184" s="48">
        <v>40574</v>
      </c>
      <c r="P184" s="54">
        <v>4.748966666666667</v>
      </c>
      <c r="R184" s="52">
        <v>42735</v>
      </c>
      <c r="S184" s="53">
        <v>16397</v>
      </c>
      <c r="T184" s="14">
        <f t="shared" si="41"/>
        <v>1781.6063999999999</v>
      </c>
      <c r="U184" s="62">
        <f t="shared" si="42"/>
        <v>18178.606400000001</v>
      </c>
      <c r="V184" s="62">
        <f t="shared" si="45"/>
        <v>249331.8639</v>
      </c>
      <c r="W184" s="63">
        <f t="shared" si="43"/>
        <v>761192.9</v>
      </c>
      <c r="X184" s="64">
        <f t="shared" si="46"/>
        <v>32.755411131659265</v>
      </c>
      <c r="Y184" s="63"/>
      <c r="Z184" s="69">
        <v>39355</v>
      </c>
      <c r="AA184" s="67">
        <v>857.7</v>
      </c>
      <c r="AB184" s="67"/>
      <c r="AC184" s="67"/>
      <c r="AD184" s="14"/>
      <c r="AG184" s="55"/>
      <c r="AH184" s="16"/>
      <c r="AI184" s="16"/>
      <c r="AJ184" s="16"/>
      <c r="AK184" s="16"/>
      <c r="AL184" s="16"/>
      <c r="AM184" s="48">
        <v>40908</v>
      </c>
      <c r="AN184" s="54">
        <v>5.4768695652173909</v>
      </c>
      <c r="AO184" s="16"/>
    </row>
    <row r="185" spans="1:41" x14ac:dyDescent="0.3">
      <c r="A185" s="8">
        <v>40877</v>
      </c>
      <c r="B185" s="9">
        <f t="shared" si="47"/>
        <v>5.6804727272727273</v>
      </c>
      <c r="C185" s="9">
        <f t="shared" si="53"/>
        <v>27.898284375408959</v>
      </c>
      <c r="D185" s="7">
        <v>0</v>
      </c>
      <c r="E185" s="7">
        <v>1</v>
      </c>
      <c r="F185" s="7">
        <v>0</v>
      </c>
      <c r="G185" s="7">
        <v>1</v>
      </c>
      <c r="H185" s="1">
        <f t="shared" si="49"/>
        <v>1</v>
      </c>
      <c r="I185" s="1">
        <f t="shared" si="50"/>
        <v>0</v>
      </c>
      <c r="J185" s="1">
        <f t="shared" si="51"/>
        <v>0</v>
      </c>
      <c r="K185" s="1">
        <f t="shared" si="52"/>
        <v>0</v>
      </c>
      <c r="L185" s="1" t="str">
        <f t="shared" si="48"/>
        <v>宽货币紧信用</v>
      </c>
      <c r="O185" s="48">
        <v>40543</v>
      </c>
      <c r="P185" s="54">
        <v>3.903069565217391</v>
      </c>
      <c r="R185" s="52">
        <v>42766</v>
      </c>
      <c r="S185" s="53">
        <v>37720.076978999998</v>
      </c>
      <c r="T185" s="14">
        <f t="shared" si="41"/>
        <v>753.2</v>
      </c>
      <c r="U185" s="62">
        <f t="shared" ref="U185:U248" si="54">S185</f>
        <v>37720.076978999998</v>
      </c>
      <c r="V185" s="62">
        <f t="shared" si="45"/>
        <v>251443.940879</v>
      </c>
      <c r="W185" s="63">
        <f t="shared" si="43"/>
        <v>761192.9</v>
      </c>
      <c r="X185" s="64">
        <f t="shared" si="46"/>
        <v>33.032880479967694</v>
      </c>
      <c r="Y185" s="63"/>
      <c r="Z185" s="69">
        <v>39325</v>
      </c>
      <c r="AA185" s="67">
        <v>6321.4</v>
      </c>
      <c r="AB185" s="67"/>
      <c r="AC185" s="67"/>
      <c r="AD185" s="14"/>
      <c r="AG185" s="55"/>
      <c r="AH185" s="16"/>
      <c r="AI185" s="16"/>
      <c r="AJ185" s="16"/>
      <c r="AK185" s="16"/>
      <c r="AL185" s="16"/>
      <c r="AM185" s="48">
        <v>40877</v>
      </c>
      <c r="AN185" s="54">
        <v>5.6804727272727273</v>
      </c>
      <c r="AO185" s="16"/>
    </row>
    <row r="186" spans="1:41" x14ac:dyDescent="0.3">
      <c r="A186" s="8">
        <v>40847</v>
      </c>
      <c r="B186" s="9">
        <f t="shared" si="47"/>
        <v>5.6384222222222222</v>
      </c>
      <c r="C186" s="9">
        <f t="shared" si="53"/>
        <v>28.173546865719722</v>
      </c>
      <c r="D186" s="7">
        <v>0</v>
      </c>
      <c r="E186" s="7">
        <v>1</v>
      </c>
      <c r="F186" s="7">
        <v>1</v>
      </c>
      <c r="G186" s="7">
        <v>0</v>
      </c>
      <c r="H186" s="1">
        <f t="shared" si="49"/>
        <v>0</v>
      </c>
      <c r="I186" s="1">
        <f t="shared" si="50"/>
        <v>0</v>
      </c>
      <c r="J186" s="1">
        <f t="shared" si="51"/>
        <v>1</v>
      </c>
      <c r="K186" s="1">
        <f t="shared" si="52"/>
        <v>0</v>
      </c>
      <c r="L186" s="1" t="str">
        <f t="shared" si="48"/>
        <v>紧货币紧信用</v>
      </c>
      <c r="O186" s="48">
        <v>40512</v>
      </c>
      <c r="P186" s="54">
        <v>2.933740909090909</v>
      </c>
      <c r="R186" s="52">
        <v>42794</v>
      </c>
      <c r="S186" s="53">
        <v>11055.322109000001</v>
      </c>
      <c r="T186" s="14">
        <f t="shared" si="41"/>
        <v>-176.88</v>
      </c>
      <c r="U186" s="62">
        <f t="shared" si="54"/>
        <v>11055.322109000001</v>
      </c>
      <c r="V186" s="62">
        <f t="shared" si="45"/>
        <v>253888.75298799999</v>
      </c>
      <c r="W186" s="63">
        <f t="shared" si="43"/>
        <v>761192.9</v>
      </c>
      <c r="X186" s="64">
        <f t="shared" si="46"/>
        <v>33.354062155335399</v>
      </c>
      <c r="Y186" s="63"/>
      <c r="Z186" s="69">
        <v>39294</v>
      </c>
      <c r="AA186" s="67">
        <v>-187</v>
      </c>
      <c r="AB186" s="67"/>
      <c r="AC186" s="67"/>
      <c r="AD186" s="14"/>
      <c r="AG186" s="55"/>
      <c r="AH186" s="16"/>
      <c r="AI186" s="16"/>
      <c r="AJ186" s="16"/>
      <c r="AK186" s="16"/>
      <c r="AL186" s="16"/>
      <c r="AM186" s="48">
        <v>40847</v>
      </c>
      <c r="AN186" s="54">
        <v>5.6384222222222222</v>
      </c>
      <c r="AO186" s="16"/>
    </row>
    <row r="187" spans="1:41" x14ac:dyDescent="0.3">
      <c r="A187" s="8">
        <v>40816</v>
      </c>
      <c r="B187" s="9">
        <f t="shared" ref="B187:B218" si="55">VLOOKUP(A187,O:P,2,0)</f>
        <v>5.6253714285714294</v>
      </c>
      <c r="C187" s="9">
        <f t="shared" si="53"/>
        <v>28.40508823499804</v>
      </c>
      <c r="D187" s="7">
        <v>0</v>
      </c>
      <c r="E187" s="7">
        <v>1</v>
      </c>
      <c r="F187" s="7">
        <v>1</v>
      </c>
      <c r="G187" s="7">
        <v>0</v>
      </c>
      <c r="H187" s="1">
        <f t="shared" si="49"/>
        <v>0</v>
      </c>
      <c r="I187" s="1">
        <f t="shared" si="50"/>
        <v>0</v>
      </c>
      <c r="J187" s="1">
        <f t="shared" si="51"/>
        <v>1</v>
      </c>
      <c r="K187" s="1">
        <f t="shared" si="52"/>
        <v>0</v>
      </c>
      <c r="L187" s="1" t="str">
        <f t="shared" si="48"/>
        <v>紧货币紧信用</v>
      </c>
      <c r="O187" s="48">
        <v>40482</v>
      </c>
      <c r="P187" s="54">
        <v>2.712194117647059</v>
      </c>
      <c r="R187" s="52">
        <v>42825</v>
      </c>
      <c r="S187" s="53">
        <v>25471.639557999999</v>
      </c>
      <c r="T187" s="14">
        <f t="shared" si="41"/>
        <v>4072.0340999999999</v>
      </c>
      <c r="U187" s="62">
        <f t="shared" si="54"/>
        <v>25471.639557999999</v>
      </c>
      <c r="V187" s="62">
        <f t="shared" si="45"/>
        <v>247094.07014599998</v>
      </c>
      <c r="W187" s="63">
        <f t="shared" si="43"/>
        <v>780732</v>
      </c>
      <c r="X187" s="64">
        <f t="shared" si="46"/>
        <v>31.649025548587733</v>
      </c>
      <c r="Y187" s="63"/>
      <c r="Z187" s="69">
        <v>39263</v>
      </c>
      <c r="AA187" s="67">
        <v>660.46</v>
      </c>
      <c r="AB187" s="67"/>
      <c r="AC187" s="67"/>
      <c r="AD187" s="14"/>
      <c r="AG187" s="55"/>
      <c r="AH187" s="16"/>
      <c r="AI187" s="16"/>
      <c r="AJ187" s="16"/>
      <c r="AK187" s="16"/>
      <c r="AL187" s="16"/>
      <c r="AM187" s="48">
        <v>40816</v>
      </c>
      <c r="AN187" s="54">
        <v>5.6253714285714294</v>
      </c>
      <c r="AO187" s="16"/>
    </row>
    <row r="188" spans="1:41" x14ac:dyDescent="0.3">
      <c r="A188" s="8">
        <v>40786</v>
      </c>
      <c r="B188" s="9">
        <f t="shared" si="55"/>
        <v>5.5837826086956523</v>
      </c>
      <c r="C188" s="9">
        <f t="shared" si="53"/>
        <v>31.321132159044314</v>
      </c>
      <c r="D188" s="7">
        <v>0</v>
      </c>
      <c r="E188" s="7">
        <v>1</v>
      </c>
      <c r="F188" s="7">
        <v>1</v>
      </c>
      <c r="G188" s="7">
        <v>0</v>
      </c>
      <c r="H188" s="1">
        <f t="shared" si="49"/>
        <v>0</v>
      </c>
      <c r="I188" s="1">
        <f t="shared" si="50"/>
        <v>0</v>
      </c>
      <c r="J188" s="1">
        <f t="shared" si="51"/>
        <v>1</v>
      </c>
      <c r="K188" s="1">
        <f t="shared" si="52"/>
        <v>0</v>
      </c>
      <c r="L188" s="1" t="str">
        <f t="shared" si="48"/>
        <v>紧货币紧信用</v>
      </c>
      <c r="O188" s="48">
        <v>40451</v>
      </c>
      <c r="P188" s="54">
        <v>2.5587499999999999</v>
      </c>
      <c r="R188" s="52">
        <v>42855</v>
      </c>
      <c r="S188" s="53">
        <v>19558.923770000001</v>
      </c>
      <c r="T188" s="14">
        <f t="shared" si="41"/>
        <v>5006.3154000000004</v>
      </c>
      <c r="U188" s="62">
        <f t="shared" si="54"/>
        <v>19558.923770000001</v>
      </c>
      <c r="V188" s="62">
        <f t="shared" si="45"/>
        <v>246636.72871599995</v>
      </c>
      <c r="W188" s="63">
        <f t="shared" si="43"/>
        <v>780732</v>
      </c>
      <c r="X188" s="64">
        <f t="shared" si="46"/>
        <v>31.590447005630608</v>
      </c>
      <c r="Y188" s="63"/>
      <c r="Z188" s="69">
        <v>39233</v>
      </c>
      <c r="AA188" s="67">
        <v>937.8</v>
      </c>
      <c r="AB188" s="67"/>
      <c r="AC188" s="67"/>
      <c r="AD188" s="14"/>
      <c r="AG188" s="55"/>
      <c r="AH188" s="16"/>
      <c r="AI188" s="16"/>
      <c r="AJ188" s="16"/>
      <c r="AK188" s="16"/>
      <c r="AL188" s="16"/>
      <c r="AM188" s="48">
        <v>40786</v>
      </c>
      <c r="AN188" s="54">
        <v>5.5837826086956523</v>
      </c>
      <c r="AO188" s="16"/>
    </row>
    <row r="189" spans="1:41" x14ac:dyDescent="0.3">
      <c r="A189" s="8">
        <v>40755</v>
      </c>
      <c r="B189" s="9">
        <f t="shared" si="55"/>
        <v>6.1268476190476209</v>
      </c>
      <c r="C189" s="9">
        <f t="shared" si="53"/>
        <v>31.359921850502904</v>
      </c>
      <c r="D189" s="7">
        <v>0</v>
      </c>
      <c r="E189" s="7">
        <v>1</v>
      </c>
      <c r="F189" s="7">
        <v>1</v>
      </c>
      <c r="G189" s="7">
        <v>0</v>
      </c>
      <c r="H189" s="1">
        <f t="shared" si="49"/>
        <v>0</v>
      </c>
      <c r="I189" s="1">
        <f t="shared" si="50"/>
        <v>0</v>
      </c>
      <c r="J189" s="1">
        <f t="shared" si="51"/>
        <v>1</v>
      </c>
      <c r="K189" s="1">
        <f t="shared" si="52"/>
        <v>0</v>
      </c>
      <c r="L189" s="1" t="str">
        <f t="shared" si="48"/>
        <v>紧货币紧信用</v>
      </c>
      <c r="O189" s="48">
        <v>40421</v>
      </c>
      <c r="P189" s="54">
        <v>2.4666681818181821</v>
      </c>
      <c r="R189" s="52">
        <v>42886</v>
      </c>
      <c r="S189" s="53">
        <v>17811.732937000001</v>
      </c>
      <c r="T189" s="14">
        <f t="shared" si="41"/>
        <v>6536.9443000000001</v>
      </c>
      <c r="U189" s="62">
        <f t="shared" si="54"/>
        <v>17811.732937000001</v>
      </c>
      <c r="V189" s="62">
        <f t="shared" si="45"/>
        <v>250305.01355299997</v>
      </c>
      <c r="W189" s="63">
        <f t="shared" si="43"/>
        <v>780732</v>
      </c>
      <c r="X189" s="64">
        <f t="shared" si="46"/>
        <v>32.060298995429925</v>
      </c>
      <c r="Y189" s="63"/>
      <c r="Z189" s="69">
        <v>39202</v>
      </c>
      <c r="AA189" s="67">
        <v>-291.60000000000002</v>
      </c>
      <c r="AB189" s="67"/>
      <c r="AC189" s="67"/>
      <c r="AD189" s="14"/>
      <c r="AG189" s="55"/>
      <c r="AH189" s="16"/>
      <c r="AI189" s="16"/>
      <c r="AJ189" s="16"/>
      <c r="AK189" s="16"/>
      <c r="AL189" s="16"/>
      <c r="AM189" s="48">
        <v>40755</v>
      </c>
      <c r="AN189" s="54">
        <v>6.1268476190476209</v>
      </c>
      <c r="AO189" s="16"/>
    </row>
    <row r="190" spans="1:41" x14ac:dyDescent="0.3">
      <c r="A190" s="8">
        <v>40724</v>
      </c>
      <c r="B190" s="9">
        <f t="shared" si="55"/>
        <v>5.4796714285714287</v>
      </c>
      <c r="C190" s="9">
        <f t="shared" si="53"/>
        <v>31.743974879892288</v>
      </c>
      <c r="D190" s="7">
        <v>0</v>
      </c>
      <c r="E190" s="7">
        <v>1</v>
      </c>
      <c r="F190" s="7">
        <v>1</v>
      </c>
      <c r="G190" s="7">
        <v>0</v>
      </c>
      <c r="H190" s="1">
        <f t="shared" si="49"/>
        <v>0</v>
      </c>
      <c r="I190" s="1">
        <f t="shared" si="50"/>
        <v>0</v>
      </c>
      <c r="J190" s="1">
        <f t="shared" si="51"/>
        <v>1</v>
      </c>
      <c r="K190" s="1">
        <f t="shared" si="52"/>
        <v>0</v>
      </c>
      <c r="L190" s="1" t="str">
        <f t="shared" si="48"/>
        <v>紧货币紧信用</v>
      </c>
      <c r="O190" s="48">
        <v>40390</v>
      </c>
      <c r="P190" s="54">
        <v>2.5596409090909091</v>
      </c>
      <c r="R190" s="52">
        <v>42916</v>
      </c>
      <c r="S190" s="53">
        <v>25885.910952999999</v>
      </c>
      <c r="T190" s="14">
        <f t="shared" si="41"/>
        <v>6580.5209999999997</v>
      </c>
      <c r="U190" s="62">
        <f t="shared" si="54"/>
        <v>25885.910952999999</v>
      </c>
      <c r="V190" s="62">
        <f t="shared" si="45"/>
        <v>248244.84520599997</v>
      </c>
      <c r="W190" s="63">
        <f t="shared" si="43"/>
        <v>801395.4</v>
      </c>
      <c r="X190" s="64">
        <f t="shared" si="46"/>
        <v>30.976574760224473</v>
      </c>
      <c r="Y190" s="63"/>
      <c r="Z190" s="69">
        <v>39172</v>
      </c>
      <c r="AA190" s="67">
        <v>105</v>
      </c>
      <c r="AB190" s="67"/>
      <c r="AC190" s="67"/>
      <c r="AD190" s="14"/>
      <c r="AG190" s="55"/>
      <c r="AH190" s="16"/>
      <c r="AI190" s="16"/>
      <c r="AJ190" s="16"/>
      <c r="AK190" s="16"/>
      <c r="AL190" s="16"/>
      <c r="AM190" s="48">
        <v>40724</v>
      </c>
      <c r="AN190" s="54">
        <v>5.4796714285714287</v>
      </c>
      <c r="AO190" s="16"/>
    </row>
    <row r="191" spans="1:41" x14ac:dyDescent="0.3">
      <c r="A191" s="8">
        <v>40694</v>
      </c>
      <c r="B191" s="9">
        <f t="shared" si="55"/>
        <v>4.5537476190476189</v>
      </c>
      <c r="C191" s="9">
        <f t="shared" si="53"/>
        <v>33.175113762618395</v>
      </c>
      <c r="D191" s="7">
        <v>0</v>
      </c>
      <c r="E191" s="7">
        <v>1</v>
      </c>
      <c r="F191" s="7">
        <v>1</v>
      </c>
      <c r="G191" s="7">
        <v>0</v>
      </c>
      <c r="H191" s="1">
        <f t="shared" si="49"/>
        <v>0</v>
      </c>
      <c r="I191" s="1">
        <f t="shared" si="50"/>
        <v>0</v>
      </c>
      <c r="J191" s="1">
        <f t="shared" si="51"/>
        <v>1</v>
      </c>
      <c r="K191" s="1">
        <f t="shared" si="52"/>
        <v>0</v>
      </c>
      <c r="L191" s="1" t="str">
        <f t="shared" si="48"/>
        <v>紧货币紧信用</v>
      </c>
      <c r="O191" s="48">
        <v>40359</v>
      </c>
      <c r="P191" s="54">
        <v>2.40397619047619</v>
      </c>
      <c r="R191" s="52">
        <v>42947</v>
      </c>
      <c r="S191" s="53">
        <v>21188.106567999999</v>
      </c>
      <c r="T191" s="14">
        <f t="shared" si="41"/>
        <v>9455.4158000000007</v>
      </c>
      <c r="U191" s="62">
        <f t="shared" si="54"/>
        <v>21188.106567999999</v>
      </c>
      <c r="V191" s="62">
        <f t="shared" si="45"/>
        <v>259464.31997399998</v>
      </c>
      <c r="W191" s="63">
        <f t="shared" si="43"/>
        <v>801395.4</v>
      </c>
      <c r="X191" s="64">
        <f t="shared" si="46"/>
        <v>32.376567169464657</v>
      </c>
      <c r="Y191" s="63"/>
      <c r="Z191" s="69">
        <v>39141</v>
      </c>
      <c r="AA191" s="67">
        <v>100</v>
      </c>
      <c r="AB191" s="67"/>
      <c r="AC191" s="67"/>
      <c r="AD191" s="14"/>
      <c r="AG191" s="55"/>
      <c r="AH191" s="16"/>
      <c r="AI191" s="16"/>
      <c r="AJ191" s="16"/>
      <c r="AK191" s="16"/>
      <c r="AL191" s="16"/>
      <c r="AM191" s="48">
        <v>40694</v>
      </c>
      <c r="AN191" s="54">
        <v>4.5537476190476189</v>
      </c>
      <c r="AO191" s="16"/>
    </row>
    <row r="192" spans="1:41" x14ac:dyDescent="0.3">
      <c r="A192" s="8">
        <v>40663</v>
      </c>
      <c r="B192" s="9">
        <f t="shared" si="55"/>
        <v>4.3248899999999999</v>
      </c>
      <c r="C192" s="9">
        <f t="shared" si="53"/>
        <v>33.275306911560342</v>
      </c>
      <c r="D192" s="7">
        <v>0</v>
      </c>
      <c r="E192" s="7">
        <v>1</v>
      </c>
      <c r="F192" s="7">
        <v>1</v>
      </c>
      <c r="G192" s="7">
        <v>0</v>
      </c>
      <c r="H192" s="1">
        <f t="shared" si="49"/>
        <v>0</v>
      </c>
      <c r="I192" s="1">
        <f t="shared" si="50"/>
        <v>0</v>
      </c>
      <c r="J192" s="1">
        <f t="shared" si="51"/>
        <v>1</v>
      </c>
      <c r="K192" s="1">
        <f t="shared" si="52"/>
        <v>0</v>
      </c>
      <c r="L192" s="1" t="str">
        <f t="shared" si="48"/>
        <v>紧货币紧信用</v>
      </c>
      <c r="O192" s="48">
        <v>40329</v>
      </c>
      <c r="P192" s="54">
        <v>1.97719</v>
      </c>
      <c r="R192" s="52">
        <v>42978</v>
      </c>
      <c r="S192" s="53">
        <v>20485.507710000002</v>
      </c>
      <c r="T192" s="14">
        <f t="shared" si="41"/>
        <v>4849.2963</v>
      </c>
      <c r="U192" s="62">
        <f t="shared" si="54"/>
        <v>20485.507710000002</v>
      </c>
      <c r="V192" s="62">
        <f t="shared" si="45"/>
        <v>256405.54218399999</v>
      </c>
      <c r="W192" s="63">
        <f t="shared" si="43"/>
        <v>801395.4</v>
      </c>
      <c r="X192" s="64">
        <f t="shared" si="46"/>
        <v>31.994885693628888</v>
      </c>
      <c r="Y192" s="63"/>
      <c r="Z192" s="69">
        <v>39113</v>
      </c>
      <c r="AA192" s="67">
        <v>-300</v>
      </c>
      <c r="AB192" s="67"/>
      <c r="AC192" s="67"/>
      <c r="AD192" s="14"/>
      <c r="AG192" s="55"/>
      <c r="AH192" s="16"/>
      <c r="AI192" s="16"/>
      <c r="AJ192" s="16"/>
      <c r="AK192" s="16"/>
      <c r="AL192" s="16"/>
      <c r="AM192" s="48">
        <v>40663</v>
      </c>
      <c r="AN192" s="54">
        <v>4.3248899999999999</v>
      </c>
      <c r="AO192" s="16"/>
    </row>
    <row r="193" spans="1:41" x14ac:dyDescent="0.3">
      <c r="A193" s="8">
        <v>40633</v>
      </c>
      <c r="B193" s="9">
        <f t="shared" si="55"/>
        <v>4.3012695652173907</v>
      </c>
      <c r="C193" s="9">
        <f t="shared" si="53"/>
        <v>33.511930407712029</v>
      </c>
      <c r="D193" s="7">
        <v>0</v>
      </c>
      <c r="E193" s="7">
        <v>1</v>
      </c>
      <c r="F193" s="7">
        <v>1</v>
      </c>
      <c r="G193" s="7">
        <v>0</v>
      </c>
      <c r="H193" s="1">
        <f t="shared" si="49"/>
        <v>0</v>
      </c>
      <c r="I193" s="1">
        <f t="shared" si="50"/>
        <v>0</v>
      </c>
      <c r="J193" s="1">
        <f t="shared" si="51"/>
        <v>1</v>
      </c>
      <c r="K193" s="1">
        <f t="shared" si="52"/>
        <v>0</v>
      </c>
      <c r="L193" s="1" t="str">
        <f t="shared" si="48"/>
        <v>紧货币紧信用</v>
      </c>
      <c r="O193" s="48">
        <v>40298</v>
      </c>
      <c r="P193" s="54">
        <v>1.939414285714286</v>
      </c>
      <c r="R193" s="52">
        <v>43008</v>
      </c>
      <c r="S193" s="53">
        <v>25438.606938000001</v>
      </c>
      <c r="T193" s="14">
        <f t="shared" si="41"/>
        <v>4908.3056999999999</v>
      </c>
      <c r="U193" s="62">
        <f t="shared" si="54"/>
        <v>25438.606938000001</v>
      </c>
      <c r="V193" s="62">
        <f t="shared" si="45"/>
        <v>260180.95892199999</v>
      </c>
      <c r="W193" s="63">
        <f t="shared" si="43"/>
        <v>823313.2</v>
      </c>
      <c r="X193" s="64">
        <f t="shared" si="46"/>
        <v>31.601698955148539</v>
      </c>
      <c r="Y193" s="63"/>
      <c r="Z193" s="69">
        <v>39082</v>
      </c>
      <c r="AA193" s="67">
        <v>-296.60000000000002</v>
      </c>
      <c r="AB193" s="67"/>
      <c r="AC193" s="67"/>
      <c r="AD193" s="14"/>
      <c r="AG193" s="55"/>
      <c r="AH193" s="16"/>
      <c r="AI193" s="16"/>
      <c r="AJ193" s="16"/>
      <c r="AK193" s="16"/>
      <c r="AL193" s="16"/>
      <c r="AM193" s="48">
        <v>40633</v>
      </c>
      <c r="AN193" s="54">
        <v>4.3012695652173907</v>
      </c>
      <c r="AO193" s="16"/>
    </row>
    <row r="194" spans="1:41" x14ac:dyDescent="0.3">
      <c r="A194" s="8">
        <v>40602</v>
      </c>
      <c r="B194" s="9">
        <f t="shared" si="55"/>
        <v>5.07309375</v>
      </c>
      <c r="C194" s="9">
        <f t="shared" si="53"/>
        <v>33.981001461407701</v>
      </c>
      <c r="D194" s="7">
        <v>0</v>
      </c>
      <c r="E194" s="7">
        <v>1</v>
      </c>
      <c r="F194" s="7">
        <v>1</v>
      </c>
      <c r="G194" s="7">
        <v>0</v>
      </c>
      <c r="H194" s="1">
        <f t="shared" si="49"/>
        <v>0</v>
      </c>
      <c r="I194" s="1">
        <f t="shared" si="50"/>
        <v>0</v>
      </c>
      <c r="J194" s="1">
        <f t="shared" si="51"/>
        <v>1</v>
      </c>
      <c r="K194" s="1">
        <f t="shared" si="52"/>
        <v>0</v>
      </c>
      <c r="L194" s="1" t="str">
        <f t="shared" si="48"/>
        <v>紧货币紧信用</v>
      </c>
      <c r="O194" s="48">
        <v>40268</v>
      </c>
      <c r="P194" s="54">
        <v>1.9426826086956519</v>
      </c>
      <c r="R194" s="52">
        <v>43039</v>
      </c>
      <c r="S194" s="53">
        <v>15861.15144</v>
      </c>
      <c r="T194" s="14">
        <f t="shared" si="41"/>
        <v>5891.9395000000004</v>
      </c>
      <c r="U194" s="62">
        <f t="shared" si="54"/>
        <v>15861.15144</v>
      </c>
      <c r="V194" s="62">
        <f t="shared" si="45"/>
        <v>262146.80686200003</v>
      </c>
      <c r="W194" s="63">
        <f t="shared" si="43"/>
        <v>823313.2</v>
      </c>
      <c r="X194" s="64">
        <f t="shared" si="46"/>
        <v>31.840471750240372</v>
      </c>
      <c r="Y194" s="63"/>
      <c r="Z194" s="69">
        <v>39051</v>
      </c>
      <c r="AA194" s="67">
        <v>435.9</v>
      </c>
      <c r="AB194" s="67"/>
      <c r="AC194" s="67"/>
      <c r="AD194" s="14"/>
      <c r="AG194" s="55"/>
      <c r="AH194" s="16"/>
      <c r="AI194" s="16"/>
      <c r="AJ194" s="16"/>
      <c r="AK194" s="16"/>
      <c r="AL194" s="16"/>
      <c r="AM194" s="48">
        <v>40602</v>
      </c>
      <c r="AN194" s="54">
        <v>5.07309375</v>
      </c>
      <c r="AO194" s="16"/>
    </row>
    <row r="195" spans="1:41" x14ac:dyDescent="0.3">
      <c r="A195" s="8">
        <v>40574</v>
      </c>
      <c r="B195" s="9">
        <f t="shared" si="55"/>
        <v>4.748966666666667</v>
      </c>
      <c r="C195" s="9">
        <f t="shared" si="53"/>
        <v>34.89171581952963</v>
      </c>
      <c r="D195" s="7">
        <v>0</v>
      </c>
      <c r="E195" s="7">
        <v>1</v>
      </c>
      <c r="F195" s="7">
        <v>1</v>
      </c>
      <c r="G195" s="7">
        <v>0</v>
      </c>
      <c r="H195" s="1">
        <f t="shared" si="49"/>
        <v>0</v>
      </c>
      <c r="I195" s="1">
        <f t="shared" si="50"/>
        <v>0</v>
      </c>
      <c r="J195" s="1">
        <f t="shared" si="51"/>
        <v>1</v>
      </c>
      <c r="K195" s="1">
        <f t="shared" si="52"/>
        <v>0</v>
      </c>
      <c r="L195" s="1" t="str">
        <f t="shared" ref="L195:L207" si="56">INDEX($H$3:$K$3,1,MATCH(1,H195:K195,0))</f>
        <v>紧货币紧信用</v>
      </c>
      <c r="O195" s="48">
        <v>40237</v>
      </c>
      <c r="P195" s="54">
        <v>1.9234588235294121</v>
      </c>
      <c r="R195" s="52">
        <v>43069</v>
      </c>
      <c r="S195" s="53">
        <v>22955.981253999998</v>
      </c>
      <c r="T195" s="14">
        <f t="shared" si="41"/>
        <v>6015.1720999999998</v>
      </c>
      <c r="U195" s="62">
        <f t="shared" si="54"/>
        <v>22955.981253999998</v>
      </c>
      <c r="V195" s="62">
        <f t="shared" si="45"/>
        <v>261611.56661599997</v>
      </c>
      <c r="W195" s="63">
        <f t="shared" si="43"/>
        <v>823313.2</v>
      </c>
      <c r="X195" s="64">
        <f t="shared" si="46"/>
        <v>31.775461223748142</v>
      </c>
      <c r="Y195" s="63"/>
      <c r="Z195" s="69">
        <v>39021</v>
      </c>
      <c r="AA195" s="67">
        <v>860.6</v>
      </c>
      <c r="AB195" s="67"/>
      <c r="AC195" s="67"/>
      <c r="AD195" s="14"/>
      <c r="AG195" s="55"/>
      <c r="AH195" s="16"/>
      <c r="AI195" s="16"/>
      <c r="AJ195" s="16"/>
      <c r="AK195" s="16"/>
      <c r="AL195" s="16"/>
      <c r="AM195" s="48">
        <v>40574</v>
      </c>
      <c r="AN195" s="54">
        <v>4.748966666666667</v>
      </c>
      <c r="AO195" s="16"/>
    </row>
    <row r="196" spans="1:41" x14ac:dyDescent="0.3">
      <c r="A196" s="8">
        <v>40543</v>
      </c>
      <c r="B196" s="9">
        <f t="shared" si="55"/>
        <v>3.903069565217391</v>
      </c>
      <c r="C196" s="9">
        <f t="shared" si="53"/>
        <v>35.591292900974189</v>
      </c>
      <c r="D196" s="7">
        <v>0</v>
      </c>
      <c r="E196" s="7">
        <v>1</v>
      </c>
      <c r="F196" s="7">
        <v>1</v>
      </c>
      <c r="G196" s="7">
        <v>0</v>
      </c>
      <c r="H196" s="1">
        <f t="shared" si="49"/>
        <v>0</v>
      </c>
      <c r="I196" s="1">
        <f t="shared" si="50"/>
        <v>0</v>
      </c>
      <c r="J196" s="1">
        <f t="shared" si="51"/>
        <v>1</v>
      </c>
      <c r="K196" s="1">
        <f t="shared" si="52"/>
        <v>0</v>
      </c>
      <c r="L196" s="1" t="str">
        <f t="shared" si="56"/>
        <v>紧货币紧信用</v>
      </c>
      <c r="O196" s="48">
        <v>40209</v>
      </c>
      <c r="P196" s="54">
        <v>1.864325</v>
      </c>
      <c r="R196" s="52">
        <v>43100</v>
      </c>
      <c r="S196" s="53">
        <v>18102.882549999998</v>
      </c>
      <c r="T196" s="14">
        <f t="shared" si="41"/>
        <v>2008.51</v>
      </c>
      <c r="U196" s="62">
        <f t="shared" si="54"/>
        <v>18102.882549999998</v>
      </c>
      <c r="V196" s="62">
        <f t="shared" si="45"/>
        <v>261535.84276599999</v>
      </c>
      <c r="W196" s="63">
        <f t="shared" si="43"/>
        <v>847382.9</v>
      </c>
      <c r="X196" s="64">
        <f t="shared" si="46"/>
        <v>30.863950967856439</v>
      </c>
      <c r="Y196" s="63"/>
      <c r="Z196" s="69">
        <v>38990</v>
      </c>
      <c r="AA196" s="67">
        <v>74.399999999999906</v>
      </c>
      <c r="AB196" s="67"/>
      <c r="AC196" s="67"/>
      <c r="AD196" s="14"/>
      <c r="AG196" s="55"/>
      <c r="AH196" s="16"/>
      <c r="AI196" s="16"/>
      <c r="AJ196" s="16"/>
      <c r="AK196" s="16"/>
      <c r="AL196" s="16"/>
      <c r="AM196" s="48">
        <v>40543</v>
      </c>
      <c r="AN196" s="54">
        <v>3.903069565217391</v>
      </c>
      <c r="AO196" s="16"/>
    </row>
    <row r="197" spans="1:41" x14ac:dyDescent="0.3">
      <c r="A197" s="8">
        <v>40512</v>
      </c>
      <c r="B197" s="9">
        <f t="shared" si="55"/>
        <v>2.933740909090909</v>
      </c>
      <c r="C197" s="9">
        <f t="shared" si="53"/>
        <v>36.335149952208262</v>
      </c>
      <c r="D197" s="7">
        <v>0</v>
      </c>
      <c r="E197" s="7">
        <v>1</v>
      </c>
      <c r="F197" s="7">
        <v>1</v>
      </c>
      <c r="G197" s="7">
        <v>0</v>
      </c>
      <c r="H197" s="1">
        <f t="shared" si="49"/>
        <v>0</v>
      </c>
      <c r="I197" s="1">
        <f t="shared" si="50"/>
        <v>0</v>
      </c>
      <c r="J197" s="1">
        <f t="shared" si="51"/>
        <v>1</v>
      </c>
      <c r="K197" s="1">
        <f t="shared" si="52"/>
        <v>0</v>
      </c>
      <c r="L197" s="1" t="str">
        <f t="shared" si="56"/>
        <v>紧货币紧信用</v>
      </c>
      <c r="O197" s="48">
        <v>40178</v>
      </c>
      <c r="P197" s="54">
        <v>1.8191043478260871</v>
      </c>
      <c r="R197" s="52">
        <v>43131</v>
      </c>
      <c r="S197" s="53">
        <v>31417.220554</v>
      </c>
      <c r="T197" s="14">
        <f t="shared" ref="T197:T260" si="57">VLOOKUP(R197,Z:AA,2,0)</f>
        <v>244.3</v>
      </c>
      <c r="U197" s="62">
        <f t="shared" si="54"/>
        <v>31417.220554</v>
      </c>
      <c r="V197" s="62">
        <f t="shared" si="45"/>
        <v>255232.98634099998</v>
      </c>
      <c r="W197" s="63">
        <f t="shared" ref="W197:W260" si="58">VLOOKUP(R197,AC:AD,2,1)</f>
        <v>847382.9</v>
      </c>
      <c r="X197" s="64">
        <f t="shared" si="46"/>
        <v>30.120148322676794</v>
      </c>
      <c r="Y197" s="63"/>
      <c r="Z197" s="69">
        <v>38960</v>
      </c>
      <c r="AA197" s="67">
        <v>551.07000000000005</v>
      </c>
      <c r="AB197" s="67"/>
      <c r="AC197" s="67"/>
      <c r="AD197" s="14"/>
      <c r="AG197" s="55"/>
      <c r="AH197" s="16"/>
      <c r="AI197" s="16"/>
      <c r="AJ197" s="16"/>
      <c r="AK197" s="16"/>
      <c r="AL197" s="16"/>
      <c r="AM197" s="48">
        <v>40512</v>
      </c>
      <c r="AN197" s="54">
        <v>2.933740909090909</v>
      </c>
      <c r="AO197" s="16"/>
    </row>
    <row r="198" spans="1:41" x14ac:dyDescent="0.3">
      <c r="A198" s="8">
        <v>40482</v>
      </c>
      <c r="B198" s="9">
        <f t="shared" si="55"/>
        <v>2.712194117647059</v>
      </c>
      <c r="C198" s="9">
        <f t="shared" si="53"/>
        <v>36.25437341880248</v>
      </c>
      <c r="D198" s="7">
        <v>0</v>
      </c>
      <c r="E198" s="7">
        <v>1</v>
      </c>
      <c r="F198" s="7">
        <v>1</v>
      </c>
      <c r="G198" s="7">
        <v>0</v>
      </c>
      <c r="H198" s="1">
        <f t="shared" si="49"/>
        <v>0</v>
      </c>
      <c r="I198" s="1">
        <f t="shared" si="50"/>
        <v>0</v>
      </c>
      <c r="J198" s="1">
        <f t="shared" si="51"/>
        <v>1</v>
      </c>
      <c r="K198" s="1">
        <f t="shared" si="52"/>
        <v>0</v>
      </c>
      <c r="L198" s="1" t="str">
        <f t="shared" si="56"/>
        <v>紧货币紧信用</v>
      </c>
      <c r="O198" s="48">
        <v>40147</v>
      </c>
      <c r="P198" s="54">
        <v>1.798480952380952</v>
      </c>
      <c r="R198" s="52">
        <v>43159</v>
      </c>
      <c r="S198" s="53">
        <v>12064.387925000001</v>
      </c>
      <c r="T198" s="14">
        <f t="shared" si="57"/>
        <v>65.610200000000106</v>
      </c>
      <c r="U198" s="62">
        <f t="shared" si="54"/>
        <v>12064.387925000001</v>
      </c>
      <c r="V198" s="62">
        <f t="shared" si="45"/>
        <v>256242.05215699997</v>
      </c>
      <c r="W198" s="63">
        <f t="shared" si="58"/>
        <v>847382.9</v>
      </c>
      <c r="X198" s="64">
        <f t="shared" si="46"/>
        <v>30.239228589224538</v>
      </c>
      <c r="Y198" s="63"/>
      <c r="Z198" s="69">
        <v>38929</v>
      </c>
      <c r="AA198" s="67">
        <v>569.79999999999995</v>
      </c>
      <c r="AB198" s="67"/>
      <c r="AC198" s="67"/>
      <c r="AD198" s="14"/>
      <c r="AG198" s="55"/>
      <c r="AH198" s="16"/>
      <c r="AI198" s="16"/>
      <c r="AJ198" s="16"/>
      <c r="AK198" s="16"/>
      <c r="AL198" s="16"/>
      <c r="AM198" s="48">
        <v>40482</v>
      </c>
      <c r="AN198" s="54">
        <v>2.712194117647059</v>
      </c>
      <c r="AO198" s="16"/>
    </row>
    <row r="199" spans="1:41" x14ac:dyDescent="0.3">
      <c r="A199" s="8">
        <v>40451</v>
      </c>
      <c r="B199" s="9">
        <f t="shared" si="55"/>
        <v>2.5587499999999999</v>
      </c>
      <c r="C199" s="9">
        <f t="shared" si="53"/>
        <v>35.385589965831656</v>
      </c>
      <c r="D199" s="7">
        <v>0</v>
      </c>
      <c r="E199" s="7">
        <v>1</v>
      </c>
      <c r="F199" s="7">
        <v>1</v>
      </c>
      <c r="G199" s="7">
        <v>0</v>
      </c>
      <c r="H199" s="1">
        <f t="shared" si="49"/>
        <v>0</v>
      </c>
      <c r="I199" s="1">
        <f t="shared" si="50"/>
        <v>0</v>
      </c>
      <c r="J199" s="1">
        <f t="shared" si="51"/>
        <v>1</v>
      </c>
      <c r="K199" s="1">
        <f t="shared" si="52"/>
        <v>0</v>
      </c>
      <c r="L199" s="1" t="str">
        <f t="shared" si="56"/>
        <v>紧货币紧信用</v>
      </c>
      <c r="O199" s="48">
        <v>40117</v>
      </c>
      <c r="P199" s="54">
        <v>1.7794647058823529</v>
      </c>
      <c r="R199" s="52">
        <v>43190</v>
      </c>
      <c r="S199" s="53">
        <v>17091.476698999999</v>
      </c>
      <c r="T199" s="14">
        <f t="shared" si="57"/>
        <v>1622.9275</v>
      </c>
      <c r="U199" s="62">
        <f t="shared" si="54"/>
        <v>17091.476698999999</v>
      </c>
      <c r="V199" s="62">
        <f t="shared" si="45"/>
        <v>247861.88929799999</v>
      </c>
      <c r="W199" s="63">
        <f t="shared" si="58"/>
        <v>867843.8</v>
      </c>
      <c r="X199" s="64">
        <f t="shared" si="46"/>
        <v>28.560656802295526</v>
      </c>
      <c r="Y199" s="63"/>
      <c r="Z199" s="69">
        <v>38898</v>
      </c>
      <c r="AA199" s="67">
        <v>-891.8</v>
      </c>
      <c r="AB199" s="67"/>
      <c r="AC199" s="67"/>
      <c r="AD199" s="14"/>
      <c r="AG199" s="55"/>
      <c r="AH199" s="16"/>
      <c r="AI199" s="16"/>
      <c r="AJ199" s="16"/>
      <c r="AK199" s="16"/>
      <c r="AL199" s="16"/>
      <c r="AM199" s="48">
        <v>40451</v>
      </c>
      <c r="AN199" s="54">
        <v>2.5587499999999999</v>
      </c>
      <c r="AO199" s="16"/>
    </row>
    <row r="200" spans="1:41" x14ac:dyDescent="0.3">
      <c r="A200" s="8">
        <v>40421</v>
      </c>
      <c r="B200" s="9">
        <f t="shared" si="55"/>
        <v>2.4666681818181821</v>
      </c>
      <c r="C200" s="9">
        <f t="shared" si="53"/>
        <v>36.938847943895269</v>
      </c>
      <c r="D200" s="7">
        <v>0</v>
      </c>
      <c r="E200" s="7">
        <v>1</v>
      </c>
      <c r="F200" s="7">
        <v>1</v>
      </c>
      <c r="G200" s="7">
        <v>0</v>
      </c>
      <c r="H200" s="1">
        <f t="shared" si="49"/>
        <v>0</v>
      </c>
      <c r="I200" s="1">
        <f t="shared" si="50"/>
        <v>0</v>
      </c>
      <c r="J200" s="1">
        <f t="shared" si="51"/>
        <v>1</v>
      </c>
      <c r="K200" s="1">
        <f t="shared" si="52"/>
        <v>0</v>
      </c>
      <c r="L200" s="1" t="str">
        <f t="shared" si="56"/>
        <v>紧货币紧信用</v>
      </c>
      <c r="O200" s="48">
        <v>40086</v>
      </c>
      <c r="P200" s="54">
        <v>1.7516826086956521</v>
      </c>
      <c r="R200" s="52">
        <v>43220</v>
      </c>
      <c r="S200" s="53">
        <v>22242.940548999999</v>
      </c>
      <c r="T200" s="14">
        <f t="shared" si="57"/>
        <v>5278.3784999999998</v>
      </c>
      <c r="U200" s="62">
        <f t="shared" si="54"/>
        <v>22242.940548999999</v>
      </c>
      <c r="V200" s="62">
        <f t="shared" si="45"/>
        <v>250545.90607699999</v>
      </c>
      <c r="W200" s="63">
        <f t="shared" si="58"/>
        <v>867843.8</v>
      </c>
      <c r="X200" s="64">
        <f t="shared" si="46"/>
        <v>28.869930980321573</v>
      </c>
      <c r="Y200" s="63"/>
      <c r="Z200" s="69">
        <v>38868</v>
      </c>
      <c r="AA200" s="67">
        <v>463.6</v>
      </c>
      <c r="AB200" s="67"/>
      <c r="AC200" s="67"/>
      <c r="AD200" s="14"/>
      <c r="AG200" s="55"/>
      <c r="AH200" s="16"/>
      <c r="AI200" s="16"/>
      <c r="AJ200" s="16"/>
      <c r="AK200" s="16"/>
      <c r="AL200" s="16"/>
      <c r="AM200" s="48">
        <v>40421</v>
      </c>
      <c r="AN200" s="54">
        <v>2.4666681818181821</v>
      </c>
      <c r="AO200" s="16"/>
    </row>
    <row r="201" spans="1:41" x14ac:dyDescent="0.3">
      <c r="A201" s="8">
        <v>40390</v>
      </c>
      <c r="B201" s="9">
        <f t="shared" si="55"/>
        <v>2.5596409090909091</v>
      </c>
      <c r="C201" s="9">
        <f t="shared" si="53"/>
        <v>35.982529248769673</v>
      </c>
      <c r="D201" s="7">
        <v>0</v>
      </c>
      <c r="E201" s="7">
        <v>1</v>
      </c>
      <c r="F201" s="7">
        <v>1</v>
      </c>
      <c r="G201" s="7">
        <v>0</v>
      </c>
      <c r="H201" s="1">
        <f t="shared" si="49"/>
        <v>0</v>
      </c>
      <c r="I201" s="1">
        <f t="shared" si="50"/>
        <v>0</v>
      </c>
      <c r="J201" s="1">
        <f t="shared" si="51"/>
        <v>1</v>
      </c>
      <c r="K201" s="1">
        <f t="shared" si="52"/>
        <v>0</v>
      </c>
      <c r="L201" s="1" t="str">
        <f t="shared" si="56"/>
        <v>紧货币紧信用</v>
      </c>
      <c r="O201" s="48">
        <v>40056</v>
      </c>
      <c r="P201" s="54">
        <v>1.724261904761905</v>
      </c>
      <c r="R201" s="52">
        <v>43251</v>
      </c>
      <c r="S201" s="53">
        <v>11233.624451</v>
      </c>
      <c r="T201" s="14">
        <f t="shared" si="57"/>
        <v>3095.7674999999999</v>
      </c>
      <c r="U201" s="62">
        <f t="shared" si="54"/>
        <v>11233.624451</v>
      </c>
      <c r="V201" s="62">
        <f t="shared" si="45"/>
        <v>243967.79759100001</v>
      </c>
      <c r="W201" s="63">
        <f t="shared" si="58"/>
        <v>867843.8</v>
      </c>
      <c r="X201" s="64">
        <f t="shared" si="46"/>
        <v>28.111947978541764</v>
      </c>
      <c r="Y201" s="63"/>
      <c r="Z201" s="69">
        <v>38837</v>
      </c>
      <c r="AA201" s="67">
        <v>259.60000000000002</v>
      </c>
      <c r="AB201" s="67"/>
      <c r="AC201" s="67"/>
      <c r="AD201" s="14"/>
      <c r="AG201" s="55"/>
      <c r="AH201" s="16"/>
      <c r="AI201" s="16"/>
      <c r="AJ201" s="16"/>
      <c r="AK201" s="16"/>
      <c r="AL201" s="16"/>
      <c r="AM201" s="48">
        <v>40390</v>
      </c>
      <c r="AN201" s="54">
        <v>2.5596409090909091</v>
      </c>
      <c r="AO201" s="16"/>
    </row>
    <row r="202" spans="1:41" x14ac:dyDescent="0.3">
      <c r="A202" s="8">
        <v>40359</v>
      </c>
      <c r="B202" s="9">
        <f t="shared" si="55"/>
        <v>2.40397619047619</v>
      </c>
      <c r="C202" s="9">
        <f t="shared" si="53"/>
        <v>36.142571037748347</v>
      </c>
      <c r="D202" s="7">
        <v>0</v>
      </c>
      <c r="E202" s="7">
        <v>1</v>
      </c>
      <c r="F202" s="7">
        <v>1</v>
      </c>
      <c r="G202" s="7">
        <v>0</v>
      </c>
      <c r="H202" s="1">
        <f t="shared" si="49"/>
        <v>0</v>
      </c>
      <c r="I202" s="1">
        <f t="shared" si="50"/>
        <v>0</v>
      </c>
      <c r="J202" s="1">
        <f t="shared" si="51"/>
        <v>1</v>
      </c>
      <c r="K202" s="1">
        <f t="shared" si="52"/>
        <v>0</v>
      </c>
      <c r="L202" s="1" t="str">
        <f t="shared" si="56"/>
        <v>紧货币紧信用</v>
      </c>
      <c r="O202" s="48">
        <v>40025</v>
      </c>
      <c r="P202" s="54">
        <v>1.479569565217391</v>
      </c>
      <c r="R202" s="52">
        <v>43281</v>
      </c>
      <c r="S202" s="53">
        <v>20372.964614</v>
      </c>
      <c r="T202" s="14">
        <f t="shared" si="57"/>
        <v>5718.9377000000004</v>
      </c>
      <c r="U202" s="62">
        <f t="shared" si="54"/>
        <v>20372.964614</v>
      </c>
      <c r="V202" s="62">
        <f t="shared" si="45"/>
        <v>238454.85125199996</v>
      </c>
      <c r="W202" s="63">
        <f t="shared" si="58"/>
        <v>890220.6</v>
      </c>
      <c r="X202" s="64">
        <f t="shared" si="46"/>
        <v>26.78604058948984</v>
      </c>
      <c r="Y202" s="63"/>
      <c r="Z202" s="69">
        <v>38807</v>
      </c>
      <c r="AA202" s="67">
        <v>439</v>
      </c>
      <c r="AB202" s="67"/>
      <c r="AC202" s="67"/>
      <c r="AD202" s="14"/>
      <c r="AG202" s="55"/>
      <c r="AH202" s="16"/>
      <c r="AI202" s="16"/>
      <c r="AJ202" s="16"/>
      <c r="AK202" s="16"/>
      <c r="AL202" s="16"/>
      <c r="AM202" s="48">
        <v>40359</v>
      </c>
      <c r="AN202" s="54">
        <v>2.40397619047619</v>
      </c>
      <c r="AO202" s="16"/>
    </row>
    <row r="203" spans="1:41" x14ac:dyDescent="0.3">
      <c r="A203" s="8">
        <v>40329</v>
      </c>
      <c r="B203" s="9">
        <f t="shared" si="55"/>
        <v>1.97719</v>
      </c>
      <c r="C203" s="9">
        <f t="shared" si="53"/>
        <v>40.618731253663739</v>
      </c>
      <c r="D203" s="7">
        <v>0</v>
      </c>
      <c r="E203" s="7">
        <v>1</v>
      </c>
      <c r="F203" s="7">
        <v>1</v>
      </c>
      <c r="G203" s="7">
        <v>0</v>
      </c>
      <c r="H203" s="1">
        <f t="shared" si="49"/>
        <v>0</v>
      </c>
      <c r="I203" s="1">
        <f t="shared" si="50"/>
        <v>0</v>
      </c>
      <c r="J203" s="1">
        <f t="shared" si="51"/>
        <v>1</v>
      </c>
      <c r="K203" s="1">
        <f t="shared" si="52"/>
        <v>0</v>
      </c>
      <c r="L203" s="1" t="str">
        <f t="shared" si="56"/>
        <v>紧货币紧信用</v>
      </c>
      <c r="O203" s="48">
        <v>39994</v>
      </c>
      <c r="P203" s="54">
        <v>1.250990909090909</v>
      </c>
      <c r="R203" s="52">
        <v>43312</v>
      </c>
      <c r="S203" s="53">
        <v>18381.941956999999</v>
      </c>
      <c r="T203" s="14">
        <f t="shared" si="57"/>
        <v>8503.4125999999997</v>
      </c>
      <c r="U203" s="62">
        <f t="shared" si="54"/>
        <v>18381.941956999999</v>
      </c>
      <c r="V203" s="62">
        <f t="shared" si="45"/>
        <v>235648.68664099998</v>
      </c>
      <c r="W203" s="63">
        <f t="shared" si="58"/>
        <v>890220.6</v>
      </c>
      <c r="X203" s="64">
        <f t="shared" si="46"/>
        <v>26.470819327366719</v>
      </c>
      <c r="Y203" s="63"/>
      <c r="Z203" s="69">
        <v>38776</v>
      </c>
      <c r="AA203" s="67">
        <v>-150</v>
      </c>
      <c r="AB203" s="67"/>
      <c r="AC203" s="67"/>
      <c r="AD203" s="14"/>
      <c r="AG203" s="55"/>
      <c r="AH203" s="16"/>
      <c r="AI203" s="16"/>
      <c r="AJ203" s="16"/>
      <c r="AK203" s="16"/>
      <c r="AL203" s="16"/>
      <c r="AM203" s="48">
        <v>40329</v>
      </c>
      <c r="AN203" s="54">
        <v>1.97719</v>
      </c>
      <c r="AO203" s="16"/>
    </row>
    <row r="204" spans="1:41" x14ac:dyDescent="0.3">
      <c r="A204" s="8">
        <v>40298</v>
      </c>
      <c r="B204" s="9">
        <f t="shared" si="55"/>
        <v>1.939414285714286</v>
      </c>
      <c r="C204" s="9">
        <f t="shared" si="53"/>
        <v>42.103260528697248</v>
      </c>
      <c r="D204" s="7">
        <v>0</v>
      </c>
      <c r="E204" s="7">
        <v>1</v>
      </c>
      <c r="F204" s="7">
        <v>1</v>
      </c>
      <c r="G204" s="7">
        <v>0</v>
      </c>
      <c r="H204" s="1">
        <f t="shared" si="49"/>
        <v>0</v>
      </c>
      <c r="I204" s="1">
        <f t="shared" si="50"/>
        <v>0</v>
      </c>
      <c r="J204" s="1">
        <f t="shared" si="51"/>
        <v>1</v>
      </c>
      <c r="K204" s="1">
        <f t="shared" si="52"/>
        <v>0</v>
      </c>
      <c r="L204" s="1" t="str">
        <f t="shared" si="56"/>
        <v>紧货币紧信用</v>
      </c>
      <c r="O204" s="48">
        <v>39964</v>
      </c>
      <c r="P204" s="54">
        <v>1.211326315789474</v>
      </c>
      <c r="R204" s="52">
        <v>43343</v>
      </c>
      <c r="S204" s="53">
        <v>24078.248887999998</v>
      </c>
      <c r="T204" s="14">
        <f t="shared" si="57"/>
        <v>9265.4159</v>
      </c>
      <c r="U204" s="62">
        <f t="shared" si="54"/>
        <v>24078.248887999998</v>
      </c>
      <c r="V204" s="62">
        <f t="shared" si="45"/>
        <v>239241.427819</v>
      </c>
      <c r="W204" s="63">
        <f t="shared" si="58"/>
        <v>890220.6</v>
      </c>
      <c r="X204" s="64">
        <f t="shared" si="46"/>
        <v>26.874398078296551</v>
      </c>
      <c r="Y204" s="63"/>
      <c r="Z204" s="69">
        <v>38748</v>
      </c>
      <c r="AA204" s="67">
        <v>0</v>
      </c>
      <c r="AB204" s="67"/>
      <c r="AC204" s="67"/>
      <c r="AD204" s="14"/>
      <c r="AG204" s="55"/>
      <c r="AH204" s="16"/>
      <c r="AI204" s="16"/>
      <c r="AJ204" s="16"/>
      <c r="AK204" s="16"/>
      <c r="AL204" s="16"/>
      <c r="AM204" s="48">
        <v>40298</v>
      </c>
      <c r="AN204" s="54">
        <v>1.939414285714286</v>
      </c>
      <c r="AO204" s="16"/>
    </row>
    <row r="205" spans="1:41" x14ac:dyDescent="0.3">
      <c r="A205" s="8">
        <v>40268</v>
      </c>
      <c r="B205" s="9">
        <f t="shared" si="55"/>
        <v>1.9426826086956519</v>
      </c>
      <c r="C205" s="9">
        <f t="shared" si="53"/>
        <v>39.600068204285954</v>
      </c>
      <c r="D205" s="7">
        <v>0</v>
      </c>
      <c r="E205" s="7">
        <v>1</v>
      </c>
      <c r="F205" s="7">
        <v>1</v>
      </c>
      <c r="G205" s="7">
        <v>0</v>
      </c>
      <c r="H205" s="1">
        <f t="shared" si="49"/>
        <v>0</v>
      </c>
      <c r="I205" s="1">
        <f t="shared" si="50"/>
        <v>0</v>
      </c>
      <c r="J205" s="1">
        <f t="shared" si="51"/>
        <v>1</v>
      </c>
      <c r="K205" s="1">
        <f t="shared" si="52"/>
        <v>0</v>
      </c>
      <c r="L205" s="1" t="str">
        <f t="shared" si="56"/>
        <v>紧货币紧信用</v>
      </c>
      <c r="O205" s="48">
        <v>39933</v>
      </c>
      <c r="P205" s="54">
        <v>1.214852380952381</v>
      </c>
      <c r="R205" s="52">
        <v>43373</v>
      </c>
      <c r="S205" s="53">
        <v>23061.250118</v>
      </c>
      <c r="T205" s="14">
        <f t="shared" si="57"/>
        <v>7601.7070000000103</v>
      </c>
      <c r="U205" s="62">
        <f t="shared" si="54"/>
        <v>23061.250118</v>
      </c>
      <c r="V205" s="62">
        <f t="shared" si="45"/>
        <v>236864.07099899999</v>
      </c>
      <c r="W205" s="63">
        <f t="shared" si="58"/>
        <v>912262.1</v>
      </c>
      <c r="X205" s="64">
        <f t="shared" si="46"/>
        <v>25.964475669766397</v>
      </c>
      <c r="Y205" s="63"/>
      <c r="Z205" s="69">
        <v>38717</v>
      </c>
      <c r="AA205" s="67">
        <v>654.9</v>
      </c>
      <c r="AB205" s="67"/>
      <c r="AC205" s="67"/>
      <c r="AD205" s="14"/>
      <c r="AG205" s="55"/>
      <c r="AH205" s="16"/>
      <c r="AI205" s="16"/>
      <c r="AJ205" s="16"/>
      <c r="AK205" s="16"/>
      <c r="AL205" s="16"/>
      <c r="AM205" s="48">
        <v>40268</v>
      </c>
      <c r="AN205" s="54">
        <v>1.9426826086956519</v>
      </c>
      <c r="AO205" s="16"/>
    </row>
    <row r="206" spans="1:41" x14ac:dyDescent="0.3">
      <c r="A206" s="8">
        <v>40237</v>
      </c>
      <c r="B206" s="9">
        <f t="shared" si="55"/>
        <v>1.9234588235294121</v>
      </c>
      <c r="C206" s="9">
        <f t="shared" si="53"/>
        <v>43.263978837960792</v>
      </c>
      <c r="D206" s="7">
        <v>0</v>
      </c>
      <c r="E206" s="7">
        <v>1</v>
      </c>
      <c r="F206" s="7">
        <v>1</v>
      </c>
      <c r="G206" s="7">
        <v>0</v>
      </c>
      <c r="H206" s="1">
        <f t="shared" si="49"/>
        <v>0</v>
      </c>
      <c r="I206" s="1">
        <f t="shared" si="50"/>
        <v>0</v>
      </c>
      <c r="J206" s="1">
        <f t="shared" si="51"/>
        <v>1</v>
      </c>
      <c r="K206" s="1">
        <f t="shared" si="52"/>
        <v>0</v>
      </c>
      <c r="L206" s="1" t="str">
        <f t="shared" si="56"/>
        <v>紧货币紧信用</v>
      </c>
      <c r="O206" s="48">
        <v>39903</v>
      </c>
      <c r="P206" s="54">
        <v>1.2493818181818179</v>
      </c>
      <c r="R206" s="52">
        <v>43404</v>
      </c>
      <c r="S206" s="53">
        <v>9537.8029869999991</v>
      </c>
      <c r="T206" s="14">
        <f t="shared" si="57"/>
        <v>3227.7746999999999</v>
      </c>
      <c r="U206" s="62">
        <f t="shared" si="54"/>
        <v>9537.8029869999991</v>
      </c>
      <c r="V206" s="62">
        <f t="shared" si="45"/>
        <v>230540.722546</v>
      </c>
      <c r="W206" s="63">
        <f t="shared" si="58"/>
        <v>912262.1</v>
      </c>
      <c r="X206" s="64">
        <f t="shared" si="46"/>
        <v>25.27132526343032</v>
      </c>
      <c r="Y206" s="63"/>
      <c r="Z206" s="69">
        <v>38686</v>
      </c>
      <c r="AA206" s="67">
        <v>-57.5</v>
      </c>
      <c r="AB206" s="67"/>
      <c r="AC206" s="67"/>
      <c r="AD206" s="14"/>
      <c r="AG206" s="55"/>
      <c r="AH206" s="16"/>
      <c r="AI206" s="16"/>
      <c r="AJ206" s="16"/>
      <c r="AK206" s="16"/>
      <c r="AL206" s="16"/>
      <c r="AM206" s="48">
        <v>40237</v>
      </c>
      <c r="AN206" s="54">
        <v>1.9234588235294121</v>
      </c>
      <c r="AO206" s="16"/>
    </row>
    <row r="207" spans="1:41" x14ac:dyDescent="0.3">
      <c r="A207" s="8">
        <v>40209</v>
      </c>
      <c r="B207" s="9">
        <f t="shared" si="55"/>
        <v>1.864325</v>
      </c>
      <c r="C207" s="9">
        <f t="shared" si="53"/>
        <v>43.473641662454419</v>
      </c>
      <c r="D207" s="7">
        <v>0</v>
      </c>
      <c r="E207" s="7">
        <v>1</v>
      </c>
      <c r="F207" s="7">
        <v>1</v>
      </c>
      <c r="G207" s="7">
        <v>0</v>
      </c>
      <c r="H207" s="1">
        <f t="shared" si="49"/>
        <v>0</v>
      </c>
      <c r="I207" s="1">
        <f t="shared" si="50"/>
        <v>0</v>
      </c>
      <c r="J207" s="1">
        <f t="shared" si="51"/>
        <v>1</v>
      </c>
      <c r="K207" s="1">
        <f t="shared" si="52"/>
        <v>0</v>
      </c>
      <c r="L207" s="1" t="str">
        <f t="shared" si="56"/>
        <v>紧货币紧信用</v>
      </c>
      <c r="O207" s="48">
        <v>39872</v>
      </c>
      <c r="P207" s="54">
        <v>1.3069571428571429</v>
      </c>
      <c r="R207" s="52">
        <v>43434</v>
      </c>
      <c r="S207" s="53">
        <v>16127.165255</v>
      </c>
      <c r="T207" s="14">
        <f t="shared" si="57"/>
        <v>-374.49220000000003</v>
      </c>
      <c r="U207" s="62">
        <f t="shared" si="54"/>
        <v>16127.165255</v>
      </c>
      <c r="V207" s="62">
        <f t="shared" si="45"/>
        <v>223711.90654699999</v>
      </c>
      <c r="W207" s="63">
        <f t="shared" si="58"/>
        <v>912262.1</v>
      </c>
      <c r="X207" s="64">
        <f t="shared" si="46"/>
        <v>24.522766707835391</v>
      </c>
      <c r="Y207" s="63"/>
      <c r="Z207" s="69">
        <v>38656</v>
      </c>
      <c r="AA207" s="67">
        <v>731.5</v>
      </c>
      <c r="AB207" s="67"/>
      <c r="AC207" s="67"/>
      <c r="AD207" s="14"/>
      <c r="AG207" s="55"/>
      <c r="AH207" s="16"/>
      <c r="AI207" s="16"/>
      <c r="AJ207" s="16"/>
      <c r="AK207" s="16"/>
      <c r="AL207" s="16"/>
      <c r="AM207" s="48">
        <v>40209</v>
      </c>
      <c r="AN207" s="54">
        <v>1.864325</v>
      </c>
      <c r="AO207" s="16"/>
    </row>
    <row r="208" spans="1:41" x14ac:dyDescent="0.3">
      <c r="O208" s="48">
        <v>39844</v>
      </c>
      <c r="P208" s="54">
        <v>1.5122352941176469</v>
      </c>
      <c r="R208" s="52">
        <v>43465</v>
      </c>
      <c r="S208" s="53">
        <v>19311.174083000002</v>
      </c>
      <c r="T208" s="14">
        <f t="shared" si="57"/>
        <v>3475.4594000000002</v>
      </c>
      <c r="U208" s="62">
        <f t="shared" si="54"/>
        <v>19311.174083000002</v>
      </c>
      <c r="V208" s="62">
        <f t="shared" ref="V208:V271" si="59">SUM(U197:U208)</f>
        <v>224920.19807999997</v>
      </c>
      <c r="W208" s="63">
        <f t="shared" si="58"/>
        <v>936010.1</v>
      </c>
      <c r="X208" s="64">
        <f t="shared" ref="X208:X271" si="60">V208/W208*100</f>
        <v>24.029676397722628</v>
      </c>
      <c r="Y208" s="63"/>
      <c r="Z208" s="69">
        <v>38625</v>
      </c>
      <c r="AA208" s="67">
        <v>-379.3</v>
      </c>
      <c r="AB208" s="67"/>
      <c r="AC208" s="67"/>
      <c r="AD208" s="14"/>
      <c r="AG208" s="55"/>
      <c r="AH208" s="16"/>
      <c r="AI208" s="16"/>
      <c r="AJ208" s="16"/>
      <c r="AK208" s="16"/>
      <c r="AL208" s="16"/>
      <c r="AM208" s="48">
        <v>40178</v>
      </c>
      <c r="AN208" s="54">
        <v>1.8191043478260871</v>
      </c>
      <c r="AO208" s="16"/>
    </row>
    <row r="209" spans="15:41" x14ac:dyDescent="0.3">
      <c r="O209" s="48">
        <v>39813</v>
      </c>
      <c r="P209" s="54">
        <v>2.2940217391304349</v>
      </c>
      <c r="R209" s="52">
        <v>43496</v>
      </c>
      <c r="S209" s="53">
        <v>46791.139268999999</v>
      </c>
      <c r="T209" s="14">
        <f t="shared" si="57"/>
        <v>4349.6643000000004</v>
      </c>
      <c r="U209" s="62">
        <f t="shared" si="54"/>
        <v>46791.139268999999</v>
      </c>
      <c r="V209" s="62">
        <f t="shared" si="59"/>
        <v>240294.11679500001</v>
      </c>
      <c r="W209" s="63">
        <f t="shared" si="58"/>
        <v>936010.1</v>
      </c>
      <c r="X209" s="64">
        <f t="shared" si="60"/>
        <v>25.672171357445823</v>
      </c>
      <c r="Y209" s="63"/>
      <c r="Z209" s="69">
        <v>38595</v>
      </c>
      <c r="AA209" s="67">
        <v>943.9</v>
      </c>
      <c r="AB209" s="67"/>
      <c r="AC209" s="67"/>
      <c r="AD209" s="14"/>
      <c r="AG209" s="55"/>
      <c r="AH209" s="16"/>
      <c r="AI209" s="16"/>
      <c r="AJ209" s="16"/>
      <c r="AK209" s="16"/>
      <c r="AL209" s="16"/>
      <c r="AM209" s="48">
        <v>40147</v>
      </c>
      <c r="AN209" s="54">
        <v>1.798480952380952</v>
      </c>
      <c r="AO209" s="16"/>
    </row>
    <row r="210" spans="15:41" x14ac:dyDescent="0.3">
      <c r="O210" s="48">
        <v>39782</v>
      </c>
      <c r="P210" s="54">
        <v>3.6940849999999998</v>
      </c>
      <c r="R210" s="52">
        <v>43524</v>
      </c>
      <c r="S210" s="53">
        <v>9665.1266849999993</v>
      </c>
      <c r="T210" s="14">
        <f t="shared" si="57"/>
        <v>3688.4276</v>
      </c>
      <c r="U210" s="62">
        <f t="shared" si="54"/>
        <v>9665.1266849999993</v>
      </c>
      <c r="V210" s="62">
        <f t="shared" si="59"/>
        <v>237894.85555499999</v>
      </c>
      <c r="W210" s="63">
        <f t="shared" si="58"/>
        <v>936010.1</v>
      </c>
      <c r="X210" s="64">
        <f t="shared" si="60"/>
        <v>25.415842794324551</v>
      </c>
      <c r="Y210" s="63"/>
      <c r="Z210" s="69">
        <v>38564</v>
      </c>
      <c r="AA210" s="67">
        <v>200.8</v>
      </c>
      <c r="AB210" s="67"/>
      <c r="AC210" s="67"/>
      <c r="AD210" s="14"/>
      <c r="AG210" s="55"/>
      <c r="AH210" s="16"/>
      <c r="AI210" s="16"/>
      <c r="AJ210" s="16"/>
      <c r="AK210" s="16"/>
      <c r="AL210" s="16"/>
      <c r="AM210" s="48">
        <v>40117</v>
      </c>
      <c r="AN210" s="54">
        <v>1.7794647058823529</v>
      </c>
      <c r="AO210" s="16"/>
    </row>
    <row r="211" spans="15:41" x14ac:dyDescent="0.3">
      <c r="O211" s="48">
        <v>39752</v>
      </c>
      <c r="P211" s="54">
        <v>4.2092999999999998</v>
      </c>
      <c r="R211" s="52">
        <v>43555</v>
      </c>
      <c r="S211" s="53">
        <v>29602.336533999998</v>
      </c>
      <c r="T211" s="14">
        <f t="shared" si="57"/>
        <v>4342.0387000000001</v>
      </c>
      <c r="U211" s="62">
        <f t="shared" si="54"/>
        <v>29602.336533999998</v>
      </c>
      <c r="V211" s="62">
        <f t="shared" si="59"/>
        <v>250405.71539</v>
      </c>
      <c r="W211" s="63">
        <f t="shared" si="58"/>
        <v>951728.7</v>
      </c>
      <c r="X211" s="64">
        <f t="shared" si="60"/>
        <v>26.310619338263102</v>
      </c>
      <c r="Y211" s="63"/>
      <c r="Z211" s="69">
        <v>38533</v>
      </c>
      <c r="AA211" s="67">
        <v>-106.2</v>
      </c>
      <c r="AB211" s="67"/>
      <c r="AC211" s="67"/>
      <c r="AD211" s="14"/>
      <c r="AG211" s="55"/>
      <c r="AH211" s="16"/>
      <c r="AI211" s="16"/>
      <c r="AJ211" s="16"/>
      <c r="AK211" s="16"/>
      <c r="AL211" s="16"/>
      <c r="AM211" s="48">
        <v>40086</v>
      </c>
      <c r="AN211" s="54">
        <v>1.7516826086956521</v>
      </c>
      <c r="AO211" s="16"/>
    </row>
    <row r="212" spans="15:41" x14ac:dyDescent="0.3">
      <c r="O212" s="48">
        <v>39721</v>
      </c>
      <c r="P212" s="54">
        <v>4.3091904761904756</v>
      </c>
      <c r="R212" s="52">
        <v>43585</v>
      </c>
      <c r="S212" s="53">
        <v>16709.538168999999</v>
      </c>
      <c r="T212" s="14">
        <f t="shared" si="57"/>
        <v>2429.415</v>
      </c>
      <c r="U212" s="62">
        <f t="shared" si="54"/>
        <v>16709.538168999999</v>
      </c>
      <c r="V212" s="62">
        <f t="shared" si="59"/>
        <v>244872.31301000001</v>
      </c>
      <c r="W212" s="63">
        <f t="shared" si="58"/>
        <v>951728.7</v>
      </c>
      <c r="X212" s="64">
        <f t="shared" si="60"/>
        <v>25.729213904130454</v>
      </c>
      <c r="Y212" s="63"/>
      <c r="Z212" s="69">
        <v>38503</v>
      </c>
      <c r="AA212" s="67">
        <v>573.5</v>
      </c>
      <c r="AB212" s="67"/>
      <c r="AC212" s="67"/>
      <c r="AD212" s="14"/>
      <c r="AG212" s="55"/>
      <c r="AH212" s="16"/>
      <c r="AI212" s="16"/>
      <c r="AJ212" s="16"/>
      <c r="AK212" s="16"/>
      <c r="AL212" s="16"/>
      <c r="AM212" s="48">
        <v>40056</v>
      </c>
      <c r="AN212" s="54">
        <v>1.724261904761905</v>
      </c>
      <c r="AO212" s="16"/>
    </row>
    <row r="213" spans="15:41" x14ac:dyDescent="0.3">
      <c r="O213" s="48">
        <v>39691</v>
      </c>
      <c r="P213" s="54">
        <v>4.3253380952380951</v>
      </c>
      <c r="R213" s="52">
        <v>43616</v>
      </c>
      <c r="S213" s="53">
        <v>17123.729277999999</v>
      </c>
      <c r="T213" s="14">
        <f t="shared" si="57"/>
        <v>4533.8326999999999</v>
      </c>
      <c r="U213" s="62">
        <f t="shared" si="54"/>
        <v>17123.729277999999</v>
      </c>
      <c r="V213" s="62">
        <f t="shared" si="59"/>
        <v>250762.41783699999</v>
      </c>
      <c r="W213" s="63">
        <f t="shared" si="58"/>
        <v>951728.7</v>
      </c>
      <c r="X213" s="64">
        <f t="shared" si="60"/>
        <v>26.348098763544698</v>
      </c>
      <c r="Y213" s="63"/>
      <c r="Z213" s="69">
        <v>38472</v>
      </c>
      <c r="AA213" s="67">
        <v>683.9</v>
      </c>
      <c r="AB213" s="67"/>
      <c r="AC213" s="67"/>
      <c r="AD213" s="14"/>
      <c r="AG213" s="55"/>
      <c r="AH213" s="16"/>
      <c r="AI213" s="16"/>
      <c r="AJ213" s="16"/>
      <c r="AK213" s="16"/>
      <c r="AL213" s="16"/>
      <c r="AM213" s="48">
        <v>40025</v>
      </c>
      <c r="AN213" s="54">
        <v>1.479569565217391</v>
      </c>
      <c r="AO213" s="16"/>
    </row>
    <row r="214" spans="15:41" x14ac:dyDescent="0.3">
      <c r="O214" s="48">
        <v>39660</v>
      </c>
      <c r="P214" s="54">
        <v>4.4172521739130426</v>
      </c>
      <c r="R214" s="52">
        <v>43646</v>
      </c>
      <c r="S214" s="53">
        <v>26243.302006000002</v>
      </c>
      <c r="T214" s="14">
        <f t="shared" si="57"/>
        <v>7881.3980999999903</v>
      </c>
      <c r="U214" s="62">
        <f t="shared" si="54"/>
        <v>26243.302006000002</v>
      </c>
      <c r="V214" s="62">
        <f t="shared" si="59"/>
        <v>256632.755229</v>
      </c>
      <c r="W214" s="63">
        <f t="shared" si="58"/>
        <v>969880.2</v>
      </c>
      <c r="X214" s="64">
        <f t="shared" si="60"/>
        <v>26.460253052799722</v>
      </c>
      <c r="Y214" s="63"/>
      <c r="Z214" s="69">
        <v>38442</v>
      </c>
      <c r="AA214" s="67">
        <v>-201.6</v>
      </c>
      <c r="AB214" s="67"/>
      <c r="AC214" s="67"/>
      <c r="AD214" s="14"/>
      <c r="AG214" s="55"/>
      <c r="AH214" s="16"/>
      <c r="AI214" s="16"/>
      <c r="AJ214" s="16"/>
      <c r="AK214" s="16"/>
      <c r="AL214" s="16"/>
      <c r="AM214" s="48">
        <v>39994</v>
      </c>
      <c r="AN214" s="54">
        <v>1.250990909090909</v>
      </c>
      <c r="AO214" s="16"/>
    </row>
    <row r="215" spans="15:41" x14ac:dyDescent="0.3">
      <c r="O215" s="48">
        <v>39629</v>
      </c>
      <c r="P215" s="54">
        <v>4.4781849999999999</v>
      </c>
      <c r="R215" s="52">
        <v>43677</v>
      </c>
      <c r="S215" s="53">
        <v>12872.110273</v>
      </c>
      <c r="T215" s="14">
        <f t="shared" si="57"/>
        <v>5311.6426000000101</v>
      </c>
      <c r="U215" s="62">
        <f t="shared" si="54"/>
        <v>12872.110273</v>
      </c>
      <c r="V215" s="62">
        <f t="shared" si="59"/>
        <v>251122.923545</v>
      </c>
      <c r="W215" s="63">
        <f t="shared" si="58"/>
        <v>969880.2</v>
      </c>
      <c r="X215" s="64">
        <f t="shared" si="60"/>
        <v>25.892159005308081</v>
      </c>
      <c r="Y215" s="63"/>
      <c r="Z215" s="69">
        <v>38411</v>
      </c>
      <c r="AA215" s="67">
        <v>46.8</v>
      </c>
      <c r="AB215" s="67"/>
      <c r="AC215" s="67"/>
      <c r="AD215" s="14"/>
      <c r="AG215" s="55"/>
      <c r="AH215" s="16"/>
      <c r="AI215" s="16"/>
      <c r="AJ215" s="16"/>
      <c r="AK215" s="16"/>
      <c r="AL215" s="16"/>
      <c r="AM215" s="48">
        <v>39964</v>
      </c>
      <c r="AN215" s="54">
        <v>1.211326315789474</v>
      </c>
      <c r="AO215" s="16"/>
    </row>
    <row r="216" spans="15:41" x14ac:dyDescent="0.3">
      <c r="O216" s="48">
        <v>39599</v>
      </c>
      <c r="P216" s="54">
        <v>4.4919190476190476</v>
      </c>
      <c r="R216" s="52">
        <v>43708</v>
      </c>
      <c r="S216" s="53">
        <v>21955.765013</v>
      </c>
      <c r="T216" s="14">
        <f t="shared" si="57"/>
        <v>5851.5141000000003</v>
      </c>
      <c r="U216" s="62">
        <f t="shared" si="54"/>
        <v>21955.765013</v>
      </c>
      <c r="V216" s="62">
        <f t="shared" si="59"/>
        <v>249000.43967000002</v>
      </c>
      <c r="W216" s="63">
        <f t="shared" si="58"/>
        <v>969880.2</v>
      </c>
      <c r="X216" s="64">
        <f t="shared" si="60"/>
        <v>25.673319206846372</v>
      </c>
      <c r="Y216" s="63"/>
      <c r="Z216" s="69">
        <v>38383</v>
      </c>
      <c r="AA216" s="67">
        <v>0</v>
      </c>
      <c r="AB216" s="67"/>
      <c r="AC216" s="67"/>
      <c r="AD216" s="14"/>
      <c r="AG216" s="55"/>
      <c r="AH216" s="16"/>
      <c r="AI216" s="16"/>
      <c r="AJ216" s="16"/>
      <c r="AK216" s="16"/>
      <c r="AL216" s="16"/>
      <c r="AM216" s="48">
        <v>39933</v>
      </c>
      <c r="AN216" s="54">
        <v>1.214852380952381</v>
      </c>
      <c r="AO216" s="16"/>
    </row>
    <row r="217" spans="15:41" x14ac:dyDescent="0.3">
      <c r="O217" s="48">
        <v>39568</v>
      </c>
      <c r="P217" s="54">
        <v>4.4941571428571434</v>
      </c>
      <c r="R217" s="52">
        <v>43738</v>
      </c>
      <c r="S217" s="53">
        <v>25142.210456000001</v>
      </c>
      <c r="T217" s="14">
        <f t="shared" si="57"/>
        <v>2396.8715000000002</v>
      </c>
      <c r="U217" s="62">
        <f t="shared" si="54"/>
        <v>25142.210456000001</v>
      </c>
      <c r="V217" s="62">
        <f t="shared" si="59"/>
        <v>251081.400008</v>
      </c>
      <c r="W217" s="63">
        <f t="shared" si="58"/>
        <v>987106.6</v>
      </c>
      <c r="X217" s="64">
        <f t="shared" si="60"/>
        <v>25.43609778396781</v>
      </c>
      <c r="Y217" s="63"/>
      <c r="Z217" s="69">
        <v>38352</v>
      </c>
      <c r="AA217" s="67">
        <v>-630.03</v>
      </c>
      <c r="AB217" s="67"/>
      <c r="AC217" s="67"/>
      <c r="AD217" s="14"/>
      <c r="AG217" s="55"/>
      <c r="AH217" s="16"/>
      <c r="AI217" s="16"/>
      <c r="AJ217" s="16"/>
      <c r="AK217" s="16"/>
      <c r="AL217" s="16"/>
      <c r="AM217" s="48">
        <v>39903</v>
      </c>
      <c r="AN217" s="54">
        <v>1.2493818181818179</v>
      </c>
      <c r="AO217" s="16"/>
    </row>
    <row r="218" spans="15:41" x14ac:dyDescent="0.3">
      <c r="O218" s="48">
        <v>39538</v>
      </c>
      <c r="P218" s="54">
        <v>4.5007428571428569</v>
      </c>
      <c r="R218" s="52">
        <v>43769</v>
      </c>
      <c r="S218" s="53">
        <v>8680.0021219999999</v>
      </c>
      <c r="T218" s="14">
        <f t="shared" si="57"/>
        <v>1750.3545999999999</v>
      </c>
      <c r="U218" s="62">
        <f t="shared" si="54"/>
        <v>8680.0021219999999</v>
      </c>
      <c r="V218" s="62">
        <f t="shared" si="59"/>
        <v>250223.59914300003</v>
      </c>
      <c r="W218" s="63">
        <f t="shared" si="58"/>
        <v>987106.6</v>
      </c>
      <c r="X218" s="64">
        <f t="shared" si="60"/>
        <v>25.349197254177007</v>
      </c>
      <c r="Y218" s="63"/>
      <c r="Z218" s="69">
        <v>38321</v>
      </c>
      <c r="AA218" s="67">
        <v>332.3</v>
      </c>
      <c r="AB218" s="67"/>
      <c r="AC218" s="67"/>
      <c r="AD218" s="14"/>
      <c r="AG218" s="55"/>
      <c r="AH218" s="16"/>
      <c r="AI218" s="16"/>
      <c r="AJ218" s="16"/>
      <c r="AK218" s="16"/>
      <c r="AL218" s="16"/>
      <c r="AM218" s="48">
        <v>39872</v>
      </c>
      <c r="AN218" s="54">
        <v>1.3069571428571429</v>
      </c>
      <c r="AO218" s="16"/>
    </row>
    <row r="219" spans="15:41" x14ac:dyDescent="0.3">
      <c r="O219" s="48">
        <v>39507</v>
      </c>
      <c r="P219" s="54">
        <v>4.5040500000000003</v>
      </c>
      <c r="R219" s="52">
        <v>43799</v>
      </c>
      <c r="S219" s="53">
        <v>19936.916232</v>
      </c>
      <c r="T219" s="14">
        <f t="shared" si="57"/>
        <v>2273.0463</v>
      </c>
      <c r="U219" s="62">
        <f t="shared" si="54"/>
        <v>19936.916232</v>
      </c>
      <c r="V219" s="62">
        <f t="shared" si="59"/>
        <v>254033.35012000002</v>
      </c>
      <c r="W219" s="63">
        <f t="shared" si="58"/>
        <v>987106.6</v>
      </c>
      <c r="X219" s="64">
        <f t="shared" si="60"/>
        <v>25.73514857665829</v>
      </c>
      <c r="Y219" s="63"/>
      <c r="Z219" s="69">
        <v>38291</v>
      </c>
      <c r="AA219" s="67">
        <v>221.1</v>
      </c>
      <c r="AB219" s="67"/>
      <c r="AC219" s="67"/>
      <c r="AD219" s="14"/>
      <c r="AG219" s="55"/>
      <c r="AH219" s="16"/>
      <c r="AI219" s="16"/>
      <c r="AJ219" s="16"/>
      <c r="AK219" s="16"/>
      <c r="AL219" s="16"/>
      <c r="AM219" s="48">
        <v>39844</v>
      </c>
      <c r="AN219" s="54">
        <v>1.5122352941176469</v>
      </c>
      <c r="AO219" s="16"/>
    </row>
    <row r="220" spans="15:41" x14ac:dyDescent="0.3">
      <c r="O220" s="48">
        <v>39478</v>
      </c>
      <c r="P220" s="54">
        <v>4.4794863636363642</v>
      </c>
      <c r="R220" s="52">
        <v>43830</v>
      </c>
      <c r="S220" s="53">
        <v>22013</v>
      </c>
      <c r="T220" s="14">
        <f t="shared" si="57"/>
        <v>3211.1605</v>
      </c>
      <c r="U220" s="62">
        <f t="shared" si="54"/>
        <v>22013</v>
      </c>
      <c r="V220" s="62">
        <f t="shared" si="59"/>
        <v>256735.176037</v>
      </c>
      <c r="W220" s="63">
        <f t="shared" si="58"/>
        <v>1005872.4</v>
      </c>
      <c r="X220" s="64">
        <f t="shared" si="60"/>
        <v>25.523632623481863</v>
      </c>
      <c r="Y220" s="63"/>
      <c r="Z220" s="69">
        <v>38260</v>
      </c>
      <c r="AA220" s="67">
        <v>153</v>
      </c>
      <c r="AB220" s="67"/>
      <c r="AC220" s="67"/>
      <c r="AD220" s="14"/>
      <c r="AG220" s="55"/>
      <c r="AH220" s="16"/>
      <c r="AI220" s="16"/>
      <c r="AJ220" s="16"/>
      <c r="AK220" s="16"/>
      <c r="AL220" s="16"/>
      <c r="AM220" s="48">
        <v>39813</v>
      </c>
      <c r="AN220" s="54">
        <v>2.2940217391304349</v>
      </c>
      <c r="AO220" s="16"/>
    </row>
    <row r="221" spans="15:41" x14ac:dyDescent="0.3">
      <c r="O221" s="48">
        <v>39447</v>
      </c>
      <c r="P221" s="54">
        <v>4.3711666666666673</v>
      </c>
      <c r="R221" s="52">
        <v>43861</v>
      </c>
      <c r="S221" s="53">
        <v>50535</v>
      </c>
      <c r="T221" s="14">
        <f t="shared" si="57"/>
        <v>7648.0378000000101</v>
      </c>
      <c r="U221" s="62">
        <f t="shared" si="54"/>
        <v>50535</v>
      </c>
      <c r="V221" s="62">
        <f t="shared" si="59"/>
        <v>260479.03676799999</v>
      </c>
      <c r="W221" s="63">
        <f t="shared" si="58"/>
        <v>1005872.4</v>
      </c>
      <c r="X221" s="64">
        <f t="shared" si="60"/>
        <v>25.895832987166163</v>
      </c>
      <c r="Y221" s="63"/>
      <c r="Z221" s="69">
        <v>38230</v>
      </c>
      <c r="AA221" s="67">
        <v>615.29999999999995</v>
      </c>
      <c r="AB221" s="67"/>
      <c r="AC221" s="67"/>
      <c r="AD221" s="14"/>
      <c r="AG221" s="55"/>
      <c r="AH221" s="16"/>
      <c r="AI221" s="16"/>
      <c r="AJ221" s="16"/>
      <c r="AK221" s="16"/>
      <c r="AL221" s="16"/>
      <c r="AM221" s="48">
        <v>39782</v>
      </c>
      <c r="AN221" s="54">
        <v>3.6940849999999998</v>
      </c>
      <c r="AO221" s="16"/>
    </row>
    <row r="222" spans="15:41" x14ac:dyDescent="0.3">
      <c r="O222" s="48">
        <v>39416</v>
      </c>
      <c r="P222" s="54">
        <v>4.2602136363636358</v>
      </c>
      <c r="R222" s="52">
        <v>43890</v>
      </c>
      <c r="S222" s="53">
        <v>8737</v>
      </c>
      <c r="T222" s="14">
        <f t="shared" si="57"/>
        <v>3693.02</v>
      </c>
      <c r="U222" s="62">
        <f t="shared" si="54"/>
        <v>8737</v>
      </c>
      <c r="V222" s="62">
        <f t="shared" si="59"/>
        <v>259550.910083</v>
      </c>
      <c r="W222" s="63">
        <f t="shared" si="58"/>
        <v>1005872.4</v>
      </c>
      <c r="X222" s="64">
        <f t="shared" si="60"/>
        <v>25.803562169813983</v>
      </c>
      <c r="Y222" s="63"/>
      <c r="Z222" s="69">
        <v>38199</v>
      </c>
      <c r="AA222" s="67">
        <v>957</v>
      </c>
      <c r="AB222" s="67"/>
      <c r="AC222" s="67"/>
      <c r="AD222" s="14"/>
      <c r="AG222" s="55"/>
      <c r="AH222" s="16"/>
      <c r="AI222" s="16"/>
      <c r="AJ222" s="16"/>
      <c r="AK222" s="16"/>
      <c r="AL222" s="16"/>
      <c r="AM222" s="48">
        <v>39752</v>
      </c>
      <c r="AN222" s="54">
        <v>4.2092999999999998</v>
      </c>
      <c r="AO222" s="16"/>
    </row>
    <row r="223" spans="15:41" x14ac:dyDescent="0.3">
      <c r="O223" s="48">
        <v>39386</v>
      </c>
      <c r="P223" s="54">
        <v>3.9119333333333328</v>
      </c>
      <c r="R223" s="52">
        <v>43921</v>
      </c>
      <c r="S223" s="53">
        <v>51838</v>
      </c>
      <c r="T223" s="14">
        <f t="shared" si="57"/>
        <v>5233.6126999999997</v>
      </c>
      <c r="U223" s="62">
        <f t="shared" si="54"/>
        <v>51838</v>
      </c>
      <c r="V223" s="62">
        <f t="shared" si="59"/>
        <v>281786.57354899996</v>
      </c>
      <c r="W223" s="63">
        <f t="shared" si="58"/>
        <v>994089.6</v>
      </c>
      <c r="X223" s="64">
        <f t="shared" si="60"/>
        <v>28.346194704078986</v>
      </c>
      <c r="Y223" s="63"/>
      <c r="Z223" s="69">
        <v>38168</v>
      </c>
      <c r="AA223" s="67">
        <v>632.29999999999995</v>
      </c>
      <c r="AB223" s="67"/>
      <c r="AC223" s="67"/>
      <c r="AD223" s="14"/>
      <c r="AG223" s="55"/>
      <c r="AH223" s="16"/>
      <c r="AI223" s="16"/>
      <c r="AJ223" s="16"/>
      <c r="AK223" s="16"/>
      <c r="AL223" s="16"/>
      <c r="AM223" s="48">
        <v>39721</v>
      </c>
      <c r="AN223" s="54">
        <v>4.3091904761904756</v>
      </c>
      <c r="AO223" s="16"/>
    </row>
    <row r="224" spans="15:41" x14ac:dyDescent="0.3">
      <c r="O224" s="48">
        <v>39355</v>
      </c>
      <c r="P224" s="54">
        <v>3.5511863636363641</v>
      </c>
      <c r="R224" s="52">
        <v>43951</v>
      </c>
      <c r="S224" s="53">
        <v>31027</v>
      </c>
      <c r="T224" s="14">
        <f t="shared" si="57"/>
        <v>2898.4261000000001</v>
      </c>
      <c r="U224" s="62">
        <f t="shared" si="54"/>
        <v>31027</v>
      </c>
      <c r="V224" s="62">
        <f t="shared" si="59"/>
        <v>296104.03538000002</v>
      </c>
      <c r="W224" s="63">
        <f t="shared" si="58"/>
        <v>994089.6</v>
      </c>
      <c r="X224" s="64">
        <f t="shared" si="60"/>
        <v>29.786453392128841</v>
      </c>
      <c r="Y224" s="63"/>
      <c r="Z224" s="69">
        <v>38138</v>
      </c>
      <c r="AA224" s="67">
        <v>-242.5</v>
      </c>
      <c r="AB224" s="67"/>
      <c r="AC224" s="67"/>
      <c r="AD224" s="14"/>
      <c r="AG224" s="55"/>
      <c r="AH224" s="16"/>
      <c r="AI224" s="16"/>
      <c r="AJ224" s="16"/>
      <c r="AK224" s="16"/>
      <c r="AL224" s="16"/>
      <c r="AM224" s="48">
        <v>39691</v>
      </c>
      <c r="AN224" s="54">
        <v>4.3253380952380951</v>
      </c>
      <c r="AO224" s="16"/>
    </row>
    <row r="225" spans="15:41" x14ac:dyDescent="0.3">
      <c r="O225" s="48">
        <v>39325</v>
      </c>
      <c r="P225" s="54">
        <v>3.2200608695652169</v>
      </c>
      <c r="R225" s="52">
        <v>43982</v>
      </c>
      <c r="S225" s="53">
        <v>31866</v>
      </c>
      <c r="T225" s="14">
        <f t="shared" si="57"/>
        <v>15020.822</v>
      </c>
      <c r="U225" s="62">
        <f t="shared" si="54"/>
        <v>31866</v>
      </c>
      <c r="V225" s="62">
        <f t="shared" si="59"/>
        <v>310846.306102</v>
      </c>
      <c r="W225" s="63">
        <f t="shared" si="58"/>
        <v>994089.6</v>
      </c>
      <c r="X225" s="64">
        <f t="shared" si="60"/>
        <v>31.269445541126274</v>
      </c>
      <c r="Y225" s="63"/>
      <c r="Z225" s="69">
        <v>38107</v>
      </c>
      <c r="AA225" s="67">
        <v>1472.2</v>
      </c>
      <c r="AB225" s="67"/>
      <c r="AC225" s="67"/>
      <c r="AD225" s="14"/>
      <c r="AG225" s="55"/>
      <c r="AH225" s="16"/>
      <c r="AI225" s="16"/>
      <c r="AJ225" s="16"/>
      <c r="AK225" s="16"/>
      <c r="AL225" s="16"/>
      <c r="AM225" s="48">
        <v>39660</v>
      </c>
      <c r="AN225" s="54">
        <v>4.4172521739130426</v>
      </c>
      <c r="AO225" s="16"/>
    </row>
    <row r="226" spans="15:41" x14ac:dyDescent="0.3">
      <c r="O226" s="48">
        <v>39294</v>
      </c>
      <c r="P226" s="54">
        <v>3.145654545454545</v>
      </c>
      <c r="R226" s="52">
        <v>44012</v>
      </c>
      <c r="S226" s="53">
        <v>34681</v>
      </c>
      <c r="T226" s="14">
        <f t="shared" si="57"/>
        <v>4978.8786</v>
      </c>
      <c r="U226" s="62">
        <f t="shared" si="54"/>
        <v>34681</v>
      </c>
      <c r="V226" s="62">
        <f t="shared" si="59"/>
        <v>319284.00409599999</v>
      </c>
      <c r="W226" s="63">
        <f t="shared" si="58"/>
        <v>1001345.7</v>
      </c>
      <c r="X226" s="64">
        <f t="shared" si="60"/>
        <v>31.885492102877162</v>
      </c>
      <c r="Y226" s="63"/>
      <c r="Z226" s="69">
        <v>38077</v>
      </c>
      <c r="AA226" s="67">
        <v>101.6</v>
      </c>
      <c r="AB226" s="67"/>
      <c r="AC226" s="67"/>
      <c r="AD226" s="14"/>
      <c r="AG226" s="55"/>
      <c r="AH226" s="16"/>
      <c r="AI226" s="16"/>
      <c r="AJ226" s="16"/>
      <c r="AK226" s="16"/>
      <c r="AL226" s="16"/>
      <c r="AM226" s="48">
        <v>39629</v>
      </c>
      <c r="AN226" s="54">
        <v>4.4781849999999999</v>
      </c>
      <c r="AO226" s="16"/>
    </row>
    <row r="227" spans="15:41" x14ac:dyDescent="0.3">
      <c r="O227" s="48">
        <v>39263</v>
      </c>
      <c r="P227" s="54">
        <v>3.0613904761904762</v>
      </c>
      <c r="R227" s="52">
        <v>44043</v>
      </c>
      <c r="S227" s="53">
        <v>16928</v>
      </c>
      <c r="T227" s="14">
        <f t="shared" si="57"/>
        <v>5042.8822</v>
      </c>
      <c r="U227" s="62">
        <f t="shared" si="54"/>
        <v>16928</v>
      </c>
      <c r="V227" s="62">
        <f t="shared" si="59"/>
        <v>323339.89382300002</v>
      </c>
      <c r="W227" s="63">
        <f t="shared" si="58"/>
        <v>1001345.7</v>
      </c>
      <c r="X227" s="64">
        <f t="shared" si="60"/>
        <v>32.290536007994049</v>
      </c>
      <c r="Y227" s="63"/>
      <c r="Z227" s="69">
        <v>38046</v>
      </c>
      <c r="AA227" s="67">
        <v>0</v>
      </c>
      <c r="AB227" s="67"/>
      <c r="AC227" s="67"/>
      <c r="AD227" s="14"/>
      <c r="AG227" s="55"/>
      <c r="AH227" s="16"/>
      <c r="AI227" s="16"/>
      <c r="AJ227" s="16"/>
      <c r="AK227" s="16"/>
      <c r="AL227" s="16"/>
      <c r="AM227" s="48">
        <v>39599</v>
      </c>
      <c r="AN227" s="54">
        <v>4.4919190476190476</v>
      </c>
      <c r="AO227" s="16"/>
    </row>
    <row r="228" spans="15:41" x14ac:dyDescent="0.3">
      <c r="O228" s="48">
        <v>39233</v>
      </c>
      <c r="P228" s="54">
        <v>2.9949833333333329</v>
      </c>
      <c r="R228" s="52">
        <v>44074</v>
      </c>
      <c r="S228" s="53">
        <v>35853</v>
      </c>
      <c r="T228" s="14">
        <f t="shared" si="57"/>
        <v>13620.0028</v>
      </c>
      <c r="U228" s="62">
        <f t="shared" si="54"/>
        <v>35853</v>
      </c>
      <c r="V228" s="62">
        <f t="shared" si="59"/>
        <v>337237.12881000002</v>
      </c>
      <c r="W228" s="63">
        <f t="shared" si="58"/>
        <v>1001345.7</v>
      </c>
      <c r="X228" s="64">
        <f t="shared" si="60"/>
        <v>33.678391869061805</v>
      </c>
      <c r="Y228" s="63"/>
      <c r="Z228" s="69">
        <v>38017</v>
      </c>
      <c r="AA228" s="67">
        <v>0</v>
      </c>
      <c r="AB228" s="67"/>
      <c r="AC228" s="67"/>
      <c r="AD228" s="14"/>
      <c r="AG228" s="55"/>
      <c r="AH228" s="16"/>
      <c r="AI228" s="16"/>
      <c r="AJ228" s="16"/>
      <c r="AK228" s="16"/>
      <c r="AL228" s="16"/>
      <c r="AM228" s="48">
        <v>39568</v>
      </c>
      <c r="AN228" s="54">
        <v>4.4941571428571434</v>
      </c>
      <c r="AO228" s="16"/>
    </row>
    <row r="229" spans="15:41" x14ac:dyDescent="0.3">
      <c r="O229" s="48">
        <v>39202</v>
      </c>
      <c r="P229" s="54">
        <v>2.9171434782608698</v>
      </c>
      <c r="R229" s="52">
        <v>44104</v>
      </c>
      <c r="S229" s="53">
        <v>34693</v>
      </c>
      <c r="T229" s="14">
        <f t="shared" si="57"/>
        <v>9315.7736999999997</v>
      </c>
      <c r="U229" s="62">
        <f t="shared" si="54"/>
        <v>34693</v>
      </c>
      <c r="V229" s="62">
        <f t="shared" si="59"/>
        <v>346787.91835399996</v>
      </c>
      <c r="W229" s="63">
        <f t="shared" si="58"/>
        <v>1015232.7</v>
      </c>
      <c r="X229" s="64">
        <f t="shared" si="60"/>
        <v>34.158466167805663</v>
      </c>
      <c r="Y229" s="63"/>
      <c r="Z229" s="69">
        <v>37986</v>
      </c>
      <c r="AA229" s="67">
        <v>2018.57</v>
      </c>
      <c r="AB229" s="67"/>
      <c r="AC229" s="67"/>
      <c r="AD229" s="14"/>
      <c r="AG229" s="55"/>
      <c r="AH229" s="16"/>
      <c r="AI229" s="16"/>
      <c r="AJ229" s="16"/>
      <c r="AK229" s="16"/>
      <c r="AL229" s="16"/>
      <c r="AM229" s="48">
        <v>39538</v>
      </c>
      <c r="AN229" s="54">
        <v>4.5007428571428569</v>
      </c>
      <c r="AO229" s="16"/>
    </row>
    <row r="230" spans="15:41" x14ac:dyDescent="0.3">
      <c r="O230" s="48">
        <v>39172</v>
      </c>
      <c r="P230" s="54">
        <v>2.8366772727272731</v>
      </c>
      <c r="R230" s="52">
        <v>44135</v>
      </c>
      <c r="S230" s="53">
        <v>13929</v>
      </c>
      <c r="T230" s="14">
        <f t="shared" si="57"/>
        <v>6154.1818999999996</v>
      </c>
      <c r="U230" s="62">
        <f t="shared" si="54"/>
        <v>13929</v>
      </c>
      <c r="V230" s="62">
        <f t="shared" si="59"/>
        <v>352036.91623199999</v>
      </c>
      <c r="W230" s="63">
        <f t="shared" si="58"/>
        <v>1015232.7</v>
      </c>
      <c r="X230" s="64">
        <f t="shared" si="60"/>
        <v>34.675490282375662</v>
      </c>
      <c r="Y230" s="63"/>
      <c r="Z230" s="69">
        <v>37955</v>
      </c>
      <c r="AA230" s="67">
        <v>824.9</v>
      </c>
      <c r="AB230" s="67"/>
      <c r="AC230" s="67"/>
      <c r="AD230" s="14"/>
      <c r="AG230" s="55"/>
      <c r="AH230" s="16"/>
      <c r="AI230" s="16"/>
      <c r="AJ230" s="16"/>
      <c r="AK230" s="16"/>
      <c r="AL230" s="16"/>
      <c r="AM230" s="48">
        <v>39507</v>
      </c>
      <c r="AN230" s="54">
        <v>4.5040500000000003</v>
      </c>
      <c r="AO230" s="16"/>
    </row>
    <row r="231" spans="15:41" x14ac:dyDescent="0.3">
      <c r="O231" s="48">
        <v>39141</v>
      </c>
      <c r="P231" s="54">
        <v>2.8471411764705881</v>
      </c>
      <c r="R231" s="52">
        <v>44165</v>
      </c>
      <c r="S231" s="53">
        <v>21355</v>
      </c>
      <c r="T231" s="14">
        <f t="shared" si="57"/>
        <v>3193.6318000000001</v>
      </c>
      <c r="U231" s="62">
        <f t="shared" si="54"/>
        <v>21355</v>
      </c>
      <c r="V231" s="62">
        <f t="shared" si="59"/>
        <v>353455</v>
      </c>
      <c r="W231" s="63">
        <f t="shared" si="58"/>
        <v>1015232.7</v>
      </c>
      <c r="X231" s="64">
        <f t="shared" si="60"/>
        <v>34.815170945537908</v>
      </c>
      <c r="Y231" s="63"/>
      <c r="Z231" s="69">
        <v>37925</v>
      </c>
      <c r="AA231" s="67">
        <v>100</v>
      </c>
      <c r="AB231" s="67"/>
      <c r="AC231" s="67"/>
      <c r="AD231" s="14"/>
      <c r="AG231" s="55"/>
      <c r="AH231" s="16"/>
      <c r="AI231" s="16"/>
      <c r="AJ231" s="16"/>
      <c r="AK231" s="16"/>
      <c r="AL231" s="16"/>
      <c r="AM231" s="48">
        <v>39478</v>
      </c>
      <c r="AN231" s="54">
        <v>4.4794863636363642</v>
      </c>
      <c r="AO231" s="16"/>
    </row>
    <row r="232" spans="15:41" x14ac:dyDescent="0.3">
      <c r="O232" s="48">
        <v>39113</v>
      </c>
      <c r="P232" s="54">
        <v>2.808065</v>
      </c>
      <c r="R232" s="52">
        <v>44196</v>
      </c>
      <c r="S232" s="53">
        <v>16476</v>
      </c>
      <c r="T232" s="14">
        <f t="shared" si="57"/>
        <v>7235.2096000000001</v>
      </c>
      <c r="U232" s="62">
        <f t="shared" si="54"/>
        <v>16476</v>
      </c>
      <c r="V232" s="62">
        <f t="shared" si="59"/>
        <v>347918</v>
      </c>
      <c r="W232" s="63">
        <f t="shared" si="58"/>
        <v>1034867.5</v>
      </c>
      <c r="X232" s="64">
        <f t="shared" si="60"/>
        <v>33.619569655052459</v>
      </c>
      <c r="Y232" s="63"/>
      <c r="Z232" s="69">
        <v>37894</v>
      </c>
      <c r="AA232" s="67">
        <v>183.8</v>
      </c>
      <c r="AB232" s="67"/>
      <c r="AC232" s="67"/>
      <c r="AD232" s="14"/>
      <c r="AG232" s="55"/>
      <c r="AH232" s="16"/>
      <c r="AI232" s="16"/>
      <c r="AJ232" s="16"/>
      <c r="AK232" s="16"/>
      <c r="AL232" s="16"/>
      <c r="AM232" s="48">
        <v>39447</v>
      </c>
      <c r="AN232" s="54">
        <v>4.3711666666666673</v>
      </c>
      <c r="AO232" s="16"/>
    </row>
    <row r="233" spans="15:41" x14ac:dyDescent="0.3">
      <c r="O233" s="48">
        <v>39082</v>
      </c>
      <c r="P233" s="54">
        <v>2.8080521739130431</v>
      </c>
      <c r="R233" s="52">
        <v>44227</v>
      </c>
      <c r="S233" s="53">
        <v>51884</v>
      </c>
      <c r="T233" s="14">
        <f t="shared" si="57"/>
        <v>2923.2073999999998</v>
      </c>
      <c r="U233" s="62">
        <f t="shared" si="54"/>
        <v>51884</v>
      </c>
      <c r="V233" s="62">
        <f t="shared" si="59"/>
        <v>349267</v>
      </c>
      <c r="W233" s="63">
        <f t="shared" si="58"/>
        <v>1034867.5</v>
      </c>
      <c r="X233" s="64">
        <f t="shared" si="60"/>
        <v>33.749924507243676</v>
      </c>
      <c r="Y233" s="63"/>
      <c r="Z233" s="69">
        <v>37864</v>
      </c>
      <c r="AA233" s="67">
        <v>260</v>
      </c>
      <c r="AB233" s="67"/>
      <c r="AC233" s="67"/>
      <c r="AD233" s="14"/>
      <c r="AG233" s="55"/>
      <c r="AH233" s="16"/>
      <c r="AI233" s="16"/>
      <c r="AJ233" s="16"/>
      <c r="AK233" s="16"/>
      <c r="AL233" s="16"/>
      <c r="AM233" s="48">
        <v>39416</v>
      </c>
      <c r="AN233" s="54">
        <v>4.2602136363636358</v>
      </c>
      <c r="AO233" s="16"/>
    </row>
    <row r="234" spans="15:41" x14ac:dyDescent="0.3">
      <c r="O234" s="48">
        <v>39051</v>
      </c>
      <c r="P234" s="54">
        <v>2.749263636363636</v>
      </c>
      <c r="R234" s="52">
        <v>44255</v>
      </c>
      <c r="S234" s="53">
        <v>17243</v>
      </c>
      <c r="T234" s="14">
        <f t="shared" si="57"/>
        <v>492.66599999999897</v>
      </c>
      <c r="U234" s="62">
        <f t="shared" si="54"/>
        <v>17243</v>
      </c>
      <c r="V234" s="62">
        <f t="shared" si="59"/>
        <v>357773</v>
      </c>
      <c r="W234" s="63">
        <f t="shared" si="58"/>
        <v>1034867.5</v>
      </c>
      <c r="X234" s="64">
        <f t="shared" si="60"/>
        <v>34.571865480363428</v>
      </c>
      <c r="Y234" s="63"/>
      <c r="Z234" s="69">
        <v>37833</v>
      </c>
      <c r="AA234" s="67">
        <v>-5</v>
      </c>
      <c r="AB234" s="67"/>
      <c r="AC234" s="67"/>
      <c r="AD234" s="14"/>
      <c r="AG234" s="55"/>
      <c r="AH234" s="16"/>
      <c r="AI234" s="16"/>
      <c r="AJ234" s="16"/>
      <c r="AK234" s="16"/>
      <c r="AL234" s="16"/>
      <c r="AM234" s="48">
        <v>39386</v>
      </c>
      <c r="AN234" s="54">
        <v>3.9119333333333328</v>
      </c>
      <c r="AO234" s="16"/>
    </row>
    <row r="235" spans="15:41" x14ac:dyDescent="0.3">
      <c r="O235" s="48">
        <v>39021</v>
      </c>
      <c r="P235" s="54">
        <v>2.6420499999999998</v>
      </c>
      <c r="R235" s="52">
        <v>44286</v>
      </c>
      <c r="S235" s="53">
        <v>33762</v>
      </c>
      <c r="T235" s="14">
        <f t="shared" si="57"/>
        <v>3074.0790000000002</v>
      </c>
      <c r="U235" s="62">
        <f t="shared" si="54"/>
        <v>33762</v>
      </c>
      <c r="V235" s="62">
        <f t="shared" si="59"/>
        <v>339697</v>
      </c>
      <c r="W235" s="63">
        <f t="shared" si="58"/>
        <v>1080251.6000000001</v>
      </c>
      <c r="X235" s="64">
        <f t="shared" si="60"/>
        <v>31.446100149261518</v>
      </c>
      <c r="Y235" s="63"/>
      <c r="Z235" s="69">
        <v>37802</v>
      </c>
      <c r="AA235" s="67">
        <v>80</v>
      </c>
      <c r="AB235" s="67"/>
      <c r="AC235" s="67"/>
      <c r="AD235" s="14"/>
      <c r="AG235" s="55"/>
      <c r="AH235" s="16"/>
      <c r="AI235" s="16"/>
      <c r="AJ235" s="16"/>
      <c r="AK235" s="16"/>
      <c r="AL235" s="16"/>
      <c r="AM235" s="48">
        <v>39355</v>
      </c>
      <c r="AN235" s="54">
        <v>3.5511863636363641</v>
      </c>
      <c r="AO235" s="16"/>
    </row>
    <row r="236" spans="15:41" x14ac:dyDescent="0.3">
      <c r="R236" s="52">
        <v>44316</v>
      </c>
      <c r="S236" s="53">
        <v>18570</v>
      </c>
      <c r="T236" s="14">
        <f t="shared" si="57"/>
        <v>3691.7739000000001</v>
      </c>
      <c r="U236" s="62">
        <f t="shared" si="54"/>
        <v>18570</v>
      </c>
      <c r="V236" s="62">
        <f t="shared" si="59"/>
        <v>327240</v>
      </c>
      <c r="W236" s="63">
        <f t="shared" si="58"/>
        <v>1080251.6000000001</v>
      </c>
      <c r="X236" s="64">
        <f t="shared" si="60"/>
        <v>30.292942866273005</v>
      </c>
      <c r="Y236" s="63"/>
      <c r="Z236" s="69">
        <v>37772</v>
      </c>
      <c r="AA236" s="67">
        <v>50</v>
      </c>
      <c r="AB236" s="67"/>
      <c r="AC236" s="67"/>
      <c r="AD236" s="14"/>
      <c r="AG236" s="55"/>
      <c r="AH236" s="16"/>
      <c r="AI236" s="16"/>
      <c r="AJ236" s="16"/>
      <c r="AK236" s="16"/>
      <c r="AL236" s="16"/>
      <c r="AM236" s="48">
        <v>39325</v>
      </c>
      <c r="AN236" s="54">
        <v>3.2200608695652169</v>
      </c>
      <c r="AO236" s="16"/>
    </row>
    <row r="237" spans="15:41" x14ac:dyDescent="0.3">
      <c r="R237" s="52">
        <v>44347</v>
      </c>
      <c r="S237" s="53">
        <v>19522</v>
      </c>
      <c r="T237" s="14">
        <f t="shared" si="57"/>
        <v>7937.2356</v>
      </c>
      <c r="U237" s="62">
        <f t="shared" si="54"/>
        <v>19522</v>
      </c>
      <c r="V237" s="62">
        <f t="shared" si="59"/>
        <v>314896</v>
      </c>
      <c r="W237" s="63">
        <f t="shared" si="58"/>
        <v>1080251.6000000001</v>
      </c>
      <c r="X237" s="64">
        <f t="shared" si="60"/>
        <v>29.150246109332308</v>
      </c>
      <c r="Y237" s="63"/>
      <c r="Z237" s="69">
        <v>37741</v>
      </c>
      <c r="AA237" s="67">
        <v>1680</v>
      </c>
      <c r="AB237" s="67"/>
      <c r="AC237" s="67"/>
      <c r="AD237" s="14"/>
      <c r="AG237" s="55"/>
      <c r="AH237" s="16"/>
      <c r="AI237" s="16"/>
      <c r="AJ237" s="16"/>
      <c r="AK237" s="16"/>
      <c r="AL237" s="16"/>
      <c r="AM237" s="48">
        <v>39294</v>
      </c>
      <c r="AN237" s="54">
        <v>3.145654545454545</v>
      </c>
      <c r="AO237" s="16"/>
    </row>
    <row r="238" spans="15:41" x14ac:dyDescent="0.3">
      <c r="R238" s="52">
        <v>44377</v>
      </c>
      <c r="S238" s="53">
        <v>37017</v>
      </c>
      <c r="T238" s="14">
        <f t="shared" si="57"/>
        <v>6563.5523999999996</v>
      </c>
      <c r="U238" s="62">
        <f t="shared" si="54"/>
        <v>37017</v>
      </c>
      <c r="V238" s="62">
        <f t="shared" si="59"/>
        <v>317232</v>
      </c>
      <c r="W238" s="63">
        <f t="shared" si="58"/>
        <v>1114780.8</v>
      </c>
      <c r="X238" s="64">
        <f t="shared" si="60"/>
        <v>28.456894844259967</v>
      </c>
      <c r="Y238" s="63"/>
      <c r="Z238" s="69">
        <v>37711</v>
      </c>
      <c r="AA238" s="67">
        <v>-350</v>
      </c>
      <c r="AB238" s="67"/>
      <c r="AC238" s="67"/>
      <c r="AD238" s="14"/>
      <c r="AG238" s="55"/>
      <c r="AH238" s="16"/>
      <c r="AI238" s="16"/>
      <c r="AJ238" s="16"/>
      <c r="AK238" s="16"/>
      <c r="AL238" s="16"/>
      <c r="AM238" s="48">
        <v>39263</v>
      </c>
      <c r="AN238" s="54">
        <v>3.0613904761904762</v>
      </c>
      <c r="AO238" s="16"/>
    </row>
    <row r="239" spans="15:41" x14ac:dyDescent="0.3">
      <c r="R239" s="52">
        <v>44408</v>
      </c>
      <c r="S239" s="53">
        <v>10752</v>
      </c>
      <c r="T239" s="14">
        <f t="shared" si="57"/>
        <v>2634.7044000000001</v>
      </c>
      <c r="U239" s="62">
        <f t="shared" si="54"/>
        <v>10752</v>
      </c>
      <c r="V239" s="62">
        <f t="shared" si="59"/>
        <v>311056</v>
      </c>
      <c r="W239" s="63">
        <f t="shared" si="58"/>
        <v>1114780.8</v>
      </c>
      <c r="X239" s="64">
        <f t="shared" si="60"/>
        <v>27.902884585023351</v>
      </c>
      <c r="Y239" s="63"/>
      <c r="Z239" s="69">
        <v>37680</v>
      </c>
      <c r="AA239" s="67">
        <v>450</v>
      </c>
      <c r="AB239" s="67"/>
      <c r="AC239" s="67"/>
      <c r="AD239" s="14"/>
      <c r="AG239" s="55"/>
      <c r="AH239" s="16"/>
      <c r="AI239" s="16"/>
      <c r="AJ239" s="16"/>
      <c r="AK239" s="16"/>
      <c r="AL239" s="16"/>
      <c r="AM239" s="48">
        <v>39233</v>
      </c>
      <c r="AN239" s="54">
        <v>2.9949833333333329</v>
      </c>
      <c r="AO239" s="16"/>
    </row>
    <row r="240" spans="15:41" x14ac:dyDescent="0.3">
      <c r="R240" s="52">
        <v>44439</v>
      </c>
      <c r="S240" s="53">
        <v>29893</v>
      </c>
      <c r="T240" s="14">
        <f t="shared" si="57"/>
        <v>9274.7821999999906</v>
      </c>
      <c r="U240" s="62">
        <f t="shared" si="54"/>
        <v>29893</v>
      </c>
      <c r="V240" s="62">
        <f t="shared" si="59"/>
        <v>305096</v>
      </c>
      <c r="W240" s="63">
        <f t="shared" si="58"/>
        <v>1114780.8</v>
      </c>
      <c r="X240" s="64">
        <f t="shared" si="60"/>
        <v>27.36825033226263</v>
      </c>
      <c r="Y240" s="63"/>
      <c r="Z240" s="69">
        <v>37652</v>
      </c>
      <c r="AA240" s="67">
        <v>0</v>
      </c>
      <c r="AB240" s="67"/>
      <c r="AC240" s="67"/>
      <c r="AD240" s="14"/>
      <c r="AG240" s="55"/>
      <c r="AH240" s="16"/>
      <c r="AI240" s="16"/>
      <c r="AJ240" s="16"/>
      <c r="AK240" s="16"/>
      <c r="AL240" s="16"/>
      <c r="AM240" s="48">
        <v>39202</v>
      </c>
      <c r="AN240" s="54">
        <v>2.9171434782608698</v>
      </c>
      <c r="AO240" s="16"/>
    </row>
    <row r="241" spans="18:41" x14ac:dyDescent="0.3">
      <c r="R241" s="52">
        <v>44469</v>
      </c>
      <c r="S241" s="53">
        <v>29026</v>
      </c>
      <c r="T241" s="14">
        <f t="shared" si="57"/>
        <v>9594.1311999999998</v>
      </c>
      <c r="U241" s="62">
        <f t="shared" si="54"/>
        <v>29026</v>
      </c>
      <c r="V241" s="62">
        <f t="shared" si="59"/>
        <v>299429</v>
      </c>
      <c r="W241" s="63">
        <f t="shared" si="58"/>
        <v>1142832.5</v>
      </c>
      <c r="X241" s="64">
        <f t="shared" si="60"/>
        <v>26.20060245049034</v>
      </c>
      <c r="Y241" s="63"/>
      <c r="Z241" s="69">
        <v>37621</v>
      </c>
      <c r="AA241" s="67">
        <v>216.1</v>
      </c>
      <c r="AB241" s="67"/>
      <c r="AC241" s="67"/>
      <c r="AD241" s="14"/>
      <c r="AG241" s="55"/>
      <c r="AH241" s="16"/>
      <c r="AI241" s="16"/>
      <c r="AJ241" s="16"/>
      <c r="AK241" s="16"/>
      <c r="AL241" s="16"/>
      <c r="AM241" s="48">
        <v>39172</v>
      </c>
      <c r="AN241" s="54">
        <v>2.8366772727272731</v>
      </c>
      <c r="AO241" s="16"/>
    </row>
    <row r="242" spans="18:41" x14ac:dyDescent="0.3">
      <c r="R242" s="52">
        <v>44500</v>
      </c>
      <c r="S242" s="53">
        <v>16176</v>
      </c>
      <c r="T242" s="14">
        <f t="shared" si="57"/>
        <v>8332.5772000000106</v>
      </c>
      <c r="U242" s="62">
        <f t="shared" si="54"/>
        <v>16176</v>
      </c>
      <c r="V242" s="62">
        <f t="shared" si="59"/>
        <v>301676</v>
      </c>
      <c r="W242" s="63">
        <f t="shared" si="58"/>
        <v>1142832.5</v>
      </c>
      <c r="X242" s="64">
        <f t="shared" si="60"/>
        <v>26.397219190038783</v>
      </c>
      <c r="Y242" s="63"/>
      <c r="Z242" s="69">
        <v>37590</v>
      </c>
      <c r="AA242" s="67">
        <v>300</v>
      </c>
      <c r="AB242" s="67"/>
      <c r="AC242" s="67"/>
      <c r="AD242" s="14"/>
      <c r="AG242" s="55"/>
      <c r="AH242" s="16"/>
      <c r="AI242" s="16"/>
      <c r="AJ242" s="16"/>
      <c r="AK242" s="16"/>
      <c r="AL242" s="16"/>
      <c r="AM242" s="48">
        <v>39141</v>
      </c>
      <c r="AN242" s="54">
        <v>2.8471411764705881</v>
      </c>
      <c r="AO242" s="16"/>
    </row>
    <row r="243" spans="18:41" x14ac:dyDescent="0.3">
      <c r="R243" s="52">
        <v>44530</v>
      </c>
      <c r="S243" s="53">
        <v>25983</v>
      </c>
      <c r="T243" s="14">
        <f t="shared" si="57"/>
        <v>7452.6463999999996</v>
      </c>
      <c r="U243" s="62">
        <f t="shared" si="54"/>
        <v>25983</v>
      </c>
      <c r="V243" s="62">
        <f t="shared" si="59"/>
        <v>306304</v>
      </c>
      <c r="W243" s="63">
        <f t="shared" si="58"/>
        <v>1142832.5</v>
      </c>
      <c r="X243" s="64">
        <f t="shared" si="60"/>
        <v>26.802177921961441</v>
      </c>
      <c r="Y243" s="63"/>
      <c r="Z243" s="69">
        <v>37560</v>
      </c>
      <c r="AA243" s="67">
        <v>-161</v>
      </c>
      <c r="AB243" s="67"/>
      <c r="AC243" s="67"/>
      <c r="AD243" s="14"/>
      <c r="AG243" s="55"/>
      <c r="AH243" s="16"/>
      <c r="AI243" s="16"/>
      <c r="AJ243" s="16"/>
      <c r="AK243" s="16"/>
      <c r="AL243" s="16"/>
      <c r="AM243" s="48">
        <v>39113</v>
      </c>
      <c r="AN243" s="54">
        <v>2.808065</v>
      </c>
      <c r="AO243" s="16"/>
    </row>
    <row r="244" spans="18:41" x14ac:dyDescent="0.3">
      <c r="R244" s="52">
        <v>44561</v>
      </c>
      <c r="S244" s="53">
        <v>23580</v>
      </c>
      <c r="T244" s="14">
        <f t="shared" si="57"/>
        <v>9452.9593000000095</v>
      </c>
      <c r="U244" s="62">
        <f t="shared" si="54"/>
        <v>23580</v>
      </c>
      <c r="V244" s="62">
        <f t="shared" si="59"/>
        <v>313408</v>
      </c>
      <c r="W244" s="63">
        <f t="shared" si="58"/>
        <v>1173823</v>
      </c>
      <c r="X244" s="64">
        <f t="shared" si="60"/>
        <v>26.699766489496284</v>
      </c>
      <c r="Y244" s="63"/>
      <c r="Z244" s="69">
        <v>37529</v>
      </c>
      <c r="AA244" s="67">
        <v>801.65</v>
      </c>
      <c r="AB244" s="67"/>
      <c r="AC244" s="67"/>
      <c r="AD244" s="14"/>
      <c r="AG244" s="55"/>
      <c r="AH244" s="16"/>
      <c r="AI244" s="16"/>
      <c r="AJ244" s="16"/>
      <c r="AK244" s="16"/>
      <c r="AL244" s="16"/>
      <c r="AM244" s="48">
        <v>39082</v>
      </c>
      <c r="AN244" s="54">
        <v>2.8080521739130431</v>
      </c>
      <c r="AO244" s="16"/>
    </row>
    <row r="245" spans="18:41" x14ac:dyDescent="0.3">
      <c r="R245" s="52">
        <v>44592</v>
      </c>
      <c r="S245" s="53">
        <v>61759</v>
      </c>
      <c r="T245" s="14">
        <f t="shared" si="57"/>
        <v>6969.5034600000099</v>
      </c>
      <c r="U245" s="62">
        <f t="shared" si="54"/>
        <v>61759</v>
      </c>
      <c r="V245" s="62">
        <f t="shared" si="59"/>
        <v>323283</v>
      </c>
      <c r="W245" s="63">
        <f t="shared" si="58"/>
        <v>1173823</v>
      </c>
      <c r="X245" s="64">
        <f t="shared" si="60"/>
        <v>27.541034721589202</v>
      </c>
      <c r="Y245" s="63"/>
      <c r="Z245" s="69">
        <v>37499</v>
      </c>
      <c r="AA245" s="67">
        <v>400</v>
      </c>
      <c r="AB245" s="67"/>
      <c r="AC245" s="67"/>
      <c r="AD245" s="14"/>
      <c r="AG245" s="55"/>
      <c r="AH245" s="16"/>
      <c r="AI245" s="16"/>
      <c r="AJ245" s="16"/>
      <c r="AK245" s="16"/>
      <c r="AL245" s="16"/>
      <c r="AM245" s="48">
        <v>39051</v>
      </c>
      <c r="AN245" s="54">
        <v>2.749263636363636</v>
      </c>
      <c r="AO245" s="16"/>
    </row>
    <row r="246" spans="18:41" x14ac:dyDescent="0.3">
      <c r="R246" s="52">
        <v>44620</v>
      </c>
      <c r="S246" s="53">
        <v>12170</v>
      </c>
      <c r="T246" s="14">
        <f t="shared" si="57"/>
        <v>3489.6419000000001</v>
      </c>
      <c r="U246" s="62">
        <f t="shared" si="54"/>
        <v>12170</v>
      </c>
      <c r="V246" s="62">
        <f t="shared" si="59"/>
        <v>318210</v>
      </c>
      <c r="W246" s="63">
        <f t="shared" si="58"/>
        <v>1173823</v>
      </c>
      <c r="X246" s="64">
        <f t="shared" si="60"/>
        <v>27.108857127522633</v>
      </c>
      <c r="Y246" s="63"/>
      <c r="Z246" s="69">
        <v>37468</v>
      </c>
      <c r="AA246" s="67">
        <v>188.3</v>
      </c>
      <c r="AB246" s="14"/>
      <c r="AC246" s="14"/>
      <c r="AD246" s="14"/>
      <c r="AG246" s="55"/>
      <c r="AH246" s="16"/>
      <c r="AI246" s="16"/>
      <c r="AJ246" s="16"/>
      <c r="AK246" s="16"/>
      <c r="AL246" s="16"/>
      <c r="AM246" s="48">
        <v>39021</v>
      </c>
      <c r="AN246" s="54">
        <v>2.6420499999999998</v>
      </c>
      <c r="AO246" s="16"/>
    </row>
    <row r="247" spans="18:41" x14ac:dyDescent="0.3">
      <c r="R247" s="52">
        <v>44651</v>
      </c>
      <c r="S247" s="53">
        <v>46565</v>
      </c>
      <c r="T247" s="14">
        <f t="shared" si="57"/>
        <v>6007.3140999999996</v>
      </c>
      <c r="U247" s="62">
        <f t="shared" si="54"/>
        <v>46565</v>
      </c>
      <c r="V247" s="62">
        <f t="shared" si="59"/>
        <v>331013</v>
      </c>
      <c r="W247" s="63">
        <f t="shared" si="58"/>
        <v>1195943.6000000001</v>
      </c>
      <c r="X247" s="64">
        <f t="shared" si="60"/>
        <v>27.677977456461996</v>
      </c>
      <c r="Y247" s="63"/>
      <c r="Z247" s="69">
        <v>37437</v>
      </c>
      <c r="AA247" s="67">
        <v>720</v>
      </c>
      <c r="AB247" s="14"/>
      <c r="AC247" s="14"/>
      <c r="AD247" s="14"/>
      <c r="AG247" s="55"/>
      <c r="AH247" s="16"/>
      <c r="AI247" s="16"/>
      <c r="AJ247" s="16"/>
      <c r="AK247" s="16"/>
      <c r="AL247" s="16"/>
      <c r="AM247" s="16"/>
      <c r="AN247" s="16"/>
      <c r="AO247" s="16"/>
    </row>
    <row r="248" spans="18:41" x14ac:dyDescent="0.3">
      <c r="R248" s="52">
        <v>44681</v>
      </c>
      <c r="S248" s="53">
        <v>9327</v>
      </c>
      <c r="T248" s="14">
        <f t="shared" si="57"/>
        <v>3410.8209000000002</v>
      </c>
      <c r="U248" s="62">
        <f t="shared" si="54"/>
        <v>9327</v>
      </c>
      <c r="V248" s="62">
        <f t="shared" si="59"/>
        <v>321770</v>
      </c>
      <c r="W248" s="63">
        <f t="shared" si="58"/>
        <v>1195943.6000000001</v>
      </c>
      <c r="X248" s="64">
        <f t="shared" si="60"/>
        <v>26.905114923479665</v>
      </c>
      <c r="Y248" s="63"/>
      <c r="Z248" s="69">
        <v>37407</v>
      </c>
      <c r="AA248" s="67">
        <v>200</v>
      </c>
      <c r="AB248" s="14"/>
      <c r="AC248" s="14"/>
      <c r="AD248" s="14"/>
      <c r="AG248" s="55"/>
      <c r="AH248" s="16"/>
      <c r="AI248" s="16"/>
      <c r="AJ248" s="16"/>
      <c r="AK248" s="16"/>
      <c r="AL248" s="16"/>
      <c r="AM248" s="16"/>
      <c r="AN248" s="16"/>
      <c r="AO248" s="16"/>
    </row>
    <row r="249" spans="18:41" x14ac:dyDescent="0.3">
      <c r="R249" s="52">
        <v>44712</v>
      </c>
      <c r="S249" s="53">
        <v>28415</v>
      </c>
      <c r="T249" s="14">
        <f t="shared" si="57"/>
        <v>12022.583699999999</v>
      </c>
      <c r="U249" s="62">
        <f t="shared" ref="U249:U259" si="61">S249</f>
        <v>28415</v>
      </c>
      <c r="V249" s="62">
        <f t="shared" si="59"/>
        <v>330663</v>
      </c>
      <c r="W249" s="63">
        <f t="shared" si="58"/>
        <v>1195943.6000000001</v>
      </c>
      <c r="X249" s="64">
        <f t="shared" si="60"/>
        <v>27.648711862331965</v>
      </c>
      <c r="Y249" s="63"/>
      <c r="Z249" s="69">
        <v>37376</v>
      </c>
      <c r="AA249" s="67">
        <v>560</v>
      </c>
      <c r="AB249" s="14"/>
      <c r="AC249" s="14"/>
      <c r="AD249" s="14"/>
      <c r="AG249" s="55"/>
      <c r="AH249" s="16"/>
      <c r="AI249" s="16"/>
      <c r="AJ249" s="16"/>
      <c r="AK249" s="16"/>
      <c r="AL249" s="16"/>
      <c r="AM249" s="16"/>
      <c r="AN249" s="16"/>
      <c r="AO249" s="16"/>
    </row>
    <row r="250" spans="18:41" x14ac:dyDescent="0.3">
      <c r="R250" s="52">
        <v>44742</v>
      </c>
      <c r="S250" s="53">
        <v>51926</v>
      </c>
      <c r="T250" s="14">
        <f t="shared" si="57"/>
        <v>17012.5016</v>
      </c>
      <c r="U250" s="62">
        <f t="shared" si="61"/>
        <v>51926</v>
      </c>
      <c r="V250" s="62">
        <f t="shared" si="59"/>
        <v>345572</v>
      </c>
      <c r="W250" s="63">
        <f t="shared" si="58"/>
        <v>1207075.8999999999</v>
      </c>
      <c r="X250" s="64">
        <f t="shared" si="60"/>
        <v>28.628854241891506</v>
      </c>
      <c r="Y250" s="63"/>
      <c r="Z250" s="69">
        <v>37346</v>
      </c>
      <c r="AA250" s="14">
        <v>96.7</v>
      </c>
      <c r="AB250" s="14"/>
      <c r="AC250" s="14"/>
      <c r="AD250" s="14"/>
      <c r="AG250" s="55"/>
      <c r="AH250" s="16"/>
      <c r="AI250" s="16"/>
      <c r="AJ250" s="16"/>
      <c r="AK250" s="16"/>
      <c r="AL250" s="16"/>
      <c r="AM250" s="16"/>
      <c r="AN250" s="16"/>
      <c r="AO250" s="16"/>
    </row>
    <row r="251" spans="18:41" x14ac:dyDescent="0.3">
      <c r="R251" s="52">
        <v>44773</v>
      </c>
      <c r="S251" s="53">
        <v>7785</v>
      </c>
      <c r="T251" s="14">
        <f t="shared" si="57"/>
        <v>3083.3236000000002</v>
      </c>
      <c r="U251" s="62">
        <f t="shared" si="61"/>
        <v>7785</v>
      </c>
      <c r="V251" s="62">
        <f t="shared" si="59"/>
        <v>342605</v>
      </c>
      <c r="W251" s="63">
        <f t="shared" si="58"/>
        <v>1207075.8999999999</v>
      </c>
      <c r="X251" s="64">
        <f t="shared" si="60"/>
        <v>28.383053625708211</v>
      </c>
      <c r="Y251" s="63"/>
      <c r="Z251" s="14"/>
      <c r="AA251" s="14"/>
      <c r="AB251" s="14"/>
      <c r="AC251" s="14"/>
      <c r="AD251" s="14"/>
      <c r="AG251" s="55"/>
      <c r="AH251" s="16"/>
      <c r="AI251" s="16"/>
      <c r="AJ251" s="16"/>
      <c r="AK251" s="16"/>
      <c r="AL251" s="16"/>
      <c r="AM251" s="16"/>
      <c r="AN251" s="16"/>
      <c r="AO251" s="16"/>
    </row>
    <row r="252" spans="18:41" x14ac:dyDescent="0.3">
      <c r="R252" s="52">
        <v>44804</v>
      </c>
      <c r="S252" s="53">
        <v>24712</v>
      </c>
      <c r="T252" s="14">
        <f t="shared" si="57"/>
        <v>2606.1214</v>
      </c>
      <c r="U252" s="62">
        <f t="shared" si="61"/>
        <v>24712</v>
      </c>
      <c r="V252" s="62">
        <f t="shared" si="59"/>
        <v>337424</v>
      </c>
      <c r="W252" s="63">
        <f t="shared" si="58"/>
        <v>1207075.8999999999</v>
      </c>
      <c r="X252" s="64">
        <f t="shared" si="60"/>
        <v>27.953834551746088</v>
      </c>
      <c r="Y252" s="63"/>
      <c r="Z252" s="14"/>
      <c r="AA252" s="14"/>
      <c r="AB252" s="14"/>
      <c r="AC252" s="14"/>
      <c r="AD252" s="14"/>
      <c r="AG252" s="55"/>
      <c r="AH252" s="16"/>
      <c r="AI252" s="16"/>
      <c r="AJ252" s="16"/>
      <c r="AK252" s="16"/>
      <c r="AL252" s="16"/>
      <c r="AM252" s="16"/>
      <c r="AN252" s="16"/>
      <c r="AO252" s="16"/>
    </row>
    <row r="253" spans="18:41" x14ac:dyDescent="0.3">
      <c r="R253" s="52">
        <v>44834</v>
      </c>
      <c r="S253" s="53">
        <v>35411</v>
      </c>
      <c r="T253" s="14">
        <f>VLOOKUP(R253,Z:AA,2,0)</f>
        <v>4966.4399000000003</v>
      </c>
      <c r="U253" s="62">
        <f t="shared" si="61"/>
        <v>35411</v>
      </c>
      <c r="V253" s="62">
        <f t="shared" si="59"/>
        <v>343809</v>
      </c>
      <c r="W253" s="63">
        <f t="shared" si="58"/>
        <v>1224513.6000000001</v>
      </c>
      <c r="X253" s="64">
        <f t="shared" si="60"/>
        <v>28.077189179442353</v>
      </c>
      <c r="Y253" s="63"/>
      <c r="Z253" s="14"/>
      <c r="AA253" s="14"/>
      <c r="AB253" s="14"/>
      <c r="AC253" s="14"/>
      <c r="AD253" s="14"/>
      <c r="AG253" s="55"/>
      <c r="AH253" s="16"/>
      <c r="AI253" s="16"/>
      <c r="AJ253" s="16"/>
      <c r="AK253" s="16"/>
      <c r="AL253" s="16"/>
      <c r="AM253" s="16"/>
      <c r="AN253" s="16"/>
      <c r="AO253" s="16"/>
    </row>
    <row r="254" spans="18:41" x14ac:dyDescent="0.3">
      <c r="R254" s="52">
        <v>44865</v>
      </c>
      <c r="S254" s="53">
        <v>9134</v>
      </c>
      <c r="T254" s="14" t="e">
        <f t="shared" si="57"/>
        <v>#N/A</v>
      </c>
      <c r="U254" s="62">
        <f t="shared" si="61"/>
        <v>9134</v>
      </c>
      <c r="V254" s="62">
        <f t="shared" si="59"/>
        <v>336767</v>
      </c>
      <c r="W254" s="63">
        <f t="shared" si="58"/>
        <v>1224513.6000000001</v>
      </c>
      <c r="X254" s="64">
        <f t="shared" si="60"/>
        <v>27.502103692437551</v>
      </c>
      <c r="Y254" s="63"/>
      <c r="Z254" s="14"/>
      <c r="AA254" s="14"/>
      <c r="AB254" s="14"/>
      <c r="AC254" s="14"/>
      <c r="AD254" s="14"/>
      <c r="AG254" s="55"/>
      <c r="AH254" s="16"/>
      <c r="AI254" s="16"/>
      <c r="AJ254" s="16"/>
      <c r="AK254" s="16"/>
      <c r="AL254" s="16"/>
      <c r="AM254" s="16"/>
      <c r="AN254" s="16"/>
      <c r="AO254" s="16"/>
    </row>
    <row r="255" spans="18:41" x14ac:dyDescent="0.3">
      <c r="R255" s="52">
        <v>44895</v>
      </c>
      <c r="S255" s="53">
        <v>19837</v>
      </c>
      <c r="T255" s="14" t="e">
        <f t="shared" si="57"/>
        <v>#N/A</v>
      </c>
      <c r="U255" s="62">
        <f t="shared" si="61"/>
        <v>19837</v>
      </c>
      <c r="V255" s="62">
        <f t="shared" si="59"/>
        <v>330621</v>
      </c>
      <c r="W255" s="63">
        <f t="shared" si="58"/>
        <v>1224513.6000000001</v>
      </c>
      <c r="X255" s="64">
        <f t="shared" si="60"/>
        <v>27.000190116304136</v>
      </c>
      <c r="Y255" s="14"/>
      <c r="Z255" s="14"/>
      <c r="AA255" s="14"/>
      <c r="AB255" s="14"/>
      <c r="AC255" s="14"/>
      <c r="AD255" s="14"/>
      <c r="AG255" s="55"/>
      <c r="AH255" s="16"/>
      <c r="AI255" s="16"/>
      <c r="AJ255" s="16"/>
      <c r="AK255" s="16"/>
      <c r="AL255" s="16"/>
      <c r="AM255" s="16"/>
      <c r="AN255" s="16"/>
      <c r="AO255" s="16"/>
    </row>
    <row r="256" spans="18:41" x14ac:dyDescent="0.3">
      <c r="R256" s="52">
        <v>44926</v>
      </c>
      <c r="S256" s="53">
        <v>13063</v>
      </c>
      <c r="T256" s="14" t="e">
        <f t="shared" si="57"/>
        <v>#N/A</v>
      </c>
      <c r="U256" s="62">
        <f t="shared" si="61"/>
        <v>13063</v>
      </c>
      <c r="V256" s="62">
        <f t="shared" si="59"/>
        <v>320104</v>
      </c>
      <c r="W256" s="63">
        <f t="shared" si="58"/>
        <v>1234029.3</v>
      </c>
      <c r="X256" s="64">
        <f t="shared" si="60"/>
        <v>25.93974065283539</v>
      </c>
      <c r="Y256" s="14"/>
      <c r="Z256" s="14"/>
      <c r="AA256" s="14"/>
      <c r="AB256" s="14"/>
      <c r="AC256" s="14"/>
      <c r="AD256" s="14"/>
      <c r="AG256" s="55"/>
      <c r="AH256" s="16"/>
      <c r="AI256" s="16"/>
      <c r="AJ256" s="16"/>
      <c r="AK256" s="16"/>
      <c r="AL256" s="16"/>
      <c r="AM256" s="16"/>
      <c r="AN256" s="16"/>
      <c r="AO256" s="16"/>
    </row>
    <row r="257" spans="18:41" x14ac:dyDescent="0.3">
      <c r="R257" s="52">
        <v>44957</v>
      </c>
      <c r="S257" s="53">
        <v>59956</v>
      </c>
      <c r="T257" s="14" t="e">
        <f t="shared" si="57"/>
        <v>#N/A</v>
      </c>
      <c r="U257" s="62">
        <f t="shared" si="61"/>
        <v>59956</v>
      </c>
      <c r="V257" s="62">
        <f t="shared" si="59"/>
        <v>318301</v>
      </c>
      <c r="W257" s="63">
        <f t="shared" si="58"/>
        <v>1234029.3</v>
      </c>
      <c r="X257" s="64">
        <f t="shared" si="60"/>
        <v>25.793633911285575</v>
      </c>
      <c r="Y257" s="14"/>
      <c r="Z257" s="14"/>
      <c r="AA257" s="14"/>
      <c r="AB257" s="14"/>
      <c r="AC257" s="14"/>
      <c r="AD257" s="14"/>
      <c r="AG257" s="55"/>
      <c r="AH257" s="16"/>
      <c r="AI257" s="16"/>
      <c r="AJ257" s="16"/>
      <c r="AK257" s="16"/>
      <c r="AL257" s="16"/>
      <c r="AM257" s="16"/>
      <c r="AN257" s="16"/>
      <c r="AO257" s="16"/>
    </row>
    <row r="258" spans="18:41" x14ac:dyDescent="0.3">
      <c r="R258" s="52">
        <v>44985</v>
      </c>
      <c r="S258" s="53">
        <v>31610</v>
      </c>
      <c r="T258" s="14" t="e">
        <f t="shared" si="57"/>
        <v>#N/A</v>
      </c>
      <c r="U258" s="62">
        <f t="shared" si="61"/>
        <v>31610</v>
      </c>
      <c r="V258" s="62">
        <f t="shared" si="59"/>
        <v>337741</v>
      </c>
      <c r="W258" s="63">
        <f t="shared" si="58"/>
        <v>1234029.3</v>
      </c>
      <c r="X258" s="64">
        <f t="shared" si="60"/>
        <v>27.368961174584751</v>
      </c>
      <c r="Y258" s="14"/>
      <c r="Z258" s="14"/>
      <c r="AA258" s="14"/>
      <c r="AB258" s="14"/>
      <c r="AC258" s="14"/>
      <c r="AD258" s="14"/>
      <c r="AG258" s="55"/>
      <c r="AH258" s="16"/>
      <c r="AI258" s="16"/>
      <c r="AJ258" s="16"/>
      <c r="AK258" s="16"/>
      <c r="AL258" s="16"/>
      <c r="AM258" s="16"/>
      <c r="AN258" s="16"/>
      <c r="AO258" s="16"/>
    </row>
    <row r="259" spans="18:41" x14ac:dyDescent="0.3">
      <c r="R259" s="52">
        <v>45016</v>
      </c>
      <c r="S259" s="53">
        <v>53867</v>
      </c>
      <c r="T259" s="14" t="e">
        <f t="shared" si="57"/>
        <v>#N/A</v>
      </c>
      <c r="U259" s="62">
        <f t="shared" si="61"/>
        <v>53867</v>
      </c>
      <c r="V259" s="62">
        <f t="shared" si="59"/>
        <v>345043</v>
      </c>
      <c r="W259" s="63">
        <f t="shared" si="58"/>
        <v>1249222.3</v>
      </c>
      <c r="X259" s="64">
        <f t="shared" si="60"/>
        <v>27.620624447706383</v>
      </c>
      <c r="Y259" s="14"/>
      <c r="Z259" s="14"/>
      <c r="AA259" s="14"/>
      <c r="AB259" s="14"/>
      <c r="AC259" s="14"/>
      <c r="AD259" s="14"/>
      <c r="AG259" s="55"/>
      <c r="AH259" s="16"/>
      <c r="AI259" s="16"/>
      <c r="AJ259" s="16"/>
      <c r="AK259" s="16"/>
      <c r="AL259" s="16"/>
      <c r="AM259" s="16"/>
      <c r="AN259" s="16"/>
      <c r="AO259" s="16"/>
    </row>
    <row r="260" spans="18:41" x14ac:dyDescent="0.3">
      <c r="R260" s="52">
        <v>45046</v>
      </c>
      <c r="S260" s="53">
        <v>12249</v>
      </c>
      <c r="T260" s="14" t="e">
        <f t="shared" si="57"/>
        <v>#N/A</v>
      </c>
      <c r="U260" s="62">
        <f t="shared" ref="U260:U288" si="62">IF(ISBLANK(S260),#N/A,S260)</f>
        <v>12249</v>
      </c>
      <c r="V260" s="62">
        <f t="shared" si="59"/>
        <v>347965</v>
      </c>
      <c r="W260" s="63">
        <f t="shared" si="58"/>
        <v>1249222.3</v>
      </c>
      <c r="X260" s="64">
        <f t="shared" si="60"/>
        <v>27.854529974368852</v>
      </c>
      <c r="Y260" s="14"/>
      <c r="Z260" s="14"/>
      <c r="AA260" s="14"/>
      <c r="AB260" s="14"/>
      <c r="AC260" s="14"/>
      <c r="AD260" s="14"/>
      <c r="AG260" s="55"/>
      <c r="AH260" s="16"/>
      <c r="AI260" s="16"/>
      <c r="AJ260" s="16"/>
      <c r="AK260" s="16"/>
      <c r="AL260" s="16"/>
      <c r="AM260" s="16"/>
      <c r="AN260" s="16"/>
      <c r="AO260" s="16"/>
    </row>
    <row r="261" spans="18:41" x14ac:dyDescent="0.3">
      <c r="R261" s="52">
        <v>45077</v>
      </c>
      <c r="S261" s="53">
        <v>15560</v>
      </c>
      <c r="T261" s="14" t="e">
        <f t="shared" ref="T261:T288" si="63">VLOOKUP(R261,Z:AA,2,0)</f>
        <v>#N/A</v>
      </c>
      <c r="U261" s="62">
        <f t="shared" si="62"/>
        <v>15560</v>
      </c>
      <c r="V261" s="62">
        <f t="shared" si="59"/>
        <v>335110</v>
      </c>
      <c r="W261" s="63">
        <f t="shared" ref="W261:W288" si="64">VLOOKUP(R261,AC:AD,2,1)</f>
        <v>1249222.3</v>
      </c>
      <c r="X261" s="64">
        <f t="shared" si="60"/>
        <v>26.825489746700811</v>
      </c>
      <c r="Y261" s="14"/>
      <c r="Z261" s="14"/>
      <c r="AA261" s="14"/>
      <c r="AB261" s="14"/>
      <c r="AC261" s="14"/>
      <c r="AD261" s="14"/>
      <c r="AG261" s="55"/>
      <c r="AH261" s="16"/>
      <c r="AI261" s="16"/>
      <c r="AJ261" s="16"/>
      <c r="AK261" s="16"/>
      <c r="AL261" s="16"/>
      <c r="AM261" s="16"/>
      <c r="AN261" s="16"/>
      <c r="AO261" s="16"/>
    </row>
    <row r="262" spans="18:41" x14ac:dyDescent="0.3">
      <c r="R262" s="52">
        <v>45107</v>
      </c>
      <c r="S262" s="53">
        <v>42265</v>
      </c>
      <c r="T262" s="14" t="e">
        <f t="shared" si="63"/>
        <v>#N/A</v>
      </c>
      <c r="U262" s="62">
        <f t="shared" si="62"/>
        <v>42265</v>
      </c>
      <c r="V262" s="62">
        <f t="shared" si="59"/>
        <v>325449</v>
      </c>
      <c r="W262" s="63">
        <f t="shared" si="64"/>
        <v>1266348.3</v>
      </c>
      <c r="X262" s="64">
        <f t="shared" si="60"/>
        <v>25.699801547488949</v>
      </c>
      <c r="Y262" s="14"/>
      <c r="Z262" s="14"/>
      <c r="AA262" s="14"/>
      <c r="AB262" s="14"/>
      <c r="AC262" s="14"/>
      <c r="AD262" s="14"/>
      <c r="AG262" s="55"/>
      <c r="AH262" s="16"/>
      <c r="AI262" s="16"/>
      <c r="AJ262" s="16"/>
      <c r="AK262" s="16"/>
      <c r="AL262" s="16"/>
      <c r="AM262" s="16"/>
      <c r="AN262" s="16"/>
      <c r="AO262" s="16"/>
    </row>
    <row r="263" spans="18:41" x14ac:dyDescent="0.3">
      <c r="R263" s="52">
        <v>45138</v>
      </c>
      <c r="S263" s="53">
        <v>5366</v>
      </c>
      <c r="T263" s="14" t="e">
        <f t="shared" si="63"/>
        <v>#N/A</v>
      </c>
      <c r="U263" s="62">
        <f t="shared" si="62"/>
        <v>5366</v>
      </c>
      <c r="V263" s="62">
        <f t="shared" si="59"/>
        <v>323030</v>
      </c>
      <c r="W263" s="63">
        <f t="shared" si="64"/>
        <v>1266348.3</v>
      </c>
      <c r="X263" s="64">
        <f t="shared" si="60"/>
        <v>25.508779851483197</v>
      </c>
      <c r="Y263" s="14"/>
      <c r="Z263" s="14"/>
      <c r="AA263" s="14"/>
      <c r="AB263" s="14"/>
      <c r="AC263" s="14"/>
      <c r="AD263" s="14"/>
      <c r="AG263" s="55"/>
      <c r="AH263" s="16"/>
      <c r="AI263" s="16"/>
      <c r="AJ263" s="16"/>
      <c r="AK263" s="16"/>
      <c r="AL263" s="16"/>
      <c r="AM263" s="16"/>
      <c r="AN263" s="16"/>
      <c r="AO263" s="16"/>
    </row>
    <row r="264" spans="18:41" x14ac:dyDescent="0.3">
      <c r="R264" s="52">
        <v>45169</v>
      </c>
      <c r="S264" s="53">
        <v>31279</v>
      </c>
      <c r="T264" s="14" t="e">
        <f t="shared" si="63"/>
        <v>#N/A</v>
      </c>
      <c r="U264" s="62">
        <f t="shared" si="62"/>
        <v>31279</v>
      </c>
      <c r="V264" s="62">
        <f t="shared" si="59"/>
        <v>329597</v>
      </c>
      <c r="W264" s="63">
        <f t="shared" si="64"/>
        <v>1266348.3</v>
      </c>
      <c r="X264" s="64">
        <f t="shared" si="60"/>
        <v>26.027357560317334</v>
      </c>
      <c r="Y264" s="14"/>
      <c r="Z264" s="14"/>
      <c r="AA264" s="14"/>
      <c r="AB264" s="14"/>
      <c r="AC264" s="14"/>
      <c r="AD264" s="14"/>
      <c r="AG264" s="55"/>
      <c r="AH264" s="16"/>
      <c r="AI264" s="16"/>
      <c r="AJ264" s="16"/>
      <c r="AK264" s="16"/>
      <c r="AL264" s="16"/>
      <c r="AM264" s="16"/>
      <c r="AN264" s="16"/>
      <c r="AO264" s="16"/>
    </row>
    <row r="265" spans="18:41" x14ac:dyDescent="0.3">
      <c r="R265" s="52">
        <v>45199</v>
      </c>
      <c r="S265" s="53">
        <v>41326</v>
      </c>
      <c r="T265" s="14" t="e">
        <f t="shared" si="63"/>
        <v>#N/A</v>
      </c>
      <c r="U265" s="62">
        <f t="shared" si="62"/>
        <v>41326</v>
      </c>
      <c r="V265" s="62">
        <f t="shared" si="59"/>
        <v>335512</v>
      </c>
      <c r="W265" s="63">
        <f t="shared" si="64"/>
        <v>1279389.3999999999</v>
      </c>
      <c r="X265" s="64">
        <f t="shared" si="60"/>
        <v>26.224384851085997</v>
      </c>
      <c r="Y265" s="14"/>
      <c r="Z265" s="14"/>
      <c r="AA265" s="14"/>
      <c r="AB265" s="14"/>
      <c r="AC265" s="14"/>
      <c r="AD265" s="14"/>
      <c r="AG265" s="55"/>
      <c r="AH265" s="16"/>
      <c r="AI265" s="16"/>
      <c r="AJ265" s="16"/>
      <c r="AK265" s="16"/>
      <c r="AL265" s="16"/>
      <c r="AM265" s="16"/>
      <c r="AN265" s="16"/>
      <c r="AO265" s="16"/>
    </row>
    <row r="266" spans="18:41" x14ac:dyDescent="0.3">
      <c r="R266" s="52">
        <v>45230</v>
      </c>
      <c r="S266" s="53">
        <v>18441</v>
      </c>
      <c r="T266" s="14" t="e">
        <f t="shared" si="63"/>
        <v>#N/A</v>
      </c>
      <c r="U266" s="62">
        <f t="shared" si="62"/>
        <v>18441</v>
      </c>
      <c r="V266" s="62">
        <f t="shared" si="59"/>
        <v>344819</v>
      </c>
      <c r="W266" s="63">
        <f t="shared" si="64"/>
        <v>1279389.3999999999</v>
      </c>
      <c r="X266" s="64">
        <f t="shared" si="60"/>
        <v>26.951841245519155</v>
      </c>
      <c r="Y266" s="14"/>
      <c r="Z266" s="14"/>
      <c r="AA266" s="14"/>
      <c r="AB266" s="14"/>
      <c r="AC266" s="14"/>
      <c r="AD266" s="14"/>
      <c r="AG266" s="55"/>
      <c r="AH266" s="16"/>
      <c r="AI266" s="16"/>
      <c r="AJ266" s="16"/>
      <c r="AK266" s="16"/>
      <c r="AL266" s="16"/>
      <c r="AM266" s="16"/>
      <c r="AN266" s="16"/>
      <c r="AO266" s="16"/>
    </row>
    <row r="267" spans="18:41" x14ac:dyDescent="0.3">
      <c r="R267" s="52">
        <v>45260</v>
      </c>
      <c r="S267" s="53">
        <v>24554</v>
      </c>
      <c r="T267" s="14" t="e">
        <f t="shared" si="63"/>
        <v>#N/A</v>
      </c>
      <c r="U267" s="62">
        <f t="shared" si="62"/>
        <v>24554</v>
      </c>
      <c r="V267" s="62">
        <f t="shared" si="59"/>
        <v>349536</v>
      </c>
      <c r="W267" s="63">
        <f t="shared" si="64"/>
        <v>1279389.3999999999</v>
      </c>
      <c r="X267" s="64">
        <f t="shared" si="60"/>
        <v>27.320532747887395</v>
      </c>
      <c r="Y267" s="14"/>
      <c r="Z267" s="14"/>
      <c r="AA267" s="14"/>
      <c r="AB267" s="14"/>
      <c r="AC267" s="14"/>
      <c r="AD267" s="14"/>
      <c r="AG267" s="55"/>
      <c r="AH267" s="16"/>
      <c r="AI267" s="16"/>
      <c r="AJ267" s="16"/>
      <c r="AK267" s="16"/>
      <c r="AL267" s="16"/>
      <c r="AM267" s="16"/>
      <c r="AN267" s="16"/>
      <c r="AO267" s="16"/>
    </row>
    <row r="268" spans="18:41" x14ac:dyDescent="0.3">
      <c r="R268" s="52">
        <v>45291</v>
      </c>
      <c r="S268" s="53">
        <v>19326</v>
      </c>
      <c r="T268" s="14" t="e">
        <f t="shared" si="63"/>
        <v>#N/A</v>
      </c>
      <c r="U268" s="62">
        <f t="shared" si="62"/>
        <v>19326</v>
      </c>
      <c r="V268" s="62">
        <f t="shared" si="59"/>
        <v>355799</v>
      </c>
      <c r="W268" s="63">
        <f t="shared" si="64"/>
        <v>1294271.8</v>
      </c>
      <c r="X268" s="64">
        <f t="shared" si="60"/>
        <v>27.490284498202001</v>
      </c>
      <c r="Y268" s="14"/>
      <c r="Z268" s="14"/>
      <c r="AA268" s="14"/>
      <c r="AB268" s="14"/>
      <c r="AC268" s="14"/>
      <c r="AD268" s="14"/>
      <c r="AG268" s="55"/>
      <c r="AH268" s="16"/>
      <c r="AI268" s="16"/>
      <c r="AJ268" s="16"/>
      <c r="AK268" s="16"/>
      <c r="AL268" s="16"/>
      <c r="AM268" s="16"/>
      <c r="AN268" s="16"/>
      <c r="AO268" s="16"/>
    </row>
    <row r="269" spans="18:41" x14ac:dyDescent="0.3">
      <c r="R269" s="52">
        <v>45322</v>
      </c>
      <c r="S269" s="53">
        <v>64734</v>
      </c>
      <c r="T269" s="14" t="e">
        <f t="shared" si="63"/>
        <v>#N/A</v>
      </c>
      <c r="U269" s="62">
        <f t="shared" si="62"/>
        <v>64734</v>
      </c>
      <c r="V269" s="62">
        <f t="shared" si="59"/>
        <v>360577</v>
      </c>
      <c r="W269" s="63">
        <f t="shared" si="64"/>
        <v>1294271.8</v>
      </c>
      <c r="X269" s="64">
        <f t="shared" si="60"/>
        <v>27.859449614833608</v>
      </c>
      <c r="Y269" s="14"/>
      <c r="Z269" s="14"/>
      <c r="AA269" s="14"/>
      <c r="AB269" s="14"/>
      <c r="AC269" s="14"/>
      <c r="AD269" s="14"/>
      <c r="AG269" s="55"/>
      <c r="AH269" s="16"/>
      <c r="AI269" s="16"/>
      <c r="AJ269" s="16"/>
      <c r="AK269" s="16"/>
      <c r="AL269" s="16"/>
      <c r="AM269" s="16"/>
      <c r="AN269" s="16"/>
      <c r="AO269" s="16"/>
    </row>
    <row r="270" spans="18:41" x14ac:dyDescent="0.3">
      <c r="R270" s="52">
        <v>45351</v>
      </c>
      <c r="S270" s="53">
        <v>14959</v>
      </c>
      <c r="T270" s="14" t="e">
        <f t="shared" si="63"/>
        <v>#N/A</v>
      </c>
      <c r="U270" s="62">
        <f t="shared" si="62"/>
        <v>14959</v>
      </c>
      <c r="V270" s="62">
        <f t="shared" si="59"/>
        <v>343926</v>
      </c>
      <c r="W270" s="63">
        <f t="shared" si="64"/>
        <v>1294271.8</v>
      </c>
      <c r="X270" s="64">
        <f t="shared" si="60"/>
        <v>26.572934680335301</v>
      </c>
      <c r="Y270" s="14"/>
      <c r="Z270" s="14"/>
      <c r="AA270" s="14"/>
      <c r="AB270" s="14"/>
      <c r="AC270" s="14"/>
      <c r="AD270" s="14"/>
      <c r="AG270" s="55"/>
      <c r="AH270" s="16"/>
      <c r="AI270" s="16"/>
      <c r="AJ270" s="16"/>
      <c r="AK270" s="16"/>
      <c r="AL270" s="16"/>
      <c r="AM270" s="16"/>
      <c r="AN270" s="16"/>
      <c r="AO270" s="16"/>
    </row>
    <row r="271" spans="18:41" x14ac:dyDescent="0.3">
      <c r="R271" s="52">
        <v>45382</v>
      </c>
      <c r="S271" s="53">
        <v>48335</v>
      </c>
      <c r="T271" s="14" t="e">
        <f t="shared" si="63"/>
        <v>#N/A</v>
      </c>
      <c r="U271" s="62">
        <f t="shared" si="62"/>
        <v>48335</v>
      </c>
      <c r="V271" s="62">
        <f t="shared" si="59"/>
        <v>338394</v>
      </c>
      <c r="W271" s="63">
        <f t="shared" si="64"/>
        <v>1306428.2</v>
      </c>
      <c r="X271" s="64">
        <f t="shared" si="60"/>
        <v>25.902227156456053</v>
      </c>
      <c r="Y271" s="14"/>
      <c r="Z271" s="14"/>
      <c r="AA271" s="14"/>
      <c r="AB271" s="14"/>
      <c r="AC271" s="14"/>
      <c r="AD271" s="14"/>
      <c r="AG271" s="55"/>
      <c r="AH271" s="16"/>
      <c r="AI271" s="16"/>
      <c r="AJ271" s="16"/>
      <c r="AK271" s="16"/>
      <c r="AL271" s="16"/>
      <c r="AM271" s="16"/>
      <c r="AN271" s="16"/>
      <c r="AO271" s="16"/>
    </row>
    <row r="272" spans="18:41" x14ac:dyDescent="0.3">
      <c r="R272" s="52">
        <v>45412</v>
      </c>
      <c r="S272" s="53">
        <v>-658</v>
      </c>
      <c r="T272" s="14" t="e">
        <f t="shared" si="63"/>
        <v>#N/A</v>
      </c>
      <c r="U272" s="62">
        <f t="shared" si="62"/>
        <v>-658</v>
      </c>
      <c r="V272" s="62">
        <f t="shared" ref="V272:V288" si="65">SUM(U261:U272)</f>
        <v>325487</v>
      </c>
      <c r="W272" s="63">
        <f t="shared" si="64"/>
        <v>1306428.2</v>
      </c>
      <c r="X272" s="64">
        <f t="shared" ref="X272:X280" si="66">V272/W272*100</f>
        <v>24.914266241344148</v>
      </c>
      <c r="Y272" s="14"/>
      <c r="Z272" s="14"/>
      <c r="AA272" s="14"/>
      <c r="AB272" s="14"/>
      <c r="AC272" s="14"/>
      <c r="AD272" s="14"/>
      <c r="AG272" s="55"/>
      <c r="AH272" s="16"/>
      <c r="AI272" s="16"/>
      <c r="AJ272" s="16"/>
      <c r="AK272" s="16"/>
      <c r="AL272" s="16"/>
      <c r="AM272" s="16"/>
      <c r="AN272" s="16"/>
      <c r="AO272" s="16"/>
    </row>
    <row r="273" spans="18:46" x14ac:dyDescent="0.3">
      <c r="R273" s="52">
        <v>45443</v>
      </c>
      <c r="S273" s="53">
        <v>20623</v>
      </c>
      <c r="T273" s="14" t="e">
        <f t="shared" si="63"/>
        <v>#N/A</v>
      </c>
      <c r="U273" s="62">
        <f t="shared" si="62"/>
        <v>20623</v>
      </c>
      <c r="V273" s="62">
        <f t="shared" si="65"/>
        <v>330550</v>
      </c>
      <c r="W273" s="63">
        <f t="shared" si="64"/>
        <v>1306428.2</v>
      </c>
      <c r="X273" s="64">
        <f t="shared" si="66"/>
        <v>25.301811458142133</v>
      </c>
      <c r="Y273" s="14"/>
      <c r="Z273" s="14"/>
      <c r="AA273" s="14"/>
      <c r="AB273" s="14"/>
      <c r="AC273" s="14"/>
      <c r="AD273" s="14"/>
      <c r="AG273" s="55"/>
      <c r="AH273" s="16"/>
      <c r="AI273" s="16"/>
      <c r="AJ273" s="16"/>
      <c r="AK273" s="16"/>
      <c r="AL273" s="16"/>
      <c r="AM273" s="16"/>
      <c r="AN273" s="16"/>
      <c r="AO273" s="16"/>
      <c r="AT273" s="80"/>
    </row>
    <row r="274" spans="18:46" x14ac:dyDescent="0.3">
      <c r="R274" s="52">
        <v>45473</v>
      </c>
      <c r="S274" s="53">
        <v>32985</v>
      </c>
      <c r="T274" s="14" t="e">
        <f t="shared" si="63"/>
        <v>#N/A</v>
      </c>
      <c r="U274" s="62">
        <f t="shared" si="62"/>
        <v>32985</v>
      </c>
      <c r="V274" s="62">
        <f t="shared" si="65"/>
        <v>321270</v>
      </c>
      <c r="W274" s="63">
        <f t="shared" si="64"/>
        <v>1318776.1000000001</v>
      </c>
      <c r="X274" s="64">
        <f t="shared" si="66"/>
        <v>24.361224016722776</v>
      </c>
      <c r="Y274" s="14"/>
      <c r="Z274" s="14"/>
      <c r="AA274" s="14"/>
      <c r="AB274" s="14"/>
      <c r="AC274" s="14"/>
      <c r="AD274" s="14"/>
      <c r="AG274" s="55"/>
      <c r="AH274" s="16"/>
      <c r="AI274" s="16"/>
      <c r="AJ274" s="16"/>
      <c r="AK274" s="16"/>
      <c r="AL274" s="16"/>
      <c r="AM274" s="16"/>
      <c r="AN274" s="16"/>
      <c r="AO274" s="16"/>
      <c r="AT274" s="80"/>
    </row>
    <row r="275" spans="18:46" x14ac:dyDescent="0.3">
      <c r="R275" s="52">
        <v>45504</v>
      </c>
      <c r="S275" s="53">
        <v>7707</v>
      </c>
      <c r="T275" s="14" t="e">
        <f t="shared" si="63"/>
        <v>#N/A</v>
      </c>
      <c r="U275" s="62">
        <f t="shared" si="62"/>
        <v>7707</v>
      </c>
      <c r="V275" s="62">
        <f t="shared" si="65"/>
        <v>323611</v>
      </c>
      <c r="W275" s="63">
        <f t="shared" si="64"/>
        <v>1318776.1000000001</v>
      </c>
      <c r="X275" s="64">
        <f t="shared" si="66"/>
        <v>24.538737091155959</v>
      </c>
      <c r="Y275" s="14"/>
      <c r="Z275" s="14"/>
      <c r="AA275" s="14"/>
      <c r="AB275" s="14"/>
      <c r="AC275" s="14"/>
      <c r="AD275" s="14"/>
      <c r="AG275" s="55"/>
      <c r="AH275" s="16"/>
      <c r="AI275" s="16"/>
      <c r="AJ275" s="16"/>
      <c r="AK275" s="16"/>
      <c r="AL275" s="16"/>
      <c r="AM275" s="16"/>
      <c r="AN275" s="16"/>
      <c r="AO275" s="16"/>
      <c r="AT275" s="80"/>
    </row>
    <row r="276" spans="18:46" x14ac:dyDescent="0.3">
      <c r="R276" s="52">
        <v>45535</v>
      </c>
      <c r="S276" s="53">
        <v>30323</v>
      </c>
      <c r="T276" s="14" t="e">
        <f t="shared" si="63"/>
        <v>#N/A</v>
      </c>
      <c r="U276" s="62">
        <f t="shared" si="62"/>
        <v>30323</v>
      </c>
      <c r="V276" s="62">
        <f t="shared" si="65"/>
        <v>322655</v>
      </c>
      <c r="W276" s="63">
        <f t="shared" si="64"/>
        <v>1318776.1000000001</v>
      </c>
      <c r="X276" s="64">
        <f t="shared" si="66"/>
        <v>24.466245634873122</v>
      </c>
      <c r="Y276" s="14"/>
      <c r="Z276" s="14"/>
      <c r="AA276" s="14"/>
      <c r="AB276" s="14"/>
      <c r="AC276" s="14"/>
      <c r="AD276" s="14"/>
      <c r="AG276" s="55"/>
      <c r="AH276" s="16"/>
      <c r="AI276" s="16"/>
      <c r="AJ276" s="16"/>
      <c r="AK276" s="16"/>
      <c r="AL276" s="16"/>
      <c r="AM276" s="16"/>
      <c r="AN276" s="16"/>
      <c r="AO276" s="16"/>
      <c r="AT276" s="80"/>
    </row>
    <row r="277" spans="18:46" x14ac:dyDescent="0.3">
      <c r="R277" s="52">
        <v>45565</v>
      </c>
      <c r="S277" s="53">
        <v>37635</v>
      </c>
      <c r="T277" s="14" t="e">
        <f t="shared" si="63"/>
        <v>#N/A</v>
      </c>
      <c r="U277" s="62">
        <f t="shared" si="62"/>
        <v>37635</v>
      </c>
      <c r="V277" s="62">
        <f t="shared" si="65"/>
        <v>318964</v>
      </c>
      <c r="W277" s="63">
        <f t="shared" si="64"/>
        <v>1331778.6000000001</v>
      </c>
      <c r="X277" s="64">
        <f t="shared" si="66"/>
        <v>23.950227162382696</v>
      </c>
      <c r="Y277" s="14"/>
      <c r="Z277" s="14"/>
      <c r="AA277" s="14"/>
      <c r="AB277" s="14"/>
      <c r="AC277" s="14"/>
      <c r="AD277" s="14"/>
      <c r="AG277" s="55"/>
      <c r="AH277" s="16"/>
      <c r="AI277" s="16"/>
      <c r="AJ277" s="16"/>
      <c r="AK277" s="16"/>
      <c r="AL277" s="16"/>
      <c r="AM277" s="16"/>
      <c r="AN277" s="16"/>
      <c r="AO277" s="16"/>
      <c r="AT277" s="80"/>
    </row>
    <row r="278" spans="18:46" x14ac:dyDescent="0.3">
      <c r="R278" s="52">
        <v>45596</v>
      </c>
      <c r="S278" s="53">
        <v>14120</v>
      </c>
      <c r="T278" s="14" t="e">
        <f t="shared" si="63"/>
        <v>#N/A</v>
      </c>
      <c r="U278" s="62">
        <f t="shared" si="62"/>
        <v>14120</v>
      </c>
      <c r="V278" s="62">
        <f t="shared" si="65"/>
        <v>314643</v>
      </c>
      <c r="W278" s="63">
        <f t="shared" si="64"/>
        <v>1331778.6000000001</v>
      </c>
      <c r="X278" s="64">
        <f t="shared" si="66"/>
        <v>23.625773833578641</v>
      </c>
      <c r="Y278" s="14"/>
      <c r="Z278" s="14"/>
      <c r="AA278" s="14"/>
      <c r="AB278" s="14"/>
      <c r="AC278" s="14"/>
      <c r="AD278" s="14"/>
      <c r="AG278" s="55"/>
      <c r="AH278" s="16"/>
      <c r="AI278" s="16"/>
      <c r="AJ278" s="16"/>
      <c r="AK278" s="16"/>
      <c r="AL278" s="16"/>
      <c r="AM278" s="16"/>
      <c r="AN278" s="16"/>
      <c r="AO278" s="16"/>
      <c r="AT278" s="80"/>
    </row>
    <row r="279" spans="18:46" x14ac:dyDescent="0.3">
      <c r="R279" s="52">
        <v>45626</v>
      </c>
      <c r="S279" s="53">
        <v>23288</v>
      </c>
      <c r="T279" s="14" t="e">
        <f t="shared" si="63"/>
        <v>#N/A</v>
      </c>
      <c r="U279" s="62">
        <f t="shared" si="62"/>
        <v>23288</v>
      </c>
      <c r="V279" s="62">
        <f t="shared" si="65"/>
        <v>313377</v>
      </c>
      <c r="W279" s="63">
        <f t="shared" si="64"/>
        <v>1331778.6000000001</v>
      </c>
      <c r="X279" s="64">
        <f t="shared" si="66"/>
        <v>23.530712987879514</v>
      </c>
      <c r="Y279" s="14"/>
      <c r="Z279" s="14"/>
      <c r="AA279" s="14"/>
      <c r="AB279" s="14"/>
      <c r="AC279" s="14"/>
      <c r="AD279" s="14"/>
      <c r="AG279" s="55"/>
      <c r="AH279" s="16"/>
      <c r="AI279" s="16"/>
      <c r="AJ279" s="16"/>
      <c r="AK279" s="16"/>
      <c r="AL279" s="16"/>
      <c r="AM279" s="16"/>
      <c r="AN279" s="16"/>
      <c r="AO279" s="16"/>
      <c r="AT279" s="80"/>
    </row>
    <row r="280" spans="18:46" x14ac:dyDescent="0.3">
      <c r="R280" s="52">
        <v>45657</v>
      </c>
      <c r="S280" s="53">
        <v>28537</v>
      </c>
      <c r="T280" s="14" t="e">
        <f t="shared" si="63"/>
        <v>#N/A</v>
      </c>
      <c r="U280" s="62">
        <f t="shared" si="62"/>
        <v>28537</v>
      </c>
      <c r="V280" s="62">
        <f t="shared" si="65"/>
        <v>322588</v>
      </c>
      <c r="W280" s="63">
        <f t="shared" si="64"/>
        <v>1348066.2</v>
      </c>
      <c r="X280" s="64">
        <f t="shared" si="66"/>
        <v>23.929685352247539</v>
      </c>
      <c r="Y280" s="14"/>
      <c r="Z280" s="14"/>
      <c r="AA280" s="14"/>
      <c r="AB280" s="14"/>
      <c r="AC280" s="14"/>
      <c r="AD280" s="14"/>
      <c r="AG280" s="55"/>
      <c r="AH280" s="16"/>
      <c r="AI280" s="16"/>
      <c r="AJ280" s="16"/>
      <c r="AK280" s="16"/>
      <c r="AL280" s="16"/>
      <c r="AM280" s="16"/>
      <c r="AN280" s="16"/>
      <c r="AO280" s="16"/>
      <c r="AT280" s="80"/>
    </row>
    <row r="281" spans="18:46" x14ac:dyDescent="0.3">
      <c r="R281" s="52">
        <v>45688</v>
      </c>
      <c r="S281" s="53">
        <v>70546</v>
      </c>
      <c r="T281" s="14" t="e">
        <f t="shared" si="63"/>
        <v>#N/A</v>
      </c>
      <c r="U281" s="62">
        <f t="shared" si="62"/>
        <v>70546</v>
      </c>
      <c r="V281" s="62">
        <f t="shared" si="65"/>
        <v>328400</v>
      </c>
      <c r="W281" s="63">
        <f t="shared" si="64"/>
        <v>1348066.2</v>
      </c>
      <c r="X281" s="64">
        <v>23.984725631532399</v>
      </c>
      <c r="Y281" s="14"/>
      <c r="Z281" s="14"/>
      <c r="AA281" s="14"/>
      <c r="AB281" s="14"/>
      <c r="AC281" s="14"/>
      <c r="AD281" s="14"/>
      <c r="AG281" s="55"/>
      <c r="AH281" s="16"/>
      <c r="AI281" s="16"/>
      <c r="AJ281" s="16"/>
      <c r="AK281" s="16"/>
      <c r="AL281" s="16"/>
      <c r="AM281" s="16"/>
      <c r="AN281" s="16"/>
      <c r="AO281" s="16"/>
      <c r="AT281" s="80"/>
    </row>
    <row r="282" spans="18:46" x14ac:dyDescent="0.3">
      <c r="R282" s="52">
        <v>45716</v>
      </c>
      <c r="S282" s="53">
        <v>22331</v>
      </c>
      <c r="T282" s="14" t="e">
        <f t="shared" si="63"/>
        <v>#N/A</v>
      </c>
      <c r="U282" s="62">
        <f t="shared" si="62"/>
        <v>22331</v>
      </c>
      <c r="V282" s="62">
        <f t="shared" si="65"/>
        <v>335772</v>
      </c>
      <c r="W282" s="63">
        <f t="shared" si="64"/>
        <v>1348066.2</v>
      </c>
      <c r="X282" s="136">
        <v>24.002128665336901</v>
      </c>
      <c r="Y282" s="14"/>
      <c r="Z282" s="14"/>
      <c r="AA282" s="14"/>
      <c r="AB282" s="14"/>
      <c r="AC282" s="14"/>
      <c r="AD282" s="14"/>
      <c r="AG282" s="55"/>
      <c r="AH282" s="16"/>
      <c r="AI282" s="16"/>
      <c r="AJ282" s="16"/>
      <c r="AK282" s="16"/>
      <c r="AL282" s="16"/>
      <c r="AM282" s="16"/>
      <c r="AN282" s="16"/>
      <c r="AO282" s="16"/>
      <c r="AT282" s="80"/>
    </row>
    <row r="283" spans="18:46" x14ac:dyDescent="0.3">
      <c r="R283" s="52">
        <v>45747</v>
      </c>
      <c r="S283" s="53">
        <v>58961</v>
      </c>
      <c r="T283" s="14" t="e">
        <f t="shared" si="63"/>
        <v>#N/A</v>
      </c>
      <c r="U283" s="62">
        <f t="shared" si="62"/>
        <v>58961</v>
      </c>
      <c r="V283" s="62">
        <f t="shared" si="65"/>
        <v>346398</v>
      </c>
      <c r="W283" s="63">
        <f t="shared" si="64"/>
        <v>1362007.4</v>
      </c>
      <c r="X283" s="136">
        <v>23.7896532454081</v>
      </c>
      <c r="Y283" s="14"/>
      <c r="Z283" s="14"/>
      <c r="AA283" s="14"/>
      <c r="AB283" s="14"/>
      <c r="AC283" s="14"/>
      <c r="AD283" s="14"/>
      <c r="AG283" s="55"/>
      <c r="AH283" s="16"/>
      <c r="AI283" s="16"/>
      <c r="AJ283" s="16"/>
      <c r="AK283" s="16"/>
      <c r="AL283" s="16"/>
      <c r="AM283" s="16"/>
      <c r="AN283" s="16"/>
      <c r="AO283" s="16"/>
      <c r="AT283" s="81"/>
    </row>
    <row r="284" spans="18:46" x14ac:dyDescent="0.3">
      <c r="R284" s="52">
        <v>45777</v>
      </c>
      <c r="S284" s="53">
        <v>11599</v>
      </c>
      <c r="T284" s="14" t="e">
        <f t="shared" si="63"/>
        <v>#N/A</v>
      </c>
      <c r="U284" s="62">
        <f t="shared" si="62"/>
        <v>11599</v>
      </c>
      <c r="V284" s="62">
        <f t="shared" si="65"/>
        <v>358655</v>
      </c>
      <c r="W284" s="63">
        <f t="shared" si="64"/>
        <v>1362007.4</v>
      </c>
      <c r="X284" s="136">
        <v>23.788896289863501</v>
      </c>
      <c r="Y284" s="14"/>
      <c r="Z284" s="14"/>
      <c r="AA284" s="14"/>
      <c r="AB284" s="14"/>
      <c r="AC284" s="14"/>
      <c r="AD284" s="14"/>
      <c r="AG284" s="55"/>
      <c r="AH284" s="16"/>
      <c r="AI284" s="16"/>
      <c r="AJ284" s="16"/>
      <c r="AK284" s="16"/>
      <c r="AL284" s="16"/>
      <c r="AM284" s="16"/>
      <c r="AN284" s="16"/>
      <c r="AO284" s="16"/>
      <c r="AT284" s="80"/>
    </row>
    <row r="285" spans="18:46" x14ac:dyDescent="0.3">
      <c r="R285" s="52">
        <v>45808</v>
      </c>
      <c r="S285" s="53">
        <v>22900</v>
      </c>
      <c r="T285" s="14" t="e">
        <f t="shared" si="63"/>
        <v>#N/A</v>
      </c>
      <c r="U285" s="62">
        <f t="shared" si="62"/>
        <v>22900</v>
      </c>
      <c r="V285" s="62">
        <f t="shared" si="65"/>
        <v>360932</v>
      </c>
      <c r="W285" s="63">
        <f t="shared" si="64"/>
        <v>1362007.4</v>
      </c>
      <c r="X285" s="136">
        <v>23.8126207491283</v>
      </c>
      <c r="Y285" s="14"/>
      <c r="Z285" s="14"/>
      <c r="AA285" s="14"/>
      <c r="AB285" s="14"/>
      <c r="AC285" s="14"/>
      <c r="AD285" s="14"/>
      <c r="AG285" s="55"/>
      <c r="AH285" s="16"/>
      <c r="AI285" s="16"/>
      <c r="AJ285" s="16"/>
      <c r="AK285" s="16"/>
      <c r="AL285" s="16"/>
      <c r="AM285" s="16"/>
      <c r="AN285" s="16"/>
      <c r="AO285" s="16"/>
      <c r="AT285" s="82"/>
    </row>
    <row r="286" spans="18:46" x14ac:dyDescent="0.3">
      <c r="R286" s="52">
        <v>45838</v>
      </c>
      <c r="S286" s="53">
        <v>42251</v>
      </c>
      <c r="T286" s="14" t="e">
        <f t="shared" si="63"/>
        <v>#N/A</v>
      </c>
      <c r="U286" s="62">
        <f t="shared" si="62"/>
        <v>42251</v>
      </c>
      <c r="V286" s="62">
        <f t="shared" si="65"/>
        <v>370198</v>
      </c>
      <c r="W286" s="63">
        <f t="shared" si="64"/>
        <v>1374817.3</v>
      </c>
      <c r="X286" s="136">
        <v>23.557020697324699</v>
      </c>
      <c r="Y286" s="14"/>
      <c r="Z286" s="14"/>
      <c r="AA286" s="14"/>
      <c r="AB286" s="14"/>
      <c r="AC286" s="14"/>
      <c r="AD286" s="14"/>
      <c r="AG286" s="55"/>
      <c r="AH286" s="16"/>
      <c r="AI286" s="16"/>
      <c r="AJ286" s="16"/>
      <c r="AK286" s="16"/>
      <c r="AL286" s="16"/>
      <c r="AM286" s="16"/>
      <c r="AN286" s="16"/>
      <c r="AO286" s="16"/>
      <c r="AT286" s="82"/>
    </row>
    <row r="287" spans="18:46" x14ac:dyDescent="0.3">
      <c r="R287" s="52">
        <v>45869</v>
      </c>
      <c r="S287" s="53">
        <v>11307</v>
      </c>
      <c r="T287" s="14" t="e">
        <f t="shared" si="63"/>
        <v>#N/A</v>
      </c>
      <c r="U287" s="62">
        <f t="shared" si="62"/>
        <v>11307</v>
      </c>
      <c r="V287" s="62">
        <f t="shared" si="65"/>
        <v>373798</v>
      </c>
      <c r="W287" s="63">
        <f t="shared" si="64"/>
        <v>1374817.3</v>
      </c>
      <c r="X287" s="136">
        <v>23.5657776198608</v>
      </c>
      <c r="Y287" s="14"/>
      <c r="Z287" s="14"/>
      <c r="AA287" s="14"/>
      <c r="AB287" s="14"/>
      <c r="AC287" s="14"/>
      <c r="AD287" s="14"/>
      <c r="AG287" s="55"/>
      <c r="AH287" s="16"/>
      <c r="AI287" s="16"/>
      <c r="AJ287" s="16"/>
      <c r="AK287" s="16"/>
      <c r="AL287" s="16"/>
      <c r="AM287" s="16"/>
      <c r="AN287" s="16"/>
      <c r="AO287" s="16"/>
      <c r="AT287" s="58"/>
    </row>
    <row r="288" spans="18:46" x14ac:dyDescent="0.3">
      <c r="R288" s="52">
        <v>45900</v>
      </c>
      <c r="S288" s="53">
        <v>25660</v>
      </c>
      <c r="T288" s="14" t="e">
        <f t="shared" si="63"/>
        <v>#N/A</v>
      </c>
      <c r="U288" s="62">
        <f t="shared" si="62"/>
        <v>25660</v>
      </c>
      <c r="V288" s="62">
        <f t="shared" si="65"/>
        <v>369135</v>
      </c>
      <c r="W288" s="63">
        <f t="shared" si="64"/>
        <v>1374817.3</v>
      </c>
      <c r="X288" s="136">
        <v>23.600231513990899</v>
      </c>
      <c r="Y288" s="14"/>
      <c r="Z288" s="14"/>
      <c r="AA288" s="14"/>
      <c r="AB288" s="14"/>
      <c r="AC288" s="14"/>
      <c r="AD288" s="14"/>
      <c r="AG288" s="55"/>
      <c r="AH288" s="16"/>
      <c r="AI288" s="16"/>
      <c r="AJ288" s="16"/>
      <c r="AK288" s="16"/>
      <c r="AL288" s="16"/>
      <c r="AM288" s="16"/>
      <c r="AN288" s="16"/>
      <c r="AO288" s="16"/>
      <c r="AR288" s="83"/>
      <c r="AT288" s="84"/>
    </row>
    <row r="289" spans="18:44" ht="15" x14ac:dyDescent="0.3">
      <c r="R289" s="52">
        <v>45930</v>
      </c>
      <c r="S289" s="16">
        <v>35299</v>
      </c>
      <c r="T289" s="16"/>
      <c r="U289" s="16"/>
      <c r="X289" s="136">
        <v>23.359796480585398</v>
      </c>
      <c r="Y289" s="77"/>
      <c r="Z289" s="77"/>
      <c r="AA289" s="77"/>
      <c r="AB289" s="77"/>
      <c r="AC289" s="78"/>
      <c r="AD289" s="79"/>
      <c r="AG289" s="55"/>
      <c r="AH289" s="16"/>
      <c r="AI289" s="16"/>
      <c r="AJ289" s="16"/>
      <c r="AK289" s="16"/>
      <c r="AL289" s="16"/>
      <c r="AM289" s="16"/>
      <c r="AN289" s="16"/>
      <c r="AO289" s="16"/>
    </row>
    <row r="290" spans="18:44" ht="15" x14ac:dyDescent="0.3">
      <c r="R290" s="52">
        <v>45961</v>
      </c>
      <c r="S290" s="16">
        <v>8178</v>
      </c>
      <c r="T290" s="16"/>
      <c r="U290" s="16"/>
      <c r="X290" s="136">
        <v>23.375647873721501</v>
      </c>
      <c r="Y290" s="77"/>
      <c r="Z290" s="77"/>
      <c r="AA290" s="77"/>
      <c r="AB290" s="77"/>
      <c r="AC290" s="78"/>
      <c r="AD290" s="79"/>
      <c r="AG290" s="55"/>
      <c r="AH290" s="16"/>
      <c r="AI290" s="16"/>
      <c r="AJ290" s="16"/>
      <c r="AK290" s="16"/>
      <c r="AL290" s="16"/>
      <c r="AM290" s="16"/>
      <c r="AN290" s="16"/>
      <c r="AO290" s="16"/>
      <c r="AR290" s="83"/>
    </row>
    <row r="291" spans="18:44" ht="15" x14ac:dyDescent="0.3">
      <c r="R291" s="52">
        <v>45991</v>
      </c>
      <c r="S291" s="16">
        <v>24926</v>
      </c>
      <c r="T291" s="16"/>
      <c r="U291" s="16"/>
      <c r="X291" s="136">
        <v>23.401791446196999</v>
      </c>
      <c r="Y291" s="77"/>
      <c r="Z291" s="77"/>
      <c r="AA291" s="77"/>
      <c r="AB291" s="77"/>
      <c r="AC291" s="78"/>
      <c r="AD291" s="79"/>
      <c r="AG291" s="55"/>
      <c r="AH291" s="16"/>
      <c r="AI291" s="16"/>
      <c r="AJ291" s="16"/>
      <c r="AK291" s="16"/>
      <c r="AL291" s="16"/>
      <c r="AM291" s="16"/>
      <c r="AN291" s="16"/>
      <c r="AO291" s="16"/>
    </row>
    <row r="292" spans="18:44" ht="15" x14ac:dyDescent="0.3">
      <c r="R292" s="52">
        <v>46022</v>
      </c>
      <c r="S292" s="16">
        <v>22075</v>
      </c>
      <c r="T292" s="16"/>
      <c r="U292" s="16"/>
      <c r="X292" s="136">
        <v>23.143028344077901</v>
      </c>
      <c r="Y292" s="77"/>
      <c r="Z292" s="77"/>
      <c r="AA292" s="77"/>
      <c r="AB292" s="77"/>
      <c r="AC292" s="78"/>
      <c r="AD292" s="79"/>
      <c r="AG292" s="55"/>
      <c r="AH292" s="16"/>
      <c r="AI292" s="16"/>
      <c r="AJ292" s="16"/>
      <c r="AK292" s="16"/>
      <c r="AL292" s="16"/>
      <c r="AM292" s="16"/>
      <c r="AN292" s="16"/>
      <c r="AO292" s="16"/>
      <c r="AR292" s="83"/>
    </row>
    <row r="293" spans="18:44" ht="15" x14ac:dyDescent="0.3">
      <c r="R293" s="15"/>
      <c r="S293" s="16"/>
      <c r="T293" s="16"/>
      <c r="U293" s="16"/>
      <c r="X293" s="76"/>
      <c r="Y293" s="77"/>
      <c r="Z293" s="77"/>
      <c r="AA293" s="77"/>
      <c r="AB293" s="77"/>
      <c r="AC293" s="78"/>
      <c r="AD293" s="79"/>
      <c r="AG293" s="55"/>
      <c r="AH293" s="16"/>
      <c r="AI293" s="16"/>
      <c r="AJ293" s="16"/>
      <c r="AK293" s="16"/>
      <c r="AL293" s="16"/>
      <c r="AM293" s="16"/>
      <c r="AN293" s="16"/>
      <c r="AO293" s="16"/>
    </row>
    <row r="294" spans="18:44" ht="15" x14ac:dyDescent="0.3">
      <c r="R294" s="15"/>
      <c r="S294" s="16"/>
      <c r="T294" s="16"/>
      <c r="U294" s="16"/>
      <c r="X294" s="76"/>
      <c r="Y294" s="77"/>
      <c r="Z294" s="77"/>
      <c r="AA294" s="77"/>
      <c r="AB294" s="77"/>
      <c r="AC294" s="78"/>
      <c r="AD294" s="79"/>
      <c r="AG294" s="55"/>
      <c r="AH294" s="16"/>
      <c r="AI294" s="16"/>
      <c r="AJ294" s="16"/>
      <c r="AK294" s="16"/>
      <c r="AL294" s="16"/>
      <c r="AM294" s="16"/>
      <c r="AN294" s="16"/>
      <c r="AO294" s="16"/>
      <c r="AR294" s="83"/>
    </row>
    <row r="295" spans="18:44" ht="15" x14ac:dyDescent="0.3">
      <c r="R295" s="15"/>
      <c r="S295" s="16"/>
      <c r="T295" s="16"/>
      <c r="U295" s="16"/>
      <c r="X295" s="76"/>
      <c r="Y295" s="77"/>
      <c r="Z295" s="77"/>
      <c r="AA295" s="77"/>
      <c r="AB295" s="77"/>
      <c r="AC295" s="78"/>
      <c r="AD295" s="79"/>
      <c r="AG295" s="55"/>
      <c r="AH295" s="16"/>
      <c r="AI295" s="16"/>
      <c r="AJ295" s="16"/>
      <c r="AK295" s="16"/>
      <c r="AL295" s="16"/>
      <c r="AM295" s="16"/>
      <c r="AN295" s="16"/>
      <c r="AO295" s="16"/>
    </row>
    <row r="296" spans="18:44" ht="15" x14ac:dyDescent="0.3">
      <c r="R296" s="15"/>
      <c r="S296" s="16"/>
      <c r="T296" s="16"/>
      <c r="U296" s="16"/>
      <c r="X296" s="76"/>
      <c r="Y296" s="77"/>
      <c r="Z296" s="77"/>
      <c r="AA296" s="77"/>
      <c r="AB296" s="77"/>
      <c r="AC296" s="78"/>
      <c r="AD296" s="79"/>
      <c r="AG296" s="55"/>
      <c r="AH296" s="16"/>
      <c r="AI296" s="16"/>
      <c r="AJ296" s="16"/>
      <c r="AK296" s="16"/>
      <c r="AL296" s="16"/>
      <c r="AM296" s="16"/>
      <c r="AN296" s="16"/>
      <c r="AO296" s="16"/>
      <c r="AR296" s="83"/>
    </row>
    <row r="297" spans="18:44" ht="15" x14ac:dyDescent="0.3">
      <c r="R297" s="15"/>
      <c r="S297" s="16"/>
      <c r="T297" s="16"/>
      <c r="U297" s="16"/>
      <c r="X297" s="76"/>
      <c r="Y297" s="77"/>
      <c r="Z297" s="77"/>
      <c r="AA297" s="77"/>
      <c r="AB297" s="77"/>
      <c r="AC297" s="78"/>
      <c r="AD297" s="79"/>
      <c r="AG297" s="55"/>
      <c r="AH297" s="16"/>
      <c r="AI297" s="16"/>
      <c r="AJ297" s="16"/>
      <c r="AK297" s="16"/>
      <c r="AL297" s="16"/>
      <c r="AM297" s="16"/>
      <c r="AN297" s="16"/>
      <c r="AO297" s="16"/>
    </row>
    <row r="298" spans="18:44" ht="15" x14ac:dyDescent="0.3">
      <c r="R298" s="15"/>
      <c r="S298" s="16"/>
      <c r="T298" s="16"/>
      <c r="U298" s="16"/>
      <c r="X298" s="76"/>
      <c r="Y298" s="77"/>
      <c r="Z298" s="77"/>
      <c r="AA298" s="77"/>
      <c r="AB298" s="77"/>
      <c r="AC298" s="78"/>
      <c r="AD298" s="79"/>
      <c r="AG298" s="55"/>
      <c r="AH298" s="16"/>
      <c r="AI298" s="16"/>
      <c r="AJ298" s="16"/>
      <c r="AK298" s="16"/>
      <c r="AL298" s="16"/>
      <c r="AM298" s="16"/>
      <c r="AN298" s="16"/>
      <c r="AO298" s="16"/>
      <c r="AR298" s="83"/>
    </row>
    <row r="299" spans="18:44" ht="15" x14ac:dyDescent="0.3">
      <c r="R299" s="15"/>
      <c r="S299" s="16"/>
      <c r="T299" s="16"/>
      <c r="U299" s="16"/>
      <c r="X299" s="76"/>
      <c r="Y299" s="77"/>
      <c r="Z299" s="77"/>
      <c r="AA299" s="77"/>
      <c r="AB299" s="77"/>
      <c r="AC299" s="78"/>
      <c r="AD299" s="79"/>
      <c r="AG299" s="55"/>
      <c r="AH299" s="16"/>
      <c r="AI299" s="16"/>
      <c r="AJ299" s="16"/>
      <c r="AK299" s="16"/>
      <c r="AL299" s="16"/>
      <c r="AM299" s="16"/>
      <c r="AN299" s="16"/>
      <c r="AO299" s="16"/>
    </row>
    <row r="300" spans="18:44" ht="15" x14ac:dyDescent="0.3">
      <c r="R300" s="15"/>
      <c r="S300" s="16"/>
      <c r="T300" s="16"/>
      <c r="U300" s="16"/>
      <c r="X300" s="76"/>
      <c r="Y300" s="77"/>
      <c r="Z300" s="77"/>
      <c r="AA300" s="77"/>
      <c r="AB300" s="77"/>
      <c r="AC300" s="78"/>
      <c r="AD300" s="79"/>
      <c r="AG300" s="55"/>
      <c r="AH300" s="16"/>
      <c r="AI300" s="16"/>
      <c r="AJ300" s="16"/>
      <c r="AK300" s="16"/>
      <c r="AL300" s="16"/>
      <c r="AM300" s="16"/>
      <c r="AN300" s="16"/>
      <c r="AO300" s="16"/>
      <c r="AR300" s="83"/>
    </row>
    <row r="301" spans="18:44" ht="15" x14ac:dyDescent="0.3">
      <c r="R301" s="15"/>
      <c r="S301" s="16"/>
      <c r="T301" s="16"/>
      <c r="U301" s="16"/>
      <c r="X301" s="76"/>
      <c r="Y301" s="77"/>
      <c r="Z301" s="77"/>
      <c r="AA301" s="77"/>
      <c r="AB301" s="77"/>
      <c r="AC301" s="78"/>
      <c r="AD301" s="79"/>
      <c r="AG301" s="55"/>
      <c r="AH301" s="16"/>
      <c r="AI301" s="16"/>
      <c r="AJ301" s="16"/>
      <c r="AK301" s="16"/>
      <c r="AL301" s="16"/>
      <c r="AM301" s="16"/>
      <c r="AN301" s="16"/>
      <c r="AO301" s="16"/>
      <c r="AR301" s="83"/>
    </row>
    <row r="302" spans="18:44" ht="15" x14ac:dyDescent="0.3">
      <c r="R302" s="15"/>
      <c r="S302" s="16"/>
      <c r="T302" s="16"/>
      <c r="U302" s="16"/>
      <c r="X302" s="76"/>
      <c r="Y302" s="77"/>
      <c r="Z302" s="77"/>
      <c r="AA302" s="77"/>
      <c r="AB302" s="77"/>
      <c r="AC302" s="78"/>
      <c r="AD302" s="79"/>
      <c r="AG302" s="55"/>
      <c r="AH302" s="16"/>
      <c r="AI302" s="16"/>
      <c r="AJ302" s="16"/>
      <c r="AK302" s="16"/>
      <c r="AL302" s="16"/>
      <c r="AM302" s="16"/>
      <c r="AN302" s="16"/>
      <c r="AO302" s="16"/>
    </row>
    <row r="303" spans="18:44" ht="15" x14ac:dyDescent="0.3">
      <c r="R303" s="15"/>
      <c r="S303" s="16"/>
      <c r="T303" s="16"/>
      <c r="U303" s="16"/>
      <c r="X303" s="76"/>
      <c r="Y303" s="77"/>
      <c r="Z303" s="77"/>
      <c r="AA303" s="77"/>
      <c r="AB303" s="77"/>
      <c r="AC303" s="78"/>
      <c r="AD303" s="79"/>
      <c r="AG303" s="55"/>
      <c r="AH303" s="16"/>
      <c r="AI303" s="16"/>
      <c r="AJ303" s="16"/>
      <c r="AK303" s="16"/>
      <c r="AL303" s="16"/>
      <c r="AM303" s="16"/>
      <c r="AN303" s="16"/>
      <c r="AO303" s="16"/>
      <c r="AR303" s="83"/>
    </row>
    <row r="304" spans="18:44" ht="15" x14ac:dyDescent="0.3">
      <c r="R304" s="15"/>
      <c r="S304" s="16"/>
      <c r="T304" s="16"/>
      <c r="U304" s="16"/>
      <c r="X304" s="76"/>
      <c r="Y304" s="77"/>
      <c r="Z304" s="77"/>
      <c r="AA304" s="77"/>
      <c r="AB304" s="77"/>
      <c r="AC304" s="78"/>
      <c r="AD304" s="79"/>
      <c r="AG304" s="55"/>
      <c r="AH304" s="16"/>
      <c r="AI304" s="16"/>
      <c r="AJ304" s="16"/>
      <c r="AK304" s="16"/>
      <c r="AL304" s="16"/>
      <c r="AM304" s="16"/>
      <c r="AN304" s="16"/>
      <c r="AO304" s="16"/>
      <c r="AR304" s="83"/>
    </row>
    <row r="305" spans="18:44" ht="15" x14ac:dyDescent="0.3">
      <c r="R305" s="15"/>
      <c r="S305" s="16"/>
      <c r="T305" s="16"/>
      <c r="U305" s="16"/>
      <c r="X305" s="76"/>
      <c r="Y305" s="77"/>
      <c r="Z305" s="77"/>
      <c r="AA305" s="77"/>
      <c r="AB305" s="77"/>
      <c r="AC305" s="78"/>
      <c r="AD305" s="79"/>
      <c r="AG305" s="55"/>
      <c r="AH305" s="16"/>
      <c r="AI305" s="16"/>
      <c r="AJ305" s="16"/>
      <c r="AK305" s="16"/>
      <c r="AL305" s="16"/>
      <c r="AM305" s="16"/>
      <c r="AN305" s="16"/>
      <c r="AO305" s="16"/>
    </row>
    <row r="306" spans="18:44" ht="15" x14ac:dyDescent="0.3">
      <c r="R306" s="15"/>
      <c r="S306" s="16"/>
      <c r="T306" s="16"/>
      <c r="U306" s="16"/>
      <c r="X306" s="76"/>
      <c r="Y306" s="77"/>
      <c r="Z306" s="77"/>
      <c r="AA306" s="77"/>
      <c r="AB306" s="77"/>
      <c r="AC306" s="78"/>
      <c r="AD306" s="79"/>
      <c r="AG306" s="55"/>
      <c r="AH306" s="16"/>
      <c r="AI306" s="16"/>
      <c r="AJ306" s="16"/>
      <c r="AK306" s="16"/>
      <c r="AL306" s="16"/>
      <c r="AM306" s="16"/>
      <c r="AN306" s="16"/>
      <c r="AO306" s="16"/>
      <c r="AR306" s="83"/>
    </row>
    <row r="307" spans="18:44" ht="15" x14ac:dyDescent="0.3">
      <c r="R307" s="15"/>
      <c r="S307" s="16"/>
      <c r="T307" s="16"/>
      <c r="U307" s="16"/>
      <c r="X307" s="76"/>
      <c r="Y307" s="77"/>
      <c r="Z307" s="77"/>
      <c r="AA307" s="77"/>
      <c r="AB307" s="77"/>
      <c r="AC307" s="78"/>
      <c r="AD307" s="79"/>
      <c r="AG307" s="55"/>
      <c r="AH307" s="16"/>
      <c r="AI307" s="16"/>
      <c r="AJ307" s="16"/>
      <c r="AK307" s="16"/>
      <c r="AL307" s="16"/>
      <c r="AM307" s="16"/>
      <c r="AN307" s="16"/>
      <c r="AO307" s="16"/>
      <c r="AR307" s="83"/>
    </row>
    <row r="308" spans="18:44" ht="15" x14ac:dyDescent="0.3">
      <c r="R308" s="15"/>
      <c r="S308" s="16"/>
      <c r="T308" s="16"/>
      <c r="U308" s="16"/>
      <c r="X308" s="76"/>
      <c r="Y308" s="77"/>
      <c r="Z308" s="77"/>
      <c r="AA308" s="77"/>
      <c r="AB308" s="77"/>
      <c r="AC308" s="78"/>
      <c r="AD308" s="79"/>
      <c r="AG308" s="55"/>
      <c r="AH308" s="16"/>
      <c r="AI308" s="16"/>
      <c r="AJ308" s="16"/>
      <c r="AK308" s="16"/>
      <c r="AL308" s="16"/>
      <c r="AM308" s="16"/>
      <c r="AN308" s="16"/>
      <c r="AO308" s="16"/>
    </row>
    <row r="309" spans="18:44" ht="15" x14ac:dyDescent="0.3">
      <c r="R309" s="15"/>
      <c r="S309" s="16"/>
      <c r="T309" s="16"/>
      <c r="U309" s="16"/>
      <c r="X309" s="76"/>
      <c r="Y309" s="77"/>
      <c r="Z309" s="77"/>
      <c r="AA309" s="77"/>
      <c r="AB309" s="77"/>
      <c r="AC309" s="78"/>
      <c r="AD309" s="79"/>
      <c r="AG309" s="55"/>
      <c r="AH309" s="16"/>
      <c r="AI309" s="16"/>
      <c r="AJ309" s="16"/>
      <c r="AK309" s="16"/>
      <c r="AL309" s="16"/>
      <c r="AM309" s="16"/>
      <c r="AN309" s="16"/>
      <c r="AO309" s="16"/>
      <c r="AR309" s="83"/>
    </row>
    <row r="310" spans="18:44" ht="15" x14ac:dyDescent="0.3">
      <c r="R310" s="15"/>
      <c r="S310" s="16"/>
      <c r="T310" s="16"/>
      <c r="U310" s="16"/>
      <c r="X310" s="76"/>
      <c r="Y310" s="77"/>
      <c r="Z310" s="77"/>
      <c r="AA310" s="77"/>
      <c r="AB310" s="77"/>
      <c r="AC310" s="78"/>
      <c r="AD310" s="79"/>
      <c r="AG310" s="55"/>
      <c r="AH310" s="16"/>
      <c r="AI310" s="16"/>
      <c r="AJ310" s="16"/>
      <c r="AK310" s="16"/>
      <c r="AL310" s="16"/>
      <c r="AM310" s="16"/>
      <c r="AN310" s="16"/>
      <c r="AO310" s="16"/>
      <c r="AR310" s="83"/>
    </row>
    <row r="311" spans="18:44" ht="15" x14ac:dyDescent="0.3">
      <c r="R311" s="15"/>
      <c r="S311" s="16"/>
      <c r="T311" s="16"/>
      <c r="U311" s="16"/>
      <c r="X311" s="76"/>
      <c r="Y311" s="77"/>
      <c r="Z311" s="77"/>
      <c r="AA311" s="77"/>
      <c r="AB311" s="77"/>
      <c r="AC311" s="78"/>
      <c r="AD311" s="79"/>
      <c r="AG311" s="55"/>
      <c r="AH311" s="16"/>
      <c r="AI311" s="16"/>
      <c r="AJ311" s="16"/>
      <c r="AK311" s="16"/>
      <c r="AL311" s="16"/>
      <c r="AM311" s="16"/>
      <c r="AN311" s="16"/>
      <c r="AO311" s="16"/>
    </row>
    <row r="312" spans="18:44" ht="15" x14ac:dyDescent="0.3">
      <c r="R312" s="15"/>
      <c r="S312" s="16"/>
      <c r="T312" s="16"/>
      <c r="U312" s="16"/>
      <c r="X312" s="76"/>
      <c r="Y312" s="77"/>
      <c r="Z312" s="77"/>
      <c r="AA312" s="77"/>
      <c r="AB312" s="77"/>
      <c r="AC312" s="78"/>
      <c r="AD312" s="79"/>
      <c r="AG312" s="55"/>
      <c r="AH312" s="16"/>
      <c r="AI312" s="16"/>
      <c r="AJ312" s="16"/>
      <c r="AK312" s="16"/>
      <c r="AL312" s="16"/>
      <c r="AM312" s="16"/>
      <c r="AN312" s="16"/>
      <c r="AO312" s="16"/>
      <c r="AR312" s="83"/>
    </row>
    <row r="313" spans="18:44" ht="15" x14ac:dyDescent="0.3">
      <c r="R313" s="15"/>
      <c r="S313" s="16"/>
      <c r="T313" s="16"/>
      <c r="U313" s="16"/>
      <c r="X313" s="76"/>
      <c r="Y313" s="77"/>
      <c r="Z313" s="77"/>
      <c r="AA313" s="77"/>
      <c r="AB313" s="77"/>
      <c r="AC313" s="78"/>
      <c r="AD313" s="79"/>
      <c r="AG313" s="55"/>
      <c r="AH313" s="16"/>
      <c r="AI313" s="16"/>
      <c r="AJ313" s="16"/>
      <c r="AK313" s="16"/>
      <c r="AL313" s="16"/>
      <c r="AM313" s="16"/>
      <c r="AN313" s="16"/>
      <c r="AO313" s="16"/>
      <c r="AR313" s="83"/>
    </row>
    <row r="314" spans="18:44" ht="15" x14ac:dyDescent="0.3">
      <c r="R314" s="15"/>
      <c r="S314" s="16"/>
      <c r="T314" s="16"/>
      <c r="U314" s="16"/>
      <c r="X314" s="76"/>
      <c r="Y314" s="77"/>
      <c r="Z314" s="77"/>
      <c r="AA314" s="77"/>
      <c r="AB314" s="77"/>
      <c r="AC314" s="78"/>
      <c r="AD314" s="79"/>
      <c r="AG314" s="55"/>
      <c r="AH314" s="16"/>
      <c r="AI314" s="16"/>
      <c r="AJ314" s="16"/>
      <c r="AK314" s="16"/>
      <c r="AL314" s="16"/>
      <c r="AM314" s="16"/>
      <c r="AN314" s="16"/>
      <c r="AO314" s="16"/>
    </row>
    <row r="315" spans="18:44" ht="15" x14ac:dyDescent="0.3">
      <c r="R315" s="15"/>
      <c r="S315" s="16"/>
      <c r="T315" s="16"/>
      <c r="U315" s="16"/>
      <c r="AB315" s="77"/>
      <c r="AG315" s="55"/>
      <c r="AH315" s="16"/>
      <c r="AI315" s="16"/>
      <c r="AJ315" s="16"/>
      <c r="AK315" s="16"/>
      <c r="AL315" s="16"/>
      <c r="AM315" s="16"/>
      <c r="AN315" s="16"/>
      <c r="AO315" s="16"/>
      <c r="AR315" s="83"/>
    </row>
    <row r="316" spans="18:44" ht="15" x14ac:dyDescent="0.3">
      <c r="R316" s="15"/>
      <c r="S316" s="16"/>
      <c r="T316" s="16"/>
      <c r="U316" s="16"/>
      <c r="AB316" s="77"/>
      <c r="AG316" s="55"/>
      <c r="AH316" s="16"/>
      <c r="AI316" s="16"/>
      <c r="AJ316" s="16"/>
      <c r="AK316" s="16"/>
      <c r="AL316" s="16"/>
      <c r="AM316" s="16"/>
      <c r="AN316" s="16"/>
      <c r="AO316" s="16"/>
      <c r="AR316" s="83"/>
    </row>
    <row r="317" spans="18:44" ht="15" x14ac:dyDescent="0.3">
      <c r="R317" s="15"/>
      <c r="S317" s="16"/>
      <c r="T317" s="16"/>
      <c r="U317" s="16"/>
      <c r="AB317" s="77"/>
      <c r="AG317" s="55"/>
      <c r="AH317" s="16"/>
      <c r="AI317" s="16"/>
      <c r="AJ317" s="16"/>
      <c r="AK317" s="16"/>
      <c r="AL317" s="16"/>
      <c r="AM317" s="16"/>
      <c r="AN317" s="16"/>
      <c r="AO317" s="16"/>
    </row>
    <row r="318" spans="18:44" ht="15" x14ac:dyDescent="0.3">
      <c r="R318" s="15"/>
      <c r="S318" s="16"/>
      <c r="T318" s="16"/>
      <c r="U318" s="16"/>
      <c r="AB318" s="77"/>
      <c r="AG318" s="55"/>
      <c r="AH318" s="16"/>
      <c r="AI318" s="16"/>
      <c r="AJ318" s="16"/>
      <c r="AK318" s="16"/>
      <c r="AL318" s="16"/>
      <c r="AM318" s="16"/>
      <c r="AN318" s="16"/>
      <c r="AO318" s="16"/>
      <c r="AR318" s="83"/>
    </row>
    <row r="319" spans="18:44" ht="15" x14ac:dyDescent="0.3">
      <c r="R319" s="15"/>
      <c r="S319" s="16"/>
      <c r="T319" s="16"/>
      <c r="U319" s="16"/>
      <c r="AB319" s="77"/>
      <c r="AG319" s="55"/>
      <c r="AH319" s="16"/>
      <c r="AI319" s="16"/>
      <c r="AJ319" s="16"/>
      <c r="AK319" s="16"/>
      <c r="AL319" s="16"/>
      <c r="AM319" s="16"/>
      <c r="AN319" s="16"/>
      <c r="AO319" s="16"/>
      <c r="AR319" s="83"/>
    </row>
    <row r="320" spans="18:44" ht="15" x14ac:dyDescent="0.3">
      <c r="R320" s="15"/>
      <c r="S320" s="16"/>
      <c r="T320" s="16"/>
      <c r="U320" s="16"/>
      <c r="AB320" s="77"/>
      <c r="AG320" s="55"/>
      <c r="AH320" s="16"/>
      <c r="AI320" s="16"/>
      <c r="AJ320" s="16"/>
      <c r="AK320" s="16"/>
      <c r="AL320" s="16"/>
      <c r="AM320" s="16"/>
      <c r="AN320" s="16"/>
      <c r="AO320" s="16"/>
    </row>
    <row r="321" spans="18:44" ht="15" x14ac:dyDescent="0.3">
      <c r="R321" s="15"/>
      <c r="S321" s="16"/>
      <c r="T321" s="16"/>
      <c r="U321" s="16"/>
      <c r="AB321" s="77"/>
      <c r="AG321" s="55"/>
      <c r="AH321" s="16"/>
      <c r="AI321" s="16"/>
      <c r="AJ321" s="16"/>
      <c r="AK321" s="16"/>
      <c r="AL321" s="16"/>
      <c r="AM321" s="16"/>
      <c r="AN321" s="16"/>
      <c r="AO321" s="16"/>
      <c r="AR321" s="83"/>
    </row>
    <row r="322" spans="18:44" ht="15" x14ac:dyDescent="0.3">
      <c r="R322" s="15"/>
      <c r="S322" s="16"/>
      <c r="T322" s="16"/>
      <c r="U322" s="16"/>
      <c r="AB322" s="77"/>
      <c r="AG322" s="55"/>
      <c r="AH322" s="16"/>
      <c r="AI322" s="16"/>
      <c r="AJ322" s="16"/>
      <c r="AK322" s="16"/>
      <c r="AL322" s="16"/>
      <c r="AM322" s="16"/>
      <c r="AN322" s="16"/>
      <c r="AO322" s="16"/>
      <c r="AR322" s="83"/>
    </row>
    <row r="323" spans="18:44" ht="15" x14ac:dyDescent="0.3">
      <c r="R323" s="15"/>
      <c r="S323" s="16"/>
      <c r="T323" s="16"/>
      <c r="U323" s="16"/>
      <c r="AB323" s="77"/>
      <c r="AG323" s="55"/>
      <c r="AH323" s="16"/>
      <c r="AI323" s="16"/>
      <c r="AJ323" s="16"/>
      <c r="AK323" s="16"/>
      <c r="AL323" s="16"/>
      <c r="AM323" s="16"/>
      <c r="AN323" s="16"/>
      <c r="AO323" s="16"/>
    </row>
    <row r="324" spans="18:44" ht="15" x14ac:dyDescent="0.3">
      <c r="R324" s="15"/>
      <c r="S324" s="16"/>
      <c r="T324" s="16"/>
      <c r="U324" s="16"/>
      <c r="AB324" s="77"/>
      <c r="AG324" s="55"/>
      <c r="AH324" s="16"/>
      <c r="AI324" s="16"/>
      <c r="AJ324" s="16"/>
      <c r="AK324" s="16"/>
      <c r="AL324" s="16"/>
      <c r="AM324" s="16"/>
      <c r="AN324" s="16"/>
      <c r="AO324" s="16"/>
      <c r="AR324" s="83"/>
    </row>
    <row r="325" spans="18:44" ht="15" x14ac:dyDescent="0.3">
      <c r="R325" s="15"/>
      <c r="S325" s="16"/>
      <c r="T325" s="16"/>
      <c r="U325" s="16"/>
      <c r="AB325" s="77"/>
      <c r="AG325" s="55"/>
      <c r="AH325" s="16"/>
      <c r="AI325" s="16"/>
      <c r="AJ325" s="16"/>
      <c r="AK325" s="16"/>
      <c r="AL325" s="16"/>
      <c r="AM325" s="16"/>
      <c r="AN325" s="16"/>
      <c r="AO325" s="16"/>
      <c r="AR325" s="83"/>
    </row>
    <row r="326" spans="18:44" ht="15" x14ac:dyDescent="0.3">
      <c r="R326" s="15"/>
      <c r="S326" s="16"/>
      <c r="T326" s="16"/>
      <c r="U326" s="16"/>
      <c r="AB326" s="77"/>
      <c r="AG326" s="55"/>
      <c r="AH326" s="16"/>
      <c r="AI326" s="16"/>
      <c r="AJ326" s="16"/>
      <c r="AK326" s="16"/>
      <c r="AL326" s="16"/>
      <c r="AM326" s="16"/>
      <c r="AN326" s="16"/>
      <c r="AO326" s="16"/>
    </row>
    <row r="327" spans="18:44" ht="15" x14ac:dyDescent="0.3">
      <c r="R327" s="15"/>
      <c r="S327" s="16"/>
      <c r="T327" s="16"/>
      <c r="U327" s="16"/>
      <c r="AB327" s="77"/>
      <c r="AG327" s="55"/>
      <c r="AH327" s="16"/>
      <c r="AI327" s="16"/>
      <c r="AJ327" s="16"/>
      <c r="AK327" s="16"/>
      <c r="AL327" s="16"/>
      <c r="AM327" s="16"/>
      <c r="AN327" s="16"/>
      <c r="AO327" s="16"/>
    </row>
    <row r="328" spans="18:44" ht="15" x14ac:dyDescent="0.3">
      <c r="R328" s="15"/>
      <c r="S328" s="16"/>
      <c r="T328" s="16"/>
      <c r="U328" s="16"/>
      <c r="AB328" s="77"/>
      <c r="AG328" s="55"/>
      <c r="AH328" s="16"/>
      <c r="AI328" s="16"/>
      <c r="AJ328" s="16"/>
      <c r="AK328" s="16"/>
      <c r="AL328" s="16"/>
      <c r="AM328" s="16"/>
      <c r="AN328" s="16"/>
      <c r="AO328" s="16"/>
    </row>
    <row r="329" spans="18:44" ht="15" x14ac:dyDescent="0.3">
      <c r="R329" s="15"/>
      <c r="S329" s="16"/>
      <c r="T329" s="16"/>
      <c r="U329" s="16"/>
      <c r="AB329" s="77"/>
      <c r="AG329" s="55"/>
      <c r="AH329" s="16"/>
      <c r="AI329" s="16"/>
      <c r="AJ329" s="16"/>
      <c r="AK329" s="16"/>
      <c r="AL329" s="16"/>
      <c r="AM329" s="16"/>
      <c r="AN329" s="16"/>
      <c r="AO329" s="16"/>
    </row>
    <row r="330" spans="18:44" ht="15" x14ac:dyDescent="0.3">
      <c r="R330" s="15"/>
      <c r="S330" s="16"/>
      <c r="T330" s="16"/>
      <c r="U330" s="16"/>
      <c r="AB330" s="77"/>
      <c r="AG330" s="55"/>
      <c r="AH330" s="16"/>
      <c r="AI330" s="16"/>
      <c r="AJ330" s="16"/>
      <c r="AK330" s="16"/>
      <c r="AL330" s="16"/>
      <c r="AM330" s="16"/>
      <c r="AN330" s="16"/>
      <c r="AO330" s="16"/>
    </row>
    <row r="331" spans="18:44" x14ac:dyDescent="0.3">
      <c r="R331" s="15"/>
      <c r="S331" s="16"/>
      <c r="T331" s="16"/>
      <c r="U331" s="16"/>
      <c r="AG331" s="55"/>
      <c r="AH331" s="16"/>
      <c r="AI331" s="16"/>
      <c r="AJ331" s="16"/>
      <c r="AK331" s="16"/>
      <c r="AL331" s="16"/>
      <c r="AM331" s="16"/>
      <c r="AN331" s="16"/>
      <c r="AO331" s="16"/>
    </row>
    <row r="332" spans="18:44" x14ac:dyDescent="0.3">
      <c r="R332" s="15"/>
      <c r="S332" s="16"/>
      <c r="T332" s="16"/>
      <c r="U332" s="16"/>
      <c r="AG332" s="55"/>
      <c r="AH332" s="16"/>
      <c r="AI332" s="16"/>
      <c r="AJ332" s="16"/>
      <c r="AK332" s="16"/>
      <c r="AL332" s="16"/>
      <c r="AM332" s="16"/>
      <c r="AN332" s="16"/>
      <c r="AO332" s="16"/>
    </row>
    <row r="333" spans="18:44" x14ac:dyDescent="0.3">
      <c r="R333" s="15"/>
      <c r="S333" s="16"/>
      <c r="T333" s="16"/>
      <c r="U333" s="16"/>
      <c r="AG333" s="55"/>
      <c r="AH333" s="16"/>
      <c r="AI333" s="16"/>
      <c r="AJ333" s="16"/>
      <c r="AK333" s="16"/>
      <c r="AL333" s="16"/>
      <c r="AM333" s="16"/>
      <c r="AN333" s="16"/>
      <c r="AO333" s="16"/>
    </row>
    <row r="334" spans="18:44" x14ac:dyDescent="0.3">
      <c r="R334" s="15"/>
      <c r="S334" s="16"/>
      <c r="T334" s="16"/>
      <c r="U334" s="16"/>
      <c r="AG334" s="55"/>
      <c r="AH334" s="16"/>
      <c r="AI334" s="16"/>
      <c r="AJ334" s="16"/>
      <c r="AK334" s="16"/>
      <c r="AL334" s="16"/>
      <c r="AM334" s="16"/>
      <c r="AN334" s="16"/>
      <c r="AO334" s="16"/>
    </row>
    <row r="335" spans="18:44" x14ac:dyDescent="0.3">
      <c r="R335" s="15"/>
      <c r="S335" s="16"/>
      <c r="T335" s="16"/>
      <c r="U335" s="16"/>
      <c r="AG335" s="55"/>
      <c r="AH335" s="16"/>
      <c r="AI335" s="16"/>
      <c r="AJ335" s="16"/>
      <c r="AK335" s="16"/>
      <c r="AL335" s="16"/>
      <c r="AM335" s="16"/>
      <c r="AN335" s="16"/>
      <c r="AO335" s="16"/>
    </row>
    <row r="336" spans="18:44" x14ac:dyDescent="0.3">
      <c r="R336" s="15"/>
      <c r="S336" s="16"/>
      <c r="T336" s="16"/>
      <c r="U336" s="16"/>
      <c r="AG336" s="55"/>
      <c r="AH336" s="16"/>
      <c r="AI336" s="16"/>
      <c r="AJ336" s="16"/>
      <c r="AK336" s="16"/>
      <c r="AL336" s="16"/>
      <c r="AM336" s="16"/>
      <c r="AN336" s="16"/>
      <c r="AO336" s="16"/>
    </row>
    <row r="337" spans="18:41" x14ac:dyDescent="0.3">
      <c r="R337" s="15"/>
      <c r="S337" s="16"/>
      <c r="T337" s="16"/>
      <c r="U337" s="16"/>
      <c r="AG337" s="55"/>
      <c r="AH337" s="16"/>
      <c r="AI337" s="16"/>
      <c r="AJ337" s="16"/>
      <c r="AK337" s="16"/>
      <c r="AL337" s="16"/>
      <c r="AM337" s="16"/>
      <c r="AN337" s="16"/>
      <c r="AO337" s="16"/>
    </row>
    <row r="338" spans="18:41" x14ac:dyDescent="0.3">
      <c r="R338" s="15"/>
      <c r="S338" s="16"/>
      <c r="T338" s="16"/>
      <c r="U338" s="16"/>
      <c r="AG338" s="55"/>
      <c r="AH338" s="16"/>
      <c r="AI338" s="16"/>
      <c r="AJ338" s="16"/>
      <c r="AK338" s="16"/>
      <c r="AL338" s="16"/>
      <c r="AM338" s="16"/>
      <c r="AN338" s="16"/>
      <c r="AO338" s="16"/>
    </row>
    <row r="339" spans="18:41" x14ac:dyDescent="0.3">
      <c r="R339" s="15"/>
      <c r="S339" s="16"/>
      <c r="T339" s="16"/>
      <c r="U339" s="16"/>
      <c r="AG339" s="55"/>
      <c r="AH339" s="16"/>
      <c r="AI339" s="16"/>
      <c r="AJ339" s="16"/>
      <c r="AK339" s="16"/>
      <c r="AL339" s="16"/>
      <c r="AM339" s="16"/>
      <c r="AN339" s="16"/>
      <c r="AO339" s="16"/>
    </row>
    <row r="340" spans="18:41" x14ac:dyDescent="0.3">
      <c r="R340" s="15"/>
      <c r="S340" s="16"/>
      <c r="T340" s="16"/>
      <c r="U340" s="16"/>
      <c r="AG340" s="55"/>
      <c r="AH340" s="16"/>
      <c r="AI340" s="16"/>
      <c r="AJ340" s="16"/>
      <c r="AK340" s="16"/>
      <c r="AL340" s="16"/>
      <c r="AM340" s="16"/>
      <c r="AN340" s="16"/>
      <c r="AO340" s="16"/>
    </row>
    <row r="341" spans="18:41" x14ac:dyDescent="0.3">
      <c r="R341" s="15"/>
      <c r="S341" s="16"/>
      <c r="T341" s="16"/>
      <c r="U341" s="16"/>
      <c r="AG341" s="55"/>
      <c r="AH341" s="16"/>
      <c r="AI341" s="16"/>
      <c r="AJ341" s="16"/>
      <c r="AK341" s="16"/>
      <c r="AL341" s="16"/>
      <c r="AM341" s="16"/>
      <c r="AN341" s="16"/>
      <c r="AO341" s="16"/>
    </row>
    <row r="342" spans="18:41" x14ac:dyDescent="0.3">
      <c r="R342" s="15"/>
      <c r="S342" s="16"/>
      <c r="T342" s="16"/>
      <c r="U342" s="16"/>
      <c r="AG342" s="55"/>
      <c r="AH342" s="16"/>
      <c r="AI342" s="16"/>
      <c r="AJ342" s="16"/>
      <c r="AK342" s="16"/>
      <c r="AL342" s="16"/>
      <c r="AM342" s="16"/>
      <c r="AN342" s="16"/>
      <c r="AO342" s="16"/>
    </row>
    <row r="343" spans="18:41" x14ac:dyDescent="0.3">
      <c r="R343" s="15"/>
      <c r="S343" s="16"/>
      <c r="T343" s="16"/>
      <c r="U343" s="16"/>
      <c r="AG343" s="55"/>
      <c r="AH343" s="16"/>
      <c r="AI343" s="16"/>
      <c r="AJ343" s="16"/>
      <c r="AK343" s="16"/>
      <c r="AL343" s="16"/>
      <c r="AM343" s="16"/>
      <c r="AN343" s="16"/>
      <c r="AO343" s="16"/>
    </row>
    <row r="344" spans="18:41" x14ac:dyDescent="0.3">
      <c r="R344" s="15"/>
      <c r="S344" s="16"/>
      <c r="T344" s="16"/>
      <c r="U344" s="16"/>
      <c r="AG344" s="55"/>
      <c r="AH344" s="16"/>
      <c r="AI344" s="16"/>
      <c r="AJ344" s="16"/>
      <c r="AK344" s="16"/>
      <c r="AL344" s="16"/>
      <c r="AM344" s="16"/>
      <c r="AN344" s="16"/>
      <c r="AO344" s="16"/>
    </row>
    <row r="345" spans="18:41" x14ac:dyDescent="0.3">
      <c r="R345" s="15"/>
      <c r="S345" s="16"/>
      <c r="T345" s="16"/>
      <c r="U345" s="16"/>
      <c r="AG345" s="55"/>
      <c r="AH345" s="16"/>
      <c r="AI345" s="16"/>
      <c r="AJ345" s="16"/>
      <c r="AK345" s="16"/>
      <c r="AL345" s="16"/>
      <c r="AM345" s="16"/>
      <c r="AN345" s="16"/>
      <c r="AO345" s="16"/>
    </row>
    <row r="346" spans="18:41" x14ac:dyDescent="0.3">
      <c r="R346" s="15"/>
      <c r="S346" s="16"/>
      <c r="T346" s="16"/>
      <c r="U346" s="16"/>
      <c r="AG346" s="55"/>
      <c r="AH346" s="16"/>
      <c r="AI346" s="16"/>
      <c r="AJ346" s="16"/>
      <c r="AK346" s="16"/>
      <c r="AL346" s="16"/>
      <c r="AM346" s="16"/>
      <c r="AN346" s="16"/>
      <c r="AO346" s="16"/>
    </row>
    <row r="347" spans="18:41" x14ac:dyDescent="0.3">
      <c r="R347" s="15"/>
      <c r="S347" s="16"/>
      <c r="T347" s="16"/>
      <c r="U347" s="16"/>
      <c r="AG347" s="55"/>
      <c r="AH347" s="16"/>
      <c r="AI347" s="16"/>
      <c r="AJ347" s="16"/>
      <c r="AK347" s="16"/>
      <c r="AL347" s="16"/>
      <c r="AM347" s="16"/>
      <c r="AN347" s="16"/>
      <c r="AO347" s="16"/>
    </row>
    <row r="348" spans="18:41" x14ac:dyDescent="0.3">
      <c r="R348" s="15"/>
      <c r="S348" s="16"/>
      <c r="T348" s="16"/>
      <c r="U348" s="16"/>
      <c r="AG348" s="55"/>
      <c r="AH348" s="16"/>
      <c r="AI348" s="16"/>
      <c r="AJ348" s="16"/>
      <c r="AK348" s="16"/>
      <c r="AL348" s="16"/>
      <c r="AM348" s="16"/>
      <c r="AN348" s="16"/>
      <c r="AO348" s="16"/>
    </row>
    <row r="349" spans="18:41" x14ac:dyDescent="0.3">
      <c r="R349" s="15"/>
      <c r="S349" s="16"/>
      <c r="T349" s="16"/>
      <c r="U349" s="16"/>
      <c r="AG349" s="55"/>
      <c r="AH349" s="16"/>
      <c r="AI349" s="16"/>
      <c r="AJ349" s="16"/>
      <c r="AK349" s="16"/>
      <c r="AL349" s="16"/>
      <c r="AM349" s="16"/>
      <c r="AN349" s="16"/>
      <c r="AO349" s="16"/>
    </row>
    <row r="350" spans="18:41" x14ac:dyDescent="0.3">
      <c r="R350" s="15"/>
      <c r="S350" s="16"/>
      <c r="T350" s="16"/>
      <c r="U350" s="16"/>
      <c r="AG350" s="55"/>
      <c r="AH350" s="16"/>
      <c r="AI350" s="16"/>
      <c r="AJ350" s="16"/>
      <c r="AK350" s="16"/>
      <c r="AL350" s="16"/>
      <c r="AM350" s="16"/>
      <c r="AN350" s="16"/>
      <c r="AO350" s="16"/>
    </row>
    <row r="351" spans="18:41" x14ac:dyDescent="0.3">
      <c r="R351" s="15"/>
      <c r="S351" s="16"/>
      <c r="T351" s="16"/>
      <c r="U351" s="16"/>
      <c r="AG351" s="55"/>
      <c r="AH351" s="16"/>
      <c r="AI351" s="16"/>
      <c r="AJ351" s="16"/>
      <c r="AK351" s="16"/>
      <c r="AL351" s="16"/>
      <c r="AM351" s="16"/>
      <c r="AN351" s="16"/>
      <c r="AO351" s="16"/>
    </row>
    <row r="352" spans="18:41" x14ac:dyDescent="0.3">
      <c r="R352" s="15"/>
      <c r="S352" s="16"/>
      <c r="T352" s="16"/>
      <c r="U352" s="16"/>
      <c r="AG352" s="55"/>
      <c r="AH352" s="16"/>
      <c r="AI352" s="16"/>
      <c r="AJ352" s="16"/>
      <c r="AK352" s="16"/>
      <c r="AL352" s="16"/>
      <c r="AM352" s="16"/>
      <c r="AN352" s="16"/>
      <c r="AO352" s="16"/>
    </row>
    <row r="353" spans="18:41" x14ac:dyDescent="0.3">
      <c r="R353" s="15"/>
      <c r="S353" s="16"/>
      <c r="T353" s="16"/>
      <c r="U353" s="16"/>
      <c r="AG353" s="55"/>
      <c r="AH353" s="16"/>
      <c r="AI353" s="16"/>
      <c r="AJ353" s="16"/>
      <c r="AK353" s="16"/>
      <c r="AL353" s="16"/>
      <c r="AM353" s="16"/>
      <c r="AN353" s="16"/>
      <c r="AO353" s="16"/>
    </row>
    <row r="354" spans="18:41" x14ac:dyDescent="0.3">
      <c r="R354" s="15"/>
      <c r="S354" s="16"/>
      <c r="T354" s="16"/>
      <c r="U354" s="16"/>
      <c r="AG354" s="55"/>
      <c r="AH354" s="16"/>
      <c r="AI354" s="16"/>
      <c r="AJ354" s="16"/>
      <c r="AK354" s="16"/>
      <c r="AL354" s="16"/>
      <c r="AM354" s="16"/>
      <c r="AN354" s="16"/>
      <c r="AO354" s="16"/>
    </row>
    <row r="355" spans="18:41" x14ac:dyDescent="0.3">
      <c r="R355" s="15"/>
      <c r="S355" s="16"/>
      <c r="T355" s="16"/>
      <c r="U355" s="16"/>
      <c r="AG355" s="55"/>
      <c r="AH355" s="16"/>
      <c r="AI355" s="16"/>
      <c r="AJ355" s="16"/>
      <c r="AK355" s="16"/>
      <c r="AL355" s="16"/>
      <c r="AM355" s="16"/>
      <c r="AN355" s="16"/>
      <c r="AO355" s="16"/>
    </row>
    <row r="356" spans="18:41" x14ac:dyDescent="0.3">
      <c r="R356" s="15"/>
      <c r="S356" s="16"/>
      <c r="T356" s="16"/>
      <c r="U356" s="16"/>
      <c r="AG356" s="55"/>
      <c r="AH356" s="16"/>
      <c r="AI356" s="16"/>
      <c r="AJ356" s="16"/>
      <c r="AK356" s="16"/>
      <c r="AL356" s="16"/>
      <c r="AM356" s="16"/>
      <c r="AN356" s="16"/>
      <c r="AO356" s="16"/>
    </row>
    <row r="357" spans="18:41" x14ac:dyDescent="0.3">
      <c r="R357" s="15"/>
      <c r="S357" s="16"/>
      <c r="T357" s="16"/>
      <c r="U357" s="16"/>
      <c r="AG357" s="55"/>
      <c r="AH357" s="16"/>
      <c r="AI357" s="16"/>
      <c r="AJ357" s="16"/>
      <c r="AK357" s="16"/>
      <c r="AL357" s="16"/>
      <c r="AM357" s="16"/>
      <c r="AN357" s="16"/>
      <c r="AO357" s="16"/>
    </row>
    <row r="358" spans="18:41" x14ac:dyDescent="0.3">
      <c r="R358" s="15"/>
      <c r="S358" s="16"/>
      <c r="T358" s="16"/>
      <c r="U358" s="16"/>
      <c r="AG358" s="55"/>
      <c r="AH358" s="16"/>
      <c r="AI358" s="16"/>
      <c r="AJ358" s="16"/>
      <c r="AK358" s="16"/>
      <c r="AL358" s="16"/>
      <c r="AM358" s="16"/>
      <c r="AN358" s="16"/>
      <c r="AO358" s="16"/>
    </row>
    <row r="359" spans="18:41" x14ac:dyDescent="0.3">
      <c r="R359" s="15"/>
      <c r="S359" s="16"/>
      <c r="T359" s="16"/>
      <c r="U359" s="16"/>
      <c r="AG359" s="55"/>
      <c r="AH359" s="16"/>
      <c r="AI359" s="16"/>
      <c r="AJ359" s="16"/>
      <c r="AK359" s="16"/>
      <c r="AL359" s="16"/>
      <c r="AM359" s="16"/>
      <c r="AN359" s="16"/>
      <c r="AO359" s="16"/>
    </row>
    <row r="360" spans="18:41" x14ac:dyDescent="0.3">
      <c r="R360" s="15"/>
      <c r="S360" s="16"/>
      <c r="T360" s="16"/>
      <c r="U360" s="16"/>
      <c r="AG360" s="55"/>
      <c r="AH360" s="16"/>
      <c r="AI360" s="16"/>
      <c r="AJ360" s="16"/>
      <c r="AK360" s="16"/>
      <c r="AL360" s="16"/>
      <c r="AM360" s="16"/>
      <c r="AN360" s="16"/>
      <c r="AO360" s="16"/>
    </row>
    <row r="361" spans="18:41" x14ac:dyDescent="0.3">
      <c r="R361" s="15"/>
      <c r="S361" s="16"/>
      <c r="T361" s="16"/>
      <c r="U361" s="16"/>
      <c r="AG361" s="55"/>
      <c r="AH361" s="16"/>
      <c r="AI361" s="16"/>
      <c r="AJ361" s="16"/>
      <c r="AK361" s="16"/>
      <c r="AL361" s="16"/>
      <c r="AM361" s="16"/>
      <c r="AN361" s="16"/>
      <c r="AO361" s="16"/>
    </row>
    <row r="362" spans="18:41" x14ac:dyDescent="0.3">
      <c r="R362" s="15"/>
      <c r="S362" s="16"/>
      <c r="T362" s="16"/>
      <c r="U362" s="16"/>
      <c r="AG362" s="55"/>
      <c r="AH362" s="16"/>
      <c r="AI362" s="16"/>
      <c r="AJ362" s="16"/>
      <c r="AK362" s="16"/>
      <c r="AL362" s="16"/>
      <c r="AM362" s="16"/>
      <c r="AN362" s="16"/>
      <c r="AO362" s="16"/>
    </row>
    <row r="363" spans="18:41" x14ac:dyDescent="0.3">
      <c r="R363" s="15"/>
      <c r="S363" s="16"/>
      <c r="T363" s="16"/>
      <c r="U363" s="16"/>
      <c r="AG363" s="55"/>
      <c r="AH363" s="16"/>
      <c r="AI363" s="16"/>
      <c r="AJ363" s="16"/>
      <c r="AK363" s="16"/>
      <c r="AL363" s="16"/>
      <c r="AM363" s="16"/>
      <c r="AN363" s="16"/>
      <c r="AO363" s="16"/>
    </row>
    <row r="364" spans="18:41" x14ac:dyDescent="0.3">
      <c r="S364" s="16"/>
      <c r="T364" s="16"/>
      <c r="U364" s="16"/>
      <c r="AG364" s="55"/>
      <c r="AH364" s="16"/>
      <c r="AI364" s="16"/>
      <c r="AJ364" s="16"/>
      <c r="AK364" s="16"/>
      <c r="AL364" s="16"/>
      <c r="AM364" s="16"/>
      <c r="AN364" s="16"/>
      <c r="AO364" s="16"/>
    </row>
    <row r="365" spans="18:41" x14ac:dyDescent="0.3">
      <c r="AG365" s="55"/>
      <c r="AH365" s="16"/>
      <c r="AI365" s="16"/>
      <c r="AJ365" s="16"/>
      <c r="AK365" s="16"/>
      <c r="AL365" s="16"/>
      <c r="AM365" s="16"/>
      <c r="AN365" s="16"/>
      <c r="AO365" s="16"/>
    </row>
    <row r="366" spans="18:41" x14ac:dyDescent="0.3">
      <c r="AG366" s="55"/>
      <c r="AH366" s="16"/>
      <c r="AI366" s="16"/>
      <c r="AJ366" s="16"/>
      <c r="AK366" s="16"/>
      <c r="AL366" s="16"/>
      <c r="AM366" s="16"/>
      <c r="AN366" s="16"/>
      <c r="AO366" s="16"/>
    </row>
    <row r="367" spans="18:41" x14ac:dyDescent="0.3">
      <c r="AG367" s="55"/>
      <c r="AH367" s="16"/>
      <c r="AI367" s="16"/>
      <c r="AJ367" s="16"/>
      <c r="AK367" s="16"/>
      <c r="AL367" s="16"/>
      <c r="AM367" s="16"/>
      <c r="AN367" s="16"/>
      <c r="AO367" s="16"/>
    </row>
    <row r="368" spans="18:41" x14ac:dyDescent="0.3">
      <c r="AG368" s="55"/>
      <c r="AH368" s="16"/>
      <c r="AI368" s="16"/>
      <c r="AJ368" s="16"/>
      <c r="AK368" s="16"/>
      <c r="AL368" s="16"/>
      <c r="AM368" s="16"/>
      <c r="AN368" s="16"/>
      <c r="AO368" s="16"/>
    </row>
    <row r="369" spans="33:41" x14ac:dyDescent="0.3">
      <c r="AG369" s="55"/>
      <c r="AH369" s="16"/>
      <c r="AI369" s="16"/>
      <c r="AJ369" s="16"/>
      <c r="AK369" s="16"/>
      <c r="AL369" s="16"/>
      <c r="AM369" s="16"/>
      <c r="AN369" s="16"/>
      <c r="AO369" s="16"/>
    </row>
    <row r="370" spans="33:41" x14ac:dyDescent="0.3">
      <c r="AG370" s="55"/>
      <c r="AH370" s="16"/>
      <c r="AI370" s="16"/>
      <c r="AJ370" s="16"/>
      <c r="AK370" s="16"/>
      <c r="AL370" s="16"/>
      <c r="AM370" s="16"/>
      <c r="AN370" s="16"/>
      <c r="AO370" s="16"/>
    </row>
    <row r="371" spans="33:41" x14ac:dyDescent="0.3">
      <c r="AG371" s="55"/>
      <c r="AH371" s="16"/>
      <c r="AI371" s="16"/>
      <c r="AJ371" s="16"/>
      <c r="AK371" s="16"/>
      <c r="AL371" s="16"/>
      <c r="AM371" s="16"/>
      <c r="AN371" s="16"/>
      <c r="AO371" s="16"/>
    </row>
    <row r="372" spans="33:41" x14ac:dyDescent="0.3">
      <c r="AG372" s="55"/>
      <c r="AH372" s="16"/>
      <c r="AI372" s="16"/>
      <c r="AJ372" s="16"/>
      <c r="AK372" s="16"/>
      <c r="AL372" s="16"/>
      <c r="AM372" s="16"/>
      <c r="AN372" s="16"/>
      <c r="AO372" s="16"/>
    </row>
    <row r="373" spans="33:41" x14ac:dyDescent="0.3">
      <c r="AG373" s="55"/>
      <c r="AH373" s="16"/>
      <c r="AI373" s="16"/>
      <c r="AJ373" s="16"/>
      <c r="AK373" s="16"/>
      <c r="AL373" s="16"/>
      <c r="AM373" s="16"/>
      <c r="AN373" s="16"/>
      <c r="AO373" s="16"/>
    </row>
    <row r="374" spans="33:41" x14ac:dyDescent="0.3">
      <c r="AG374" s="55"/>
      <c r="AH374" s="16"/>
      <c r="AI374" s="16"/>
      <c r="AJ374" s="16"/>
      <c r="AK374" s="16"/>
      <c r="AL374" s="16"/>
      <c r="AM374" s="16"/>
      <c r="AN374" s="16"/>
      <c r="AO374" s="16"/>
    </row>
    <row r="375" spans="33:41" x14ac:dyDescent="0.3">
      <c r="AG375" s="55"/>
      <c r="AH375" s="16"/>
      <c r="AI375" s="16"/>
      <c r="AJ375" s="16"/>
      <c r="AK375" s="16"/>
      <c r="AL375" s="16"/>
      <c r="AM375" s="16"/>
      <c r="AN375" s="16"/>
      <c r="AO375" s="16"/>
    </row>
    <row r="376" spans="33:41" x14ac:dyDescent="0.3">
      <c r="AG376" s="55"/>
      <c r="AH376" s="16"/>
      <c r="AI376" s="16"/>
      <c r="AJ376" s="16"/>
      <c r="AK376" s="16"/>
      <c r="AL376" s="16"/>
      <c r="AM376" s="16"/>
      <c r="AN376" s="16"/>
      <c r="AO376" s="16"/>
    </row>
    <row r="377" spans="33:41" x14ac:dyDescent="0.3">
      <c r="AG377" s="55"/>
      <c r="AH377" s="16"/>
      <c r="AI377" s="16"/>
      <c r="AJ377" s="16"/>
      <c r="AK377" s="16"/>
      <c r="AL377" s="16"/>
      <c r="AM377" s="16"/>
      <c r="AN377" s="16"/>
      <c r="AO377" s="16"/>
    </row>
    <row r="378" spans="33:41" x14ac:dyDescent="0.3">
      <c r="AG378" s="55"/>
      <c r="AH378" s="16"/>
      <c r="AI378" s="16"/>
      <c r="AJ378" s="16"/>
      <c r="AK378" s="16"/>
      <c r="AL378" s="16"/>
      <c r="AM378" s="16"/>
      <c r="AN378" s="16"/>
      <c r="AO378" s="16"/>
    </row>
    <row r="379" spans="33:41" x14ac:dyDescent="0.3">
      <c r="AG379" s="55"/>
      <c r="AH379" s="16"/>
      <c r="AI379" s="16"/>
      <c r="AJ379" s="16"/>
      <c r="AK379" s="16"/>
      <c r="AL379" s="16"/>
      <c r="AM379" s="16"/>
      <c r="AN379" s="16"/>
      <c r="AO379" s="16"/>
    </row>
    <row r="380" spans="33:41" x14ac:dyDescent="0.3">
      <c r="AG380" s="55"/>
      <c r="AH380" s="16"/>
      <c r="AI380" s="16"/>
      <c r="AJ380" s="16"/>
      <c r="AK380" s="16"/>
      <c r="AL380" s="16"/>
      <c r="AM380" s="16"/>
      <c r="AN380" s="16"/>
      <c r="AO380" s="16"/>
    </row>
    <row r="381" spans="33:41" x14ac:dyDescent="0.3">
      <c r="AG381" s="55"/>
      <c r="AH381" s="16"/>
      <c r="AI381" s="16"/>
      <c r="AJ381" s="16"/>
      <c r="AK381" s="16"/>
      <c r="AL381" s="16"/>
      <c r="AM381" s="16"/>
      <c r="AN381" s="16"/>
      <c r="AO381" s="16"/>
    </row>
    <row r="382" spans="33:41" x14ac:dyDescent="0.3">
      <c r="AG382" s="55"/>
      <c r="AH382" s="16"/>
      <c r="AI382" s="16"/>
      <c r="AJ382" s="16"/>
      <c r="AK382" s="16"/>
      <c r="AL382" s="16"/>
      <c r="AM382" s="16"/>
      <c r="AN382" s="16"/>
      <c r="AO382" s="16"/>
    </row>
    <row r="383" spans="33:41" x14ac:dyDescent="0.3">
      <c r="AG383" s="55"/>
      <c r="AH383" s="16"/>
      <c r="AI383" s="16"/>
      <c r="AJ383" s="16"/>
      <c r="AK383" s="16"/>
      <c r="AL383" s="16"/>
      <c r="AM383" s="16"/>
      <c r="AN383" s="16"/>
      <c r="AO383" s="16"/>
    </row>
    <row r="384" spans="33:41" x14ac:dyDescent="0.3">
      <c r="AG384" s="55"/>
      <c r="AH384" s="16"/>
      <c r="AI384" s="16"/>
      <c r="AJ384" s="16"/>
      <c r="AK384" s="16"/>
      <c r="AL384" s="16"/>
      <c r="AM384" s="16"/>
      <c r="AN384" s="16"/>
      <c r="AO384" s="16"/>
    </row>
    <row r="385" spans="33:41" x14ac:dyDescent="0.3">
      <c r="AG385" s="55"/>
      <c r="AH385" s="16"/>
      <c r="AI385" s="16"/>
      <c r="AJ385" s="16"/>
      <c r="AK385" s="16"/>
      <c r="AL385" s="16"/>
      <c r="AM385" s="16"/>
      <c r="AN385" s="16"/>
      <c r="AO385" s="16"/>
    </row>
    <row r="386" spans="33:41" x14ac:dyDescent="0.3">
      <c r="AG386" s="55"/>
      <c r="AH386" s="16"/>
      <c r="AI386" s="16"/>
      <c r="AJ386" s="16"/>
      <c r="AK386" s="16"/>
      <c r="AL386" s="16"/>
      <c r="AM386" s="16"/>
      <c r="AN386" s="16"/>
      <c r="AO386" s="16"/>
    </row>
    <row r="387" spans="33:41" x14ac:dyDescent="0.3">
      <c r="AG387" s="55"/>
      <c r="AH387" s="16"/>
      <c r="AI387" s="16"/>
      <c r="AJ387" s="16"/>
      <c r="AK387" s="16"/>
      <c r="AL387" s="16"/>
      <c r="AM387" s="16"/>
      <c r="AN387" s="16"/>
      <c r="AO387" s="16"/>
    </row>
    <row r="388" spans="33:41" x14ac:dyDescent="0.3">
      <c r="AG388" s="55"/>
      <c r="AH388" s="16"/>
      <c r="AI388" s="16"/>
      <c r="AJ388" s="16"/>
      <c r="AK388" s="16"/>
      <c r="AL388" s="16"/>
      <c r="AM388" s="16"/>
      <c r="AN388" s="16"/>
      <c r="AO388" s="16"/>
    </row>
    <row r="389" spans="33:41" x14ac:dyDescent="0.3">
      <c r="AG389" s="55"/>
      <c r="AH389" s="16"/>
      <c r="AI389" s="16"/>
      <c r="AJ389" s="16"/>
      <c r="AK389" s="16"/>
      <c r="AL389" s="16"/>
      <c r="AM389" s="16"/>
      <c r="AN389" s="16"/>
      <c r="AO389" s="16"/>
    </row>
    <row r="390" spans="33:41" x14ac:dyDescent="0.3">
      <c r="AG390" s="55"/>
      <c r="AH390" s="16"/>
      <c r="AI390" s="16"/>
      <c r="AJ390" s="16"/>
      <c r="AK390" s="16"/>
      <c r="AL390" s="16"/>
      <c r="AM390" s="16"/>
      <c r="AN390" s="16"/>
      <c r="AO390" s="16"/>
    </row>
    <row r="391" spans="33:41" x14ac:dyDescent="0.3">
      <c r="AG391" s="55"/>
      <c r="AH391" s="16"/>
      <c r="AI391" s="16"/>
      <c r="AJ391" s="16"/>
      <c r="AK391" s="16"/>
      <c r="AL391" s="16"/>
      <c r="AM391" s="16"/>
      <c r="AN391" s="16"/>
      <c r="AO391" s="16"/>
    </row>
    <row r="392" spans="33:41" x14ac:dyDescent="0.3">
      <c r="AG392" s="55"/>
      <c r="AH392" s="16"/>
      <c r="AI392" s="16"/>
      <c r="AJ392" s="16"/>
      <c r="AK392" s="16"/>
      <c r="AL392" s="16"/>
      <c r="AM392" s="16"/>
      <c r="AN392" s="16"/>
      <c r="AO392" s="16"/>
    </row>
    <row r="393" spans="33:41" x14ac:dyDescent="0.3">
      <c r="AG393" s="55"/>
      <c r="AH393" s="16"/>
      <c r="AI393" s="16"/>
      <c r="AJ393" s="16"/>
      <c r="AK393" s="16"/>
      <c r="AL393" s="16"/>
      <c r="AM393" s="16"/>
      <c r="AN393" s="16"/>
      <c r="AO393" s="16"/>
    </row>
    <row r="394" spans="33:41" x14ac:dyDescent="0.3">
      <c r="AG394" s="55"/>
      <c r="AH394" s="16"/>
      <c r="AI394" s="16"/>
      <c r="AJ394" s="16"/>
      <c r="AK394" s="16"/>
      <c r="AL394" s="16"/>
      <c r="AM394" s="16"/>
      <c r="AN394" s="16"/>
      <c r="AO394" s="16"/>
    </row>
    <row r="395" spans="33:41" x14ac:dyDescent="0.3">
      <c r="AG395" s="55"/>
      <c r="AH395" s="16"/>
      <c r="AI395" s="16"/>
      <c r="AJ395" s="16"/>
      <c r="AK395" s="16"/>
      <c r="AL395" s="16"/>
      <c r="AM395" s="16"/>
      <c r="AN395" s="16"/>
      <c r="AO395" s="16"/>
    </row>
    <row r="396" spans="33:41" x14ac:dyDescent="0.3">
      <c r="AG396" s="55"/>
      <c r="AH396" s="16"/>
      <c r="AI396" s="16"/>
      <c r="AJ396" s="16"/>
      <c r="AK396" s="16"/>
      <c r="AL396" s="16"/>
      <c r="AM396" s="16"/>
      <c r="AN396" s="16"/>
      <c r="AO396" s="16"/>
    </row>
    <row r="397" spans="33:41" x14ac:dyDescent="0.3">
      <c r="AG397" s="55"/>
      <c r="AH397" s="16"/>
      <c r="AI397" s="16"/>
      <c r="AJ397" s="16"/>
      <c r="AK397" s="16"/>
      <c r="AL397" s="16"/>
      <c r="AM397" s="16"/>
      <c r="AN397" s="16"/>
      <c r="AO397" s="16"/>
    </row>
    <row r="398" spans="33:41" x14ac:dyDescent="0.3">
      <c r="AG398" s="55"/>
      <c r="AH398" s="16"/>
      <c r="AI398" s="16"/>
      <c r="AJ398" s="16"/>
      <c r="AK398" s="16"/>
      <c r="AL398" s="16"/>
      <c r="AM398" s="16"/>
      <c r="AN398" s="16"/>
      <c r="AO398" s="16"/>
    </row>
    <row r="399" spans="33:41" x14ac:dyDescent="0.3">
      <c r="AG399" s="55"/>
      <c r="AH399" s="16"/>
      <c r="AI399" s="16"/>
      <c r="AJ399" s="16"/>
      <c r="AK399" s="16"/>
      <c r="AL399" s="16"/>
      <c r="AM399" s="16"/>
      <c r="AN399" s="16"/>
      <c r="AO399" s="16"/>
    </row>
    <row r="400" spans="33:41" x14ac:dyDescent="0.3">
      <c r="AG400" s="55"/>
      <c r="AH400" s="16"/>
      <c r="AI400" s="16"/>
      <c r="AJ400" s="16"/>
      <c r="AK400" s="16"/>
      <c r="AL400" s="16"/>
      <c r="AM400" s="16"/>
      <c r="AN400" s="16"/>
      <c r="AO400" s="16"/>
    </row>
    <row r="401" spans="33:41" x14ac:dyDescent="0.3">
      <c r="AG401" s="55"/>
      <c r="AH401" s="16"/>
      <c r="AI401" s="16"/>
      <c r="AJ401" s="16"/>
      <c r="AK401" s="16"/>
      <c r="AL401" s="16"/>
      <c r="AM401" s="16"/>
      <c r="AN401" s="16"/>
      <c r="AO401" s="16"/>
    </row>
    <row r="402" spans="33:41" x14ac:dyDescent="0.3">
      <c r="AG402" s="55"/>
      <c r="AH402" s="16"/>
      <c r="AI402" s="16"/>
      <c r="AJ402" s="16"/>
      <c r="AK402" s="16"/>
      <c r="AL402" s="16"/>
      <c r="AM402" s="16"/>
      <c r="AN402" s="16"/>
      <c r="AO402" s="16"/>
    </row>
    <row r="403" spans="33:41" x14ac:dyDescent="0.3">
      <c r="AG403" s="55"/>
      <c r="AH403" s="16"/>
      <c r="AI403" s="16"/>
      <c r="AJ403" s="16"/>
      <c r="AK403" s="16"/>
      <c r="AL403" s="16"/>
      <c r="AM403" s="16"/>
      <c r="AN403" s="16"/>
      <c r="AO403" s="16"/>
    </row>
    <row r="404" spans="33:41" x14ac:dyDescent="0.3">
      <c r="AG404" s="55"/>
      <c r="AH404" s="16"/>
      <c r="AI404" s="16"/>
      <c r="AJ404" s="16"/>
      <c r="AK404" s="16"/>
      <c r="AL404" s="16"/>
      <c r="AM404" s="16"/>
      <c r="AN404" s="16"/>
      <c r="AO404" s="16"/>
    </row>
    <row r="405" spans="33:41" x14ac:dyDescent="0.3">
      <c r="AG405" s="55"/>
      <c r="AH405" s="16"/>
      <c r="AI405" s="16"/>
      <c r="AJ405" s="16"/>
      <c r="AK405" s="16"/>
      <c r="AL405" s="16"/>
      <c r="AM405" s="16"/>
      <c r="AN405" s="16"/>
      <c r="AO405" s="16"/>
    </row>
    <row r="406" spans="33:41" x14ac:dyDescent="0.3">
      <c r="AG406" s="55"/>
      <c r="AH406" s="16"/>
      <c r="AI406" s="16"/>
      <c r="AJ406" s="16"/>
      <c r="AK406" s="16"/>
      <c r="AL406" s="16"/>
      <c r="AM406" s="16"/>
      <c r="AN406" s="16"/>
      <c r="AO406" s="16"/>
    </row>
    <row r="407" spans="33:41" x14ac:dyDescent="0.3">
      <c r="AG407" s="55"/>
      <c r="AH407" s="16"/>
      <c r="AI407" s="16"/>
      <c r="AJ407" s="16"/>
      <c r="AK407" s="16"/>
      <c r="AL407" s="16"/>
      <c r="AM407" s="16"/>
      <c r="AN407" s="16"/>
      <c r="AO407" s="16"/>
    </row>
    <row r="408" spans="33:41" x14ac:dyDescent="0.3">
      <c r="AG408" s="55"/>
      <c r="AH408" s="16"/>
      <c r="AI408" s="16"/>
      <c r="AJ408" s="16"/>
      <c r="AK408" s="16"/>
      <c r="AL408" s="16"/>
      <c r="AM408" s="16"/>
      <c r="AN408" s="16"/>
      <c r="AO408" s="16"/>
    </row>
    <row r="409" spans="33:41" x14ac:dyDescent="0.3">
      <c r="AG409" s="55"/>
      <c r="AH409" s="16"/>
      <c r="AI409" s="16"/>
      <c r="AJ409" s="16"/>
      <c r="AK409" s="16"/>
      <c r="AL409" s="16"/>
      <c r="AM409" s="16"/>
      <c r="AN409" s="16"/>
      <c r="AO409" s="16"/>
    </row>
    <row r="410" spans="33:41" x14ac:dyDescent="0.3">
      <c r="AG410" s="55"/>
      <c r="AH410" s="16"/>
      <c r="AI410" s="16"/>
      <c r="AJ410" s="16"/>
      <c r="AK410" s="16"/>
      <c r="AL410" s="16"/>
      <c r="AM410" s="16"/>
      <c r="AN410" s="16"/>
      <c r="AO410" s="16"/>
    </row>
    <row r="411" spans="33:41" x14ac:dyDescent="0.3">
      <c r="AG411" s="55"/>
      <c r="AH411" s="16"/>
      <c r="AI411" s="16"/>
      <c r="AJ411" s="16"/>
      <c r="AK411" s="16"/>
      <c r="AL411" s="16"/>
      <c r="AM411" s="16"/>
      <c r="AN411" s="16"/>
      <c r="AO411" s="16"/>
    </row>
    <row r="412" spans="33:41" x14ac:dyDescent="0.3">
      <c r="AG412" s="55"/>
      <c r="AH412" s="16"/>
      <c r="AI412" s="16"/>
      <c r="AJ412" s="16"/>
      <c r="AK412" s="16"/>
      <c r="AL412" s="16"/>
      <c r="AM412" s="16"/>
      <c r="AN412" s="16"/>
      <c r="AO412" s="16"/>
    </row>
    <row r="413" spans="33:41" x14ac:dyDescent="0.3">
      <c r="AG413" s="55"/>
      <c r="AH413" s="16"/>
      <c r="AI413" s="16"/>
      <c r="AJ413" s="16"/>
      <c r="AK413" s="16"/>
      <c r="AL413" s="16"/>
      <c r="AM413" s="16"/>
      <c r="AN413" s="16"/>
      <c r="AO413" s="16"/>
    </row>
    <row r="414" spans="33:41" x14ac:dyDescent="0.3">
      <c r="AG414" s="55"/>
      <c r="AH414" s="16"/>
      <c r="AI414" s="16"/>
      <c r="AJ414" s="16"/>
      <c r="AK414" s="16"/>
      <c r="AL414" s="16"/>
      <c r="AM414" s="16"/>
      <c r="AN414" s="16"/>
      <c r="AO414" s="16"/>
    </row>
    <row r="415" spans="33:41" x14ac:dyDescent="0.3">
      <c r="AG415" s="55"/>
      <c r="AH415" s="16"/>
      <c r="AI415" s="16"/>
      <c r="AJ415" s="16"/>
      <c r="AK415" s="16"/>
      <c r="AL415" s="16"/>
      <c r="AM415" s="16"/>
      <c r="AN415" s="16"/>
      <c r="AO415" s="16"/>
    </row>
    <row r="416" spans="33:41" x14ac:dyDescent="0.3">
      <c r="AG416" s="55"/>
      <c r="AH416" s="16"/>
      <c r="AI416" s="16"/>
      <c r="AJ416" s="16"/>
      <c r="AK416" s="16"/>
      <c r="AL416" s="16"/>
      <c r="AM416" s="16"/>
      <c r="AN416" s="16"/>
      <c r="AO416" s="16"/>
    </row>
    <row r="417" spans="33:41" x14ac:dyDescent="0.3">
      <c r="AG417" s="55"/>
      <c r="AH417" s="16"/>
      <c r="AI417" s="16"/>
      <c r="AJ417" s="16"/>
      <c r="AK417" s="16"/>
      <c r="AL417" s="16"/>
      <c r="AM417" s="16"/>
      <c r="AN417" s="16"/>
      <c r="AO417" s="16"/>
    </row>
    <row r="418" spans="33:41" x14ac:dyDescent="0.3">
      <c r="AG418" s="55"/>
      <c r="AH418" s="16"/>
      <c r="AI418" s="16"/>
      <c r="AJ418" s="16"/>
      <c r="AK418" s="16"/>
      <c r="AL418" s="16"/>
      <c r="AM418" s="16"/>
      <c r="AN418" s="16"/>
      <c r="AO418" s="16"/>
    </row>
    <row r="419" spans="33:41" x14ac:dyDescent="0.3">
      <c r="AG419" s="55"/>
      <c r="AH419" s="16"/>
      <c r="AI419" s="16"/>
      <c r="AJ419" s="16"/>
      <c r="AK419" s="16"/>
      <c r="AL419" s="16"/>
      <c r="AM419" s="16"/>
      <c r="AN419" s="16"/>
      <c r="AO419" s="16"/>
    </row>
    <row r="420" spans="33:41" x14ac:dyDescent="0.3">
      <c r="AG420" s="55"/>
      <c r="AH420" s="16"/>
      <c r="AI420" s="16"/>
      <c r="AJ420" s="16"/>
      <c r="AK420" s="16"/>
      <c r="AL420" s="16"/>
      <c r="AM420" s="16"/>
      <c r="AN420" s="16"/>
      <c r="AO420" s="16"/>
    </row>
    <row r="421" spans="33:41" x14ac:dyDescent="0.3">
      <c r="AG421" s="55"/>
      <c r="AH421" s="16"/>
      <c r="AI421" s="16"/>
      <c r="AJ421" s="16"/>
      <c r="AK421" s="16"/>
      <c r="AL421" s="16"/>
      <c r="AM421" s="16"/>
      <c r="AN421" s="16"/>
      <c r="AO421" s="16"/>
    </row>
    <row r="422" spans="33:41" x14ac:dyDescent="0.3">
      <c r="AG422" s="55"/>
      <c r="AH422" s="16"/>
      <c r="AI422" s="16"/>
      <c r="AJ422" s="16"/>
      <c r="AK422" s="16"/>
      <c r="AL422" s="16"/>
      <c r="AM422" s="16"/>
      <c r="AN422" s="16"/>
      <c r="AO422" s="16"/>
    </row>
    <row r="423" spans="33:41" x14ac:dyDescent="0.3">
      <c r="AG423" s="55"/>
      <c r="AH423" s="16"/>
      <c r="AI423" s="16"/>
      <c r="AJ423" s="16"/>
      <c r="AK423" s="16"/>
      <c r="AL423" s="16"/>
      <c r="AM423" s="16"/>
      <c r="AN423" s="16"/>
      <c r="AO423" s="16"/>
    </row>
    <row r="424" spans="33:41" x14ac:dyDescent="0.3">
      <c r="AG424" s="55"/>
      <c r="AH424" s="16"/>
      <c r="AI424" s="16"/>
      <c r="AJ424" s="16"/>
      <c r="AK424" s="16"/>
      <c r="AL424" s="16"/>
      <c r="AM424" s="16"/>
      <c r="AN424" s="16"/>
      <c r="AO424" s="16"/>
    </row>
    <row r="425" spans="33:41" x14ac:dyDescent="0.3">
      <c r="AG425" s="55"/>
      <c r="AH425" s="16"/>
      <c r="AI425" s="16"/>
      <c r="AJ425" s="16"/>
      <c r="AK425" s="16"/>
      <c r="AL425" s="16"/>
      <c r="AM425" s="16"/>
      <c r="AN425" s="16"/>
      <c r="AO425" s="16"/>
    </row>
    <row r="426" spans="33:41" x14ac:dyDescent="0.3">
      <c r="AG426" s="55"/>
      <c r="AH426" s="16"/>
      <c r="AI426" s="16"/>
      <c r="AJ426" s="16"/>
      <c r="AK426" s="16"/>
      <c r="AL426" s="16"/>
      <c r="AM426" s="16"/>
      <c r="AN426" s="16"/>
      <c r="AO426" s="16"/>
    </row>
    <row r="427" spans="33:41" x14ac:dyDescent="0.3">
      <c r="AG427" s="55"/>
      <c r="AH427" s="16"/>
      <c r="AI427" s="16"/>
      <c r="AJ427" s="16"/>
      <c r="AK427" s="16"/>
      <c r="AL427" s="16"/>
      <c r="AM427" s="16"/>
      <c r="AN427" s="16"/>
      <c r="AO427" s="16"/>
    </row>
    <row r="428" spans="33:41" x14ac:dyDescent="0.3">
      <c r="AG428" s="55"/>
      <c r="AH428" s="16"/>
      <c r="AI428" s="16"/>
      <c r="AJ428" s="16"/>
      <c r="AK428" s="16"/>
      <c r="AL428" s="16"/>
      <c r="AM428" s="16"/>
      <c r="AN428" s="16"/>
      <c r="AO428" s="16"/>
    </row>
    <row r="429" spans="33:41" x14ac:dyDescent="0.3">
      <c r="AG429" s="55"/>
      <c r="AH429" s="16"/>
      <c r="AI429" s="16"/>
      <c r="AJ429" s="16"/>
      <c r="AK429" s="16"/>
      <c r="AL429" s="16"/>
      <c r="AM429" s="16"/>
      <c r="AN429" s="16"/>
      <c r="AO429" s="16"/>
    </row>
    <row r="430" spans="33:41" x14ac:dyDescent="0.3">
      <c r="AG430" s="55"/>
      <c r="AH430" s="16"/>
      <c r="AI430" s="16"/>
      <c r="AJ430" s="16"/>
      <c r="AK430" s="16"/>
      <c r="AL430" s="16"/>
      <c r="AM430" s="16"/>
      <c r="AN430" s="16"/>
      <c r="AO430" s="16"/>
    </row>
    <row r="431" spans="33:41" x14ac:dyDescent="0.3">
      <c r="AG431" s="55"/>
      <c r="AH431" s="16"/>
      <c r="AI431" s="16"/>
      <c r="AJ431" s="16"/>
      <c r="AK431" s="16"/>
      <c r="AL431" s="16"/>
      <c r="AM431" s="16"/>
      <c r="AN431" s="16"/>
      <c r="AO431" s="16"/>
    </row>
    <row r="432" spans="33:41" x14ac:dyDescent="0.3">
      <c r="AG432" s="55"/>
      <c r="AH432" s="16"/>
      <c r="AI432" s="16"/>
      <c r="AJ432" s="16"/>
      <c r="AK432" s="16"/>
      <c r="AL432" s="16"/>
      <c r="AM432" s="16"/>
      <c r="AN432" s="16"/>
      <c r="AO432" s="16"/>
    </row>
    <row r="433" spans="33:41" x14ac:dyDescent="0.3">
      <c r="AG433" s="55"/>
      <c r="AH433" s="16"/>
      <c r="AI433" s="16"/>
      <c r="AJ433" s="16"/>
      <c r="AK433" s="16"/>
      <c r="AL433" s="16"/>
      <c r="AM433" s="16"/>
      <c r="AN433" s="16"/>
      <c r="AO433" s="16"/>
    </row>
    <row r="434" spans="33:41" x14ac:dyDescent="0.3">
      <c r="AG434" s="55"/>
      <c r="AH434" s="16"/>
      <c r="AI434" s="16"/>
      <c r="AJ434" s="16"/>
      <c r="AK434" s="16"/>
      <c r="AL434" s="16"/>
      <c r="AM434" s="16"/>
      <c r="AN434" s="16"/>
      <c r="AO434" s="16"/>
    </row>
    <row r="435" spans="33:41" x14ac:dyDescent="0.3">
      <c r="AG435" s="55"/>
      <c r="AH435" s="16"/>
      <c r="AI435" s="16"/>
      <c r="AJ435" s="16"/>
      <c r="AK435" s="16"/>
      <c r="AL435" s="16"/>
      <c r="AM435" s="16"/>
      <c r="AN435" s="16"/>
      <c r="AO435" s="16"/>
    </row>
    <row r="436" spans="33:41" x14ac:dyDescent="0.3">
      <c r="AG436" s="55"/>
      <c r="AH436" s="16"/>
      <c r="AI436" s="16"/>
      <c r="AJ436" s="16"/>
      <c r="AK436" s="16"/>
      <c r="AL436" s="16"/>
      <c r="AM436" s="16"/>
      <c r="AN436" s="16"/>
      <c r="AO436" s="16"/>
    </row>
    <row r="437" spans="33:41" x14ac:dyDescent="0.3">
      <c r="AG437" s="55"/>
      <c r="AH437" s="16"/>
      <c r="AI437" s="16"/>
      <c r="AJ437" s="16"/>
      <c r="AK437" s="16"/>
      <c r="AL437" s="16"/>
      <c r="AM437" s="16"/>
      <c r="AN437" s="16"/>
      <c r="AO437" s="16"/>
    </row>
    <row r="438" spans="33:41" x14ac:dyDescent="0.3">
      <c r="AG438" s="55"/>
      <c r="AH438" s="16"/>
      <c r="AI438" s="16"/>
      <c r="AJ438" s="16"/>
      <c r="AK438" s="16"/>
      <c r="AL438" s="16"/>
      <c r="AM438" s="16"/>
      <c r="AN438" s="16"/>
      <c r="AO438" s="16"/>
    </row>
    <row r="439" spans="33:41" x14ac:dyDescent="0.3">
      <c r="AG439" s="55"/>
      <c r="AH439" s="16"/>
      <c r="AI439" s="16"/>
      <c r="AJ439" s="16"/>
      <c r="AK439" s="16"/>
      <c r="AL439" s="16"/>
      <c r="AM439" s="16"/>
      <c r="AN439" s="16"/>
      <c r="AO439" s="16"/>
    </row>
    <row r="440" spans="33:41" x14ac:dyDescent="0.3">
      <c r="AG440" s="55"/>
      <c r="AH440" s="16"/>
      <c r="AI440" s="16"/>
      <c r="AJ440" s="16"/>
      <c r="AK440" s="16"/>
      <c r="AL440" s="16"/>
      <c r="AM440" s="16"/>
      <c r="AN440" s="16"/>
      <c r="AO440" s="16"/>
    </row>
    <row r="441" spans="33:41" x14ac:dyDescent="0.3">
      <c r="AG441" s="55"/>
      <c r="AH441" s="16"/>
      <c r="AI441" s="16"/>
      <c r="AJ441" s="16"/>
      <c r="AK441" s="16"/>
      <c r="AL441" s="16"/>
      <c r="AM441" s="16"/>
      <c r="AN441" s="16"/>
      <c r="AO441" s="16"/>
    </row>
    <row r="442" spans="33:41" x14ac:dyDescent="0.3">
      <c r="AG442" s="55"/>
      <c r="AH442" s="16"/>
      <c r="AI442" s="16"/>
      <c r="AJ442" s="16"/>
      <c r="AK442" s="16"/>
      <c r="AL442" s="16"/>
      <c r="AM442" s="16"/>
      <c r="AN442" s="16"/>
      <c r="AO442" s="16"/>
    </row>
    <row r="443" spans="33:41" x14ac:dyDescent="0.3">
      <c r="AG443" s="55"/>
      <c r="AH443" s="16"/>
      <c r="AI443" s="16"/>
      <c r="AJ443" s="16"/>
      <c r="AK443" s="16"/>
      <c r="AL443" s="16"/>
      <c r="AM443" s="16"/>
      <c r="AN443" s="16"/>
      <c r="AO443" s="16"/>
    </row>
    <row r="444" spans="33:41" x14ac:dyDescent="0.3">
      <c r="AG444" s="55"/>
      <c r="AH444" s="16"/>
      <c r="AI444" s="16"/>
      <c r="AJ444" s="16"/>
      <c r="AK444" s="16"/>
      <c r="AL444" s="16"/>
      <c r="AM444" s="16"/>
      <c r="AN444" s="16"/>
      <c r="AO444" s="16"/>
    </row>
    <row r="445" spans="33:41" x14ac:dyDescent="0.3">
      <c r="AG445" s="55"/>
      <c r="AH445" s="16"/>
      <c r="AI445" s="16"/>
      <c r="AJ445" s="16"/>
      <c r="AK445" s="16"/>
      <c r="AL445" s="16"/>
      <c r="AM445" s="16"/>
      <c r="AN445" s="16"/>
      <c r="AO445" s="16"/>
    </row>
    <row r="446" spans="33:41" x14ac:dyDescent="0.3">
      <c r="AG446" s="55"/>
      <c r="AH446" s="16"/>
      <c r="AI446" s="16"/>
      <c r="AJ446" s="16"/>
      <c r="AK446" s="16"/>
      <c r="AL446" s="16"/>
      <c r="AM446" s="16"/>
      <c r="AN446" s="16"/>
      <c r="AO446" s="16"/>
    </row>
    <row r="447" spans="33:41" x14ac:dyDescent="0.3">
      <c r="AG447" s="55"/>
      <c r="AH447" s="16"/>
      <c r="AI447" s="16"/>
      <c r="AJ447" s="16"/>
      <c r="AK447" s="16"/>
      <c r="AL447" s="16"/>
      <c r="AM447" s="16"/>
      <c r="AN447" s="16"/>
      <c r="AO447" s="16"/>
    </row>
    <row r="448" spans="33:41" x14ac:dyDescent="0.3">
      <c r="AG448" s="55"/>
      <c r="AH448" s="16"/>
      <c r="AI448" s="16"/>
      <c r="AJ448" s="16"/>
      <c r="AK448" s="16"/>
      <c r="AL448" s="16"/>
      <c r="AM448" s="16"/>
      <c r="AN448" s="16"/>
      <c r="AO448" s="16"/>
    </row>
    <row r="449" spans="33:41" x14ac:dyDescent="0.3">
      <c r="AG449" s="55"/>
      <c r="AH449" s="16"/>
      <c r="AI449" s="16"/>
      <c r="AJ449" s="16"/>
      <c r="AK449" s="16"/>
      <c r="AL449" s="16"/>
      <c r="AM449" s="16"/>
      <c r="AN449" s="16"/>
      <c r="AO449" s="16"/>
    </row>
    <row r="450" spans="33:41" x14ac:dyDescent="0.3">
      <c r="AG450" s="55"/>
      <c r="AH450" s="16"/>
      <c r="AI450" s="16"/>
      <c r="AJ450" s="16"/>
      <c r="AK450" s="16"/>
      <c r="AL450" s="16"/>
      <c r="AM450" s="16"/>
      <c r="AN450" s="16"/>
      <c r="AO450" s="16"/>
    </row>
    <row r="451" spans="33:41" x14ac:dyDescent="0.3">
      <c r="AG451" s="55"/>
      <c r="AH451" s="16"/>
      <c r="AI451" s="16"/>
      <c r="AJ451" s="16"/>
      <c r="AK451" s="16"/>
      <c r="AL451" s="16"/>
      <c r="AM451" s="16"/>
      <c r="AN451" s="16"/>
      <c r="AO451" s="16"/>
    </row>
    <row r="452" spans="33:41" x14ac:dyDescent="0.3">
      <c r="AG452" s="55"/>
      <c r="AH452" s="16"/>
      <c r="AI452" s="16"/>
      <c r="AJ452" s="16"/>
      <c r="AK452" s="16"/>
      <c r="AL452" s="16"/>
      <c r="AM452" s="16"/>
      <c r="AN452" s="16"/>
      <c r="AO452" s="16"/>
    </row>
    <row r="453" spans="33:41" x14ac:dyDescent="0.3">
      <c r="AG453" s="55"/>
      <c r="AH453" s="16"/>
      <c r="AI453" s="16"/>
      <c r="AJ453" s="16"/>
      <c r="AK453" s="16"/>
      <c r="AL453" s="16"/>
      <c r="AM453" s="16"/>
      <c r="AN453" s="16"/>
      <c r="AO453" s="16"/>
    </row>
    <row r="454" spans="33:41" x14ac:dyDescent="0.3">
      <c r="AG454" s="55"/>
      <c r="AH454" s="16"/>
      <c r="AI454" s="16"/>
      <c r="AJ454" s="16"/>
      <c r="AK454" s="16"/>
      <c r="AL454" s="16"/>
      <c r="AM454" s="16"/>
      <c r="AN454" s="16"/>
      <c r="AO454" s="16"/>
    </row>
    <row r="455" spans="33:41" x14ac:dyDescent="0.3">
      <c r="AG455" s="55"/>
      <c r="AH455" s="16"/>
      <c r="AI455" s="16"/>
      <c r="AJ455" s="16"/>
      <c r="AK455" s="16"/>
      <c r="AL455" s="16"/>
      <c r="AM455" s="16"/>
      <c r="AN455" s="16"/>
      <c r="AO455" s="16"/>
    </row>
    <row r="456" spans="33:41" x14ac:dyDescent="0.3">
      <c r="AG456" s="55"/>
      <c r="AH456" s="16"/>
      <c r="AI456" s="16"/>
      <c r="AJ456" s="16"/>
      <c r="AK456" s="16"/>
      <c r="AL456" s="16"/>
      <c r="AM456" s="16"/>
      <c r="AN456" s="16"/>
      <c r="AO456" s="16"/>
    </row>
    <row r="457" spans="33:41" x14ac:dyDescent="0.3">
      <c r="AG457" s="55"/>
      <c r="AH457" s="16"/>
      <c r="AI457" s="16"/>
      <c r="AJ457" s="16"/>
      <c r="AK457" s="16"/>
      <c r="AL457" s="16"/>
      <c r="AM457" s="16"/>
      <c r="AN457" s="16"/>
      <c r="AO457" s="16"/>
    </row>
    <row r="458" spans="33:41" x14ac:dyDescent="0.3">
      <c r="AG458" s="55"/>
      <c r="AH458" s="16"/>
      <c r="AI458" s="16"/>
      <c r="AJ458" s="16"/>
      <c r="AK458" s="16"/>
      <c r="AL458" s="16"/>
      <c r="AM458" s="16"/>
      <c r="AN458" s="16"/>
      <c r="AO458" s="16"/>
    </row>
    <row r="459" spans="33:41" x14ac:dyDescent="0.3">
      <c r="AG459" s="55"/>
      <c r="AH459" s="16"/>
      <c r="AI459" s="16"/>
      <c r="AJ459" s="16"/>
      <c r="AK459" s="16"/>
      <c r="AL459" s="16"/>
      <c r="AM459" s="16"/>
      <c r="AN459" s="16"/>
      <c r="AO459" s="16"/>
    </row>
    <row r="460" spans="33:41" x14ac:dyDescent="0.3">
      <c r="AG460" s="55"/>
      <c r="AH460" s="16"/>
      <c r="AI460" s="16"/>
      <c r="AJ460" s="16"/>
      <c r="AK460" s="16"/>
      <c r="AL460" s="16"/>
      <c r="AM460" s="16"/>
      <c r="AN460" s="16"/>
      <c r="AO460" s="16"/>
    </row>
    <row r="461" spans="33:41" x14ac:dyDescent="0.3">
      <c r="AG461" s="55"/>
      <c r="AH461" s="16"/>
      <c r="AI461" s="16"/>
      <c r="AJ461" s="16"/>
      <c r="AK461" s="16"/>
      <c r="AL461" s="16"/>
      <c r="AM461" s="16"/>
      <c r="AN461" s="16"/>
      <c r="AO461" s="16"/>
    </row>
    <row r="462" spans="33:41" x14ac:dyDescent="0.3">
      <c r="AG462" s="55"/>
      <c r="AH462" s="16"/>
      <c r="AI462" s="16"/>
      <c r="AJ462" s="16"/>
      <c r="AK462" s="16"/>
      <c r="AL462" s="16"/>
      <c r="AM462" s="16"/>
      <c r="AN462" s="16"/>
      <c r="AO462" s="16"/>
    </row>
  </sheetData>
  <mergeCells count="4">
    <mergeCell ref="A1:L1"/>
    <mergeCell ref="O1:P1"/>
    <mergeCell ref="R1:AT1"/>
    <mergeCell ref="AM2:AN2"/>
  </mergeCells>
  <phoneticPr fontId="29" type="noConversion"/>
  <pageMargins left="0.75" right="0.75" top="1" bottom="1" header="0.5" footer="0.5"/>
  <pageSetup paperSize="9" orientation="portrait" horizontalDpi="1200" verticalDpi="1200" r:id="rId1"/>
  <customProperties>
    <customPr name="SheetID" r:id="rId2"/>
  </customProperties>
  <drawing r:id="rId3"/>
  <legacyDrawing r:id="rId4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7"/>
  <dimension ref="A1:Z406"/>
  <sheetViews>
    <sheetView zoomScale="85" zoomScaleNormal="85" workbookViewId="0">
      <pane ySplit="2" topLeftCell="A3" activePane="bottomLeft" state="frozen"/>
      <selection pane="bottomLeft" activeCell="E11" sqref="E11"/>
    </sheetView>
  </sheetViews>
  <sheetFormatPr defaultColWidth="9" defaultRowHeight="14.15" x14ac:dyDescent="0.3"/>
  <cols>
    <col min="1" max="1" width="9" style="1"/>
    <col min="2" max="2" width="13.2109375" style="1" customWidth="1"/>
    <col min="3" max="3" width="10.85546875" style="1" customWidth="1"/>
    <col min="4" max="12" width="13" style="1" customWidth="1"/>
    <col min="13" max="13" width="9" style="2"/>
    <col min="14" max="14" width="9.140625" style="2" customWidth="1"/>
    <col min="15" max="15" width="9.2109375" style="3" customWidth="1"/>
    <col min="16" max="16" width="13.42578125" style="3" customWidth="1"/>
    <col min="17" max="17" width="9" style="2"/>
    <col min="18" max="18" width="11.2109375" style="4" customWidth="1"/>
    <col min="19" max="19" width="15.140625" style="4" customWidth="1"/>
    <col min="20" max="21" width="9" style="2"/>
    <col min="22" max="16384" width="9" style="1"/>
  </cols>
  <sheetData>
    <row r="1" spans="1:26" ht="74.150000000000006" customHeight="1" x14ac:dyDescent="0.35">
      <c r="A1" s="161" t="s">
        <v>191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O1" s="160" t="s">
        <v>209</v>
      </c>
      <c r="P1" s="160"/>
      <c r="R1" s="50" t="s">
        <v>210</v>
      </c>
      <c r="S1" s="50"/>
    </row>
    <row r="2" spans="1:26" ht="54.65" customHeight="1" x14ac:dyDescent="0.3">
      <c r="O2" s="46" t="str">
        <f>[1]!edb()</f>
        <v>Wind</v>
      </c>
      <c r="P2" s="47"/>
      <c r="R2" s="51" t="str">
        <f>[1]!edb()</f>
        <v>Wind</v>
      </c>
      <c r="S2" s="14"/>
      <c r="Y2" s="160" t="s">
        <v>288</v>
      </c>
      <c r="Z2" s="160"/>
    </row>
    <row r="3" spans="1:26" ht="99" x14ac:dyDescent="0.3">
      <c r="B3" s="6" t="s">
        <v>211</v>
      </c>
      <c r="C3" s="6" t="s">
        <v>212</v>
      </c>
      <c r="D3" s="7" t="s">
        <v>213</v>
      </c>
      <c r="E3" s="7" t="s">
        <v>214</v>
      </c>
      <c r="F3" s="7" t="s">
        <v>215</v>
      </c>
      <c r="G3" s="7" t="s">
        <v>216</v>
      </c>
      <c r="H3" s="1" t="s">
        <v>116</v>
      </c>
      <c r="I3" s="1" t="s">
        <v>119</v>
      </c>
      <c r="J3" s="1" t="s">
        <v>114</v>
      </c>
      <c r="K3" s="1" t="s">
        <v>126</v>
      </c>
      <c r="L3" s="1" t="s">
        <v>201</v>
      </c>
      <c r="O3" s="166" t="s">
        <v>263</v>
      </c>
      <c r="P3" s="167" t="s">
        <v>267</v>
      </c>
      <c r="R3" s="169" t="s">
        <v>263</v>
      </c>
      <c r="S3" s="171" t="s">
        <v>271</v>
      </c>
      <c r="Y3" s="1" t="s">
        <v>135</v>
      </c>
      <c r="Z3" s="1" t="s">
        <v>286</v>
      </c>
    </row>
    <row r="4" spans="1:26" x14ac:dyDescent="0.3">
      <c r="B4" s="6"/>
      <c r="C4" s="6"/>
      <c r="D4" s="7"/>
      <c r="E4" s="7"/>
      <c r="F4" s="7"/>
      <c r="G4" s="7"/>
      <c r="O4" s="125">
        <v>45443</v>
      </c>
      <c r="P4" s="132">
        <v>7.0554730840430464</v>
      </c>
      <c r="R4" s="169" t="s">
        <v>265</v>
      </c>
      <c r="S4" s="171" t="s">
        <v>272</v>
      </c>
      <c r="Y4" s="52">
        <v>40209</v>
      </c>
      <c r="Z4" s="1">
        <v>-13.60693776127372</v>
      </c>
    </row>
    <row r="5" spans="1:26" x14ac:dyDescent="0.3">
      <c r="B5" s="6"/>
      <c r="C5" s="6"/>
      <c r="D5" s="7"/>
      <c r="E5" s="7"/>
      <c r="F5" s="7"/>
      <c r="G5" s="7"/>
      <c r="O5" s="125">
        <v>45412</v>
      </c>
      <c r="P5" s="132">
        <v>4.4437448867845744</v>
      </c>
      <c r="R5" s="52">
        <v>40209</v>
      </c>
      <c r="S5" s="127">
        <v>31.02</v>
      </c>
      <c r="Y5" s="52">
        <v>40209</v>
      </c>
      <c r="Z5" s="1">
        <v>-13.60693776127372</v>
      </c>
    </row>
    <row r="6" spans="1:26" x14ac:dyDescent="0.3">
      <c r="A6" s="146">
        <v>46387</v>
      </c>
      <c r="B6" s="1">
        <v>3</v>
      </c>
      <c r="C6" s="1">
        <v>8.58</v>
      </c>
      <c r="D6" s="1">
        <v>1</v>
      </c>
      <c r="E6" s="1">
        <v>0</v>
      </c>
      <c r="F6" s="1">
        <v>0</v>
      </c>
      <c r="G6" s="1">
        <v>1</v>
      </c>
      <c r="H6" s="1">
        <v>0</v>
      </c>
      <c r="I6" s="1">
        <v>1</v>
      </c>
      <c r="J6" s="1">
        <v>0</v>
      </c>
      <c r="K6" s="1">
        <v>0</v>
      </c>
      <c r="L6" s="1" t="s">
        <v>119</v>
      </c>
      <c r="O6" s="125">
        <v>45382</v>
      </c>
      <c r="P6" s="132">
        <v>-1.5276922165194531</v>
      </c>
      <c r="R6" s="52">
        <v>40237</v>
      </c>
      <c r="S6" s="127">
        <v>29.29</v>
      </c>
      <c r="Y6" s="52">
        <v>40209</v>
      </c>
      <c r="Z6" s="1">
        <v>-13.60693776127372</v>
      </c>
    </row>
    <row r="7" spans="1:26" x14ac:dyDescent="0.3">
      <c r="A7" s="146">
        <v>46356</v>
      </c>
      <c r="B7" s="1">
        <v>4.9000000000000004</v>
      </c>
      <c r="C7" s="1">
        <v>8.75</v>
      </c>
      <c r="D7" s="1">
        <v>1</v>
      </c>
      <c r="E7" s="1">
        <v>0</v>
      </c>
      <c r="F7" s="1">
        <v>0</v>
      </c>
      <c r="G7" s="1">
        <v>1</v>
      </c>
      <c r="H7" s="1">
        <v>0</v>
      </c>
      <c r="I7" s="1">
        <v>1</v>
      </c>
      <c r="J7" s="1">
        <v>0</v>
      </c>
      <c r="K7" s="1">
        <v>0</v>
      </c>
      <c r="L7" s="1" t="s">
        <v>119</v>
      </c>
      <c r="O7" s="125">
        <v>45351</v>
      </c>
      <c r="P7" s="132">
        <v>-3.222993391898723</v>
      </c>
      <c r="R7" s="52">
        <v>40268</v>
      </c>
      <c r="S7" s="127">
        <v>24.08</v>
      </c>
      <c r="Y7" s="52">
        <v>40237</v>
      </c>
      <c r="Z7" s="1">
        <v>-33.225265669537222</v>
      </c>
    </row>
    <row r="8" spans="1:26" x14ac:dyDescent="0.3">
      <c r="A8" s="146">
        <v>46326</v>
      </c>
      <c r="B8" s="1">
        <v>4.2</v>
      </c>
      <c r="C8" s="1">
        <v>8.629999999999999</v>
      </c>
      <c r="D8" s="1">
        <v>1</v>
      </c>
      <c r="E8" s="1">
        <v>0</v>
      </c>
      <c r="F8" s="1">
        <v>0</v>
      </c>
      <c r="G8" s="1">
        <v>1</v>
      </c>
      <c r="H8" s="1">
        <v>0</v>
      </c>
      <c r="I8" s="1">
        <v>1</v>
      </c>
      <c r="J8" s="1">
        <v>0</v>
      </c>
      <c r="K8" s="1">
        <v>0</v>
      </c>
      <c r="L8" s="1" t="s">
        <v>119</v>
      </c>
      <c r="O8" s="125">
        <v>45322</v>
      </c>
      <c r="P8" s="132">
        <v>-1.77191644767751</v>
      </c>
      <c r="R8" s="52">
        <v>40298</v>
      </c>
      <c r="S8" s="53">
        <v>24.11</v>
      </c>
      <c r="Y8" s="52">
        <v>40237</v>
      </c>
      <c r="Z8" s="1">
        <v>-33.225265669537222</v>
      </c>
    </row>
    <row r="9" spans="1:26" x14ac:dyDescent="0.3">
      <c r="A9" s="146">
        <v>46295</v>
      </c>
      <c r="B9" s="1">
        <v>3.4</v>
      </c>
      <c r="C9" s="1">
        <v>8.33</v>
      </c>
      <c r="D9" s="1">
        <v>1</v>
      </c>
      <c r="E9" s="1">
        <v>0</v>
      </c>
      <c r="F9" s="1">
        <v>0</v>
      </c>
      <c r="G9" s="1">
        <v>1</v>
      </c>
      <c r="H9" s="1">
        <v>0</v>
      </c>
      <c r="I9" s="1">
        <v>1</v>
      </c>
      <c r="J9" s="1">
        <v>0</v>
      </c>
      <c r="K9" s="1">
        <v>0</v>
      </c>
      <c r="L9" s="1" t="s">
        <v>119</v>
      </c>
      <c r="O9" s="125">
        <v>45291</v>
      </c>
      <c r="P9" s="132">
        <v>2.6619152336692</v>
      </c>
      <c r="R9" s="52">
        <v>40329</v>
      </c>
      <c r="S9" s="53">
        <v>23.2</v>
      </c>
      <c r="Y9" s="52">
        <v>40237</v>
      </c>
      <c r="Z9" s="1">
        <v>-33.225265669537222</v>
      </c>
    </row>
    <row r="10" spans="1:26" x14ac:dyDescent="0.3">
      <c r="A10" s="146">
        <v>46265</v>
      </c>
      <c r="B10" s="1">
        <v>4.9000000000000004</v>
      </c>
      <c r="C10" s="1">
        <v>8.58</v>
      </c>
      <c r="D10" s="1">
        <v>1</v>
      </c>
      <c r="E10" s="1">
        <v>0</v>
      </c>
      <c r="F10" s="1">
        <v>0</v>
      </c>
      <c r="G10" s="1">
        <v>1</v>
      </c>
      <c r="H10" s="1">
        <v>0</v>
      </c>
      <c r="I10" s="1">
        <v>1</v>
      </c>
      <c r="J10" s="1">
        <v>0</v>
      </c>
      <c r="K10" s="1">
        <v>0</v>
      </c>
      <c r="L10" s="1" t="s">
        <v>119</v>
      </c>
      <c r="O10" s="125">
        <v>45260</v>
      </c>
      <c r="P10" s="132">
        <v>2.3895179615713911</v>
      </c>
      <c r="R10" s="52">
        <v>40359</v>
      </c>
      <c r="S10" s="53">
        <v>19.2</v>
      </c>
      <c r="Y10" s="52">
        <v>40268</v>
      </c>
      <c r="Z10" s="1">
        <v>-48.325844979792727</v>
      </c>
    </row>
    <row r="11" spans="1:26" x14ac:dyDescent="0.3">
      <c r="A11" s="146">
        <v>46234</v>
      </c>
      <c r="B11" s="1">
        <v>5.6</v>
      </c>
      <c r="C11" s="1">
        <v>8.5400000000000009</v>
      </c>
      <c r="D11" s="1">
        <v>1</v>
      </c>
      <c r="E11" s="1">
        <v>0</v>
      </c>
      <c r="F11" s="1">
        <v>0</v>
      </c>
      <c r="G11" s="1">
        <v>1</v>
      </c>
      <c r="H11" s="1">
        <v>0</v>
      </c>
      <c r="I11" s="1">
        <v>1</v>
      </c>
      <c r="J11" s="1">
        <v>0</v>
      </c>
      <c r="K11" s="1">
        <v>0</v>
      </c>
      <c r="L11" s="1" t="s">
        <v>119</v>
      </c>
      <c r="O11" s="125">
        <v>45230</v>
      </c>
      <c r="P11" s="132">
        <v>1.986137707131687</v>
      </c>
      <c r="R11" s="52">
        <v>40390</v>
      </c>
      <c r="S11" s="53">
        <v>19.100000000000001</v>
      </c>
      <c r="Y11" s="52">
        <v>40268</v>
      </c>
      <c r="Z11" s="1">
        <v>-48.325844979792727</v>
      </c>
    </row>
    <row r="12" spans="1:26" x14ac:dyDescent="0.3">
      <c r="A12" s="146">
        <v>46203</v>
      </c>
      <c r="B12" s="1">
        <v>7.3</v>
      </c>
      <c r="C12" s="1">
        <v>8.2200000000000006</v>
      </c>
      <c r="D12" s="1">
        <v>1</v>
      </c>
      <c r="E12" s="1">
        <v>0</v>
      </c>
      <c r="F12" s="1">
        <v>0</v>
      </c>
      <c r="G12" s="1">
        <v>1</v>
      </c>
      <c r="H12" s="1">
        <v>0</v>
      </c>
      <c r="I12" s="1">
        <v>1</v>
      </c>
      <c r="J12" s="1">
        <v>0</v>
      </c>
      <c r="K12" s="1">
        <v>0</v>
      </c>
      <c r="L12" s="1" t="s">
        <v>119</v>
      </c>
      <c r="O12" s="125">
        <v>45199</v>
      </c>
      <c r="P12" s="132">
        <v>0.98735996275792903</v>
      </c>
      <c r="R12" s="52">
        <v>40421</v>
      </c>
      <c r="S12" s="53">
        <v>18.899999999999999</v>
      </c>
      <c r="Y12" s="52">
        <v>40268</v>
      </c>
      <c r="Z12" s="1">
        <v>-48.325844979792727</v>
      </c>
    </row>
    <row r="13" spans="1:26" x14ac:dyDescent="0.3">
      <c r="A13" s="146">
        <v>46173</v>
      </c>
      <c r="B13" s="1">
        <v>8.4</v>
      </c>
      <c r="C13" s="1">
        <v>8.1199999999999992</v>
      </c>
      <c r="D13" s="1">
        <v>1</v>
      </c>
      <c r="E13" s="1">
        <v>0</v>
      </c>
      <c r="F13" s="1">
        <v>0</v>
      </c>
      <c r="G13" s="1">
        <v>1</v>
      </c>
      <c r="H13" s="1">
        <v>0</v>
      </c>
      <c r="I13" s="1">
        <v>1</v>
      </c>
      <c r="J13" s="1">
        <v>0</v>
      </c>
      <c r="K13" s="1">
        <v>0</v>
      </c>
      <c r="L13" s="1" t="s">
        <v>119</v>
      </c>
      <c r="O13" s="125">
        <v>45169</v>
      </c>
      <c r="P13" s="132">
        <v>1.5354235265861971</v>
      </c>
      <c r="R13" s="52">
        <v>40451</v>
      </c>
      <c r="S13" s="53">
        <v>18.7</v>
      </c>
      <c r="Y13" s="52">
        <v>40298</v>
      </c>
      <c r="Z13" s="1">
        <v>-48.834499724415537</v>
      </c>
    </row>
    <row r="14" spans="1:26" x14ac:dyDescent="0.3">
      <c r="A14" s="146">
        <v>46142</v>
      </c>
      <c r="B14" s="1">
        <v>10.5</v>
      </c>
      <c r="C14" s="1">
        <v>8.11</v>
      </c>
      <c r="D14" s="1">
        <v>1</v>
      </c>
      <c r="E14" s="1">
        <v>0</v>
      </c>
      <c r="F14" s="1">
        <v>0</v>
      </c>
      <c r="G14" s="1">
        <v>1</v>
      </c>
      <c r="H14" s="1">
        <v>0</v>
      </c>
      <c r="I14" s="1">
        <v>1</v>
      </c>
      <c r="J14" s="1">
        <v>0</v>
      </c>
      <c r="K14" s="1">
        <v>0</v>
      </c>
      <c r="L14" s="1" t="s">
        <v>119</v>
      </c>
      <c r="O14" s="125">
        <v>45138</v>
      </c>
      <c r="P14" s="132">
        <v>2.2642084375373E-2</v>
      </c>
      <c r="R14" s="52">
        <v>40482</v>
      </c>
      <c r="S14" s="53">
        <v>19.100000000000001</v>
      </c>
      <c r="Y14" s="52">
        <v>40298</v>
      </c>
      <c r="Z14" s="1">
        <v>-48.834499724415537</v>
      </c>
    </row>
    <row r="15" spans="1:26" x14ac:dyDescent="0.3">
      <c r="A15" s="146">
        <v>46112</v>
      </c>
      <c r="B15" s="1">
        <v>12.3</v>
      </c>
      <c r="C15" s="1">
        <v>7.48</v>
      </c>
      <c r="D15" s="1">
        <v>1</v>
      </c>
      <c r="E15" s="1">
        <v>0</v>
      </c>
      <c r="F15" s="1">
        <v>0</v>
      </c>
      <c r="G15" s="1">
        <v>1</v>
      </c>
      <c r="H15" s="1">
        <v>0</v>
      </c>
      <c r="I15" s="1">
        <v>1</v>
      </c>
      <c r="J15" s="1">
        <v>0</v>
      </c>
      <c r="K15" s="1">
        <v>0</v>
      </c>
      <c r="L15" s="1" t="s">
        <v>119</v>
      </c>
      <c r="O15" s="125">
        <v>45107</v>
      </c>
      <c r="P15" s="132">
        <v>-0.36190692945082398</v>
      </c>
      <c r="R15" s="52">
        <v>40512</v>
      </c>
      <c r="S15" s="53">
        <v>19.399999999999999</v>
      </c>
      <c r="Y15" s="52">
        <v>40298</v>
      </c>
      <c r="Z15" s="1">
        <v>-48.834499724415537</v>
      </c>
    </row>
    <row r="16" spans="1:26" x14ac:dyDescent="0.3">
      <c r="A16" s="146">
        <v>46081</v>
      </c>
      <c r="B16" s="1">
        <v>13</v>
      </c>
      <c r="C16" s="1">
        <v>7.71</v>
      </c>
      <c r="D16" s="1">
        <v>1</v>
      </c>
      <c r="E16" s="1">
        <v>0</v>
      </c>
      <c r="F16" s="1">
        <v>1</v>
      </c>
      <c r="G16" s="1">
        <v>0</v>
      </c>
      <c r="H16" s="1">
        <v>0</v>
      </c>
      <c r="I16" s="1">
        <v>0</v>
      </c>
      <c r="J16" s="1">
        <v>0</v>
      </c>
      <c r="K16" s="1">
        <v>1</v>
      </c>
      <c r="L16" s="1" t="s">
        <v>126</v>
      </c>
      <c r="O16" s="125">
        <v>45077</v>
      </c>
      <c r="P16" s="133">
        <v>0.98544236504147698</v>
      </c>
      <c r="R16" s="52">
        <v>40543</v>
      </c>
      <c r="S16" s="53">
        <v>19.7</v>
      </c>
      <c r="Y16" s="52">
        <v>40329</v>
      </c>
      <c r="Z16" s="1">
        <v>-49.01285195885054</v>
      </c>
    </row>
    <row r="17" spans="1:26" x14ac:dyDescent="0.3">
      <c r="A17" s="146">
        <v>46053</v>
      </c>
      <c r="B17" s="1">
        <v>12.6</v>
      </c>
      <c r="C17" s="1">
        <v>7.54</v>
      </c>
      <c r="D17" s="1">
        <v>1</v>
      </c>
      <c r="E17" s="1">
        <v>0</v>
      </c>
      <c r="F17" s="1">
        <v>1</v>
      </c>
      <c r="G17" s="1">
        <v>0</v>
      </c>
      <c r="H17" s="1">
        <v>0</v>
      </c>
      <c r="I17" s="1">
        <v>0</v>
      </c>
      <c r="J17" s="1">
        <v>0</v>
      </c>
      <c r="K17" s="1">
        <v>1</v>
      </c>
      <c r="L17" s="1" t="s">
        <v>126</v>
      </c>
      <c r="O17" s="125">
        <v>45046</v>
      </c>
      <c r="P17" s="133">
        <v>7.0554404576982019</v>
      </c>
      <c r="R17" s="52">
        <v>40574</v>
      </c>
      <c r="S17" s="53">
        <v>18.3</v>
      </c>
      <c r="Y17" s="52">
        <v>40329</v>
      </c>
      <c r="Z17" s="1">
        <v>-49.01285195885054</v>
      </c>
    </row>
    <row r="18" spans="1:26" x14ac:dyDescent="0.3">
      <c r="A18" s="146">
        <v>46022</v>
      </c>
      <c r="B18" s="9">
        <v>11.934930259389841</v>
      </c>
      <c r="C18" s="9">
        <v>7.2</v>
      </c>
      <c r="D18" s="1">
        <v>0</v>
      </c>
      <c r="E18" s="1">
        <v>1</v>
      </c>
      <c r="F18" s="1">
        <v>1</v>
      </c>
      <c r="G18" s="1">
        <v>0</v>
      </c>
      <c r="H18" s="1">
        <v>0</v>
      </c>
      <c r="I18" s="1">
        <v>0</v>
      </c>
      <c r="J18" s="1">
        <v>1</v>
      </c>
      <c r="K18" s="1">
        <v>0</v>
      </c>
      <c r="L18" s="1" t="s">
        <v>114</v>
      </c>
      <c r="O18" s="125">
        <v>45016</v>
      </c>
      <c r="P18" s="133">
        <v>11.02673256509404</v>
      </c>
      <c r="R18" s="52">
        <v>40602</v>
      </c>
      <c r="S18" s="53">
        <v>17.399999999999999</v>
      </c>
      <c r="Y18" s="52">
        <v>40329</v>
      </c>
      <c r="Z18" s="1">
        <v>-49.01285195885054</v>
      </c>
    </row>
    <row r="19" spans="1:26" x14ac:dyDescent="0.3">
      <c r="A19" s="146">
        <v>45991</v>
      </c>
      <c r="B19" s="9">
        <v>9.7502667803965615</v>
      </c>
      <c r="C19" s="9">
        <v>7.3</v>
      </c>
      <c r="D19" s="1">
        <v>0</v>
      </c>
      <c r="E19" s="1">
        <v>1</v>
      </c>
      <c r="F19" s="1">
        <v>1</v>
      </c>
      <c r="G19" s="1">
        <v>0</v>
      </c>
      <c r="H19" s="1">
        <v>0</v>
      </c>
      <c r="I19" s="1">
        <v>0</v>
      </c>
      <c r="J19" s="1">
        <v>1</v>
      </c>
      <c r="K19" s="1">
        <v>0</v>
      </c>
      <c r="L19" s="1" t="s">
        <v>114</v>
      </c>
      <c r="O19" s="125">
        <v>44985</v>
      </c>
      <c r="P19" s="133">
        <v>18.984670957894132</v>
      </c>
      <c r="R19" s="52">
        <v>40633</v>
      </c>
      <c r="S19" s="53">
        <v>17.600000000000001</v>
      </c>
      <c r="Y19" s="52">
        <v>40359</v>
      </c>
      <c r="Z19" s="1">
        <v>-52.31133572879066</v>
      </c>
    </row>
    <row r="20" spans="1:26" x14ac:dyDescent="0.3">
      <c r="A20" s="146">
        <v>45961</v>
      </c>
      <c r="B20" s="9">
        <f t="shared" ref="B20:B36" si="0">VLOOKUP(A20,Y:Z,2,0)</f>
        <v>4.2</v>
      </c>
      <c r="C20" s="9">
        <f t="shared" ref="C20:C51" si="1">VLOOKUP(A20,R:S,2,0)</f>
        <v>8.629999999999999</v>
      </c>
      <c r="D20" s="1">
        <v>1</v>
      </c>
      <c r="E20" s="1">
        <f t="shared" ref="E20:E35" si="2">1-D20</f>
        <v>0</v>
      </c>
      <c r="F20" s="1">
        <v>0</v>
      </c>
      <c r="G20" s="1">
        <f t="shared" ref="G20:G35" si="3">1-F20</f>
        <v>1</v>
      </c>
      <c r="H20" s="1">
        <f t="shared" ref="H20:H29" si="4">INT(AND(G20=1,E20=1))</f>
        <v>0</v>
      </c>
      <c r="I20" s="1">
        <f t="shared" ref="I20:I29" si="5">INT(AND(G20=1,D20=1))</f>
        <v>1</v>
      </c>
      <c r="J20" s="1">
        <f t="shared" ref="J20:J29" si="6">INT(AND(F20=1,E20=1))</f>
        <v>0</v>
      </c>
      <c r="K20" s="1">
        <f t="shared" ref="K20:K29" si="7">INT(AND(F20=1,D20=1))</f>
        <v>0</v>
      </c>
      <c r="L20" s="1" t="str">
        <f t="shared" ref="L20:L29" si="8">INDEX($H$3:$K$3,1,MATCH(1,H20:K20,0))</f>
        <v>被动去库存</v>
      </c>
      <c r="O20" s="125">
        <v>44957</v>
      </c>
      <c r="P20" s="133">
        <v>23.591447945958681</v>
      </c>
      <c r="R20" s="52">
        <v>40663</v>
      </c>
      <c r="S20" s="53">
        <v>17.2</v>
      </c>
      <c r="Y20" s="52">
        <v>40359</v>
      </c>
      <c r="Z20" s="1">
        <v>-52.31133572879066</v>
      </c>
    </row>
    <row r="21" spans="1:26" x14ac:dyDescent="0.3">
      <c r="A21" s="146">
        <v>45930</v>
      </c>
      <c r="B21" s="9">
        <f t="shared" si="0"/>
        <v>3.4</v>
      </c>
      <c r="C21" s="9">
        <f t="shared" si="1"/>
        <v>8.33</v>
      </c>
      <c r="D21" s="1">
        <v>1</v>
      </c>
      <c r="E21" s="1">
        <f t="shared" si="2"/>
        <v>0</v>
      </c>
      <c r="F21" s="1">
        <v>0</v>
      </c>
      <c r="G21" s="1">
        <f t="shared" si="3"/>
        <v>1</v>
      </c>
      <c r="H21" s="1">
        <f t="shared" si="4"/>
        <v>0</v>
      </c>
      <c r="I21" s="1">
        <f t="shared" si="5"/>
        <v>1</v>
      </c>
      <c r="J21" s="1">
        <f t="shared" si="6"/>
        <v>0</v>
      </c>
      <c r="K21" s="1">
        <f t="shared" si="7"/>
        <v>0</v>
      </c>
      <c r="L21" s="1" t="str">
        <f t="shared" si="8"/>
        <v>被动去库存</v>
      </c>
      <c r="O21" s="125">
        <v>44926</v>
      </c>
      <c r="P21" s="133">
        <v>30.019910461290319</v>
      </c>
      <c r="R21" s="52">
        <v>40694</v>
      </c>
      <c r="S21" s="53">
        <v>16.899999999999999</v>
      </c>
      <c r="Y21" s="52">
        <v>40359</v>
      </c>
      <c r="Z21" s="1">
        <v>-52.31133572879066</v>
      </c>
    </row>
    <row r="22" spans="1:26" x14ac:dyDescent="0.3">
      <c r="A22" s="146">
        <v>45900</v>
      </c>
      <c r="B22" s="9">
        <f t="shared" si="0"/>
        <v>4.9000000000000004</v>
      </c>
      <c r="C22" s="9">
        <f t="shared" si="1"/>
        <v>8.58</v>
      </c>
      <c r="D22" s="1">
        <v>1</v>
      </c>
      <c r="E22" s="1">
        <f t="shared" si="2"/>
        <v>0</v>
      </c>
      <c r="F22" s="1">
        <v>0</v>
      </c>
      <c r="G22" s="1">
        <f t="shared" si="3"/>
        <v>1</v>
      </c>
      <c r="H22" s="1">
        <f t="shared" si="4"/>
        <v>0</v>
      </c>
      <c r="I22" s="1">
        <f t="shared" si="5"/>
        <v>1</v>
      </c>
      <c r="J22" s="1">
        <f t="shared" si="6"/>
        <v>0</v>
      </c>
      <c r="K22" s="1">
        <f t="shared" si="7"/>
        <v>0</v>
      </c>
      <c r="L22" s="1" t="str">
        <f t="shared" si="8"/>
        <v>被动去库存</v>
      </c>
      <c r="O22" s="125">
        <v>44895</v>
      </c>
      <c r="P22" s="133">
        <v>34.402114698379521</v>
      </c>
      <c r="R22" s="52">
        <v>40724</v>
      </c>
      <c r="S22" s="53">
        <v>16.8</v>
      </c>
      <c r="Y22" s="52">
        <v>40390</v>
      </c>
      <c r="Z22" s="1">
        <v>-50.829999322093272</v>
      </c>
    </row>
    <row r="23" spans="1:26" x14ac:dyDescent="0.3">
      <c r="A23" s="146">
        <v>45869</v>
      </c>
      <c r="B23" s="9">
        <f t="shared" si="0"/>
        <v>5.6</v>
      </c>
      <c r="C23" s="9">
        <f t="shared" si="1"/>
        <v>8.5400000000000009</v>
      </c>
      <c r="D23" s="1">
        <v>1</v>
      </c>
      <c r="E23" s="1">
        <f t="shared" si="2"/>
        <v>0</v>
      </c>
      <c r="F23" s="1">
        <v>0</v>
      </c>
      <c r="G23" s="1">
        <f t="shared" si="3"/>
        <v>1</v>
      </c>
      <c r="H23" s="1">
        <f t="shared" si="4"/>
        <v>0</v>
      </c>
      <c r="I23" s="1">
        <f t="shared" si="5"/>
        <v>1</v>
      </c>
      <c r="J23" s="1">
        <f t="shared" si="6"/>
        <v>0</v>
      </c>
      <c r="K23" s="1">
        <f t="shared" si="7"/>
        <v>0</v>
      </c>
      <c r="L23" s="1" t="str">
        <f t="shared" si="8"/>
        <v>被动去库存</v>
      </c>
      <c r="O23" s="125">
        <v>44865</v>
      </c>
      <c r="P23" s="49">
        <v>35.056671317128952</v>
      </c>
      <c r="R23" s="52">
        <v>40755</v>
      </c>
      <c r="S23" s="53">
        <v>16.7</v>
      </c>
      <c r="Y23" s="52">
        <v>40390</v>
      </c>
      <c r="Z23" s="1">
        <v>-50.829999322093272</v>
      </c>
    </row>
    <row r="24" spans="1:26" x14ac:dyDescent="0.3">
      <c r="A24" s="146">
        <v>45838</v>
      </c>
      <c r="B24" s="9">
        <f t="shared" si="0"/>
        <v>7.3</v>
      </c>
      <c r="C24" s="9">
        <f t="shared" si="1"/>
        <v>8.2200000000000006</v>
      </c>
      <c r="D24" s="1">
        <v>1</v>
      </c>
      <c r="E24" s="1">
        <f t="shared" si="2"/>
        <v>0</v>
      </c>
      <c r="F24" s="1">
        <v>0</v>
      </c>
      <c r="G24" s="1">
        <f t="shared" si="3"/>
        <v>1</v>
      </c>
      <c r="H24" s="1">
        <f t="shared" si="4"/>
        <v>0</v>
      </c>
      <c r="I24" s="1">
        <f t="shared" si="5"/>
        <v>1</v>
      </c>
      <c r="J24" s="1">
        <f t="shared" si="6"/>
        <v>0</v>
      </c>
      <c r="K24" s="1">
        <f t="shared" si="7"/>
        <v>0</v>
      </c>
      <c r="L24" s="1" t="str">
        <f t="shared" si="8"/>
        <v>被动去库存</v>
      </c>
      <c r="O24" s="125">
        <v>44834</v>
      </c>
      <c r="P24" s="49">
        <v>34.68844065044977</v>
      </c>
      <c r="R24" s="52">
        <v>40786</v>
      </c>
      <c r="S24" s="53">
        <v>16.5</v>
      </c>
      <c r="Y24" s="52">
        <v>40390</v>
      </c>
      <c r="Z24" s="1">
        <v>-50.829999322093272</v>
      </c>
    </row>
    <row r="25" spans="1:26" x14ac:dyDescent="0.3">
      <c r="A25" s="146">
        <v>45808</v>
      </c>
      <c r="B25" s="9">
        <f t="shared" si="0"/>
        <v>8.4</v>
      </c>
      <c r="C25" s="9">
        <f t="shared" si="1"/>
        <v>8.1199999999999992</v>
      </c>
      <c r="D25" s="1">
        <v>1</v>
      </c>
      <c r="E25" s="1">
        <f t="shared" si="2"/>
        <v>0</v>
      </c>
      <c r="F25" s="1">
        <v>0</v>
      </c>
      <c r="G25" s="1">
        <f t="shared" si="3"/>
        <v>1</v>
      </c>
      <c r="H25" s="1">
        <f t="shared" si="4"/>
        <v>0</v>
      </c>
      <c r="I25" s="1">
        <f t="shared" si="5"/>
        <v>1</v>
      </c>
      <c r="J25" s="1">
        <f t="shared" si="6"/>
        <v>0</v>
      </c>
      <c r="K25" s="1">
        <f t="shared" si="7"/>
        <v>0</v>
      </c>
      <c r="L25" s="1" t="str">
        <f t="shared" si="8"/>
        <v>被动去库存</v>
      </c>
      <c r="O25" s="125">
        <v>44804</v>
      </c>
      <c r="P25" s="49">
        <v>37.602776863762948</v>
      </c>
      <c r="R25" s="52">
        <v>40816</v>
      </c>
      <c r="S25" s="53">
        <v>16</v>
      </c>
      <c r="Y25" s="52">
        <v>40421</v>
      </c>
      <c r="Z25" s="1">
        <v>-47.17793947961313</v>
      </c>
    </row>
    <row r="26" spans="1:26" x14ac:dyDescent="0.3">
      <c r="A26" s="146">
        <v>45777</v>
      </c>
      <c r="B26" s="9">
        <f t="shared" si="0"/>
        <v>10.5</v>
      </c>
      <c r="C26" s="9">
        <f t="shared" si="1"/>
        <v>8.11</v>
      </c>
      <c r="D26" s="1">
        <v>1</v>
      </c>
      <c r="E26" s="1">
        <f t="shared" si="2"/>
        <v>0</v>
      </c>
      <c r="F26" s="1">
        <v>0</v>
      </c>
      <c r="G26" s="1">
        <f t="shared" si="3"/>
        <v>1</v>
      </c>
      <c r="H26" s="1">
        <f t="shared" si="4"/>
        <v>0</v>
      </c>
      <c r="I26" s="1">
        <f t="shared" si="5"/>
        <v>1</v>
      </c>
      <c r="J26" s="1">
        <f t="shared" si="6"/>
        <v>0</v>
      </c>
      <c r="K26" s="1">
        <f t="shared" si="7"/>
        <v>0</v>
      </c>
      <c r="L26" s="1" t="str">
        <f t="shared" si="8"/>
        <v>被动去库存</v>
      </c>
      <c r="O26" s="125">
        <v>44773</v>
      </c>
      <c r="P26" s="49">
        <v>40.207567339838498</v>
      </c>
      <c r="R26" s="52">
        <v>40847</v>
      </c>
      <c r="S26" s="53">
        <v>15.9</v>
      </c>
      <c r="Y26" s="52">
        <v>40421</v>
      </c>
      <c r="Z26" s="1">
        <v>-47.17793947961313</v>
      </c>
    </row>
    <row r="27" spans="1:26" x14ac:dyDescent="0.3">
      <c r="A27" s="146">
        <v>45747</v>
      </c>
      <c r="B27" s="9">
        <f t="shared" si="0"/>
        <v>12.3</v>
      </c>
      <c r="C27" s="9">
        <f t="shared" si="1"/>
        <v>7.48</v>
      </c>
      <c r="D27" s="1">
        <v>1</v>
      </c>
      <c r="E27" s="1">
        <f t="shared" si="2"/>
        <v>0</v>
      </c>
      <c r="F27" s="1">
        <v>0</v>
      </c>
      <c r="G27" s="1">
        <f t="shared" si="3"/>
        <v>1</v>
      </c>
      <c r="H27" s="1">
        <f t="shared" si="4"/>
        <v>0</v>
      </c>
      <c r="I27" s="1">
        <f t="shared" si="5"/>
        <v>1</v>
      </c>
      <c r="J27" s="1">
        <f t="shared" si="6"/>
        <v>0</v>
      </c>
      <c r="K27" s="1">
        <f t="shared" si="7"/>
        <v>0</v>
      </c>
      <c r="L27" s="1" t="str">
        <f t="shared" si="8"/>
        <v>被动去库存</v>
      </c>
      <c r="O27" s="125">
        <v>44742</v>
      </c>
      <c r="P27" s="49">
        <v>39.446294727674122</v>
      </c>
      <c r="R27" s="52">
        <v>40877</v>
      </c>
      <c r="S27" s="53">
        <v>15.6</v>
      </c>
      <c r="Y27" s="52">
        <v>40421</v>
      </c>
      <c r="Z27" s="1">
        <v>-47.17793947961313</v>
      </c>
    </row>
    <row r="28" spans="1:26" x14ac:dyDescent="0.3">
      <c r="A28" s="146">
        <v>45716</v>
      </c>
      <c r="B28" s="9">
        <f t="shared" si="0"/>
        <v>13</v>
      </c>
      <c r="C28" s="9">
        <f t="shared" si="1"/>
        <v>7.71</v>
      </c>
      <c r="D28" s="1">
        <v>1</v>
      </c>
      <c r="E28" s="1">
        <f t="shared" si="2"/>
        <v>0</v>
      </c>
      <c r="F28" s="1">
        <v>1</v>
      </c>
      <c r="G28" s="1">
        <f t="shared" si="3"/>
        <v>0</v>
      </c>
      <c r="H28" s="1">
        <f t="shared" si="4"/>
        <v>0</v>
      </c>
      <c r="I28" s="1">
        <f t="shared" si="5"/>
        <v>0</v>
      </c>
      <c r="J28" s="1">
        <f t="shared" si="6"/>
        <v>0</v>
      </c>
      <c r="K28" s="1">
        <f t="shared" si="7"/>
        <v>1</v>
      </c>
      <c r="L28" s="1" t="str">
        <f t="shared" si="8"/>
        <v>主动补库存</v>
      </c>
      <c r="O28" s="125">
        <v>44712</v>
      </c>
      <c r="P28" s="49">
        <v>43.116721430031482</v>
      </c>
      <c r="R28" s="52">
        <v>40908</v>
      </c>
      <c r="S28" s="53">
        <v>15.7</v>
      </c>
      <c r="Y28" s="52">
        <v>40451</v>
      </c>
      <c r="Z28" s="1">
        <v>-43.863648823666367</v>
      </c>
    </row>
    <row r="29" spans="1:26" x14ac:dyDescent="0.3">
      <c r="A29" s="146">
        <v>45688</v>
      </c>
      <c r="B29" s="9">
        <f t="shared" si="0"/>
        <v>12.6</v>
      </c>
      <c r="C29" s="9">
        <f t="shared" si="1"/>
        <v>7.54</v>
      </c>
      <c r="D29" s="1">
        <v>1</v>
      </c>
      <c r="E29" s="1">
        <f t="shared" si="2"/>
        <v>0</v>
      </c>
      <c r="F29" s="1">
        <v>1</v>
      </c>
      <c r="G29" s="1">
        <f t="shared" si="3"/>
        <v>0</v>
      </c>
      <c r="H29" s="1">
        <f t="shared" si="4"/>
        <v>0</v>
      </c>
      <c r="I29" s="1">
        <f t="shared" si="5"/>
        <v>0</v>
      </c>
      <c r="J29" s="1">
        <f t="shared" si="6"/>
        <v>0</v>
      </c>
      <c r="K29" s="1">
        <f t="shared" si="7"/>
        <v>1</v>
      </c>
      <c r="L29" s="1" t="str">
        <f t="shared" si="8"/>
        <v>主动补库存</v>
      </c>
      <c r="O29" s="125">
        <v>44681</v>
      </c>
      <c r="P29" s="49">
        <v>37.069277515424481</v>
      </c>
      <c r="R29" s="52">
        <v>40939</v>
      </c>
      <c r="S29" s="53">
        <v>14.8</v>
      </c>
      <c r="Y29" s="52">
        <v>40451</v>
      </c>
      <c r="Z29" s="1">
        <v>-43.863648823666367</v>
      </c>
    </row>
    <row r="30" spans="1:26" x14ac:dyDescent="0.3">
      <c r="A30" s="8">
        <v>45657</v>
      </c>
      <c r="B30" s="144">
        <f t="shared" si="0"/>
        <v>11.934930259389841</v>
      </c>
      <c r="C30" s="144">
        <f t="shared" si="1"/>
        <v>7.2</v>
      </c>
      <c r="D30" s="1">
        <v>0</v>
      </c>
      <c r="E30" s="1">
        <f t="shared" si="2"/>
        <v>1</v>
      </c>
      <c r="F30" s="1">
        <v>1</v>
      </c>
      <c r="G30" s="1">
        <f t="shared" si="3"/>
        <v>0</v>
      </c>
      <c r="H30" s="1">
        <f t="shared" ref="H30:H36" si="9">INT(AND(G30=1,E30=1))</f>
        <v>0</v>
      </c>
      <c r="I30" s="1">
        <f t="shared" ref="I30:I36" si="10">INT(AND(G30=1,D30=1))</f>
        <v>0</v>
      </c>
      <c r="J30" s="1">
        <f t="shared" ref="J30:J36" si="11">INT(AND(F30=1,E30=1))</f>
        <v>1</v>
      </c>
      <c r="K30" s="1">
        <f t="shared" ref="K30:K36" si="12">INT(AND(F30=1,D30=1))</f>
        <v>0</v>
      </c>
      <c r="L30" s="1" t="str">
        <f t="shared" ref="L30:L36" si="13">INDEX($H$3:$K$3,1,MATCH(1,H30:K30,0))</f>
        <v>被动补库存</v>
      </c>
      <c r="O30" s="125">
        <v>44651</v>
      </c>
      <c r="P30" s="49">
        <v>35.251779199049388</v>
      </c>
      <c r="R30" s="52">
        <v>40968</v>
      </c>
      <c r="S30" s="53">
        <v>15</v>
      </c>
      <c r="Y30" s="52">
        <v>40451</v>
      </c>
      <c r="Z30" s="1">
        <v>-43.863648823666367</v>
      </c>
    </row>
    <row r="31" spans="1:26" x14ac:dyDescent="0.3">
      <c r="A31" s="8">
        <v>45626</v>
      </c>
      <c r="B31" s="144">
        <f t="shared" si="0"/>
        <v>9.7502667803965615</v>
      </c>
      <c r="C31" s="144">
        <f t="shared" si="1"/>
        <v>7.3</v>
      </c>
      <c r="D31" s="1">
        <v>0</v>
      </c>
      <c r="E31" s="1">
        <f t="shared" si="2"/>
        <v>1</v>
      </c>
      <c r="F31" s="1">
        <v>1</v>
      </c>
      <c r="G31" s="1">
        <f t="shared" si="3"/>
        <v>0</v>
      </c>
      <c r="H31" s="1">
        <f t="shared" si="9"/>
        <v>0</v>
      </c>
      <c r="I31" s="1">
        <f t="shared" si="10"/>
        <v>0</v>
      </c>
      <c r="J31" s="1">
        <f t="shared" si="11"/>
        <v>1</v>
      </c>
      <c r="K31" s="1">
        <f t="shared" si="12"/>
        <v>0</v>
      </c>
      <c r="L31" s="1" t="str">
        <f t="shared" si="13"/>
        <v>被动补库存</v>
      </c>
      <c r="O31" s="125">
        <v>44620</v>
      </c>
      <c r="P31" s="49">
        <v>28.71490940320642</v>
      </c>
      <c r="R31" s="52">
        <v>40999</v>
      </c>
      <c r="S31" s="53">
        <v>15.5</v>
      </c>
      <c r="Y31" s="52">
        <v>40482</v>
      </c>
      <c r="Z31" s="1">
        <v>-39.474395383099981</v>
      </c>
    </row>
    <row r="32" spans="1:26" x14ac:dyDescent="0.3">
      <c r="A32" s="8">
        <v>45596</v>
      </c>
      <c r="B32" s="144">
        <f t="shared" si="0"/>
        <v>10.6055154862912</v>
      </c>
      <c r="C32" s="144">
        <f t="shared" si="1"/>
        <v>7.5</v>
      </c>
      <c r="D32" s="1">
        <v>0</v>
      </c>
      <c r="E32" s="1">
        <f t="shared" si="2"/>
        <v>1</v>
      </c>
      <c r="F32" s="1">
        <v>1</v>
      </c>
      <c r="G32" s="1">
        <f t="shared" si="3"/>
        <v>0</v>
      </c>
      <c r="H32" s="1">
        <f t="shared" si="9"/>
        <v>0</v>
      </c>
      <c r="I32" s="1">
        <f t="shared" si="10"/>
        <v>0</v>
      </c>
      <c r="J32" s="1">
        <f t="shared" si="11"/>
        <v>1</v>
      </c>
      <c r="K32" s="1">
        <f t="shared" si="12"/>
        <v>0</v>
      </c>
      <c r="L32" s="1" t="str">
        <f t="shared" si="13"/>
        <v>被动补库存</v>
      </c>
      <c r="O32" s="125">
        <v>44592</v>
      </c>
      <c r="P32" s="13">
        <v>22.092675769921382</v>
      </c>
      <c r="R32" s="52">
        <v>41029</v>
      </c>
      <c r="S32" s="53">
        <v>15.1</v>
      </c>
      <c r="Y32" s="52">
        <v>40482</v>
      </c>
      <c r="Z32" s="1">
        <v>-39.474395383099981</v>
      </c>
    </row>
    <row r="33" spans="1:26" x14ac:dyDescent="0.3">
      <c r="A33" s="8">
        <v>45565</v>
      </c>
      <c r="B33" s="144">
        <f t="shared" si="0"/>
        <v>12.06368981479255</v>
      </c>
      <c r="C33" s="144">
        <f t="shared" si="1"/>
        <v>7.6</v>
      </c>
      <c r="D33" s="1">
        <v>0</v>
      </c>
      <c r="E33" s="1">
        <f t="shared" si="2"/>
        <v>1</v>
      </c>
      <c r="F33" s="1">
        <v>1</v>
      </c>
      <c r="G33" s="1">
        <f t="shared" si="3"/>
        <v>0</v>
      </c>
      <c r="H33" s="1">
        <f t="shared" si="9"/>
        <v>0</v>
      </c>
      <c r="I33" s="1">
        <f t="shared" si="10"/>
        <v>0</v>
      </c>
      <c r="J33" s="1">
        <f t="shared" si="11"/>
        <v>1</v>
      </c>
      <c r="K33" s="1">
        <f t="shared" si="12"/>
        <v>0</v>
      </c>
      <c r="L33" s="1" t="str">
        <f>INDEX($H$3:$K$3,1,MATCH(1,H33:K33,0))</f>
        <v>被动补库存</v>
      </c>
      <c r="O33" s="125">
        <v>44561</v>
      </c>
      <c r="P33" s="13">
        <v>17.906280137500609</v>
      </c>
      <c r="R33" s="52">
        <v>41060</v>
      </c>
      <c r="S33" s="53">
        <v>15.4</v>
      </c>
      <c r="Y33" s="52">
        <v>40512</v>
      </c>
      <c r="Z33" s="1">
        <v>-37.401729189740223</v>
      </c>
    </row>
    <row r="34" spans="1:26" x14ac:dyDescent="0.3">
      <c r="A34" s="8">
        <v>45535</v>
      </c>
      <c r="B34" s="144">
        <f t="shared" si="0"/>
        <v>10.188194021350929</v>
      </c>
      <c r="C34" s="144">
        <f t="shared" si="1"/>
        <v>8</v>
      </c>
      <c r="D34" s="1">
        <v>0</v>
      </c>
      <c r="E34" s="1">
        <f t="shared" si="2"/>
        <v>1</v>
      </c>
      <c r="F34" s="1">
        <v>1</v>
      </c>
      <c r="G34" s="1">
        <f t="shared" si="3"/>
        <v>0</v>
      </c>
      <c r="H34" s="1">
        <f t="shared" si="9"/>
        <v>0</v>
      </c>
      <c r="I34" s="1">
        <f t="shared" si="10"/>
        <v>0</v>
      </c>
      <c r="J34" s="1">
        <f t="shared" si="11"/>
        <v>1</v>
      </c>
      <c r="K34" s="1">
        <f t="shared" si="12"/>
        <v>0</v>
      </c>
      <c r="L34" s="1" t="str">
        <f t="shared" si="13"/>
        <v>被动补库存</v>
      </c>
      <c r="O34" s="125">
        <v>44530</v>
      </c>
      <c r="P34" s="13">
        <v>17.773395863092428</v>
      </c>
      <c r="R34" s="52">
        <v>41090</v>
      </c>
      <c r="S34" s="53">
        <v>15.9</v>
      </c>
      <c r="Y34" s="52">
        <v>40512</v>
      </c>
      <c r="Z34" s="1">
        <v>-37.401729189740223</v>
      </c>
    </row>
    <row r="35" spans="1:26" x14ac:dyDescent="0.3">
      <c r="A35" s="8">
        <v>45504</v>
      </c>
      <c r="B35" s="144">
        <f t="shared" si="0"/>
        <v>8.8647927598224356</v>
      </c>
      <c r="C35" s="144">
        <f t="shared" si="1"/>
        <v>8.3000000000000007</v>
      </c>
      <c r="D35" s="1">
        <v>0</v>
      </c>
      <c r="E35" s="1">
        <f t="shared" si="2"/>
        <v>1</v>
      </c>
      <c r="F35" s="1">
        <v>1</v>
      </c>
      <c r="G35" s="1">
        <f t="shared" si="3"/>
        <v>0</v>
      </c>
      <c r="H35" s="1">
        <f t="shared" si="9"/>
        <v>0</v>
      </c>
      <c r="I35" s="1">
        <f t="shared" si="10"/>
        <v>0</v>
      </c>
      <c r="J35" s="1">
        <f t="shared" si="11"/>
        <v>1</v>
      </c>
      <c r="K35" s="1">
        <f t="shared" si="12"/>
        <v>0</v>
      </c>
      <c r="L35" s="1" t="str">
        <f t="shared" si="13"/>
        <v>被动补库存</v>
      </c>
      <c r="O35" s="125">
        <v>44500</v>
      </c>
      <c r="P35" s="13">
        <v>16.945511878054219</v>
      </c>
      <c r="R35" s="52">
        <v>41121</v>
      </c>
      <c r="S35" s="53">
        <v>15.9</v>
      </c>
      <c r="Y35" s="52">
        <v>40543</v>
      </c>
      <c r="Z35" s="1">
        <v>-37.885445562155979</v>
      </c>
    </row>
    <row r="36" spans="1:26" x14ac:dyDescent="0.3">
      <c r="A36" s="8">
        <v>45473</v>
      </c>
      <c r="B36" s="144">
        <f t="shared" si="0"/>
        <v>7.4628313533523682</v>
      </c>
      <c r="C36" s="144">
        <f t="shared" si="1"/>
        <v>8.3000000000000007</v>
      </c>
      <c r="D36" s="1">
        <v>0</v>
      </c>
      <c r="E36" s="1">
        <f t="shared" ref="E36" si="14">1-D36</f>
        <v>1</v>
      </c>
      <c r="F36" s="1">
        <v>1</v>
      </c>
      <c r="G36" s="1">
        <f t="shared" ref="G36" si="15">1-F36</f>
        <v>0</v>
      </c>
      <c r="H36" s="1">
        <f t="shared" si="9"/>
        <v>0</v>
      </c>
      <c r="I36" s="1">
        <f t="shared" si="10"/>
        <v>0</v>
      </c>
      <c r="J36" s="1">
        <f t="shared" si="11"/>
        <v>1</v>
      </c>
      <c r="K36" s="1">
        <f t="shared" si="12"/>
        <v>0</v>
      </c>
      <c r="L36" s="1" t="str">
        <f t="shared" si="13"/>
        <v>被动补库存</v>
      </c>
      <c r="O36" s="125">
        <v>44469</v>
      </c>
      <c r="P36" s="13">
        <v>13.87308373062497</v>
      </c>
      <c r="R36" s="52">
        <v>41152</v>
      </c>
      <c r="S36" s="53">
        <v>16.100000000000001</v>
      </c>
      <c r="Y36" s="52">
        <v>40543</v>
      </c>
      <c r="Z36" s="1">
        <v>-37.885445562155979</v>
      </c>
    </row>
    <row r="37" spans="1:26" x14ac:dyDescent="0.3">
      <c r="A37" s="8">
        <v>45443</v>
      </c>
      <c r="B37" s="9">
        <f t="shared" ref="B37:B68" si="16">VLOOKUP(A37,O:P,2,0)</f>
        <v>7.0554730840430464</v>
      </c>
      <c r="C37" s="9">
        <f t="shared" si="1"/>
        <v>8.9</v>
      </c>
      <c r="D37" s="7">
        <v>0</v>
      </c>
      <c r="E37" s="7">
        <v>1</v>
      </c>
      <c r="F37" s="7">
        <v>1</v>
      </c>
      <c r="G37" s="7">
        <v>0</v>
      </c>
      <c r="H37" s="1">
        <f t="shared" ref="H37:H100" si="17">INT(AND(G37=1,E37=1))</f>
        <v>0</v>
      </c>
      <c r="I37" s="1">
        <f t="shared" ref="I37:I100" si="18">INT(AND(G37=1,D37=1))</f>
        <v>0</v>
      </c>
      <c r="J37" s="1">
        <f t="shared" ref="J37:J100" si="19">INT(AND(F37=1,E37=1))</f>
        <v>1</v>
      </c>
      <c r="K37" s="1">
        <f t="shared" ref="K37:K100" si="20">INT(AND(F37=1,D37=1))</f>
        <v>0</v>
      </c>
      <c r="L37" s="1" t="str">
        <f t="shared" ref="L37:L68" si="21">INDEX($H$3:$K$3,1,MATCH(1,H37:K37,0))</f>
        <v>被动补库存</v>
      </c>
      <c r="O37" s="125">
        <v>44439</v>
      </c>
      <c r="P37" s="13">
        <v>8.6419309227981262</v>
      </c>
      <c r="R37" s="52">
        <v>41182</v>
      </c>
      <c r="S37" s="53">
        <v>16.399999999999999</v>
      </c>
      <c r="Y37" s="52">
        <v>40574</v>
      </c>
      <c r="Z37" s="1">
        <v>-35.909986065406891</v>
      </c>
    </row>
    <row r="38" spans="1:26" x14ac:dyDescent="0.3">
      <c r="A38" s="8">
        <v>45412</v>
      </c>
      <c r="B38" s="9">
        <f t="shared" si="16"/>
        <v>4.4437448867845744</v>
      </c>
      <c r="C38" s="9">
        <f t="shared" si="1"/>
        <v>9.1</v>
      </c>
      <c r="D38" s="7">
        <v>0</v>
      </c>
      <c r="E38" s="7">
        <v>1</v>
      </c>
      <c r="F38" s="7">
        <v>1</v>
      </c>
      <c r="G38" s="7">
        <v>0</v>
      </c>
      <c r="H38" s="1">
        <f t="shared" si="17"/>
        <v>0</v>
      </c>
      <c r="I38" s="1">
        <f t="shared" si="18"/>
        <v>0</v>
      </c>
      <c r="J38" s="1">
        <f t="shared" si="19"/>
        <v>1</v>
      </c>
      <c r="K38" s="1">
        <f t="shared" si="20"/>
        <v>0</v>
      </c>
      <c r="L38" s="1" t="str">
        <f t="shared" si="21"/>
        <v>被动补库存</v>
      </c>
      <c r="O38" s="125">
        <v>44408</v>
      </c>
      <c r="P38" s="13">
        <v>3.1797932722426112</v>
      </c>
      <c r="R38" s="52">
        <v>41213</v>
      </c>
      <c r="S38" s="53">
        <v>16.2</v>
      </c>
      <c r="Y38" s="52">
        <v>40574</v>
      </c>
      <c r="Z38" s="1">
        <v>-35.909986065406891</v>
      </c>
    </row>
    <row r="39" spans="1:26" x14ac:dyDescent="0.3">
      <c r="A39" s="8">
        <v>45382</v>
      </c>
      <c r="B39" s="9">
        <f t="shared" si="16"/>
        <v>-1.5276922165194531</v>
      </c>
      <c r="C39" s="9">
        <f t="shared" si="1"/>
        <v>9.1999999999999993</v>
      </c>
      <c r="D39" s="7">
        <v>0</v>
      </c>
      <c r="E39" s="7">
        <v>1</v>
      </c>
      <c r="F39" s="7">
        <v>1</v>
      </c>
      <c r="G39" s="7">
        <v>0</v>
      </c>
      <c r="H39" s="1">
        <f t="shared" si="17"/>
        <v>0</v>
      </c>
      <c r="I39" s="1">
        <f t="shared" si="18"/>
        <v>0</v>
      </c>
      <c r="J39" s="1">
        <f t="shared" si="19"/>
        <v>1</v>
      </c>
      <c r="K39" s="1">
        <f t="shared" si="20"/>
        <v>0</v>
      </c>
      <c r="L39" s="1" t="str">
        <f t="shared" si="21"/>
        <v>被动补库存</v>
      </c>
      <c r="O39" s="125">
        <v>44377</v>
      </c>
      <c r="P39" s="13">
        <v>-0.109618052364842</v>
      </c>
      <c r="R39" s="52">
        <v>41243</v>
      </c>
      <c r="S39" s="53">
        <v>16.100000000000001</v>
      </c>
      <c r="Y39" s="52">
        <v>40602</v>
      </c>
      <c r="Z39" s="1">
        <v>-33.90073066462066</v>
      </c>
    </row>
    <row r="40" spans="1:26" x14ac:dyDescent="0.3">
      <c r="A40" s="8">
        <v>45351</v>
      </c>
      <c r="B40" s="9">
        <f t="shared" si="16"/>
        <v>-3.222993391898723</v>
      </c>
      <c r="C40" s="9">
        <f t="shared" si="1"/>
        <v>9.6999999999999993</v>
      </c>
      <c r="D40" s="7">
        <v>0</v>
      </c>
      <c r="E40" s="7">
        <v>1</v>
      </c>
      <c r="F40" s="7">
        <v>0</v>
      </c>
      <c r="G40" s="7">
        <v>1</v>
      </c>
      <c r="H40" s="1">
        <f t="shared" si="17"/>
        <v>1</v>
      </c>
      <c r="I40" s="1">
        <f t="shared" si="18"/>
        <v>0</v>
      </c>
      <c r="J40" s="1">
        <f t="shared" si="19"/>
        <v>0</v>
      </c>
      <c r="K40" s="1">
        <f t="shared" si="20"/>
        <v>0</v>
      </c>
      <c r="L40" s="1" t="str">
        <f t="shared" si="21"/>
        <v>主动去库存</v>
      </c>
      <c r="O40" s="125">
        <v>44347</v>
      </c>
      <c r="P40" s="13">
        <v>-5.6222198223187236</v>
      </c>
      <c r="R40" s="52">
        <v>41274</v>
      </c>
      <c r="S40" s="53">
        <v>15.6</v>
      </c>
      <c r="Y40" s="52">
        <v>40602</v>
      </c>
      <c r="Z40" s="1">
        <v>-33.90073066462066</v>
      </c>
    </row>
    <row r="41" spans="1:26" x14ac:dyDescent="0.3">
      <c r="A41" s="8">
        <v>45322</v>
      </c>
      <c r="B41" s="9">
        <f t="shared" si="16"/>
        <v>-1.77191644767751</v>
      </c>
      <c r="C41" s="9">
        <f t="shared" si="1"/>
        <v>10</v>
      </c>
      <c r="D41" s="7">
        <v>0</v>
      </c>
      <c r="E41" s="7">
        <v>1</v>
      </c>
      <c r="F41" s="7">
        <v>0</v>
      </c>
      <c r="G41" s="7">
        <v>1</v>
      </c>
      <c r="H41" s="1">
        <f t="shared" si="17"/>
        <v>1</v>
      </c>
      <c r="I41" s="1">
        <f t="shared" si="18"/>
        <v>0</v>
      </c>
      <c r="J41" s="1">
        <f t="shared" si="19"/>
        <v>0</v>
      </c>
      <c r="K41" s="1">
        <f t="shared" si="20"/>
        <v>0</v>
      </c>
      <c r="L41" s="1" t="str">
        <f t="shared" si="21"/>
        <v>主动去库存</v>
      </c>
      <c r="O41" s="125">
        <v>44316</v>
      </c>
      <c r="P41" s="13">
        <v>-5.6696887765172637</v>
      </c>
      <c r="R41" s="52">
        <v>41305</v>
      </c>
      <c r="S41" s="53">
        <v>16.399999999999999</v>
      </c>
      <c r="Y41" s="52">
        <v>40633</v>
      </c>
      <c r="Z41" s="1">
        <v>-29.695698630028161</v>
      </c>
    </row>
    <row r="42" spans="1:26" x14ac:dyDescent="0.3">
      <c r="A42" s="8">
        <v>45291</v>
      </c>
      <c r="B42" s="9">
        <f t="shared" si="16"/>
        <v>2.6619152336692</v>
      </c>
      <c r="C42" s="9">
        <f t="shared" si="1"/>
        <v>10.1</v>
      </c>
      <c r="D42" s="7">
        <v>0</v>
      </c>
      <c r="E42" s="7">
        <v>1</v>
      </c>
      <c r="F42" s="7">
        <v>1</v>
      </c>
      <c r="G42" s="7">
        <v>0</v>
      </c>
      <c r="H42" s="1">
        <f t="shared" si="17"/>
        <v>0</v>
      </c>
      <c r="I42" s="1">
        <f t="shared" si="18"/>
        <v>0</v>
      </c>
      <c r="J42" s="1">
        <f t="shared" si="19"/>
        <v>1</v>
      </c>
      <c r="K42" s="1">
        <f t="shared" si="20"/>
        <v>0</v>
      </c>
      <c r="L42" s="1" t="str">
        <f t="shared" si="21"/>
        <v>被动补库存</v>
      </c>
      <c r="O42" s="125">
        <v>44286</v>
      </c>
      <c r="P42" s="13">
        <v>-4.4850950530415377</v>
      </c>
      <c r="R42" s="52">
        <v>41333</v>
      </c>
      <c r="S42" s="53">
        <v>16.100000000000001</v>
      </c>
      <c r="Y42" s="52">
        <v>40633</v>
      </c>
      <c r="Z42" s="1">
        <v>-29.695698630028161</v>
      </c>
    </row>
    <row r="43" spans="1:26" x14ac:dyDescent="0.3">
      <c r="A43" s="8">
        <v>45260</v>
      </c>
      <c r="B43" s="9">
        <f t="shared" si="16"/>
        <v>2.3895179615713911</v>
      </c>
      <c r="C43" s="9">
        <f t="shared" si="1"/>
        <v>10.199999999999999</v>
      </c>
      <c r="D43" s="7">
        <v>0</v>
      </c>
      <c r="E43" s="7">
        <v>1</v>
      </c>
      <c r="F43" s="7">
        <v>1</v>
      </c>
      <c r="G43" s="7">
        <v>0</v>
      </c>
      <c r="H43" s="1">
        <f t="shared" si="17"/>
        <v>0</v>
      </c>
      <c r="I43" s="1">
        <f t="shared" si="18"/>
        <v>0</v>
      </c>
      <c r="J43" s="1">
        <f t="shared" si="19"/>
        <v>1</v>
      </c>
      <c r="K43" s="1">
        <f t="shared" si="20"/>
        <v>0</v>
      </c>
      <c r="L43" s="1" t="str">
        <f t="shared" si="21"/>
        <v>被动补库存</v>
      </c>
      <c r="O43" s="125">
        <v>44255</v>
      </c>
      <c r="P43" s="13">
        <v>-0.12358854567029599</v>
      </c>
      <c r="R43" s="52">
        <v>41364</v>
      </c>
      <c r="S43" s="53">
        <v>16</v>
      </c>
      <c r="Y43" s="52">
        <v>40663</v>
      </c>
      <c r="Z43" s="1">
        <v>-29.410028552889159</v>
      </c>
    </row>
    <row r="44" spans="1:26" x14ac:dyDescent="0.3">
      <c r="A44" s="8">
        <v>45230</v>
      </c>
      <c r="B44" s="9">
        <f t="shared" si="16"/>
        <v>1.986137707131687</v>
      </c>
      <c r="C44" s="9">
        <f t="shared" si="1"/>
        <v>10.3</v>
      </c>
      <c r="D44" s="7">
        <v>0</v>
      </c>
      <c r="E44" s="7">
        <v>1</v>
      </c>
      <c r="F44" s="7">
        <v>1</v>
      </c>
      <c r="G44" s="7">
        <v>0</v>
      </c>
      <c r="H44" s="1">
        <f t="shared" si="17"/>
        <v>0</v>
      </c>
      <c r="I44" s="1">
        <f t="shared" si="18"/>
        <v>0</v>
      </c>
      <c r="J44" s="1">
        <f t="shared" si="19"/>
        <v>1</v>
      </c>
      <c r="K44" s="1">
        <f t="shared" si="20"/>
        <v>0</v>
      </c>
      <c r="L44" s="1" t="str">
        <f t="shared" si="21"/>
        <v>被动补库存</v>
      </c>
      <c r="O44" s="125">
        <v>44227</v>
      </c>
      <c r="P44" s="49">
        <v>2.9966241824681661</v>
      </c>
      <c r="R44" s="52">
        <v>41394</v>
      </c>
      <c r="S44" s="53">
        <v>16.100000000000001</v>
      </c>
      <c r="Y44" s="52">
        <v>40663</v>
      </c>
      <c r="Z44" s="1">
        <v>-29.410028552889159</v>
      </c>
    </row>
    <row r="45" spans="1:26" x14ac:dyDescent="0.3">
      <c r="A45" s="8">
        <v>45199</v>
      </c>
      <c r="B45" s="9">
        <f t="shared" si="16"/>
        <v>0.98735996275792903</v>
      </c>
      <c r="C45" s="9">
        <f t="shared" si="1"/>
        <v>10.199999999999999</v>
      </c>
      <c r="D45" s="7">
        <v>0</v>
      </c>
      <c r="E45" s="7">
        <v>1</v>
      </c>
      <c r="F45" s="7">
        <v>1</v>
      </c>
      <c r="G45" s="7">
        <v>0</v>
      </c>
      <c r="H45" s="1">
        <f t="shared" si="17"/>
        <v>0</v>
      </c>
      <c r="I45" s="1">
        <f t="shared" si="18"/>
        <v>0</v>
      </c>
      <c r="J45" s="1">
        <f t="shared" si="19"/>
        <v>1</v>
      </c>
      <c r="K45" s="1">
        <f t="shared" si="20"/>
        <v>0</v>
      </c>
      <c r="L45" s="1" t="str">
        <f t="shared" si="21"/>
        <v>被动补库存</v>
      </c>
      <c r="O45" s="125">
        <v>44196</v>
      </c>
      <c r="P45" s="49">
        <v>9.6868796808843154</v>
      </c>
      <c r="R45" s="52">
        <v>41425</v>
      </c>
      <c r="S45" s="53">
        <v>15.6</v>
      </c>
      <c r="Y45" s="52">
        <v>40694</v>
      </c>
      <c r="Z45" s="1">
        <v>-27.774219379835309</v>
      </c>
    </row>
    <row r="46" spans="1:26" x14ac:dyDescent="0.3">
      <c r="A46" s="8">
        <v>45169</v>
      </c>
      <c r="B46" s="9">
        <f t="shared" si="16"/>
        <v>1.5354235265861971</v>
      </c>
      <c r="C46" s="9">
        <f t="shared" si="1"/>
        <v>10.5</v>
      </c>
      <c r="D46" s="7">
        <v>0</v>
      </c>
      <c r="E46" s="7">
        <v>1</v>
      </c>
      <c r="F46" s="7">
        <v>1</v>
      </c>
      <c r="G46" s="7">
        <v>0</v>
      </c>
      <c r="H46" s="1">
        <f t="shared" si="17"/>
        <v>0</v>
      </c>
      <c r="I46" s="1">
        <f t="shared" si="18"/>
        <v>0</v>
      </c>
      <c r="J46" s="1">
        <f t="shared" si="19"/>
        <v>1</v>
      </c>
      <c r="K46" s="1">
        <f t="shared" si="20"/>
        <v>0</v>
      </c>
      <c r="L46" s="1" t="str">
        <f t="shared" si="21"/>
        <v>被动补库存</v>
      </c>
      <c r="O46" s="125">
        <v>44165</v>
      </c>
      <c r="P46" s="49">
        <v>5.6604232481235979</v>
      </c>
      <c r="R46" s="52">
        <v>41455</v>
      </c>
      <c r="S46" s="53">
        <v>15.1</v>
      </c>
      <c r="Y46" s="52">
        <v>40694</v>
      </c>
      <c r="Z46" s="1">
        <v>-27.774219379835309</v>
      </c>
    </row>
    <row r="47" spans="1:26" x14ac:dyDescent="0.3">
      <c r="A47" s="8">
        <v>45138</v>
      </c>
      <c r="B47" s="9">
        <f t="shared" si="16"/>
        <v>2.2642084375373E-2</v>
      </c>
      <c r="C47" s="9">
        <f t="shared" si="1"/>
        <v>10.5</v>
      </c>
      <c r="D47" s="7">
        <v>0</v>
      </c>
      <c r="E47" s="7">
        <v>1</v>
      </c>
      <c r="F47" s="7">
        <v>1</v>
      </c>
      <c r="G47" s="7">
        <v>0</v>
      </c>
      <c r="H47" s="1">
        <f t="shared" si="17"/>
        <v>0</v>
      </c>
      <c r="I47" s="1">
        <f t="shared" si="18"/>
        <v>0</v>
      </c>
      <c r="J47" s="1">
        <f t="shared" si="19"/>
        <v>1</v>
      </c>
      <c r="K47" s="1">
        <f t="shared" si="20"/>
        <v>0</v>
      </c>
      <c r="L47" s="1" t="str">
        <f t="shared" si="21"/>
        <v>被动补库存</v>
      </c>
      <c r="O47" s="125">
        <v>44135</v>
      </c>
      <c r="P47" s="49">
        <v>5.4671193536221709</v>
      </c>
      <c r="R47" s="52">
        <v>41486</v>
      </c>
      <c r="S47" s="53">
        <v>15</v>
      </c>
      <c r="Y47" s="52">
        <v>40724</v>
      </c>
      <c r="Z47" s="1">
        <v>-21.604997735905648</v>
      </c>
    </row>
    <row r="48" spans="1:26" x14ac:dyDescent="0.3">
      <c r="A48" s="8">
        <v>45107</v>
      </c>
      <c r="B48" s="9">
        <f t="shared" si="16"/>
        <v>-0.36190692945082398</v>
      </c>
      <c r="C48" s="9">
        <f t="shared" si="1"/>
        <v>10.6</v>
      </c>
      <c r="D48" s="7">
        <v>0</v>
      </c>
      <c r="E48" s="7">
        <v>1</v>
      </c>
      <c r="F48" s="7">
        <v>0</v>
      </c>
      <c r="G48" s="7">
        <v>1</v>
      </c>
      <c r="H48" s="1">
        <f t="shared" si="17"/>
        <v>1</v>
      </c>
      <c r="I48" s="1">
        <f t="shared" si="18"/>
        <v>0</v>
      </c>
      <c r="J48" s="1">
        <f t="shared" si="19"/>
        <v>0</v>
      </c>
      <c r="K48" s="1">
        <f t="shared" si="20"/>
        <v>0</v>
      </c>
      <c r="L48" s="1" t="str">
        <f t="shared" si="21"/>
        <v>主动去库存</v>
      </c>
      <c r="O48" s="125">
        <v>44104</v>
      </c>
      <c r="P48" s="49">
        <v>7.264763540667329</v>
      </c>
      <c r="R48" s="52">
        <v>41517</v>
      </c>
      <c r="S48" s="53">
        <v>14.6</v>
      </c>
      <c r="Y48" s="52">
        <v>40724</v>
      </c>
      <c r="Z48" s="1">
        <v>-21.604997735905648</v>
      </c>
    </row>
    <row r="49" spans="1:26" x14ac:dyDescent="0.3">
      <c r="A49" s="8">
        <v>45077</v>
      </c>
      <c r="B49" s="9">
        <f t="shared" si="16"/>
        <v>0.98544236504147698</v>
      </c>
      <c r="C49" s="9">
        <f t="shared" si="1"/>
        <v>10.6</v>
      </c>
      <c r="D49" s="7">
        <v>0</v>
      </c>
      <c r="E49" s="7">
        <v>1</v>
      </c>
      <c r="F49" s="7">
        <v>0</v>
      </c>
      <c r="G49" s="7">
        <v>1</v>
      </c>
      <c r="H49" s="1">
        <f t="shared" si="17"/>
        <v>1</v>
      </c>
      <c r="I49" s="1">
        <f t="shared" si="18"/>
        <v>0</v>
      </c>
      <c r="J49" s="1">
        <f t="shared" si="19"/>
        <v>0</v>
      </c>
      <c r="K49" s="1">
        <f t="shared" si="20"/>
        <v>0</v>
      </c>
      <c r="L49" s="1" t="str">
        <f t="shared" si="21"/>
        <v>主动去库存</v>
      </c>
      <c r="O49" s="125">
        <v>44074</v>
      </c>
      <c r="P49" s="49">
        <v>13.422573940980079</v>
      </c>
      <c r="R49" s="52">
        <v>41547</v>
      </c>
      <c r="S49" s="53">
        <v>14.6</v>
      </c>
      <c r="Y49" s="52">
        <v>40755</v>
      </c>
      <c r="Z49" s="1">
        <v>-15.76066953925389</v>
      </c>
    </row>
    <row r="50" spans="1:26" x14ac:dyDescent="0.3">
      <c r="A50" s="8">
        <v>45046</v>
      </c>
      <c r="B50" s="9">
        <f t="shared" si="16"/>
        <v>7.0554404576982019</v>
      </c>
      <c r="C50" s="9">
        <f t="shared" si="1"/>
        <v>10.9</v>
      </c>
      <c r="D50" s="7">
        <v>0</v>
      </c>
      <c r="E50" s="7">
        <v>1</v>
      </c>
      <c r="F50" s="7">
        <v>0</v>
      </c>
      <c r="G50" s="7">
        <v>1</v>
      </c>
      <c r="H50" s="1">
        <f t="shared" si="17"/>
        <v>1</v>
      </c>
      <c r="I50" s="1">
        <f t="shared" si="18"/>
        <v>0</v>
      </c>
      <c r="J50" s="1">
        <f t="shared" si="19"/>
        <v>0</v>
      </c>
      <c r="K50" s="1">
        <f t="shared" si="20"/>
        <v>0</v>
      </c>
      <c r="L50" s="1" t="str">
        <f t="shared" si="21"/>
        <v>主动去库存</v>
      </c>
      <c r="O50" s="125">
        <v>44043</v>
      </c>
      <c r="P50" s="49">
        <v>19.666890767086691</v>
      </c>
      <c r="R50" s="52">
        <v>41578</v>
      </c>
      <c r="S50" s="53">
        <v>14.3</v>
      </c>
      <c r="Y50" s="52">
        <v>40755</v>
      </c>
      <c r="Z50" s="1">
        <v>-15.76066953925389</v>
      </c>
    </row>
    <row r="51" spans="1:26" x14ac:dyDescent="0.3">
      <c r="A51" s="8">
        <v>45016</v>
      </c>
      <c r="B51" s="9">
        <f t="shared" si="16"/>
        <v>11.02673256509404</v>
      </c>
      <c r="C51" s="9">
        <f t="shared" si="1"/>
        <v>11.1</v>
      </c>
      <c r="D51" s="7">
        <v>1</v>
      </c>
      <c r="E51" s="7">
        <v>0</v>
      </c>
      <c r="F51" s="7">
        <v>0</v>
      </c>
      <c r="G51" s="7">
        <v>1</v>
      </c>
      <c r="H51" s="1">
        <f t="shared" si="17"/>
        <v>0</v>
      </c>
      <c r="I51" s="1">
        <f t="shared" si="18"/>
        <v>1</v>
      </c>
      <c r="J51" s="1">
        <f t="shared" si="19"/>
        <v>0</v>
      </c>
      <c r="K51" s="1">
        <f t="shared" si="20"/>
        <v>0</v>
      </c>
      <c r="L51" s="1" t="str">
        <f t="shared" si="21"/>
        <v>被动去库存</v>
      </c>
      <c r="O51" s="125">
        <v>44012</v>
      </c>
      <c r="P51" s="126">
        <v>23.339677074795731</v>
      </c>
      <c r="R51" s="52">
        <v>41608</v>
      </c>
      <c r="S51" s="53">
        <v>14.2</v>
      </c>
      <c r="Y51" s="52">
        <v>40786</v>
      </c>
      <c r="Z51" s="1">
        <v>-9.2385926662433953</v>
      </c>
    </row>
    <row r="52" spans="1:26" x14ac:dyDescent="0.3">
      <c r="A52" s="8">
        <v>44985</v>
      </c>
      <c r="B52" s="9">
        <f t="shared" si="16"/>
        <v>18.984670957894132</v>
      </c>
      <c r="C52" s="9">
        <f t="shared" ref="C52:C83" si="22">VLOOKUP(A52,R:S,2,0)</f>
        <v>10.8</v>
      </c>
      <c r="D52" s="7">
        <v>1</v>
      </c>
      <c r="E52" s="7">
        <v>0</v>
      </c>
      <c r="F52" s="7">
        <v>0</v>
      </c>
      <c r="G52" s="7">
        <v>1</v>
      </c>
      <c r="H52" s="1">
        <f t="shared" si="17"/>
        <v>0</v>
      </c>
      <c r="I52" s="1">
        <f t="shared" si="18"/>
        <v>1</v>
      </c>
      <c r="J52" s="1">
        <f t="shared" si="19"/>
        <v>0</v>
      </c>
      <c r="K52" s="1">
        <f t="shared" si="20"/>
        <v>0</v>
      </c>
      <c r="L52" s="1" t="str">
        <f t="shared" si="21"/>
        <v>被动去库存</v>
      </c>
      <c r="O52" s="125">
        <v>43982</v>
      </c>
      <c r="P52" s="126">
        <v>28.14243607938845</v>
      </c>
      <c r="R52" s="52">
        <v>41639</v>
      </c>
      <c r="S52" s="53">
        <v>13.9</v>
      </c>
      <c r="Y52" s="52">
        <v>40816</v>
      </c>
      <c r="Z52" s="1">
        <v>-5.2213893433786014</v>
      </c>
    </row>
    <row r="53" spans="1:26" x14ac:dyDescent="0.3">
      <c r="A53" s="8">
        <v>44957</v>
      </c>
      <c r="B53" s="9">
        <f t="shared" si="16"/>
        <v>23.591447945958681</v>
      </c>
      <c r="C53" s="9">
        <f t="shared" si="22"/>
        <v>10.6</v>
      </c>
      <c r="D53" s="7">
        <v>1</v>
      </c>
      <c r="E53" s="7">
        <v>0</v>
      </c>
      <c r="F53" s="7">
        <v>0</v>
      </c>
      <c r="G53" s="7">
        <v>1</v>
      </c>
      <c r="H53" s="1">
        <f t="shared" si="17"/>
        <v>0</v>
      </c>
      <c r="I53" s="1">
        <f t="shared" si="18"/>
        <v>1</v>
      </c>
      <c r="J53" s="1">
        <f t="shared" si="19"/>
        <v>0</v>
      </c>
      <c r="K53" s="1">
        <f t="shared" si="20"/>
        <v>0</v>
      </c>
      <c r="L53" s="1" t="str">
        <f t="shared" si="21"/>
        <v>被动去库存</v>
      </c>
      <c r="O53" s="125">
        <v>43951</v>
      </c>
      <c r="P53" s="126">
        <v>27.942041121771631</v>
      </c>
      <c r="R53" s="52">
        <v>41670</v>
      </c>
      <c r="S53" s="53">
        <v>14</v>
      </c>
      <c r="Y53" s="52">
        <v>40847</v>
      </c>
      <c r="Z53" s="1">
        <v>-9.6591330709735104</v>
      </c>
    </row>
    <row r="54" spans="1:26" x14ac:dyDescent="0.3">
      <c r="A54" s="8">
        <v>44926</v>
      </c>
      <c r="B54" s="9">
        <f t="shared" si="16"/>
        <v>30.019910461290319</v>
      </c>
      <c r="C54" s="9">
        <f t="shared" si="22"/>
        <v>10.4</v>
      </c>
      <c r="D54" s="7">
        <v>1</v>
      </c>
      <c r="E54" s="7">
        <v>0</v>
      </c>
      <c r="F54" s="7">
        <v>0</v>
      </c>
      <c r="G54" s="7">
        <v>1</v>
      </c>
      <c r="H54" s="1">
        <f t="shared" si="17"/>
        <v>0</v>
      </c>
      <c r="I54" s="1">
        <f t="shared" si="18"/>
        <v>1</v>
      </c>
      <c r="J54" s="1">
        <f t="shared" si="19"/>
        <v>0</v>
      </c>
      <c r="K54" s="1">
        <f t="shared" si="20"/>
        <v>0</v>
      </c>
      <c r="L54" s="1" t="str">
        <f t="shared" si="21"/>
        <v>被动去库存</v>
      </c>
      <c r="O54" s="125">
        <v>43921</v>
      </c>
      <c r="P54" s="126">
        <v>25.639304221043261</v>
      </c>
      <c r="R54" s="52">
        <v>41698</v>
      </c>
      <c r="S54" s="53">
        <v>13.9</v>
      </c>
      <c r="Y54" s="52">
        <v>40877</v>
      </c>
      <c r="Z54" s="1">
        <v>-6.549295684524</v>
      </c>
    </row>
    <row r="55" spans="1:26" x14ac:dyDescent="0.3">
      <c r="A55" s="8">
        <v>44895</v>
      </c>
      <c r="B55" s="9">
        <f t="shared" si="16"/>
        <v>34.402114698379521</v>
      </c>
      <c r="C55" s="9">
        <f t="shared" si="22"/>
        <v>10.4</v>
      </c>
      <c r="D55" s="7">
        <v>1</v>
      </c>
      <c r="E55" s="7">
        <v>0</v>
      </c>
      <c r="F55" s="7">
        <v>0</v>
      </c>
      <c r="G55" s="7">
        <v>1</v>
      </c>
      <c r="H55" s="1">
        <f t="shared" si="17"/>
        <v>0</v>
      </c>
      <c r="I55" s="1">
        <f t="shared" si="18"/>
        <v>1</v>
      </c>
      <c r="J55" s="1">
        <f t="shared" si="19"/>
        <v>0</v>
      </c>
      <c r="K55" s="1">
        <f t="shared" si="20"/>
        <v>0</v>
      </c>
      <c r="L55" s="1" t="str">
        <f t="shared" si="21"/>
        <v>被动去库存</v>
      </c>
      <c r="O55" s="48">
        <v>43890</v>
      </c>
      <c r="P55" s="49">
        <v>24.331336195577862</v>
      </c>
      <c r="R55" s="52">
        <v>41729</v>
      </c>
      <c r="S55" s="53">
        <v>13.7</v>
      </c>
      <c r="Y55" s="52">
        <v>40908</v>
      </c>
      <c r="Z55" s="1">
        <v>2.0920691321757299</v>
      </c>
    </row>
    <row r="56" spans="1:26" x14ac:dyDescent="0.3">
      <c r="A56" s="8">
        <v>44865</v>
      </c>
      <c r="B56" s="9">
        <f t="shared" si="16"/>
        <v>35.056671317128952</v>
      </c>
      <c r="C56" s="9">
        <f t="shared" si="22"/>
        <v>10.5</v>
      </c>
      <c r="D56" s="7">
        <v>1</v>
      </c>
      <c r="E56" s="7">
        <v>0</v>
      </c>
      <c r="F56" s="7">
        <v>0</v>
      </c>
      <c r="G56" s="7">
        <v>1</v>
      </c>
      <c r="H56" s="1">
        <f t="shared" si="17"/>
        <v>0</v>
      </c>
      <c r="I56" s="1">
        <f t="shared" si="18"/>
        <v>1</v>
      </c>
      <c r="J56" s="1">
        <f t="shared" si="19"/>
        <v>0</v>
      </c>
      <c r="K56" s="1">
        <f t="shared" si="20"/>
        <v>0</v>
      </c>
      <c r="L56" s="1" t="str">
        <f t="shared" si="21"/>
        <v>被动去库存</v>
      </c>
      <c r="O56" s="48">
        <v>43861</v>
      </c>
      <c r="P56" s="49">
        <v>26.670633788154738</v>
      </c>
      <c r="R56" s="52">
        <v>41759</v>
      </c>
      <c r="S56" s="53">
        <v>13.4</v>
      </c>
      <c r="Y56" s="52">
        <v>40939</v>
      </c>
      <c r="Z56" s="1">
        <v>7.5773023371650492</v>
      </c>
    </row>
    <row r="57" spans="1:26" x14ac:dyDescent="0.3">
      <c r="A57" s="8">
        <v>44834</v>
      </c>
      <c r="B57" s="9">
        <f t="shared" si="16"/>
        <v>34.68844065044977</v>
      </c>
      <c r="C57" s="9">
        <f t="shared" si="22"/>
        <v>10.7</v>
      </c>
      <c r="D57" s="7">
        <v>1</v>
      </c>
      <c r="E57" s="7">
        <v>0</v>
      </c>
      <c r="F57" s="7">
        <v>0</v>
      </c>
      <c r="G57" s="7">
        <v>1</v>
      </c>
      <c r="H57" s="1">
        <f t="shared" si="17"/>
        <v>0</v>
      </c>
      <c r="I57" s="1">
        <f t="shared" si="18"/>
        <v>1</v>
      </c>
      <c r="J57" s="1">
        <f t="shared" si="19"/>
        <v>0</v>
      </c>
      <c r="K57" s="1">
        <f t="shared" si="20"/>
        <v>0</v>
      </c>
      <c r="L57" s="1" t="str">
        <f t="shared" si="21"/>
        <v>被动去库存</v>
      </c>
      <c r="O57" s="48">
        <v>43830</v>
      </c>
      <c r="P57" s="49">
        <v>31.77585436197214</v>
      </c>
      <c r="R57" s="52">
        <v>41790</v>
      </c>
      <c r="S57" s="53">
        <v>13.6</v>
      </c>
      <c r="Y57" s="52">
        <v>40968</v>
      </c>
      <c r="Z57" s="1">
        <v>21.517810378752252</v>
      </c>
    </row>
    <row r="58" spans="1:26" x14ac:dyDescent="0.3">
      <c r="A58" s="8">
        <v>44804</v>
      </c>
      <c r="B58" s="9">
        <f t="shared" si="16"/>
        <v>37.602776863762948</v>
      </c>
      <c r="C58" s="9">
        <f t="shared" si="22"/>
        <v>10.4</v>
      </c>
      <c r="D58" s="7">
        <v>1</v>
      </c>
      <c r="E58" s="7">
        <v>0</v>
      </c>
      <c r="F58" s="7">
        <v>0</v>
      </c>
      <c r="G58" s="7">
        <v>1</v>
      </c>
      <c r="H58" s="1">
        <f t="shared" si="17"/>
        <v>0</v>
      </c>
      <c r="I58" s="1">
        <f t="shared" si="18"/>
        <v>1</v>
      </c>
      <c r="J58" s="1">
        <f t="shared" si="19"/>
        <v>0</v>
      </c>
      <c r="K58" s="1">
        <f t="shared" si="20"/>
        <v>0</v>
      </c>
      <c r="L58" s="1" t="str">
        <f t="shared" si="21"/>
        <v>被动去库存</v>
      </c>
      <c r="O58" s="48">
        <v>43799</v>
      </c>
      <c r="P58" s="49">
        <v>39.570233011857788</v>
      </c>
      <c r="R58" s="52">
        <v>41820</v>
      </c>
      <c r="S58" s="53">
        <v>13.7</v>
      </c>
      <c r="Y58" s="52">
        <v>40999</v>
      </c>
      <c r="Z58" s="1">
        <v>42.859564219368927</v>
      </c>
    </row>
    <row r="59" spans="1:26" x14ac:dyDescent="0.3">
      <c r="A59" s="8">
        <v>44773</v>
      </c>
      <c r="B59" s="9">
        <f t="shared" si="16"/>
        <v>40.207567339838498</v>
      </c>
      <c r="C59" s="9">
        <f t="shared" si="22"/>
        <v>10.5</v>
      </c>
      <c r="D59" s="7">
        <v>1</v>
      </c>
      <c r="E59" s="7">
        <v>0</v>
      </c>
      <c r="F59" s="7">
        <v>0</v>
      </c>
      <c r="G59" s="7">
        <v>1</v>
      </c>
      <c r="H59" s="1">
        <f t="shared" si="17"/>
        <v>0</v>
      </c>
      <c r="I59" s="1">
        <f t="shared" si="18"/>
        <v>1</v>
      </c>
      <c r="J59" s="1">
        <f t="shared" si="19"/>
        <v>0</v>
      </c>
      <c r="K59" s="1">
        <f t="shared" si="20"/>
        <v>0</v>
      </c>
      <c r="L59" s="1" t="str">
        <f t="shared" si="21"/>
        <v>被动去库存</v>
      </c>
      <c r="O59" s="48">
        <v>43769</v>
      </c>
      <c r="P59" s="49">
        <v>44.649964669714663</v>
      </c>
      <c r="R59" s="52">
        <v>41851</v>
      </c>
      <c r="S59" s="53">
        <v>13.3</v>
      </c>
      <c r="Y59" s="52">
        <v>41029</v>
      </c>
      <c r="Z59" s="1">
        <v>57.429183050597963</v>
      </c>
    </row>
    <row r="60" spans="1:26" x14ac:dyDescent="0.3">
      <c r="A60" s="8">
        <v>44742</v>
      </c>
      <c r="B60" s="9">
        <f t="shared" si="16"/>
        <v>39.446294727674122</v>
      </c>
      <c r="C60" s="9">
        <f t="shared" si="22"/>
        <v>10.8</v>
      </c>
      <c r="D60" s="7">
        <v>1</v>
      </c>
      <c r="E60" s="7">
        <v>0</v>
      </c>
      <c r="F60" s="7">
        <v>0</v>
      </c>
      <c r="G60" s="7">
        <v>1</v>
      </c>
      <c r="H60" s="1">
        <f t="shared" si="17"/>
        <v>0</v>
      </c>
      <c r="I60" s="1">
        <f t="shared" si="18"/>
        <v>1</v>
      </c>
      <c r="J60" s="1">
        <f t="shared" si="19"/>
        <v>0</v>
      </c>
      <c r="K60" s="1">
        <f t="shared" si="20"/>
        <v>0</v>
      </c>
      <c r="L60" s="1" t="str">
        <f t="shared" si="21"/>
        <v>被动去库存</v>
      </c>
      <c r="O60" s="48">
        <v>43738</v>
      </c>
      <c r="P60" s="49">
        <v>47.249017012817319</v>
      </c>
      <c r="R60" s="52">
        <v>41882</v>
      </c>
      <c r="S60" s="53">
        <v>13.2</v>
      </c>
      <c r="Y60" s="52">
        <v>41060</v>
      </c>
      <c r="Z60" s="1">
        <v>68.117185989016335</v>
      </c>
    </row>
    <row r="61" spans="1:26" x14ac:dyDescent="0.3">
      <c r="A61" s="8">
        <v>44712</v>
      </c>
      <c r="B61" s="9">
        <f t="shared" si="16"/>
        <v>43.116721430031482</v>
      </c>
      <c r="C61" s="9">
        <f t="shared" si="22"/>
        <v>10.7</v>
      </c>
      <c r="D61" s="7">
        <v>0</v>
      </c>
      <c r="E61" s="7">
        <v>1</v>
      </c>
      <c r="F61" s="7">
        <v>1</v>
      </c>
      <c r="G61" s="7">
        <v>0</v>
      </c>
      <c r="H61" s="1">
        <f t="shared" si="17"/>
        <v>0</v>
      </c>
      <c r="I61" s="1">
        <f t="shared" si="18"/>
        <v>0</v>
      </c>
      <c r="J61" s="1">
        <f t="shared" si="19"/>
        <v>1</v>
      </c>
      <c r="K61" s="1">
        <f t="shared" si="20"/>
        <v>0</v>
      </c>
      <c r="L61" s="1" t="str">
        <f t="shared" si="21"/>
        <v>被动补库存</v>
      </c>
      <c r="O61" s="48">
        <v>43708</v>
      </c>
      <c r="P61" s="49">
        <v>48.979200750307399</v>
      </c>
      <c r="R61" s="52">
        <v>41912</v>
      </c>
      <c r="S61" s="53">
        <v>13</v>
      </c>
      <c r="Y61" s="52">
        <v>41090</v>
      </c>
      <c r="Z61" s="1">
        <v>67.52717351314601</v>
      </c>
    </row>
    <row r="62" spans="1:26" x14ac:dyDescent="0.3">
      <c r="A62" s="8">
        <v>44681</v>
      </c>
      <c r="B62" s="9">
        <f t="shared" si="16"/>
        <v>37.069277515424481</v>
      </c>
      <c r="C62" s="9">
        <f t="shared" si="22"/>
        <v>10.6</v>
      </c>
      <c r="D62" s="7">
        <v>0</v>
      </c>
      <c r="E62" s="7">
        <v>1</v>
      </c>
      <c r="F62" s="7">
        <v>1</v>
      </c>
      <c r="G62" s="7">
        <v>0</v>
      </c>
      <c r="H62" s="1">
        <f t="shared" si="17"/>
        <v>0</v>
      </c>
      <c r="I62" s="1">
        <f t="shared" si="18"/>
        <v>0</v>
      </c>
      <c r="J62" s="1">
        <f t="shared" si="19"/>
        <v>1</v>
      </c>
      <c r="K62" s="1">
        <f t="shared" si="20"/>
        <v>0</v>
      </c>
      <c r="L62" s="1" t="str">
        <f t="shared" si="21"/>
        <v>被动补库存</v>
      </c>
      <c r="O62" s="48">
        <v>43677</v>
      </c>
      <c r="P62" s="49">
        <v>57.139011401484197</v>
      </c>
      <c r="R62" s="52">
        <v>41943</v>
      </c>
      <c r="S62" s="53">
        <v>12.9</v>
      </c>
      <c r="Y62" s="52">
        <v>41121</v>
      </c>
      <c r="Z62" s="1">
        <v>70.641235197307196</v>
      </c>
    </row>
    <row r="63" spans="1:26" x14ac:dyDescent="0.3">
      <c r="A63" s="8">
        <v>44651</v>
      </c>
      <c r="B63" s="9">
        <f t="shared" si="16"/>
        <v>35.251779199049388</v>
      </c>
      <c r="C63" s="9">
        <f t="shared" si="22"/>
        <v>11</v>
      </c>
      <c r="D63" s="7">
        <v>0</v>
      </c>
      <c r="E63" s="7">
        <v>1</v>
      </c>
      <c r="F63" s="7">
        <v>1</v>
      </c>
      <c r="G63" s="7">
        <v>0</v>
      </c>
      <c r="H63" s="1">
        <f t="shared" si="17"/>
        <v>0</v>
      </c>
      <c r="I63" s="1">
        <f t="shared" si="18"/>
        <v>0</v>
      </c>
      <c r="J63" s="1">
        <f t="shared" si="19"/>
        <v>1</v>
      </c>
      <c r="K63" s="1">
        <f t="shared" si="20"/>
        <v>0</v>
      </c>
      <c r="L63" s="1" t="str">
        <f t="shared" si="21"/>
        <v>被动补库存</v>
      </c>
      <c r="O63" s="48">
        <v>43646</v>
      </c>
      <c r="P63" s="49">
        <v>62.916721448823253</v>
      </c>
      <c r="R63" s="52">
        <v>41973</v>
      </c>
      <c r="S63" s="53">
        <v>13</v>
      </c>
      <c r="Y63" s="52">
        <v>41152</v>
      </c>
      <c r="Z63" s="1">
        <v>68.993689690080757</v>
      </c>
    </row>
    <row r="64" spans="1:26" x14ac:dyDescent="0.3">
      <c r="A64" s="8">
        <v>44620</v>
      </c>
      <c r="B64" s="9">
        <f t="shared" si="16"/>
        <v>28.71490940320642</v>
      </c>
      <c r="C64" s="9">
        <f t="shared" si="22"/>
        <v>11.1</v>
      </c>
      <c r="D64" s="7">
        <v>0</v>
      </c>
      <c r="E64" s="7">
        <v>1</v>
      </c>
      <c r="F64" s="7">
        <v>1</v>
      </c>
      <c r="G64" s="7">
        <v>0</v>
      </c>
      <c r="H64" s="1">
        <f t="shared" si="17"/>
        <v>0</v>
      </c>
      <c r="I64" s="1">
        <f t="shared" si="18"/>
        <v>0</v>
      </c>
      <c r="J64" s="1">
        <f t="shared" si="19"/>
        <v>1</v>
      </c>
      <c r="K64" s="1">
        <f t="shared" si="20"/>
        <v>0</v>
      </c>
      <c r="L64" s="1" t="str">
        <f t="shared" si="21"/>
        <v>被动补库存</v>
      </c>
      <c r="O64" s="48">
        <v>43616</v>
      </c>
      <c r="P64" s="49">
        <v>72.555269391072102</v>
      </c>
      <c r="R64" s="52">
        <v>42004</v>
      </c>
      <c r="S64" s="53">
        <v>13.3</v>
      </c>
      <c r="Y64" s="52">
        <v>41182</v>
      </c>
      <c r="Z64" s="1">
        <v>56.820690974931161</v>
      </c>
    </row>
    <row r="65" spans="1:26" x14ac:dyDescent="0.3">
      <c r="A65" s="8">
        <v>44592</v>
      </c>
      <c r="B65" s="9">
        <f t="shared" si="16"/>
        <v>22.092675769921382</v>
      </c>
      <c r="C65" s="9">
        <f t="shared" si="22"/>
        <v>11.2</v>
      </c>
      <c r="D65" s="7">
        <v>0</v>
      </c>
      <c r="E65" s="7">
        <v>1</v>
      </c>
      <c r="F65" s="7">
        <v>1</v>
      </c>
      <c r="G65" s="7">
        <v>0</v>
      </c>
      <c r="H65" s="1">
        <f t="shared" si="17"/>
        <v>0</v>
      </c>
      <c r="I65" s="1">
        <f t="shared" si="18"/>
        <v>0</v>
      </c>
      <c r="J65" s="1">
        <f t="shared" si="19"/>
        <v>1</v>
      </c>
      <c r="K65" s="1">
        <f t="shared" si="20"/>
        <v>0</v>
      </c>
      <c r="L65" s="1" t="str">
        <f t="shared" si="21"/>
        <v>被动补库存</v>
      </c>
      <c r="O65" s="48">
        <v>43585</v>
      </c>
      <c r="P65" s="49">
        <v>76.114393908368314</v>
      </c>
      <c r="R65" s="52">
        <v>42035</v>
      </c>
      <c r="S65" s="53">
        <v>13.7</v>
      </c>
      <c r="Y65" s="52">
        <v>41213</v>
      </c>
      <c r="Z65" s="1">
        <v>59.39948807161943</v>
      </c>
    </row>
    <row r="66" spans="1:26" x14ac:dyDescent="0.3">
      <c r="A66" s="8">
        <v>44561</v>
      </c>
      <c r="B66" s="9">
        <f t="shared" si="16"/>
        <v>17.906280137500609</v>
      </c>
      <c r="C66" s="9">
        <f t="shared" si="22"/>
        <v>11.3</v>
      </c>
      <c r="D66" s="7">
        <v>0</v>
      </c>
      <c r="E66" s="7">
        <v>1</v>
      </c>
      <c r="F66" s="7">
        <v>1</v>
      </c>
      <c r="G66" s="7">
        <v>0</v>
      </c>
      <c r="H66" s="1">
        <f t="shared" si="17"/>
        <v>0</v>
      </c>
      <c r="I66" s="1">
        <f t="shared" si="18"/>
        <v>0</v>
      </c>
      <c r="J66" s="1">
        <f t="shared" si="19"/>
        <v>1</v>
      </c>
      <c r="K66" s="1">
        <f t="shared" si="20"/>
        <v>0</v>
      </c>
      <c r="L66" s="1" t="str">
        <f t="shared" si="21"/>
        <v>被动补库存</v>
      </c>
      <c r="O66" s="48">
        <v>43555</v>
      </c>
      <c r="P66" s="49">
        <v>71.325717871192467</v>
      </c>
      <c r="R66" s="52">
        <v>42063</v>
      </c>
      <c r="S66" s="53">
        <v>13.8</v>
      </c>
      <c r="Y66" s="52">
        <v>41243</v>
      </c>
      <c r="Z66" s="1">
        <v>52.92110196776045</v>
      </c>
    </row>
    <row r="67" spans="1:26" x14ac:dyDescent="0.3">
      <c r="A67" s="8">
        <v>44530</v>
      </c>
      <c r="B67" s="9">
        <f t="shared" si="16"/>
        <v>17.773395863092428</v>
      </c>
      <c r="C67" s="9">
        <f t="shared" si="22"/>
        <v>11.4</v>
      </c>
      <c r="D67" s="7">
        <v>0</v>
      </c>
      <c r="E67" s="7">
        <v>1</v>
      </c>
      <c r="F67" s="7">
        <v>1</v>
      </c>
      <c r="G67" s="7">
        <v>0</v>
      </c>
      <c r="H67" s="1">
        <f t="shared" si="17"/>
        <v>0</v>
      </c>
      <c r="I67" s="1">
        <f t="shared" si="18"/>
        <v>0</v>
      </c>
      <c r="J67" s="1">
        <f t="shared" si="19"/>
        <v>1</v>
      </c>
      <c r="K67" s="1">
        <f t="shared" si="20"/>
        <v>0</v>
      </c>
      <c r="L67" s="1" t="str">
        <f t="shared" si="21"/>
        <v>被动补库存</v>
      </c>
      <c r="O67" s="48">
        <v>43524</v>
      </c>
      <c r="P67" s="49">
        <v>68.251427387893784</v>
      </c>
      <c r="R67" s="52">
        <v>42094</v>
      </c>
      <c r="S67" s="53">
        <v>13.3</v>
      </c>
      <c r="Y67" s="52">
        <v>41274</v>
      </c>
      <c r="Z67" s="1">
        <v>35.10071440614368</v>
      </c>
    </row>
    <row r="68" spans="1:26" x14ac:dyDescent="0.3">
      <c r="A68" s="8">
        <v>44500</v>
      </c>
      <c r="B68" s="9">
        <f t="shared" si="16"/>
        <v>16.945511878054219</v>
      </c>
      <c r="C68" s="9">
        <f t="shared" si="22"/>
        <v>11.4</v>
      </c>
      <c r="D68" s="7">
        <v>0</v>
      </c>
      <c r="E68" s="7">
        <v>1</v>
      </c>
      <c r="F68" s="7">
        <v>1</v>
      </c>
      <c r="G68" s="7">
        <v>0</v>
      </c>
      <c r="H68" s="1">
        <f t="shared" si="17"/>
        <v>0</v>
      </c>
      <c r="I68" s="1">
        <f t="shared" si="18"/>
        <v>0</v>
      </c>
      <c r="J68" s="1">
        <f t="shared" si="19"/>
        <v>1</v>
      </c>
      <c r="K68" s="1">
        <f t="shared" si="20"/>
        <v>0</v>
      </c>
      <c r="L68" s="1" t="str">
        <f t="shared" si="21"/>
        <v>被动补库存</v>
      </c>
      <c r="O68" s="48">
        <v>43496</v>
      </c>
      <c r="P68" s="49">
        <v>60.602467410239463</v>
      </c>
      <c r="R68" s="52">
        <v>42124</v>
      </c>
      <c r="S68" s="53">
        <v>13.4</v>
      </c>
      <c r="Y68" s="52">
        <v>41305</v>
      </c>
      <c r="Z68" s="1">
        <v>32.55864121409428</v>
      </c>
    </row>
    <row r="69" spans="1:26" x14ac:dyDescent="0.3">
      <c r="A69" s="8">
        <v>44469</v>
      </c>
      <c r="B69" s="9">
        <f t="shared" ref="B69:B100" si="23">VLOOKUP(A69,O:P,2,0)</f>
        <v>13.87308373062497</v>
      </c>
      <c r="C69" s="9">
        <f t="shared" si="22"/>
        <v>11.4</v>
      </c>
      <c r="D69" s="7">
        <v>0</v>
      </c>
      <c r="E69" s="7">
        <v>1</v>
      </c>
      <c r="F69" s="7">
        <v>1</v>
      </c>
      <c r="G69" s="7">
        <v>0</v>
      </c>
      <c r="H69" s="1">
        <f t="shared" si="17"/>
        <v>0</v>
      </c>
      <c r="I69" s="1">
        <f t="shared" si="18"/>
        <v>0</v>
      </c>
      <c r="J69" s="1">
        <f t="shared" si="19"/>
        <v>1</v>
      </c>
      <c r="K69" s="1">
        <f t="shared" si="20"/>
        <v>0</v>
      </c>
      <c r="L69" s="1" t="str">
        <f t="shared" ref="L69:L100" si="24">INDEX($H$3:$K$3,1,MATCH(1,H69:K69,0))</f>
        <v>被动补库存</v>
      </c>
      <c r="O69" s="48">
        <v>43465</v>
      </c>
      <c r="P69" s="49">
        <v>48.705451875716591</v>
      </c>
      <c r="R69" s="52">
        <v>42155</v>
      </c>
      <c r="S69" s="53">
        <v>13.1</v>
      </c>
      <c r="Y69" s="52">
        <v>41333</v>
      </c>
      <c r="Z69" s="1">
        <v>24.68216597998823</v>
      </c>
    </row>
    <row r="70" spans="1:26" x14ac:dyDescent="0.3">
      <c r="A70" s="8">
        <v>44439</v>
      </c>
      <c r="B70" s="9">
        <f t="shared" si="23"/>
        <v>8.6419309227981262</v>
      </c>
      <c r="C70" s="9">
        <f t="shared" si="22"/>
        <v>11.7</v>
      </c>
      <c r="D70" s="7">
        <v>0</v>
      </c>
      <c r="E70" s="7">
        <v>1</v>
      </c>
      <c r="F70" s="7">
        <v>1</v>
      </c>
      <c r="G70" s="7">
        <v>0</v>
      </c>
      <c r="H70" s="1">
        <f t="shared" si="17"/>
        <v>0</v>
      </c>
      <c r="I70" s="1">
        <f t="shared" si="18"/>
        <v>0</v>
      </c>
      <c r="J70" s="1">
        <f t="shared" si="19"/>
        <v>1</v>
      </c>
      <c r="K70" s="1">
        <f t="shared" si="20"/>
        <v>0</v>
      </c>
      <c r="L70" s="1" t="str">
        <f t="shared" si="24"/>
        <v>被动补库存</v>
      </c>
      <c r="O70" s="48">
        <v>43434</v>
      </c>
      <c r="P70" s="49">
        <v>45.162692722482028</v>
      </c>
      <c r="R70" s="52">
        <v>42185</v>
      </c>
      <c r="S70" s="53">
        <v>12.5</v>
      </c>
      <c r="Y70" s="52">
        <v>41364</v>
      </c>
      <c r="Z70" s="1">
        <v>21.58051740405314</v>
      </c>
    </row>
    <row r="71" spans="1:26" x14ac:dyDescent="0.3">
      <c r="A71" s="8">
        <v>44408</v>
      </c>
      <c r="B71" s="9">
        <f t="shared" si="23"/>
        <v>3.1797932722426112</v>
      </c>
      <c r="C71" s="9">
        <f t="shared" si="22"/>
        <v>11.8</v>
      </c>
      <c r="D71" s="7">
        <v>0</v>
      </c>
      <c r="E71" s="7">
        <v>1</v>
      </c>
      <c r="F71" s="7">
        <v>1</v>
      </c>
      <c r="G71" s="7">
        <v>0</v>
      </c>
      <c r="H71" s="1">
        <f t="shared" si="17"/>
        <v>0</v>
      </c>
      <c r="I71" s="1">
        <f t="shared" si="18"/>
        <v>0</v>
      </c>
      <c r="J71" s="1">
        <f t="shared" si="19"/>
        <v>1</v>
      </c>
      <c r="K71" s="1">
        <f t="shared" si="20"/>
        <v>0</v>
      </c>
      <c r="L71" s="1" t="str">
        <f t="shared" si="24"/>
        <v>被动补库存</v>
      </c>
      <c r="O71" s="48">
        <v>43404</v>
      </c>
      <c r="P71" s="49">
        <v>40.35722673750908</v>
      </c>
      <c r="R71" s="52">
        <v>42216</v>
      </c>
      <c r="S71" s="53">
        <v>14.4</v>
      </c>
      <c r="Y71" s="52">
        <v>41394</v>
      </c>
      <c r="Z71" s="1">
        <v>15.391031277727601</v>
      </c>
    </row>
    <row r="72" spans="1:26" x14ac:dyDescent="0.3">
      <c r="A72" s="8">
        <v>44377</v>
      </c>
      <c r="B72" s="9">
        <f t="shared" si="23"/>
        <v>-0.109618052364842</v>
      </c>
      <c r="C72" s="9">
        <f t="shared" si="22"/>
        <v>11.9</v>
      </c>
      <c r="D72" s="7">
        <v>0</v>
      </c>
      <c r="E72" s="7">
        <v>1</v>
      </c>
      <c r="F72" s="7">
        <v>1</v>
      </c>
      <c r="G72" s="7">
        <v>0</v>
      </c>
      <c r="H72" s="1">
        <f t="shared" si="17"/>
        <v>0</v>
      </c>
      <c r="I72" s="1">
        <f t="shared" si="18"/>
        <v>0</v>
      </c>
      <c r="J72" s="1">
        <f t="shared" si="19"/>
        <v>1</v>
      </c>
      <c r="K72" s="1">
        <f t="shared" si="20"/>
        <v>0</v>
      </c>
      <c r="L72" s="1" t="str">
        <f t="shared" si="24"/>
        <v>被动补库存</v>
      </c>
      <c r="O72" s="48">
        <v>43373</v>
      </c>
      <c r="P72" s="49">
        <v>36.09981189575813</v>
      </c>
      <c r="R72" s="52">
        <v>42247</v>
      </c>
      <c r="S72" s="53">
        <v>14.7</v>
      </c>
      <c r="Y72" s="52">
        <v>41425</v>
      </c>
      <c r="Z72" s="1">
        <v>7.3057222851685042</v>
      </c>
    </row>
    <row r="73" spans="1:26" x14ac:dyDescent="0.3">
      <c r="A73" s="8">
        <v>44347</v>
      </c>
      <c r="B73" s="9">
        <f t="shared" si="23"/>
        <v>-5.6222198223187236</v>
      </c>
      <c r="C73" s="9">
        <f t="shared" si="22"/>
        <v>11.8</v>
      </c>
      <c r="D73" s="7">
        <v>0</v>
      </c>
      <c r="E73" s="7">
        <v>1</v>
      </c>
      <c r="F73" s="7">
        <v>1</v>
      </c>
      <c r="G73" s="7">
        <v>0</v>
      </c>
      <c r="H73" s="1">
        <f t="shared" si="17"/>
        <v>0</v>
      </c>
      <c r="I73" s="1">
        <f t="shared" si="18"/>
        <v>0</v>
      </c>
      <c r="J73" s="1">
        <f t="shared" si="19"/>
        <v>1</v>
      </c>
      <c r="K73" s="1">
        <f t="shared" si="20"/>
        <v>0</v>
      </c>
      <c r="L73" s="1" t="str">
        <f t="shared" si="24"/>
        <v>被动补库存</v>
      </c>
      <c r="O73" s="48">
        <v>43343</v>
      </c>
      <c r="P73" s="49">
        <v>31.298349365532541</v>
      </c>
      <c r="R73" s="52">
        <v>42277</v>
      </c>
      <c r="S73" s="53">
        <v>12.4</v>
      </c>
      <c r="Y73" s="52">
        <v>41455</v>
      </c>
      <c r="Z73" s="1">
        <v>2.264042713179375</v>
      </c>
    </row>
    <row r="74" spans="1:26" x14ac:dyDescent="0.3">
      <c r="A74" s="8">
        <v>44316</v>
      </c>
      <c r="B74" s="9">
        <f t="shared" si="23"/>
        <v>-5.6696887765172637</v>
      </c>
      <c r="C74" s="9">
        <f t="shared" si="22"/>
        <v>12</v>
      </c>
      <c r="D74" s="7">
        <v>0</v>
      </c>
      <c r="E74" s="7">
        <v>1</v>
      </c>
      <c r="F74" s="7">
        <v>0</v>
      </c>
      <c r="G74" s="7">
        <v>1</v>
      </c>
      <c r="H74" s="1">
        <f t="shared" si="17"/>
        <v>1</v>
      </c>
      <c r="I74" s="1">
        <f t="shared" si="18"/>
        <v>0</v>
      </c>
      <c r="J74" s="1">
        <f t="shared" si="19"/>
        <v>0</v>
      </c>
      <c r="K74" s="1">
        <f t="shared" si="20"/>
        <v>0</v>
      </c>
      <c r="L74" s="1" t="str">
        <f t="shared" si="24"/>
        <v>主动去库存</v>
      </c>
      <c r="O74" s="48">
        <v>43312</v>
      </c>
      <c r="P74" s="49">
        <v>21.39378779109893</v>
      </c>
      <c r="R74" s="52">
        <v>42308</v>
      </c>
      <c r="S74" s="53">
        <v>14.4</v>
      </c>
      <c r="Y74" s="52">
        <v>41486</v>
      </c>
      <c r="Z74" s="1">
        <v>-8.4409559539657568</v>
      </c>
    </row>
    <row r="75" spans="1:26" x14ac:dyDescent="0.3">
      <c r="A75" s="8">
        <v>44286</v>
      </c>
      <c r="B75" s="9">
        <f t="shared" si="23"/>
        <v>-4.4850950530415377</v>
      </c>
      <c r="C75" s="9">
        <f t="shared" si="22"/>
        <v>12.3</v>
      </c>
      <c r="D75" s="7">
        <v>0</v>
      </c>
      <c r="E75" s="7">
        <v>1</v>
      </c>
      <c r="F75" s="7">
        <v>0</v>
      </c>
      <c r="G75" s="7">
        <v>1</v>
      </c>
      <c r="H75" s="1">
        <f t="shared" si="17"/>
        <v>1</v>
      </c>
      <c r="I75" s="1">
        <f t="shared" si="18"/>
        <v>0</v>
      </c>
      <c r="J75" s="1">
        <f t="shared" si="19"/>
        <v>0</v>
      </c>
      <c r="K75" s="1">
        <f t="shared" si="20"/>
        <v>0</v>
      </c>
      <c r="L75" s="1" t="str">
        <f t="shared" si="24"/>
        <v>主动去库存</v>
      </c>
      <c r="O75" s="48">
        <v>43281</v>
      </c>
      <c r="P75" s="49">
        <v>10.048070546391999</v>
      </c>
      <c r="R75" s="52">
        <v>42338</v>
      </c>
      <c r="S75" s="53">
        <v>13.9</v>
      </c>
      <c r="Y75" s="52">
        <v>41517</v>
      </c>
      <c r="Z75" s="1">
        <v>-13.6270198121025</v>
      </c>
    </row>
    <row r="76" spans="1:26" x14ac:dyDescent="0.3">
      <c r="A76" s="8">
        <v>44255</v>
      </c>
      <c r="B76" s="9">
        <f t="shared" si="23"/>
        <v>-0.12358854567029599</v>
      </c>
      <c r="C76" s="9">
        <f t="shared" si="22"/>
        <v>12.6</v>
      </c>
      <c r="D76" s="7">
        <v>0</v>
      </c>
      <c r="E76" s="7">
        <v>1</v>
      </c>
      <c r="F76" s="7">
        <v>0</v>
      </c>
      <c r="G76" s="7">
        <v>1</v>
      </c>
      <c r="H76" s="1">
        <f t="shared" si="17"/>
        <v>1</v>
      </c>
      <c r="I76" s="1">
        <f t="shared" si="18"/>
        <v>0</v>
      </c>
      <c r="J76" s="1">
        <f t="shared" si="19"/>
        <v>0</v>
      </c>
      <c r="K76" s="1">
        <f t="shared" si="20"/>
        <v>0</v>
      </c>
      <c r="L76" s="1" t="str">
        <f t="shared" si="24"/>
        <v>主动去库存</v>
      </c>
      <c r="O76" s="48">
        <v>43251</v>
      </c>
      <c r="P76" s="49">
        <v>-1.58983534431303</v>
      </c>
      <c r="R76" s="52">
        <v>42369</v>
      </c>
      <c r="S76" s="53">
        <v>13.4</v>
      </c>
      <c r="Y76" s="52">
        <v>41547</v>
      </c>
      <c r="Z76" s="1">
        <v>-12.133201577317489</v>
      </c>
    </row>
    <row r="77" spans="1:26" x14ac:dyDescent="0.3">
      <c r="A77" s="8">
        <v>44227</v>
      </c>
      <c r="B77" s="9">
        <f t="shared" si="23"/>
        <v>2.9966241824681661</v>
      </c>
      <c r="C77" s="9">
        <f t="shared" si="22"/>
        <v>12.5</v>
      </c>
      <c r="D77" s="7">
        <v>0</v>
      </c>
      <c r="E77" s="7">
        <v>1</v>
      </c>
      <c r="F77" s="7">
        <v>0</v>
      </c>
      <c r="G77" s="7">
        <v>1</v>
      </c>
      <c r="H77" s="1">
        <f t="shared" si="17"/>
        <v>1</v>
      </c>
      <c r="I77" s="1">
        <f t="shared" si="18"/>
        <v>0</v>
      </c>
      <c r="J77" s="1">
        <f t="shared" si="19"/>
        <v>0</v>
      </c>
      <c r="K77" s="1">
        <f t="shared" si="20"/>
        <v>0</v>
      </c>
      <c r="L77" s="1" t="str">
        <f t="shared" si="24"/>
        <v>主动去库存</v>
      </c>
      <c r="O77" s="48">
        <v>43220</v>
      </c>
      <c r="P77" s="49">
        <v>-8.4944619341065284</v>
      </c>
      <c r="R77" s="52">
        <v>42400</v>
      </c>
      <c r="S77" s="53">
        <v>14.1</v>
      </c>
      <c r="Y77" s="52">
        <v>41578</v>
      </c>
      <c r="Z77" s="1">
        <v>-12.41022411215075</v>
      </c>
    </row>
    <row r="78" spans="1:26" x14ac:dyDescent="0.3">
      <c r="A78" s="8">
        <v>44196</v>
      </c>
      <c r="B78" s="9">
        <f t="shared" si="23"/>
        <v>9.6868796808843154</v>
      </c>
      <c r="C78" s="9">
        <f t="shared" si="22"/>
        <v>12.5</v>
      </c>
      <c r="D78" s="7">
        <v>0</v>
      </c>
      <c r="E78" s="7">
        <v>1</v>
      </c>
      <c r="F78" s="7">
        <v>0</v>
      </c>
      <c r="G78" s="7">
        <v>1</v>
      </c>
      <c r="H78" s="1">
        <f t="shared" si="17"/>
        <v>1</v>
      </c>
      <c r="I78" s="1">
        <f t="shared" si="18"/>
        <v>0</v>
      </c>
      <c r="J78" s="1">
        <f t="shared" si="19"/>
        <v>0</v>
      </c>
      <c r="K78" s="1">
        <f t="shared" si="20"/>
        <v>0</v>
      </c>
      <c r="L78" s="1" t="str">
        <f t="shared" si="24"/>
        <v>主动去库存</v>
      </c>
      <c r="O78" s="48">
        <v>43190</v>
      </c>
      <c r="P78" s="49">
        <v>-12.680663305771571</v>
      </c>
      <c r="R78" s="52">
        <v>42429</v>
      </c>
      <c r="S78" s="53">
        <v>13.6</v>
      </c>
      <c r="Y78" s="52">
        <v>41608</v>
      </c>
      <c r="Z78" s="1">
        <v>-10.097504885095031</v>
      </c>
    </row>
    <row r="79" spans="1:26" x14ac:dyDescent="0.3">
      <c r="A79" s="8">
        <v>44165</v>
      </c>
      <c r="B79" s="9">
        <f t="shared" si="23"/>
        <v>5.6604232481235979</v>
      </c>
      <c r="C79" s="9">
        <f t="shared" si="22"/>
        <v>12.6</v>
      </c>
      <c r="D79" s="7">
        <v>0</v>
      </c>
      <c r="E79" s="7">
        <v>1</v>
      </c>
      <c r="F79" s="7">
        <v>0</v>
      </c>
      <c r="G79" s="7">
        <v>1</v>
      </c>
      <c r="H79" s="1">
        <f t="shared" si="17"/>
        <v>1</v>
      </c>
      <c r="I79" s="1">
        <f t="shared" si="18"/>
        <v>0</v>
      </c>
      <c r="J79" s="1">
        <f t="shared" si="19"/>
        <v>0</v>
      </c>
      <c r="K79" s="1">
        <f t="shared" si="20"/>
        <v>0</v>
      </c>
      <c r="L79" s="1" t="str">
        <f t="shared" si="24"/>
        <v>主动去库存</v>
      </c>
      <c r="O79" s="48">
        <v>43159</v>
      </c>
      <c r="P79" s="49">
        <v>-19.547375498850322</v>
      </c>
      <c r="R79" s="52">
        <v>42460</v>
      </c>
      <c r="S79" s="53">
        <v>13.4</v>
      </c>
      <c r="Y79" s="52">
        <v>41639</v>
      </c>
      <c r="Z79" s="1">
        <v>-4.1072292010469118</v>
      </c>
    </row>
    <row r="80" spans="1:26" x14ac:dyDescent="0.3">
      <c r="A80" s="8">
        <v>44135</v>
      </c>
      <c r="B80" s="9">
        <f t="shared" si="23"/>
        <v>5.4671193536221709</v>
      </c>
      <c r="C80" s="9">
        <f t="shared" si="22"/>
        <v>12.8</v>
      </c>
      <c r="D80" s="7">
        <v>0</v>
      </c>
      <c r="E80" s="7">
        <v>1</v>
      </c>
      <c r="F80" s="7">
        <v>0</v>
      </c>
      <c r="G80" s="7">
        <v>1</v>
      </c>
      <c r="H80" s="1">
        <f t="shared" si="17"/>
        <v>1</v>
      </c>
      <c r="I80" s="1">
        <f t="shared" si="18"/>
        <v>0</v>
      </c>
      <c r="J80" s="1">
        <f t="shared" si="19"/>
        <v>0</v>
      </c>
      <c r="K80" s="1">
        <f t="shared" si="20"/>
        <v>0</v>
      </c>
      <c r="L80" s="1" t="str">
        <f t="shared" si="24"/>
        <v>主动去库存</v>
      </c>
      <c r="O80" s="48">
        <v>43131</v>
      </c>
      <c r="P80" s="49">
        <v>-21.879750873413499</v>
      </c>
      <c r="R80" s="52">
        <v>42490</v>
      </c>
      <c r="S80" s="53">
        <v>13.1</v>
      </c>
      <c r="Y80" s="52">
        <v>41670</v>
      </c>
      <c r="Z80" s="1">
        <v>-6.8850188115132509</v>
      </c>
    </row>
    <row r="81" spans="1:26" x14ac:dyDescent="0.3">
      <c r="A81" s="8">
        <v>44104</v>
      </c>
      <c r="B81" s="9">
        <f t="shared" si="23"/>
        <v>7.264763540667329</v>
      </c>
      <c r="C81" s="9">
        <f t="shared" si="22"/>
        <v>12.8</v>
      </c>
      <c r="D81" s="7">
        <v>0</v>
      </c>
      <c r="E81" s="7">
        <v>1</v>
      </c>
      <c r="F81" s="7">
        <v>0</v>
      </c>
      <c r="G81" s="7">
        <v>1</v>
      </c>
      <c r="H81" s="1">
        <f t="shared" si="17"/>
        <v>1</v>
      </c>
      <c r="I81" s="1">
        <f t="shared" si="18"/>
        <v>0</v>
      </c>
      <c r="J81" s="1">
        <f t="shared" si="19"/>
        <v>0</v>
      </c>
      <c r="K81" s="1">
        <f t="shared" si="20"/>
        <v>0</v>
      </c>
      <c r="L81" s="1" t="str">
        <f t="shared" si="24"/>
        <v>主动去库存</v>
      </c>
      <c r="O81" s="48">
        <v>43100</v>
      </c>
      <c r="P81" s="49">
        <v>-28.945803216697929</v>
      </c>
      <c r="R81" s="52">
        <v>42521</v>
      </c>
      <c r="S81" s="53">
        <v>13</v>
      </c>
      <c r="Y81" s="52">
        <v>41698</v>
      </c>
      <c r="Z81" s="1">
        <v>-9.3066734329391583</v>
      </c>
    </row>
    <row r="82" spans="1:26" x14ac:dyDescent="0.3">
      <c r="A82" s="8">
        <v>44074</v>
      </c>
      <c r="B82" s="9">
        <f t="shared" si="23"/>
        <v>13.422573940980079</v>
      </c>
      <c r="C82" s="9">
        <f t="shared" si="22"/>
        <v>12.8</v>
      </c>
      <c r="D82" s="7">
        <v>0</v>
      </c>
      <c r="E82" s="7">
        <v>1</v>
      </c>
      <c r="F82" s="7">
        <v>0</v>
      </c>
      <c r="G82" s="7">
        <v>1</v>
      </c>
      <c r="H82" s="1">
        <f t="shared" si="17"/>
        <v>1</v>
      </c>
      <c r="I82" s="1">
        <f t="shared" si="18"/>
        <v>0</v>
      </c>
      <c r="J82" s="1">
        <f t="shared" si="19"/>
        <v>0</v>
      </c>
      <c r="K82" s="1">
        <f t="shared" si="20"/>
        <v>0</v>
      </c>
      <c r="L82" s="1" t="str">
        <f t="shared" si="24"/>
        <v>主动去库存</v>
      </c>
      <c r="O82" s="48">
        <v>43069</v>
      </c>
      <c r="P82" s="49">
        <v>-34.538401964913803</v>
      </c>
      <c r="R82" s="52">
        <v>42551</v>
      </c>
      <c r="S82" s="53">
        <v>13</v>
      </c>
      <c r="Y82" s="52">
        <v>41729</v>
      </c>
      <c r="Z82" s="1">
        <v>-12.470288754964651</v>
      </c>
    </row>
    <row r="83" spans="1:26" x14ac:dyDescent="0.3">
      <c r="A83" s="8">
        <v>44043</v>
      </c>
      <c r="B83" s="9">
        <f t="shared" si="23"/>
        <v>19.666890767086691</v>
      </c>
      <c r="C83" s="9">
        <f t="shared" si="22"/>
        <v>13</v>
      </c>
      <c r="D83" s="7">
        <v>0</v>
      </c>
      <c r="E83" s="7">
        <v>1</v>
      </c>
      <c r="F83" s="7">
        <v>0</v>
      </c>
      <c r="G83" s="7">
        <v>1</v>
      </c>
      <c r="H83" s="1">
        <f t="shared" si="17"/>
        <v>1</v>
      </c>
      <c r="I83" s="1">
        <f t="shared" si="18"/>
        <v>0</v>
      </c>
      <c r="J83" s="1">
        <f t="shared" si="19"/>
        <v>0</v>
      </c>
      <c r="K83" s="1">
        <f t="shared" si="20"/>
        <v>0</v>
      </c>
      <c r="L83" s="1" t="str">
        <f t="shared" si="24"/>
        <v>主动去库存</v>
      </c>
      <c r="O83" s="48">
        <v>43039</v>
      </c>
      <c r="P83" s="49">
        <v>-36.333130810965599</v>
      </c>
      <c r="R83" s="52">
        <v>42582</v>
      </c>
      <c r="S83" s="53">
        <v>11.6</v>
      </c>
      <c r="Y83" s="52">
        <v>41759</v>
      </c>
      <c r="Z83" s="1">
        <v>-15.11670457469519</v>
      </c>
    </row>
    <row r="84" spans="1:26" x14ac:dyDescent="0.3">
      <c r="A84" s="8">
        <v>44012</v>
      </c>
      <c r="B84" s="9">
        <f t="shared" si="23"/>
        <v>23.339677074795731</v>
      </c>
      <c r="C84" s="9">
        <f t="shared" ref="C84:C115" si="25">VLOOKUP(A84,R:S,2,0)</f>
        <v>13</v>
      </c>
      <c r="D84" s="7">
        <v>0</v>
      </c>
      <c r="E84" s="7">
        <v>1</v>
      </c>
      <c r="F84" s="7">
        <v>0</v>
      </c>
      <c r="G84" s="7">
        <v>1</v>
      </c>
      <c r="H84" s="1">
        <f t="shared" si="17"/>
        <v>1</v>
      </c>
      <c r="I84" s="1">
        <f t="shared" si="18"/>
        <v>0</v>
      </c>
      <c r="J84" s="1">
        <f t="shared" si="19"/>
        <v>0</v>
      </c>
      <c r="K84" s="1">
        <f t="shared" si="20"/>
        <v>0</v>
      </c>
      <c r="L84" s="1" t="str">
        <f t="shared" si="24"/>
        <v>主动去库存</v>
      </c>
      <c r="O84" s="48">
        <v>43008</v>
      </c>
      <c r="P84" s="49">
        <v>-34.4494214520303</v>
      </c>
      <c r="R84" s="52">
        <v>42613</v>
      </c>
      <c r="S84" s="53">
        <v>11.6</v>
      </c>
      <c r="Y84" s="52">
        <v>41790</v>
      </c>
      <c r="Z84" s="1">
        <v>-11.74238882690387</v>
      </c>
    </row>
    <row r="85" spans="1:26" x14ac:dyDescent="0.3">
      <c r="A85" s="8">
        <v>43982</v>
      </c>
      <c r="B85" s="9">
        <f t="shared" si="23"/>
        <v>28.14243607938845</v>
      </c>
      <c r="C85" s="9">
        <f t="shared" si="25"/>
        <v>13</v>
      </c>
      <c r="D85" s="7">
        <v>1</v>
      </c>
      <c r="E85" s="7">
        <v>0</v>
      </c>
      <c r="F85" s="7">
        <v>1</v>
      </c>
      <c r="G85" s="7">
        <v>0</v>
      </c>
      <c r="H85" s="1">
        <f t="shared" si="17"/>
        <v>0</v>
      </c>
      <c r="I85" s="1">
        <f t="shared" si="18"/>
        <v>0</v>
      </c>
      <c r="J85" s="1">
        <f t="shared" si="19"/>
        <v>0</v>
      </c>
      <c r="K85" s="1">
        <f t="shared" si="20"/>
        <v>1</v>
      </c>
      <c r="L85" s="1" t="str">
        <f t="shared" si="24"/>
        <v>主动补库存</v>
      </c>
      <c r="O85" s="48">
        <v>42978</v>
      </c>
      <c r="P85" s="49">
        <v>-32.737525841382499</v>
      </c>
      <c r="R85" s="52">
        <v>42643</v>
      </c>
      <c r="S85" s="53">
        <v>12</v>
      </c>
      <c r="Y85" s="52">
        <v>41820</v>
      </c>
      <c r="Z85" s="1">
        <v>-5.3922686578061736</v>
      </c>
    </row>
    <row r="86" spans="1:26" x14ac:dyDescent="0.3">
      <c r="A86" s="8">
        <v>43951</v>
      </c>
      <c r="B86" s="9">
        <f t="shared" si="23"/>
        <v>27.942041121771631</v>
      </c>
      <c r="C86" s="9">
        <f t="shared" si="25"/>
        <v>12.9</v>
      </c>
      <c r="D86" s="7">
        <v>1</v>
      </c>
      <c r="E86" s="7">
        <v>0</v>
      </c>
      <c r="F86" s="7">
        <v>1</v>
      </c>
      <c r="G86" s="7">
        <v>0</v>
      </c>
      <c r="H86" s="1">
        <f t="shared" si="17"/>
        <v>0</v>
      </c>
      <c r="I86" s="1">
        <f t="shared" si="18"/>
        <v>0</v>
      </c>
      <c r="J86" s="1">
        <f t="shared" si="19"/>
        <v>0</v>
      </c>
      <c r="K86" s="1">
        <f t="shared" si="20"/>
        <v>1</v>
      </c>
      <c r="L86" s="1" t="str">
        <f t="shared" si="24"/>
        <v>主动补库存</v>
      </c>
      <c r="O86" s="48">
        <v>42947</v>
      </c>
      <c r="P86" s="49">
        <v>-30.523198320884148</v>
      </c>
      <c r="R86" s="52">
        <v>42674</v>
      </c>
      <c r="S86" s="53">
        <v>12.3</v>
      </c>
      <c r="Y86" s="52">
        <v>41851</v>
      </c>
      <c r="Z86" s="1">
        <v>6.7926289325367852</v>
      </c>
    </row>
    <row r="87" spans="1:26" x14ac:dyDescent="0.3">
      <c r="A87" s="8">
        <v>43921</v>
      </c>
      <c r="B87" s="9">
        <f t="shared" si="23"/>
        <v>25.639304221043261</v>
      </c>
      <c r="C87" s="9">
        <f t="shared" si="25"/>
        <v>12.3</v>
      </c>
      <c r="D87" s="7">
        <v>1</v>
      </c>
      <c r="E87" s="7">
        <v>0</v>
      </c>
      <c r="F87" s="7">
        <v>1</v>
      </c>
      <c r="G87" s="7">
        <v>0</v>
      </c>
      <c r="H87" s="1">
        <f t="shared" si="17"/>
        <v>0</v>
      </c>
      <c r="I87" s="1">
        <f t="shared" si="18"/>
        <v>0</v>
      </c>
      <c r="J87" s="1">
        <f t="shared" si="19"/>
        <v>0</v>
      </c>
      <c r="K87" s="1">
        <f t="shared" si="20"/>
        <v>1</v>
      </c>
      <c r="L87" s="1" t="str">
        <f t="shared" si="24"/>
        <v>主动补库存</v>
      </c>
      <c r="O87" s="48">
        <v>42916</v>
      </c>
      <c r="P87" s="49">
        <v>-27.039504441327718</v>
      </c>
      <c r="R87" s="52">
        <v>42704</v>
      </c>
      <c r="S87" s="53">
        <v>12.5</v>
      </c>
      <c r="Y87" s="52">
        <v>41882</v>
      </c>
      <c r="Z87" s="1">
        <v>18.094920750175309</v>
      </c>
    </row>
    <row r="88" spans="1:26" x14ac:dyDescent="0.3">
      <c r="A88" s="8">
        <v>43890</v>
      </c>
      <c r="B88" s="9">
        <f t="shared" si="23"/>
        <v>24.331336195577862</v>
      </c>
      <c r="C88" s="9">
        <f t="shared" si="25"/>
        <v>11.7</v>
      </c>
      <c r="D88" s="7">
        <v>0</v>
      </c>
      <c r="E88" s="7">
        <v>1</v>
      </c>
      <c r="F88" s="7">
        <v>0</v>
      </c>
      <c r="G88" s="7">
        <v>1</v>
      </c>
      <c r="H88" s="1">
        <f t="shared" si="17"/>
        <v>1</v>
      </c>
      <c r="I88" s="1">
        <f t="shared" si="18"/>
        <v>0</v>
      </c>
      <c r="J88" s="1">
        <f t="shared" si="19"/>
        <v>0</v>
      </c>
      <c r="K88" s="1">
        <f t="shared" si="20"/>
        <v>0</v>
      </c>
      <c r="L88" s="1" t="str">
        <f t="shared" si="24"/>
        <v>主动去库存</v>
      </c>
      <c r="O88" s="48">
        <v>42886</v>
      </c>
      <c r="P88" s="49">
        <v>-24.25177549086218</v>
      </c>
      <c r="R88" s="52">
        <v>42735</v>
      </c>
      <c r="S88" s="53">
        <v>12.8</v>
      </c>
      <c r="Y88" s="52">
        <v>41912</v>
      </c>
      <c r="Z88" s="1">
        <v>31.001084319037449</v>
      </c>
    </row>
    <row r="89" spans="1:26" x14ac:dyDescent="0.3">
      <c r="A89" s="8">
        <v>43861</v>
      </c>
      <c r="B89" s="9">
        <f t="shared" si="23"/>
        <v>26.670633788154738</v>
      </c>
      <c r="C89" s="9">
        <f t="shared" si="25"/>
        <v>11.6</v>
      </c>
      <c r="D89" s="7">
        <v>0</v>
      </c>
      <c r="E89" s="7">
        <v>1</v>
      </c>
      <c r="F89" s="7">
        <v>0</v>
      </c>
      <c r="G89" s="7">
        <v>1</v>
      </c>
      <c r="H89" s="1">
        <f t="shared" si="17"/>
        <v>1</v>
      </c>
      <c r="I89" s="1">
        <f t="shared" si="18"/>
        <v>0</v>
      </c>
      <c r="J89" s="1">
        <f t="shared" si="19"/>
        <v>0</v>
      </c>
      <c r="K89" s="1">
        <f t="shared" si="20"/>
        <v>0</v>
      </c>
      <c r="L89" s="1" t="str">
        <f t="shared" si="24"/>
        <v>主动去库存</v>
      </c>
      <c r="O89" s="48">
        <v>42855</v>
      </c>
      <c r="P89" s="49">
        <v>-19.129313676323381</v>
      </c>
      <c r="R89" s="52">
        <v>42766</v>
      </c>
      <c r="S89" s="53">
        <v>12.1</v>
      </c>
      <c r="Y89" s="52">
        <v>41943</v>
      </c>
      <c r="Z89" s="1">
        <v>41.54019205134508</v>
      </c>
    </row>
    <row r="90" spans="1:26" x14ac:dyDescent="0.3">
      <c r="A90" s="8">
        <v>43830</v>
      </c>
      <c r="B90" s="9">
        <f t="shared" si="23"/>
        <v>31.77585436197214</v>
      </c>
      <c r="C90" s="9">
        <f t="shared" si="25"/>
        <v>11.9</v>
      </c>
      <c r="D90" s="7">
        <v>0</v>
      </c>
      <c r="E90" s="7">
        <v>1</v>
      </c>
      <c r="F90" s="7">
        <v>0</v>
      </c>
      <c r="G90" s="7">
        <v>1</v>
      </c>
      <c r="H90" s="1">
        <f t="shared" si="17"/>
        <v>1</v>
      </c>
      <c r="I90" s="1">
        <f t="shared" si="18"/>
        <v>0</v>
      </c>
      <c r="J90" s="1">
        <f t="shared" si="19"/>
        <v>0</v>
      </c>
      <c r="K90" s="1">
        <f t="shared" si="20"/>
        <v>0</v>
      </c>
      <c r="L90" s="1" t="str">
        <f t="shared" si="24"/>
        <v>主动去库存</v>
      </c>
      <c r="O90" s="48">
        <v>42825</v>
      </c>
      <c r="P90" s="49">
        <v>-11.21009663094878</v>
      </c>
      <c r="R90" s="52">
        <v>42794</v>
      </c>
      <c r="S90" s="53">
        <v>12.7</v>
      </c>
      <c r="Y90" s="52">
        <v>41973</v>
      </c>
      <c r="Z90" s="1">
        <v>52.267391302182368</v>
      </c>
    </row>
    <row r="91" spans="1:26" x14ac:dyDescent="0.3">
      <c r="A91" s="8">
        <v>43799</v>
      </c>
      <c r="B91" s="9">
        <f t="shared" si="23"/>
        <v>39.570233011857788</v>
      </c>
      <c r="C91" s="9">
        <f t="shared" si="25"/>
        <v>11.9</v>
      </c>
      <c r="D91" s="7">
        <v>0</v>
      </c>
      <c r="E91" s="7">
        <v>1</v>
      </c>
      <c r="F91" s="7">
        <v>0</v>
      </c>
      <c r="G91" s="7">
        <v>1</v>
      </c>
      <c r="H91" s="1">
        <f t="shared" si="17"/>
        <v>1</v>
      </c>
      <c r="I91" s="1">
        <f t="shared" si="18"/>
        <v>0</v>
      </c>
      <c r="J91" s="1">
        <f t="shared" si="19"/>
        <v>0</v>
      </c>
      <c r="K91" s="1">
        <f t="shared" si="20"/>
        <v>0</v>
      </c>
      <c r="L91" s="1" t="str">
        <f t="shared" si="24"/>
        <v>主动去库存</v>
      </c>
      <c r="O91" s="48">
        <v>42794</v>
      </c>
      <c r="P91" s="49">
        <v>-2.3089481172272208</v>
      </c>
      <c r="R91" s="52">
        <v>42825</v>
      </c>
      <c r="S91" s="53">
        <v>12.3</v>
      </c>
      <c r="Y91" s="52">
        <v>42004</v>
      </c>
      <c r="Z91" s="1">
        <v>48.86909257936103</v>
      </c>
    </row>
    <row r="92" spans="1:26" x14ac:dyDescent="0.3">
      <c r="A92" s="8">
        <v>43769</v>
      </c>
      <c r="B92" s="9">
        <f t="shared" si="23"/>
        <v>44.649964669714663</v>
      </c>
      <c r="C92" s="9">
        <f t="shared" si="25"/>
        <v>11.8</v>
      </c>
      <c r="D92" s="7">
        <v>0</v>
      </c>
      <c r="E92" s="7">
        <v>1</v>
      </c>
      <c r="F92" s="7">
        <v>0</v>
      </c>
      <c r="G92" s="7">
        <v>1</v>
      </c>
      <c r="H92" s="1">
        <f t="shared" si="17"/>
        <v>1</v>
      </c>
      <c r="I92" s="1">
        <f t="shared" si="18"/>
        <v>0</v>
      </c>
      <c r="J92" s="1">
        <f t="shared" si="19"/>
        <v>0</v>
      </c>
      <c r="K92" s="1">
        <f t="shared" si="20"/>
        <v>0</v>
      </c>
      <c r="L92" s="1" t="str">
        <f t="shared" si="24"/>
        <v>主动去库存</v>
      </c>
      <c r="O92" s="48">
        <v>42766</v>
      </c>
      <c r="P92" s="49">
        <v>1.4269823960370269</v>
      </c>
      <c r="R92" s="52">
        <v>42855</v>
      </c>
      <c r="S92" s="53">
        <v>12.8</v>
      </c>
      <c r="Y92" s="52">
        <v>42035</v>
      </c>
      <c r="Z92" s="1">
        <v>60.321182553688502</v>
      </c>
    </row>
    <row r="93" spans="1:26" x14ac:dyDescent="0.3">
      <c r="A93" s="8">
        <v>43738</v>
      </c>
      <c r="B93" s="9">
        <f t="shared" si="23"/>
        <v>47.249017012817319</v>
      </c>
      <c r="C93" s="9">
        <f t="shared" si="25"/>
        <v>12</v>
      </c>
      <c r="D93" s="7">
        <v>0</v>
      </c>
      <c r="E93" s="7">
        <v>1</v>
      </c>
      <c r="F93" s="7">
        <v>0</v>
      </c>
      <c r="G93" s="7">
        <v>1</v>
      </c>
      <c r="H93" s="1">
        <f t="shared" si="17"/>
        <v>1</v>
      </c>
      <c r="I93" s="1">
        <f t="shared" si="18"/>
        <v>0</v>
      </c>
      <c r="J93" s="1">
        <f t="shared" si="19"/>
        <v>0</v>
      </c>
      <c r="K93" s="1">
        <f t="shared" si="20"/>
        <v>0</v>
      </c>
      <c r="L93" s="1" t="str">
        <f t="shared" si="24"/>
        <v>主动去库存</v>
      </c>
      <c r="O93" s="48">
        <v>42735</v>
      </c>
      <c r="P93" s="49">
        <v>19.567916964805939</v>
      </c>
      <c r="R93" s="52">
        <v>42886</v>
      </c>
      <c r="S93" s="53">
        <v>12.8</v>
      </c>
      <c r="Y93" s="52">
        <v>42063</v>
      </c>
      <c r="Z93" s="1">
        <v>65.307148193893354</v>
      </c>
    </row>
    <row r="94" spans="1:26" x14ac:dyDescent="0.3">
      <c r="A94" s="8">
        <v>43708</v>
      </c>
      <c r="B94" s="9">
        <f t="shared" si="23"/>
        <v>48.979200750307399</v>
      </c>
      <c r="C94" s="9">
        <f t="shared" si="25"/>
        <v>11.9</v>
      </c>
      <c r="D94" s="7">
        <v>0</v>
      </c>
      <c r="E94" s="7">
        <v>1</v>
      </c>
      <c r="F94" s="7">
        <v>0</v>
      </c>
      <c r="G94" s="7">
        <v>1</v>
      </c>
      <c r="H94" s="1">
        <f t="shared" si="17"/>
        <v>1</v>
      </c>
      <c r="I94" s="1">
        <f t="shared" si="18"/>
        <v>0</v>
      </c>
      <c r="J94" s="1">
        <f t="shared" si="19"/>
        <v>0</v>
      </c>
      <c r="K94" s="1">
        <f t="shared" si="20"/>
        <v>0</v>
      </c>
      <c r="L94" s="1" t="str">
        <f t="shared" si="24"/>
        <v>主动去库存</v>
      </c>
      <c r="O94" s="48">
        <v>42704</v>
      </c>
      <c r="P94" s="49">
        <v>23.38886821875203</v>
      </c>
      <c r="R94" s="52">
        <v>42916</v>
      </c>
      <c r="S94" s="53">
        <v>12.7</v>
      </c>
      <c r="Y94" s="52">
        <v>42094</v>
      </c>
      <c r="Z94" s="1">
        <v>63.350369795822587</v>
      </c>
    </row>
    <row r="95" spans="1:26" x14ac:dyDescent="0.3">
      <c r="A95" s="8">
        <v>43677</v>
      </c>
      <c r="B95" s="9">
        <f t="shared" si="23"/>
        <v>57.139011401484197</v>
      </c>
      <c r="C95" s="9">
        <f t="shared" si="25"/>
        <v>11.9</v>
      </c>
      <c r="D95" s="7">
        <v>0</v>
      </c>
      <c r="E95" s="7">
        <v>1</v>
      </c>
      <c r="F95" s="7">
        <v>0</v>
      </c>
      <c r="G95" s="7">
        <v>1</v>
      </c>
      <c r="H95" s="1">
        <f t="shared" si="17"/>
        <v>1</v>
      </c>
      <c r="I95" s="1">
        <f t="shared" si="18"/>
        <v>0</v>
      </c>
      <c r="J95" s="1">
        <f t="shared" si="19"/>
        <v>0</v>
      </c>
      <c r="K95" s="1">
        <f t="shared" si="20"/>
        <v>0</v>
      </c>
      <c r="L95" s="1" t="str">
        <f t="shared" si="24"/>
        <v>主动去库存</v>
      </c>
      <c r="O95" s="48">
        <v>42674</v>
      </c>
      <c r="P95" s="49">
        <v>29.544868219371359</v>
      </c>
      <c r="R95" s="52">
        <v>42947</v>
      </c>
      <c r="S95" s="53">
        <v>13</v>
      </c>
      <c r="Y95" s="52">
        <v>42124</v>
      </c>
      <c r="Z95" s="1">
        <v>63.147974375535703</v>
      </c>
    </row>
    <row r="96" spans="1:26" x14ac:dyDescent="0.3">
      <c r="A96" s="8">
        <v>43646</v>
      </c>
      <c r="B96" s="9">
        <f t="shared" si="23"/>
        <v>62.916721448823253</v>
      </c>
      <c r="C96" s="9">
        <f t="shared" si="25"/>
        <v>12.5</v>
      </c>
      <c r="D96" s="7">
        <v>0</v>
      </c>
      <c r="E96" s="7">
        <v>1</v>
      </c>
      <c r="F96" s="7">
        <v>0</v>
      </c>
      <c r="G96" s="7">
        <v>1</v>
      </c>
      <c r="H96" s="1">
        <f t="shared" si="17"/>
        <v>1</v>
      </c>
      <c r="I96" s="1">
        <f t="shared" si="18"/>
        <v>0</v>
      </c>
      <c r="J96" s="1">
        <f t="shared" si="19"/>
        <v>0</v>
      </c>
      <c r="K96" s="1">
        <f t="shared" si="20"/>
        <v>0</v>
      </c>
      <c r="L96" s="1" t="str">
        <f t="shared" si="24"/>
        <v>主动去库存</v>
      </c>
      <c r="O96" s="48">
        <v>42643</v>
      </c>
      <c r="P96" s="49">
        <v>32.515141404405398</v>
      </c>
      <c r="R96" s="52">
        <v>42978</v>
      </c>
      <c r="S96" s="53">
        <v>12.6</v>
      </c>
      <c r="Y96" s="52">
        <v>42155</v>
      </c>
      <c r="Z96" s="1">
        <v>61.78848965236368</v>
      </c>
    </row>
    <row r="97" spans="1:26" x14ac:dyDescent="0.3">
      <c r="A97" s="8">
        <v>43616</v>
      </c>
      <c r="B97" s="9">
        <f t="shared" si="23"/>
        <v>72.555269391072102</v>
      </c>
      <c r="C97" s="9">
        <f t="shared" si="25"/>
        <v>12.9</v>
      </c>
      <c r="D97" s="7">
        <v>0</v>
      </c>
      <c r="E97" s="7">
        <v>1</v>
      </c>
      <c r="F97" s="7">
        <v>0</v>
      </c>
      <c r="G97" s="7">
        <v>1</v>
      </c>
      <c r="H97" s="1">
        <f t="shared" si="17"/>
        <v>1</v>
      </c>
      <c r="I97" s="1">
        <f t="shared" si="18"/>
        <v>0</v>
      </c>
      <c r="J97" s="1">
        <f t="shared" si="19"/>
        <v>0</v>
      </c>
      <c r="K97" s="1">
        <f t="shared" si="20"/>
        <v>0</v>
      </c>
      <c r="L97" s="1" t="str">
        <f t="shared" si="24"/>
        <v>主动去库存</v>
      </c>
      <c r="O97" s="48">
        <v>42613</v>
      </c>
      <c r="P97" s="49">
        <v>30.083924043068901</v>
      </c>
      <c r="R97" s="52">
        <v>43008</v>
      </c>
      <c r="S97" s="53">
        <v>12.5</v>
      </c>
      <c r="Y97" s="52">
        <v>42185</v>
      </c>
      <c r="Z97" s="1">
        <v>71.681830934379775</v>
      </c>
    </row>
    <row r="98" spans="1:26" x14ac:dyDescent="0.3">
      <c r="A98" s="8">
        <v>43585</v>
      </c>
      <c r="B98" s="9">
        <f t="shared" si="23"/>
        <v>76.114393908368314</v>
      </c>
      <c r="C98" s="9">
        <f t="shared" si="25"/>
        <v>12.9</v>
      </c>
      <c r="D98" s="7">
        <v>1</v>
      </c>
      <c r="E98" s="7">
        <v>0</v>
      </c>
      <c r="F98" s="7">
        <v>1</v>
      </c>
      <c r="G98" s="7">
        <v>0</v>
      </c>
      <c r="H98" s="1">
        <f t="shared" si="17"/>
        <v>0</v>
      </c>
      <c r="I98" s="1">
        <f t="shared" si="18"/>
        <v>0</v>
      </c>
      <c r="J98" s="1">
        <f t="shared" si="19"/>
        <v>0</v>
      </c>
      <c r="K98" s="1">
        <f t="shared" si="20"/>
        <v>1</v>
      </c>
      <c r="L98" s="1" t="str">
        <f t="shared" si="24"/>
        <v>主动补库存</v>
      </c>
      <c r="O98" s="48">
        <v>42582</v>
      </c>
      <c r="P98" s="49">
        <v>32.465218322580327</v>
      </c>
      <c r="R98" s="52">
        <v>43039</v>
      </c>
      <c r="S98" s="53">
        <v>12.4</v>
      </c>
      <c r="Y98" s="52">
        <v>42216</v>
      </c>
      <c r="Z98" s="1">
        <v>70.013050708316669</v>
      </c>
    </row>
    <row r="99" spans="1:26" x14ac:dyDescent="0.3">
      <c r="A99" s="8">
        <v>43555</v>
      </c>
      <c r="B99" s="9">
        <f t="shared" si="23"/>
        <v>71.325717871192467</v>
      </c>
      <c r="C99" s="9">
        <f t="shared" si="25"/>
        <v>13.3</v>
      </c>
      <c r="D99" s="7">
        <v>1</v>
      </c>
      <c r="E99" s="7">
        <v>0</v>
      </c>
      <c r="F99" s="7">
        <v>1</v>
      </c>
      <c r="G99" s="7">
        <v>0</v>
      </c>
      <c r="H99" s="1">
        <f t="shared" si="17"/>
        <v>0</v>
      </c>
      <c r="I99" s="1">
        <f t="shared" si="18"/>
        <v>0</v>
      </c>
      <c r="J99" s="1">
        <f t="shared" si="19"/>
        <v>0</v>
      </c>
      <c r="K99" s="1">
        <f t="shared" si="20"/>
        <v>1</v>
      </c>
      <c r="L99" s="1" t="str">
        <f t="shared" si="24"/>
        <v>主动补库存</v>
      </c>
      <c r="O99" s="48">
        <v>42551</v>
      </c>
      <c r="P99" s="49">
        <v>40.724093534499509</v>
      </c>
      <c r="R99" s="52">
        <v>43069</v>
      </c>
      <c r="S99" s="53">
        <v>12.6</v>
      </c>
      <c r="Y99" s="52">
        <v>42247</v>
      </c>
      <c r="Z99" s="1">
        <v>64.014843644418676</v>
      </c>
    </row>
    <row r="100" spans="1:26" x14ac:dyDescent="0.3">
      <c r="A100" s="8">
        <v>43524</v>
      </c>
      <c r="B100" s="9">
        <f t="shared" si="23"/>
        <v>68.251427387893784</v>
      </c>
      <c r="C100" s="9">
        <f t="shared" si="25"/>
        <v>12.7</v>
      </c>
      <c r="D100" s="7">
        <v>1</v>
      </c>
      <c r="E100" s="7">
        <v>0</v>
      </c>
      <c r="F100" s="7">
        <v>1</v>
      </c>
      <c r="G100" s="7">
        <v>0</v>
      </c>
      <c r="H100" s="1">
        <f t="shared" si="17"/>
        <v>0</v>
      </c>
      <c r="I100" s="1">
        <f t="shared" si="18"/>
        <v>0</v>
      </c>
      <c r="J100" s="1">
        <f t="shared" si="19"/>
        <v>0</v>
      </c>
      <c r="K100" s="1">
        <f t="shared" si="20"/>
        <v>1</v>
      </c>
      <c r="L100" s="1" t="str">
        <f t="shared" si="24"/>
        <v>主动补库存</v>
      </c>
      <c r="O100" s="48">
        <v>42521</v>
      </c>
      <c r="P100" s="49">
        <v>55.309829028737717</v>
      </c>
      <c r="R100" s="52">
        <v>43100</v>
      </c>
      <c r="S100" s="53">
        <v>12.1</v>
      </c>
      <c r="Y100" s="52">
        <v>42277</v>
      </c>
      <c r="Z100" s="1">
        <v>59.866371609249093</v>
      </c>
    </row>
    <row r="101" spans="1:26" x14ac:dyDescent="0.3">
      <c r="A101" s="8">
        <v>43496</v>
      </c>
      <c r="B101" s="9">
        <f t="shared" ref="B101:B132" si="26">VLOOKUP(A101,O:P,2,0)</f>
        <v>60.602467410239463</v>
      </c>
      <c r="C101" s="9">
        <f t="shared" si="25"/>
        <v>12.8</v>
      </c>
      <c r="D101" s="7">
        <v>1</v>
      </c>
      <c r="E101" s="7">
        <v>0</v>
      </c>
      <c r="F101" s="7">
        <v>1</v>
      </c>
      <c r="G101" s="7">
        <v>0</v>
      </c>
      <c r="H101" s="1">
        <f t="shared" ref="H101:H164" si="27">INT(AND(G101=1,E101=1))</f>
        <v>0</v>
      </c>
      <c r="I101" s="1">
        <f t="shared" ref="I101:I164" si="28">INT(AND(G101=1,D101=1))</f>
        <v>0</v>
      </c>
      <c r="J101" s="1">
        <f t="shared" ref="J101:J164" si="29">INT(AND(F101=1,E101=1))</f>
        <v>0</v>
      </c>
      <c r="K101" s="1">
        <f t="shared" ref="K101:K164" si="30">INT(AND(F101=1,D101=1))</f>
        <v>1</v>
      </c>
      <c r="L101" s="1" t="str">
        <f t="shared" ref="L101:L132" si="31">INDEX($H$3:$K$3,1,MATCH(1,H101:K101,0))</f>
        <v>主动补库存</v>
      </c>
      <c r="O101" s="48">
        <v>42490</v>
      </c>
      <c r="P101" s="49">
        <v>61.234603097930183</v>
      </c>
      <c r="R101" s="52">
        <v>43131</v>
      </c>
      <c r="S101" s="53">
        <v>12.6</v>
      </c>
      <c r="Y101" s="52">
        <v>42308</v>
      </c>
      <c r="Z101" s="1">
        <v>59.738104669318069</v>
      </c>
    </row>
    <row r="102" spans="1:26" x14ac:dyDescent="0.3">
      <c r="A102" s="8">
        <v>43465</v>
      </c>
      <c r="B102" s="9">
        <f t="shared" si="26"/>
        <v>48.705451875716591</v>
      </c>
      <c r="C102" s="9">
        <f t="shared" si="25"/>
        <v>12.9</v>
      </c>
      <c r="D102" s="7">
        <v>1</v>
      </c>
      <c r="E102" s="7">
        <v>0</v>
      </c>
      <c r="F102" s="7">
        <v>1</v>
      </c>
      <c r="G102" s="7">
        <v>0</v>
      </c>
      <c r="H102" s="1">
        <f t="shared" si="27"/>
        <v>0</v>
      </c>
      <c r="I102" s="1">
        <f t="shared" si="28"/>
        <v>0</v>
      </c>
      <c r="J102" s="1">
        <f t="shared" si="29"/>
        <v>0</v>
      </c>
      <c r="K102" s="1">
        <f t="shared" si="30"/>
        <v>1</v>
      </c>
      <c r="L102" s="1" t="str">
        <f t="shared" si="31"/>
        <v>主动补库存</v>
      </c>
      <c r="O102" s="48">
        <v>42460</v>
      </c>
      <c r="P102" s="49">
        <v>60.607160697576987</v>
      </c>
      <c r="R102" s="52">
        <v>43159</v>
      </c>
      <c r="S102" s="53">
        <v>12.1</v>
      </c>
      <c r="Y102" s="52">
        <v>42338</v>
      </c>
      <c r="Z102" s="1">
        <v>51.738067528749731</v>
      </c>
    </row>
    <row r="103" spans="1:26" x14ac:dyDescent="0.3">
      <c r="A103" s="8">
        <v>43434</v>
      </c>
      <c r="B103" s="9">
        <f t="shared" si="26"/>
        <v>45.162692722482028</v>
      </c>
      <c r="C103" s="9">
        <f t="shared" si="25"/>
        <v>12.6</v>
      </c>
      <c r="D103" s="7">
        <v>1</v>
      </c>
      <c r="E103" s="7">
        <v>0</v>
      </c>
      <c r="F103" s="7">
        <v>1</v>
      </c>
      <c r="G103" s="7">
        <v>0</v>
      </c>
      <c r="H103" s="1">
        <f t="shared" si="27"/>
        <v>0</v>
      </c>
      <c r="I103" s="1">
        <f t="shared" si="28"/>
        <v>0</v>
      </c>
      <c r="J103" s="1">
        <f t="shared" si="29"/>
        <v>0</v>
      </c>
      <c r="K103" s="1">
        <f t="shared" si="30"/>
        <v>1</v>
      </c>
      <c r="L103" s="1" t="str">
        <f t="shared" si="31"/>
        <v>主动补库存</v>
      </c>
      <c r="O103" s="48">
        <v>42429</v>
      </c>
      <c r="P103" s="49">
        <v>60.38475503378492</v>
      </c>
      <c r="R103" s="52">
        <v>43190</v>
      </c>
      <c r="S103" s="53">
        <v>11.9</v>
      </c>
      <c r="Y103" s="52">
        <v>42369</v>
      </c>
      <c r="Z103" s="1">
        <v>56.863028768836941</v>
      </c>
    </row>
    <row r="104" spans="1:26" x14ac:dyDescent="0.3">
      <c r="A104" s="8">
        <v>43404</v>
      </c>
      <c r="B104" s="9">
        <f t="shared" si="26"/>
        <v>40.35722673750908</v>
      </c>
      <c r="C104" s="9">
        <f t="shared" si="25"/>
        <v>12.8</v>
      </c>
      <c r="D104" s="7">
        <v>1</v>
      </c>
      <c r="E104" s="7">
        <v>0</v>
      </c>
      <c r="F104" s="7">
        <v>1</v>
      </c>
      <c r="G104" s="7">
        <v>0</v>
      </c>
      <c r="H104" s="1">
        <f t="shared" si="27"/>
        <v>0</v>
      </c>
      <c r="I104" s="1">
        <f t="shared" si="28"/>
        <v>0</v>
      </c>
      <c r="J104" s="1">
        <f t="shared" si="29"/>
        <v>0</v>
      </c>
      <c r="K104" s="1">
        <f t="shared" si="30"/>
        <v>1</v>
      </c>
      <c r="L104" s="1" t="str">
        <f t="shared" si="31"/>
        <v>主动补库存</v>
      </c>
      <c r="O104" s="48">
        <v>42400</v>
      </c>
      <c r="P104" s="49">
        <v>64.456029600864923</v>
      </c>
      <c r="R104" s="52">
        <v>43220</v>
      </c>
      <c r="S104" s="53">
        <v>11.9</v>
      </c>
      <c r="Y104" s="52">
        <v>42400</v>
      </c>
      <c r="Z104" s="1">
        <v>64.456029600864923</v>
      </c>
    </row>
    <row r="105" spans="1:26" x14ac:dyDescent="0.3">
      <c r="A105" s="8">
        <v>43373</v>
      </c>
      <c r="B105" s="9">
        <f t="shared" si="26"/>
        <v>36.09981189575813</v>
      </c>
      <c r="C105" s="9">
        <f t="shared" si="25"/>
        <v>12.8</v>
      </c>
      <c r="D105" s="7">
        <v>1</v>
      </c>
      <c r="E105" s="7">
        <v>0</v>
      </c>
      <c r="F105" s="7">
        <v>1</v>
      </c>
      <c r="G105" s="7">
        <v>0</v>
      </c>
      <c r="H105" s="1">
        <f t="shared" si="27"/>
        <v>0</v>
      </c>
      <c r="I105" s="1">
        <f t="shared" si="28"/>
        <v>0</v>
      </c>
      <c r="J105" s="1">
        <f t="shared" si="29"/>
        <v>0</v>
      </c>
      <c r="K105" s="1">
        <f t="shared" si="30"/>
        <v>1</v>
      </c>
      <c r="L105" s="1" t="str">
        <f t="shared" si="31"/>
        <v>主动补库存</v>
      </c>
      <c r="O105" s="48">
        <v>42369</v>
      </c>
      <c r="P105" s="49">
        <v>56.863028768836941</v>
      </c>
      <c r="R105" s="52">
        <v>43251</v>
      </c>
      <c r="S105" s="53">
        <v>12</v>
      </c>
      <c r="Y105" s="52">
        <v>42429</v>
      </c>
      <c r="Z105" s="1">
        <v>60.38475503378492</v>
      </c>
    </row>
    <row r="106" spans="1:26" x14ac:dyDescent="0.3">
      <c r="A106" s="8">
        <v>43343</v>
      </c>
      <c r="B106" s="9">
        <f t="shared" si="26"/>
        <v>31.298349365532541</v>
      </c>
      <c r="C106" s="9">
        <f t="shared" si="25"/>
        <v>12.8</v>
      </c>
      <c r="D106" s="7">
        <v>1</v>
      </c>
      <c r="E106" s="7">
        <v>0</v>
      </c>
      <c r="F106" s="7">
        <v>1</v>
      </c>
      <c r="G106" s="7">
        <v>0</v>
      </c>
      <c r="H106" s="1">
        <f t="shared" si="27"/>
        <v>0</v>
      </c>
      <c r="I106" s="1">
        <f t="shared" si="28"/>
        <v>0</v>
      </c>
      <c r="J106" s="1">
        <f t="shared" si="29"/>
        <v>0</v>
      </c>
      <c r="K106" s="1">
        <f t="shared" si="30"/>
        <v>1</v>
      </c>
      <c r="L106" s="1" t="str">
        <f t="shared" si="31"/>
        <v>主动补库存</v>
      </c>
      <c r="O106" s="48">
        <v>42338</v>
      </c>
      <c r="P106" s="49">
        <v>51.738067528749731</v>
      </c>
      <c r="R106" s="52">
        <v>43281</v>
      </c>
      <c r="S106" s="53">
        <v>12.1</v>
      </c>
      <c r="Y106" s="52">
        <v>42460</v>
      </c>
      <c r="Z106" s="1">
        <v>60.607160697576987</v>
      </c>
    </row>
    <row r="107" spans="1:26" x14ac:dyDescent="0.3">
      <c r="A107" s="8">
        <v>43312</v>
      </c>
      <c r="B107" s="9">
        <f t="shared" si="26"/>
        <v>21.39378779109893</v>
      </c>
      <c r="C107" s="9">
        <f t="shared" si="25"/>
        <v>12.7</v>
      </c>
      <c r="D107" s="7">
        <v>1</v>
      </c>
      <c r="E107" s="7">
        <v>0</v>
      </c>
      <c r="F107" s="7">
        <v>1</v>
      </c>
      <c r="G107" s="7">
        <v>0</v>
      </c>
      <c r="H107" s="1">
        <f t="shared" si="27"/>
        <v>0</v>
      </c>
      <c r="I107" s="1">
        <f t="shared" si="28"/>
        <v>0</v>
      </c>
      <c r="J107" s="1">
        <f t="shared" si="29"/>
        <v>0</v>
      </c>
      <c r="K107" s="1">
        <f t="shared" si="30"/>
        <v>1</v>
      </c>
      <c r="L107" s="1" t="str">
        <f t="shared" si="31"/>
        <v>主动补库存</v>
      </c>
      <c r="O107" s="48">
        <v>42308</v>
      </c>
      <c r="P107" s="49">
        <v>59.738104669318069</v>
      </c>
      <c r="R107" s="52">
        <v>43312</v>
      </c>
      <c r="S107" s="53">
        <v>12.7</v>
      </c>
      <c r="Y107" s="52">
        <v>42490</v>
      </c>
      <c r="Z107" s="1">
        <v>61.234603097930183</v>
      </c>
    </row>
    <row r="108" spans="1:26" x14ac:dyDescent="0.3">
      <c r="A108" s="8">
        <v>43281</v>
      </c>
      <c r="B108" s="9">
        <f t="shared" si="26"/>
        <v>10.048070546391999</v>
      </c>
      <c r="C108" s="9">
        <f t="shared" si="25"/>
        <v>12.1</v>
      </c>
      <c r="D108" s="7">
        <v>0</v>
      </c>
      <c r="E108" s="7">
        <v>1</v>
      </c>
      <c r="F108" s="7">
        <v>1</v>
      </c>
      <c r="G108" s="7">
        <v>0</v>
      </c>
      <c r="H108" s="1">
        <f t="shared" si="27"/>
        <v>0</v>
      </c>
      <c r="I108" s="1">
        <f t="shared" si="28"/>
        <v>0</v>
      </c>
      <c r="J108" s="1">
        <f t="shared" si="29"/>
        <v>1</v>
      </c>
      <c r="K108" s="1">
        <f t="shared" si="30"/>
        <v>0</v>
      </c>
      <c r="L108" s="1" t="str">
        <f t="shared" si="31"/>
        <v>被动补库存</v>
      </c>
      <c r="O108" s="48">
        <v>42277</v>
      </c>
      <c r="P108" s="49">
        <v>59.866371609249093</v>
      </c>
      <c r="R108" s="52">
        <v>43343</v>
      </c>
      <c r="S108" s="53">
        <v>12.8</v>
      </c>
      <c r="Y108" s="52">
        <v>42521</v>
      </c>
      <c r="Z108" s="1">
        <v>55.309829028737717</v>
      </c>
    </row>
    <row r="109" spans="1:26" x14ac:dyDescent="0.3">
      <c r="A109" s="8">
        <v>43251</v>
      </c>
      <c r="B109" s="9">
        <f t="shared" si="26"/>
        <v>-1.58983534431303</v>
      </c>
      <c r="C109" s="9">
        <f t="shared" si="25"/>
        <v>12</v>
      </c>
      <c r="D109" s="7">
        <v>0</v>
      </c>
      <c r="E109" s="7">
        <v>1</v>
      </c>
      <c r="F109" s="7">
        <v>1</v>
      </c>
      <c r="G109" s="7">
        <v>0</v>
      </c>
      <c r="H109" s="1">
        <f t="shared" si="27"/>
        <v>0</v>
      </c>
      <c r="I109" s="1">
        <f t="shared" si="28"/>
        <v>0</v>
      </c>
      <c r="J109" s="1">
        <f t="shared" si="29"/>
        <v>1</v>
      </c>
      <c r="K109" s="1">
        <f t="shared" si="30"/>
        <v>0</v>
      </c>
      <c r="L109" s="1" t="str">
        <f t="shared" si="31"/>
        <v>被动补库存</v>
      </c>
      <c r="O109" s="48">
        <v>42247</v>
      </c>
      <c r="P109" s="49">
        <v>64.014843644418676</v>
      </c>
      <c r="R109" s="52">
        <v>43373</v>
      </c>
      <c r="S109" s="53">
        <v>12.8</v>
      </c>
      <c r="Y109" s="52">
        <v>42551</v>
      </c>
      <c r="Z109" s="1">
        <v>40.724093534499509</v>
      </c>
    </row>
    <row r="110" spans="1:26" x14ac:dyDescent="0.3">
      <c r="A110" s="8">
        <v>43220</v>
      </c>
      <c r="B110" s="9">
        <f t="shared" si="26"/>
        <v>-8.4944619341065284</v>
      </c>
      <c r="C110" s="9">
        <f t="shared" si="25"/>
        <v>11.9</v>
      </c>
      <c r="D110" s="7">
        <v>0</v>
      </c>
      <c r="E110" s="7">
        <v>1</v>
      </c>
      <c r="F110" s="7">
        <v>1</v>
      </c>
      <c r="G110" s="7">
        <v>0</v>
      </c>
      <c r="H110" s="1">
        <f t="shared" si="27"/>
        <v>0</v>
      </c>
      <c r="I110" s="1">
        <f t="shared" si="28"/>
        <v>0</v>
      </c>
      <c r="J110" s="1">
        <f t="shared" si="29"/>
        <v>1</v>
      </c>
      <c r="K110" s="1">
        <f t="shared" si="30"/>
        <v>0</v>
      </c>
      <c r="L110" s="1" t="str">
        <f t="shared" si="31"/>
        <v>被动补库存</v>
      </c>
      <c r="O110" s="48">
        <v>42216</v>
      </c>
      <c r="P110" s="49">
        <v>70.013050708316669</v>
      </c>
      <c r="R110" s="52">
        <v>43404</v>
      </c>
      <c r="S110" s="53">
        <v>12.8</v>
      </c>
      <c r="Y110" s="52">
        <v>42582</v>
      </c>
      <c r="Z110" s="1">
        <v>32.465218322580327</v>
      </c>
    </row>
    <row r="111" spans="1:26" x14ac:dyDescent="0.3">
      <c r="A111" s="8">
        <v>43190</v>
      </c>
      <c r="B111" s="9">
        <f t="shared" si="26"/>
        <v>-12.680663305771571</v>
      </c>
      <c r="C111" s="9">
        <f t="shared" si="25"/>
        <v>11.9</v>
      </c>
      <c r="D111" s="7">
        <v>0</v>
      </c>
      <c r="E111" s="7">
        <v>1</v>
      </c>
      <c r="F111" s="7">
        <v>1</v>
      </c>
      <c r="G111" s="7">
        <v>0</v>
      </c>
      <c r="H111" s="1">
        <f t="shared" si="27"/>
        <v>0</v>
      </c>
      <c r="I111" s="1">
        <f t="shared" si="28"/>
        <v>0</v>
      </c>
      <c r="J111" s="1">
        <f t="shared" si="29"/>
        <v>1</v>
      </c>
      <c r="K111" s="1">
        <f t="shared" si="30"/>
        <v>0</v>
      </c>
      <c r="L111" s="1" t="str">
        <f t="shared" si="31"/>
        <v>被动补库存</v>
      </c>
      <c r="O111" s="48">
        <v>42185</v>
      </c>
      <c r="P111" s="49">
        <v>71.681830934379775</v>
      </c>
      <c r="R111" s="52">
        <v>43434</v>
      </c>
      <c r="S111" s="53">
        <v>12.6</v>
      </c>
      <c r="Y111" s="52">
        <v>42613</v>
      </c>
      <c r="Z111" s="1">
        <v>30.083924043068901</v>
      </c>
    </row>
    <row r="112" spans="1:26" x14ac:dyDescent="0.3">
      <c r="A112" s="8">
        <v>43159</v>
      </c>
      <c r="B112" s="9">
        <f t="shared" si="26"/>
        <v>-19.547375498850322</v>
      </c>
      <c r="C112" s="9">
        <f t="shared" si="25"/>
        <v>12.1</v>
      </c>
      <c r="D112" s="7">
        <v>0</v>
      </c>
      <c r="E112" s="7">
        <v>1</v>
      </c>
      <c r="F112" s="7">
        <v>1</v>
      </c>
      <c r="G112" s="7">
        <v>0</v>
      </c>
      <c r="H112" s="1">
        <f t="shared" si="27"/>
        <v>0</v>
      </c>
      <c r="I112" s="1">
        <f t="shared" si="28"/>
        <v>0</v>
      </c>
      <c r="J112" s="1">
        <f t="shared" si="29"/>
        <v>1</v>
      </c>
      <c r="K112" s="1">
        <f t="shared" si="30"/>
        <v>0</v>
      </c>
      <c r="L112" s="1" t="str">
        <f t="shared" si="31"/>
        <v>被动补库存</v>
      </c>
      <c r="O112" s="48">
        <v>42155</v>
      </c>
      <c r="P112" s="49">
        <v>61.78848965236368</v>
      </c>
      <c r="R112" s="52">
        <v>43465</v>
      </c>
      <c r="S112" s="53">
        <v>12.9</v>
      </c>
      <c r="Y112" s="52">
        <v>42643</v>
      </c>
      <c r="Z112" s="1">
        <v>32.515141404405398</v>
      </c>
    </row>
    <row r="113" spans="1:26" x14ac:dyDescent="0.3">
      <c r="A113" s="8">
        <v>43131</v>
      </c>
      <c r="B113" s="9">
        <f t="shared" si="26"/>
        <v>-21.879750873413499</v>
      </c>
      <c r="C113" s="9">
        <f t="shared" si="25"/>
        <v>12.6</v>
      </c>
      <c r="D113" s="7">
        <v>0</v>
      </c>
      <c r="E113" s="7">
        <v>1</v>
      </c>
      <c r="F113" s="7">
        <v>1</v>
      </c>
      <c r="G113" s="7">
        <v>0</v>
      </c>
      <c r="H113" s="1">
        <f t="shared" si="27"/>
        <v>0</v>
      </c>
      <c r="I113" s="1">
        <f t="shared" si="28"/>
        <v>0</v>
      </c>
      <c r="J113" s="1">
        <f t="shared" si="29"/>
        <v>1</v>
      </c>
      <c r="K113" s="1">
        <f t="shared" si="30"/>
        <v>0</v>
      </c>
      <c r="L113" s="1" t="str">
        <f t="shared" si="31"/>
        <v>被动补库存</v>
      </c>
      <c r="O113" s="48">
        <v>42124</v>
      </c>
      <c r="P113" s="49">
        <v>63.147974375535703</v>
      </c>
      <c r="R113" s="52">
        <v>43496</v>
      </c>
      <c r="S113" s="53">
        <v>12.8</v>
      </c>
      <c r="Y113" s="52">
        <v>42674</v>
      </c>
      <c r="Z113" s="1">
        <v>29.544868219371359</v>
      </c>
    </row>
    <row r="114" spans="1:26" x14ac:dyDescent="0.3">
      <c r="A114" s="8">
        <v>43100</v>
      </c>
      <c r="B114" s="9">
        <f t="shared" si="26"/>
        <v>-28.945803216697929</v>
      </c>
      <c r="C114" s="9">
        <f t="shared" si="25"/>
        <v>12.1</v>
      </c>
      <c r="D114" s="7">
        <v>0</v>
      </c>
      <c r="E114" s="7">
        <v>1</v>
      </c>
      <c r="F114" s="7">
        <v>1</v>
      </c>
      <c r="G114" s="7">
        <v>0</v>
      </c>
      <c r="H114" s="1">
        <f t="shared" si="27"/>
        <v>0</v>
      </c>
      <c r="I114" s="1">
        <f t="shared" si="28"/>
        <v>0</v>
      </c>
      <c r="J114" s="1">
        <f t="shared" si="29"/>
        <v>1</v>
      </c>
      <c r="K114" s="1">
        <f t="shared" si="30"/>
        <v>0</v>
      </c>
      <c r="L114" s="1" t="str">
        <f t="shared" si="31"/>
        <v>被动补库存</v>
      </c>
      <c r="O114" s="48">
        <v>42094</v>
      </c>
      <c r="P114" s="49">
        <v>63.350369795822587</v>
      </c>
      <c r="R114" s="52">
        <v>43524</v>
      </c>
      <c r="S114" s="53">
        <v>12.7</v>
      </c>
      <c r="Y114" s="52">
        <v>42704</v>
      </c>
      <c r="Z114" s="1">
        <v>23.38886821875203</v>
      </c>
    </row>
    <row r="115" spans="1:26" x14ac:dyDescent="0.3">
      <c r="A115" s="8">
        <v>43069</v>
      </c>
      <c r="B115" s="9">
        <f t="shared" si="26"/>
        <v>-34.538401964913803</v>
      </c>
      <c r="C115" s="9">
        <f t="shared" si="25"/>
        <v>12.6</v>
      </c>
      <c r="D115" s="7">
        <v>0</v>
      </c>
      <c r="E115" s="7">
        <v>1</v>
      </c>
      <c r="F115" s="7">
        <v>1</v>
      </c>
      <c r="G115" s="7">
        <v>0</v>
      </c>
      <c r="H115" s="1">
        <f t="shared" si="27"/>
        <v>0</v>
      </c>
      <c r="I115" s="1">
        <f t="shared" si="28"/>
        <v>0</v>
      </c>
      <c r="J115" s="1">
        <f t="shared" si="29"/>
        <v>1</v>
      </c>
      <c r="K115" s="1">
        <f t="shared" si="30"/>
        <v>0</v>
      </c>
      <c r="L115" s="1" t="str">
        <f t="shared" si="31"/>
        <v>被动补库存</v>
      </c>
      <c r="O115" s="48">
        <v>42063</v>
      </c>
      <c r="P115" s="49">
        <v>65.307148193893354</v>
      </c>
      <c r="R115" s="52">
        <v>43555</v>
      </c>
      <c r="S115" s="53">
        <v>13.3</v>
      </c>
      <c r="Y115" s="52">
        <v>42735</v>
      </c>
      <c r="Z115" s="1">
        <v>19.567916964805939</v>
      </c>
    </row>
    <row r="116" spans="1:26" x14ac:dyDescent="0.3">
      <c r="A116" s="8">
        <v>43039</v>
      </c>
      <c r="B116" s="9">
        <f t="shared" si="26"/>
        <v>-36.333130810965599</v>
      </c>
      <c r="C116" s="9">
        <f t="shared" ref="C116:C147" si="32">VLOOKUP(A116,R:S,2,0)</f>
        <v>12.4</v>
      </c>
      <c r="D116" s="7">
        <v>0</v>
      </c>
      <c r="E116" s="7">
        <v>1</v>
      </c>
      <c r="F116" s="7">
        <v>1</v>
      </c>
      <c r="G116" s="7">
        <v>0</v>
      </c>
      <c r="H116" s="1">
        <f t="shared" si="27"/>
        <v>0</v>
      </c>
      <c r="I116" s="1">
        <f t="shared" si="28"/>
        <v>0</v>
      </c>
      <c r="J116" s="1">
        <f t="shared" si="29"/>
        <v>1</v>
      </c>
      <c r="K116" s="1">
        <f t="shared" si="30"/>
        <v>0</v>
      </c>
      <c r="L116" s="1" t="str">
        <f t="shared" si="31"/>
        <v>被动补库存</v>
      </c>
      <c r="O116" s="48">
        <v>42035</v>
      </c>
      <c r="P116" s="49">
        <v>60.321182553688502</v>
      </c>
      <c r="R116" s="52">
        <v>43585</v>
      </c>
      <c r="S116" s="53">
        <v>12.9</v>
      </c>
      <c r="Y116" s="52">
        <v>42766</v>
      </c>
      <c r="Z116" s="1">
        <v>1.4269823960370269</v>
      </c>
    </row>
    <row r="117" spans="1:26" x14ac:dyDescent="0.3">
      <c r="A117" s="8">
        <v>43008</v>
      </c>
      <c r="B117" s="9">
        <f t="shared" si="26"/>
        <v>-34.4494214520303</v>
      </c>
      <c r="C117" s="9">
        <f t="shared" si="32"/>
        <v>12.5</v>
      </c>
      <c r="D117" s="7">
        <v>0</v>
      </c>
      <c r="E117" s="7">
        <v>1</v>
      </c>
      <c r="F117" s="7">
        <v>0</v>
      </c>
      <c r="G117" s="7">
        <v>1</v>
      </c>
      <c r="H117" s="1">
        <f t="shared" si="27"/>
        <v>1</v>
      </c>
      <c r="I117" s="1">
        <f t="shared" si="28"/>
        <v>0</v>
      </c>
      <c r="J117" s="1">
        <f t="shared" si="29"/>
        <v>0</v>
      </c>
      <c r="K117" s="1">
        <f t="shared" si="30"/>
        <v>0</v>
      </c>
      <c r="L117" s="1" t="str">
        <f t="shared" si="31"/>
        <v>主动去库存</v>
      </c>
      <c r="O117" s="48">
        <v>42004</v>
      </c>
      <c r="P117" s="49">
        <v>48.86909257936103</v>
      </c>
      <c r="R117" s="52">
        <v>43616</v>
      </c>
      <c r="S117" s="53">
        <v>12.9</v>
      </c>
      <c r="Y117" s="52">
        <v>42794</v>
      </c>
      <c r="Z117" s="1">
        <v>-2.3089481172272208</v>
      </c>
    </row>
    <row r="118" spans="1:26" x14ac:dyDescent="0.3">
      <c r="A118" s="8">
        <v>42978</v>
      </c>
      <c r="B118" s="9">
        <f t="shared" si="26"/>
        <v>-32.737525841382499</v>
      </c>
      <c r="C118" s="9">
        <f t="shared" si="32"/>
        <v>12.6</v>
      </c>
      <c r="D118" s="7">
        <v>0</v>
      </c>
      <c r="E118" s="7">
        <v>1</v>
      </c>
      <c r="F118" s="7">
        <v>0</v>
      </c>
      <c r="G118" s="7">
        <v>1</v>
      </c>
      <c r="H118" s="1">
        <f t="shared" si="27"/>
        <v>1</v>
      </c>
      <c r="I118" s="1">
        <f t="shared" si="28"/>
        <v>0</v>
      </c>
      <c r="J118" s="1">
        <f t="shared" si="29"/>
        <v>0</v>
      </c>
      <c r="K118" s="1">
        <f t="shared" si="30"/>
        <v>0</v>
      </c>
      <c r="L118" s="1" t="str">
        <f t="shared" si="31"/>
        <v>主动去库存</v>
      </c>
      <c r="O118" s="48">
        <v>41973</v>
      </c>
      <c r="P118" s="49">
        <v>52.267391302182368</v>
      </c>
      <c r="R118" s="52">
        <v>43646</v>
      </c>
      <c r="S118" s="53">
        <v>12.5</v>
      </c>
      <c r="Y118" s="52">
        <v>42825</v>
      </c>
      <c r="Z118" s="1">
        <v>-11.21009663094878</v>
      </c>
    </row>
    <row r="119" spans="1:26" x14ac:dyDescent="0.3">
      <c r="A119" s="8">
        <v>42947</v>
      </c>
      <c r="B119" s="9">
        <f t="shared" si="26"/>
        <v>-30.523198320884148</v>
      </c>
      <c r="C119" s="9">
        <f t="shared" si="32"/>
        <v>13</v>
      </c>
      <c r="D119" s="7">
        <v>0</v>
      </c>
      <c r="E119" s="7">
        <v>1</v>
      </c>
      <c r="F119" s="7">
        <v>0</v>
      </c>
      <c r="G119" s="7">
        <v>1</v>
      </c>
      <c r="H119" s="1">
        <f t="shared" si="27"/>
        <v>1</v>
      </c>
      <c r="I119" s="1">
        <f t="shared" si="28"/>
        <v>0</v>
      </c>
      <c r="J119" s="1">
        <f t="shared" si="29"/>
        <v>0</v>
      </c>
      <c r="K119" s="1">
        <f t="shared" si="30"/>
        <v>0</v>
      </c>
      <c r="L119" s="1" t="str">
        <f t="shared" si="31"/>
        <v>主动去库存</v>
      </c>
      <c r="O119" s="48">
        <v>41943</v>
      </c>
      <c r="P119" s="49">
        <v>41.54019205134508</v>
      </c>
      <c r="R119" s="52">
        <v>43677</v>
      </c>
      <c r="S119" s="53">
        <v>11.9</v>
      </c>
      <c r="Y119" s="52">
        <v>42855</v>
      </c>
      <c r="Z119" s="1">
        <v>-19.129313676323381</v>
      </c>
    </row>
    <row r="120" spans="1:26" x14ac:dyDescent="0.3">
      <c r="A120" s="8">
        <v>42916</v>
      </c>
      <c r="B120" s="9">
        <f t="shared" si="26"/>
        <v>-27.039504441327718</v>
      </c>
      <c r="C120" s="9">
        <f t="shared" si="32"/>
        <v>12.7</v>
      </c>
      <c r="D120" s="7">
        <v>0</v>
      </c>
      <c r="E120" s="7">
        <v>1</v>
      </c>
      <c r="F120" s="7">
        <v>0</v>
      </c>
      <c r="G120" s="7">
        <v>1</v>
      </c>
      <c r="H120" s="1">
        <f t="shared" si="27"/>
        <v>1</v>
      </c>
      <c r="I120" s="1">
        <f t="shared" si="28"/>
        <v>0</v>
      </c>
      <c r="J120" s="1">
        <f t="shared" si="29"/>
        <v>0</v>
      </c>
      <c r="K120" s="1">
        <f t="shared" si="30"/>
        <v>0</v>
      </c>
      <c r="L120" s="1" t="str">
        <f t="shared" si="31"/>
        <v>主动去库存</v>
      </c>
      <c r="O120" s="48">
        <v>41912</v>
      </c>
      <c r="P120" s="49">
        <v>31.001084319037449</v>
      </c>
      <c r="R120" s="52">
        <v>43708</v>
      </c>
      <c r="S120" s="53">
        <v>11.9</v>
      </c>
      <c r="Y120" s="52">
        <v>42886</v>
      </c>
      <c r="Z120" s="1">
        <v>-24.25177549086218</v>
      </c>
    </row>
    <row r="121" spans="1:26" x14ac:dyDescent="0.3">
      <c r="A121" s="8">
        <v>42886</v>
      </c>
      <c r="B121" s="9">
        <f t="shared" si="26"/>
        <v>-24.25177549086218</v>
      </c>
      <c r="C121" s="9">
        <f t="shared" si="32"/>
        <v>12.8</v>
      </c>
      <c r="D121" s="7">
        <v>0</v>
      </c>
      <c r="E121" s="7">
        <v>1</v>
      </c>
      <c r="F121" s="7">
        <v>0</v>
      </c>
      <c r="G121" s="7">
        <v>1</v>
      </c>
      <c r="H121" s="1">
        <f t="shared" si="27"/>
        <v>1</v>
      </c>
      <c r="I121" s="1">
        <f t="shared" si="28"/>
        <v>0</v>
      </c>
      <c r="J121" s="1">
        <f t="shared" si="29"/>
        <v>0</v>
      </c>
      <c r="K121" s="1">
        <f t="shared" si="30"/>
        <v>0</v>
      </c>
      <c r="L121" s="1" t="str">
        <f t="shared" si="31"/>
        <v>主动去库存</v>
      </c>
      <c r="O121" s="48">
        <v>41882</v>
      </c>
      <c r="P121" s="49">
        <v>18.094920750175309</v>
      </c>
      <c r="R121" s="52">
        <v>43738</v>
      </c>
      <c r="S121" s="53">
        <v>12</v>
      </c>
      <c r="Y121" s="52">
        <v>42916</v>
      </c>
      <c r="Z121" s="1">
        <v>-27.039504441327718</v>
      </c>
    </row>
    <row r="122" spans="1:26" x14ac:dyDescent="0.3">
      <c r="A122" s="8">
        <v>42855</v>
      </c>
      <c r="B122" s="9">
        <f t="shared" si="26"/>
        <v>-19.129313676323381</v>
      </c>
      <c r="C122" s="9">
        <f t="shared" si="32"/>
        <v>12.8</v>
      </c>
      <c r="D122" s="7">
        <v>0</v>
      </c>
      <c r="E122" s="7">
        <v>1</v>
      </c>
      <c r="F122" s="7">
        <v>0</v>
      </c>
      <c r="G122" s="7">
        <v>1</v>
      </c>
      <c r="H122" s="1">
        <f t="shared" si="27"/>
        <v>1</v>
      </c>
      <c r="I122" s="1">
        <f t="shared" si="28"/>
        <v>0</v>
      </c>
      <c r="J122" s="1">
        <f t="shared" si="29"/>
        <v>0</v>
      </c>
      <c r="K122" s="1">
        <f t="shared" si="30"/>
        <v>0</v>
      </c>
      <c r="L122" s="1" t="str">
        <f t="shared" si="31"/>
        <v>主动去库存</v>
      </c>
      <c r="O122" s="48">
        <v>41851</v>
      </c>
      <c r="P122" s="49">
        <v>6.7926289325367852</v>
      </c>
      <c r="R122" s="52">
        <v>43769</v>
      </c>
      <c r="S122" s="53">
        <v>11.8</v>
      </c>
      <c r="Y122" s="52">
        <v>42947</v>
      </c>
      <c r="Z122" s="1">
        <v>-30.523198320884148</v>
      </c>
    </row>
    <row r="123" spans="1:26" x14ac:dyDescent="0.3">
      <c r="A123" s="8">
        <v>42825</v>
      </c>
      <c r="B123" s="9">
        <f t="shared" si="26"/>
        <v>-11.21009663094878</v>
      </c>
      <c r="C123" s="9">
        <f t="shared" si="32"/>
        <v>12.3</v>
      </c>
      <c r="D123" s="7">
        <v>0</v>
      </c>
      <c r="E123" s="7">
        <v>1</v>
      </c>
      <c r="F123" s="7">
        <v>0</v>
      </c>
      <c r="G123" s="7">
        <v>1</v>
      </c>
      <c r="H123" s="1">
        <f t="shared" si="27"/>
        <v>1</v>
      </c>
      <c r="I123" s="1">
        <f t="shared" si="28"/>
        <v>0</v>
      </c>
      <c r="J123" s="1">
        <f t="shared" si="29"/>
        <v>0</v>
      </c>
      <c r="K123" s="1">
        <f t="shared" si="30"/>
        <v>0</v>
      </c>
      <c r="L123" s="1" t="str">
        <f t="shared" si="31"/>
        <v>主动去库存</v>
      </c>
      <c r="O123" s="48">
        <v>41820</v>
      </c>
      <c r="P123" s="49">
        <v>-5.3922686578061736</v>
      </c>
      <c r="R123" s="52">
        <v>43799</v>
      </c>
      <c r="S123" s="53">
        <v>11.9</v>
      </c>
      <c r="Y123" s="52">
        <v>42978</v>
      </c>
      <c r="Z123" s="1">
        <v>-32.737525841382499</v>
      </c>
    </row>
    <row r="124" spans="1:26" x14ac:dyDescent="0.3">
      <c r="A124" s="8">
        <v>42794</v>
      </c>
      <c r="B124" s="9">
        <f t="shared" si="26"/>
        <v>-2.3089481172272208</v>
      </c>
      <c r="C124" s="9">
        <f t="shared" si="32"/>
        <v>12.7</v>
      </c>
      <c r="D124" s="7">
        <v>0</v>
      </c>
      <c r="E124" s="7">
        <v>1</v>
      </c>
      <c r="F124" s="7">
        <v>0</v>
      </c>
      <c r="G124" s="7">
        <v>1</v>
      </c>
      <c r="H124" s="1">
        <f t="shared" si="27"/>
        <v>1</v>
      </c>
      <c r="I124" s="1">
        <f t="shared" si="28"/>
        <v>0</v>
      </c>
      <c r="J124" s="1">
        <f t="shared" si="29"/>
        <v>0</v>
      </c>
      <c r="K124" s="1">
        <f t="shared" si="30"/>
        <v>0</v>
      </c>
      <c r="L124" s="1" t="str">
        <f t="shared" si="31"/>
        <v>主动去库存</v>
      </c>
      <c r="O124" s="48">
        <v>41790</v>
      </c>
      <c r="P124" s="49">
        <v>-11.74238882690387</v>
      </c>
      <c r="R124" s="52">
        <v>43830</v>
      </c>
      <c r="S124" s="53">
        <v>11.9</v>
      </c>
      <c r="Y124" s="52">
        <v>43008</v>
      </c>
      <c r="Z124" s="1">
        <v>-34.4494214520303</v>
      </c>
    </row>
    <row r="125" spans="1:26" x14ac:dyDescent="0.3">
      <c r="A125" s="8">
        <v>42766</v>
      </c>
      <c r="B125" s="9">
        <f t="shared" si="26"/>
        <v>1.4269823960370269</v>
      </c>
      <c r="C125" s="9">
        <f t="shared" si="32"/>
        <v>12.1</v>
      </c>
      <c r="D125" s="7">
        <v>0</v>
      </c>
      <c r="E125" s="7">
        <v>1</v>
      </c>
      <c r="F125" s="7">
        <v>0</v>
      </c>
      <c r="G125" s="7">
        <v>1</v>
      </c>
      <c r="H125" s="1">
        <f t="shared" si="27"/>
        <v>1</v>
      </c>
      <c r="I125" s="1">
        <f t="shared" si="28"/>
        <v>0</v>
      </c>
      <c r="J125" s="1">
        <f t="shared" si="29"/>
        <v>0</v>
      </c>
      <c r="K125" s="1">
        <f t="shared" si="30"/>
        <v>0</v>
      </c>
      <c r="L125" s="1" t="str">
        <f t="shared" si="31"/>
        <v>主动去库存</v>
      </c>
      <c r="O125" s="48">
        <v>41759</v>
      </c>
      <c r="P125" s="49">
        <v>-15.11670457469519</v>
      </c>
      <c r="R125" s="52">
        <v>43861</v>
      </c>
      <c r="S125" s="53">
        <v>11.6</v>
      </c>
      <c r="Y125" s="52">
        <v>43039</v>
      </c>
      <c r="Z125" s="1">
        <v>-36.333130810965599</v>
      </c>
    </row>
    <row r="126" spans="1:26" x14ac:dyDescent="0.3">
      <c r="A126" s="8">
        <v>42735</v>
      </c>
      <c r="B126" s="9">
        <f t="shared" si="26"/>
        <v>19.567916964805939</v>
      </c>
      <c r="C126" s="9">
        <f t="shared" si="32"/>
        <v>12.8</v>
      </c>
      <c r="D126" s="7">
        <v>0</v>
      </c>
      <c r="E126" s="7">
        <v>1</v>
      </c>
      <c r="F126" s="7">
        <v>0</v>
      </c>
      <c r="G126" s="7">
        <v>1</v>
      </c>
      <c r="H126" s="1">
        <f t="shared" si="27"/>
        <v>1</v>
      </c>
      <c r="I126" s="1">
        <f t="shared" si="28"/>
        <v>0</v>
      </c>
      <c r="J126" s="1">
        <f t="shared" si="29"/>
        <v>0</v>
      </c>
      <c r="K126" s="1">
        <f t="shared" si="30"/>
        <v>0</v>
      </c>
      <c r="L126" s="1" t="str">
        <f t="shared" si="31"/>
        <v>主动去库存</v>
      </c>
      <c r="O126" s="48">
        <v>41729</v>
      </c>
      <c r="P126" s="49">
        <v>-12.470288754964651</v>
      </c>
      <c r="R126" s="52">
        <v>43890</v>
      </c>
      <c r="S126" s="53">
        <v>11.7</v>
      </c>
      <c r="Y126" s="52">
        <v>43069</v>
      </c>
      <c r="Z126" s="1">
        <v>-34.538401964913803</v>
      </c>
    </row>
    <row r="127" spans="1:26" x14ac:dyDescent="0.3">
      <c r="A127" s="8">
        <v>42704</v>
      </c>
      <c r="B127" s="9">
        <f t="shared" si="26"/>
        <v>23.38886821875203</v>
      </c>
      <c r="C127" s="9">
        <f t="shared" si="32"/>
        <v>12.5</v>
      </c>
      <c r="D127" s="7">
        <v>0</v>
      </c>
      <c r="E127" s="7">
        <v>1</v>
      </c>
      <c r="F127" s="7">
        <v>0</v>
      </c>
      <c r="G127" s="7">
        <v>1</v>
      </c>
      <c r="H127" s="1">
        <f t="shared" si="27"/>
        <v>1</v>
      </c>
      <c r="I127" s="1">
        <f t="shared" si="28"/>
        <v>0</v>
      </c>
      <c r="J127" s="1">
        <f t="shared" si="29"/>
        <v>0</v>
      </c>
      <c r="K127" s="1">
        <f t="shared" si="30"/>
        <v>0</v>
      </c>
      <c r="L127" s="1" t="str">
        <f t="shared" si="31"/>
        <v>主动去库存</v>
      </c>
      <c r="O127" s="48">
        <v>41698</v>
      </c>
      <c r="P127" s="49">
        <v>-9.3066734329391583</v>
      </c>
      <c r="R127" s="52">
        <v>43921</v>
      </c>
      <c r="S127" s="53">
        <v>12.3</v>
      </c>
      <c r="Y127" s="52">
        <v>43100</v>
      </c>
      <c r="Z127" s="1">
        <v>-28.945803216697929</v>
      </c>
    </row>
    <row r="128" spans="1:26" x14ac:dyDescent="0.3">
      <c r="A128" s="8">
        <v>42674</v>
      </c>
      <c r="B128" s="9">
        <f t="shared" si="26"/>
        <v>29.544868219371359</v>
      </c>
      <c r="C128" s="9">
        <f t="shared" si="32"/>
        <v>12.3</v>
      </c>
      <c r="D128" s="7">
        <v>0</v>
      </c>
      <c r="E128" s="7">
        <v>1</v>
      </c>
      <c r="F128" s="7">
        <v>0</v>
      </c>
      <c r="G128" s="7">
        <v>1</v>
      </c>
      <c r="H128" s="1">
        <f t="shared" si="27"/>
        <v>1</v>
      </c>
      <c r="I128" s="1">
        <f t="shared" si="28"/>
        <v>0</v>
      </c>
      <c r="J128" s="1">
        <f t="shared" si="29"/>
        <v>0</v>
      </c>
      <c r="K128" s="1">
        <f t="shared" si="30"/>
        <v>0</v>
      </c>
      <c r="L128" s="1" t="str">
        <f t="shared" si="31"/>
        <v>主动去库存</v>
      </c>
      <c r="O128" s="48">
        <v>41670</v>
      </c>
      <c r="P128" s="49">
        <v>-6.8850188115132509</v>
      </c>
      <c r="R128" s="52">
        <v>43951</v>
      </c>
      <c r="S128" s="53">
        <v>12.9</v>
      </c>
      <c r="Y128" s="52">
        <v>43131</v>
      </c>
      <c r="Z128" s="1">
        <v>-21.879750873413499</v>
      </c>
    </row>
    <row r="129" spans="1:26" x14ac:dyDescent="0.3">
      <c r="A129" s="8">
        <v>42643</v>
      </c>
      <c r="B129" s="9">
        <f t="shared" si="26"/>
        <v>32.515141404405398</v>
      </c>
      <c r="C129" s="9">
        <f t="shared" si="32"/>
        <v>12</v>
      </c>
      <c r="D129" s="7">
        <v>0</v>
      </c>
      <c r="E129" s="7">
        <v>1</v>
      </c>
      <c r="F129" s="7">
        <v>0</v>
      </c>
      <c r="G129" s="7">
        <v>1</v>
      </c>
      <c r="H129" s="1">
        <f t="shared" si="27"/>
        <v>1</v>
      </c>
      <c r="I129" s="1">
        <f t="shared" si="28"/>
        <v>0</v>
      </c>
      <c r="J129" s="1">
        <f t="shared" si="29"/>
        <v>0</v>
      </c>
      <c r="K129" s="1">
        <f t="shared" si="30"/>
        <v>0</v>
      </c>
      <c r="L129" s="1" t="str">
        <f t="shared" si="31"/>
        <v>主动去库存</v>
      </c>
      <c r="O129" s="48">
        <v>41639</v>
      </c>
      <c r="P129" s="49">
        <v>-4.1072292010469118</v>
      </c>
      <c r="R129" s="52">
        <v>43982</v>
      </c>
      <c r="S129" s="53">
        <v>13</v>
      </c>
      <c r="Y129" s="52">
        <v>43159</v>
      </c>
      <c r="Z129" s="1">
        <v>-19.547375498850322</v>
      </c>
    </row>
    <row r="130" spans="1:26" x14ac:dyDescent="0.3">
      <c r="A130" s="8">
        <v>42613</v>
      </c>
      <c r="B130" s="9">
        <f t="shared" si="26"/>
        <v>30.083924043068901</v>
      </c>
      <c r="C130" s="9">
        <f t="shared" si="32"/>
        <v>11.6</v>
      </c>
      <c r="D130" s="7">
        <v>0</v>
      </c>
      <c r="E130" s="7">
        <v>1</v>
      </c>
      <c r="F130" s="7">
        <v>0</v>
      </c>
      <c r="G130" s="7">
        <v>1</v>
      </c>
      <c r="H130" s="1">
        <f t="shared" si="27"/>
        <v>1</v>
      </c>
      <c r="I130" s="1">
        <f t="shared" si="28"/>
        <v>0</v>
      </c>
      <c r="J130" s="1">
        <f t="shared" si="29"/>
        <v>0</v>
      </c>
      <c r="K130" s="1">
        <f t="shared" si="30"/>
        <v>0</v>
      </c>
      <c r="L130" s="1" t="str">
        <f t="shared" si="31"/>
        <v>主动去库存</v>
      </c>
      <c r="O130" s="48">
        <v>41608</v>
      </c>
      <c r="P130" s="49">
        <v>-10.097504885095031</v>
      </c>
      <c r="R130" s="52">
        <v>44012</v>
      </c>
      <c r="S130" s="53">
        <v>13</v>
      </c>
      <c r="Y130" s="52">
        <v>43190</v>
      </c>
      <c r="Z130" s="1">
        <v>-12.680663305771571</v>
      </c>
    </row>
    <row r="131" spans="1:26" x14ac:dyDescent="0.3">
      <c r="A131" s="8">
        <v>42582</v>
      </c>
      <c r="B131" s="9">
        <f t="shared" si="26"/>
        <v>32.465218322580327</v>
      </c>
      <c r="C131" s="9">
        <f t="shared" si="32"/>
        <v>11.6</v>
      </c>
      <c r="D131" s="7">
        <v>0</v>
      </c>
      <c r="E131" s="7">
        <v>1</v>
      </c>
      <c r="F131" s="7">
        <v>0</v>
      </c>
      <c r="G131" s="7">
        <v>1</v>
      </c>
      <c r="H131" s="1">
        <f t="shared" si="27"/>
        <v>1</v>
      </c>
      <c r="I131" s="1">
        <f t="shared" si="28"/>
        <v>0</v>
      </c>
      <c r="J131" s="1">
        <f t="shared" si="29"/>
        <v>0</v>
      </c>
      <c r="K131" s="1">
        <f t="shared" si="30"/>
        <v>0</v>
      </c>
      <c r="L131" s="1" t="str">
        <f t="shared" si="31"/>
        <v>主动去库存</v>
      </c>
      <c r="O131" s="48">
        <v>41578</v>
      </c>
      <c r="P131" s="49">
        <v>-12.41022411215075</v>
      </c>
      <c r="R131" s="52">
        <v>44043</v>
      </c>
      <c r="S131" s="53">
        <v>13</v>
      </c>
      <c r="Y131" s="52">
        <v>43220</v>
      </c>
      <c r="Z131" s="1">
        <v>-8.4944619341065284</v>
      </c>
    </row>
    <row r="132" spans="1:26" x14ac:dyDescent="0.3">
      <c r="A132" s="8">
        <v>42551</v>
      </c>
      <c r="B132" s="9">
        <f t="shared" si="26"/>
        <v>40.724093534499509</v>
      </c>
      <c r="C132" s="9">
        <f t="shared" si="32"/>
        <v>13</v>
      </c>
      <c r="D132" s="7">
        <v>0</v>
      </c>
      <c r="E132" s="7">
        <v>1</v>
      </c>
      <c r="F132" s="7">
        <v>0</v>
      </c>
      <c r="G132" s="7">
        <v>1</v>
      </c>
      <c r="H132" s="1">
        <f t="shared" si="27"/>
        <v>1</v>
      </c>
      <c r="I132" s="1">
        <f t="shared" si="28"/>
        <v>0</v>
      </c>
      <c r="J132" s="1">
        <f t="shared" si="29"/>
        <v>0</v>
      </c>
      <c r="K132" s="1">
        <f t="shared" si="30"/>
        <v>0</v>
      </c>
      <c r="L132" s="1" t="str">
        <f t="shared" si="31"/>
        <v>主动去库存</v>
      </c>
      <c r="O132" s="48">
        <v>41547</v>
      </c>
      <c r="P132" s="49">
        <v>-12.133201577317489</v>
      </c>
      <c r="R132" s="52">
        <v>44074</v>
      </c>
      <c r="S132" s="53">
        <v>12.8</v>
      </c>
      <c r="Y132" s="52">
        <v>43251</v>
      </c>
      <c r="Z132" s="1">
        <v>-1.58983534431303</v>
      </c>
    </row>
    <row r="133" spans="1:26" x14ac:dyDescent="0.3">
      <c r="A133" s="8">
        <v>42521</v>
      </c>
      <c r="B133" s="9">
        <f t="shared" ref="B133:B164" si="33">VLOOKUP(A133,O:P,2,0)</f>
        <v>55.309829028737717</v>
      </c>
      <c r="C133" s="9">
        <f t="shared" si="32"/>
        <v>13</v>
      </c>
      <c r="D133" s="7">
        <v>0</v>
      </c>
      <c r="E133" s="7">
        <v>1</v>
      </c>
      <c r="F133" s="7">
        <v>0</v>
      </c>
      <c r="G133" s="7">
        <v>1</v>
      </c>
      <c r="H133" s="1">
        <f t="shared" si="27"/>
        <v>1</v>
      </c>
      <c r="I133" s="1">
        <f t="shared" si="28"/>
        <v>0</v>
      </c>
      <c r="J133" s="1">
        <f t="shared" si="29"/>
        <v>0</v>
      </c>
      <c r="K133" s="1">
        <f t="shared" si="30"/>
        <v>0</v>
      </c>
      <c r="L133" s="1" t="str">
        <f t="shared" ref="L133:L164" si="34">INDEX($H$3:$K$3,1,MATCH(1,H133:K133,0))</f>
        <v>主动去库存</v>
      </c>
      <c r="O133" s="48">
        <v>41517</v>
      </c>
      <c r="P133" s="49">
        <v>-13.6270198121025</v>
      </c>
      <c r="R133" s="52">
        <v>44104</v>
      </c>
      <c r="S133" s="53">
        <v>12.8</v>
      </c>
      <c r="Y133" s="52">
        <v>43281</v>
      </c>
      <c r="Z133" s="1">
        <v>10.048070546391999</v>
      </c>
    </row>
    <row r="134" spans="1:26" x14ac:dyDescent="0.3">
      <c r="A134" s="8">
        <v>42490</v>
      </c>
      <c r="B134" s="9">
        <f t="shared" si="33"/>
        <v>61.234603097930183</v>
      </c>
      <c r="C134" s="9">
        <f t="shared" si="32"/>
        <v>13.1</v>
      </c>
      <c r="D134" s="7">
        <v>0</v>
      </c>
      <c r="E134" s="7">
        <v>1</v>
      </c>
      <c r="F134" s="7">
        <v>0</v>
      </c>
      <c r="G134" s="7">
        <v>1</v>
      </c>
      <c r="H134" s="1">
        <f t="shared" si="27"/>
        <v>1</v>
      </c>
      <c r="I134" s="1">
        <f t="shared" si="28"/>
        <v>0</v>
      </c>
      <c r="J134" s="1">
        <f t="shared" si="29"/>
        <v>0</v>
      </c>
      <c r="K134" s="1">
        <f t="shared" si="30"/>
        <v>0</v>
      </c>
      <c r="L134" s="1" t="str">
        <f t="shared" si="34"/>
        <v>主动去库存</v>
      </c>
      <c r="O134" s="48">
        <v>41486</v>
      </c>
      <c r="P134" s="49">
        <v>-8.4409559539657568</v>
      </c>
      <c r="R134" s="52">
        <v>44135</v>
      </c>
      <c r="S134" s="53">
        <v>12.8</v>
      </c>
      <c r="Y134" s="52">
        <v>43312</v>
      </c>
      <c r="Z134" s="1">
        <v>21.39378779109893</v>
      </c>
    </row>
    <row r="135" spans="1:26" x14ac:dyDescent="0.3">
      <c r="A135" s="8">
        <v>42460</v>
      </c>
      <c r="B135" s="9">
        <f t="shared" si="33"/>
        <v>60.607160697576987</v>
      </c>
      <c r="C135" s="9">
        <f t="shared" si="32"/>
        <v>13.4</v>
      </c>
      <c r="D135" s="7">
        <v>0</v>
      </c>
      <c r="E135" s="7">
        <v>1</v>
      </c>
      <c r="F135" s="7">
        <v>0</v>
      </c>
      <c r="G135" s="7">
        <v>1</v>
      </c>
      <c r="H135" s="1">
        <f t="shared" si="27"/>
        <v>1</v>
      </c>
      <c r="I135" s="1">
        <f t="shared" si="28"/>
        <v>0</v>
      </c>
      <c r="J135" s="1">
        <f t="shared" si="29"/>
        <v>0</v>
      </c>
      <c r="K135" s="1">
        <f t="shared" si="30"/>
        <v>0</v>
      </c>
      <c r="L135" s="1" t="str">
        <f t="shared" si="34"/>
        <v>主动去库存</v>
      </c>
      <c r="O135" s="48">
        <v>41455</v>
      </c>
      <c r="P135" s="49">
        <v>2.264042713179375</v>
      </c>
      <c r="R135" s="52">
        <v>44165</v>
      </c>
      <c r="S135" s="53">
        <v>12.6</v>
      </c>
      <c r="Y135" s="52">
        <v>43343</v>
      </c>
      <c r="Z135" s="1">
        <v>31.298349365532541</v>
      </c>
    </row>
    <row r="136" spans="1:26" x14ac:dyDescent="0.3">
      <c r="A136" s="8">
        <v>42429</v>
      </c>
      <c r="B136" s="9">
        <f t="shared" si="33"/>
        <v>60.38475503378492</v>
      </c>
      <c r="C136" s="9">
        <f t="shared" si="32"/>
        <v>13.6</v>
      </c>
      <c r="D136" s="7">
        <v>0</v>
      </c>
      <c r="E136" s="7">
        <v>1</v>
      </c>
      <c r="F136" s="7">
        <v>0</v>
      </c>
      <c r="G136" s="7">
        <v>1</v>
      </c>
      <c r="H136" s="1">
        <f t="shared" si="27"/>
        <v>1</v>
      </c>
      <c r="I136" s="1">
        <f t="shared" si="28"/>
        <v>0</v>
      </c>
      <c r="J136" s="1">
        <f t="shared" si="29"/>
        <v>0</v>
      </c>
      <c r="K136" s="1">
        <f t="shared" si="30"/>
        <v>0</v>
      </c>
      <c r="L136" s="1" t="str">
        <f t="shared" si="34"/>
        <v>主动去库存</v>
      </c>
      <c r="O136" s="48">
        <v>41425</v>
      </c>
      <c r="P136" s="49">
        <v>7.3057222851685042</v>
      </c>
      <c r="R136" s="52">
        <v>44196</v>
      </c>
      <c r="S136" s="53">
        <v>12.5</v>
      </c>
      <c r="Y136" s="52">
        <v>43373</v>
      </c>
      <c r="Z136" s="1">
        <v>36.09981189575813</v>
      </c>
    </row>
    <row r="137" spans="1:26" x14ac:dyDescent="0.3">
      <c r="A137" s="8">
        <v>42400</v>
      </c>
      <c r="B137" s="9">
        <f t="shared" si="33"/>
        <v>64.456029600864923</v>
      </c>
      <c r="C137" s="9">
        <f t="shared" si="32"/>
        <v>14.1</v>
      </c>
      <c r="D137" s="7">
        <v>0</v>
      </c>
      <c r="E137" s="7">
        <v>1</v>
      </c>
      <c r="F137" s="7">
        <v>0</v>
      </c>
      <c r="G137" s="7">
        <v>1</v>
      </c>
      <c r="H137" s="1">
        <f t="shared" si="27"/>
        <v>1</v>
      </c>
      <c r="I137" s="1">
        <f t="shared" si="28"/>
        <v>0</v>
      </c>
      <c r="J137" s="1">
        <f t="shared" si="29"/>
        <v>0</v>
      </c>
      <c r="K137" s="1">
        <f t="shared" si="30"/>
        <v>0</v>
      </c>
      <c r="L137" s="1" t="str">
        <f t="shared" si="34"/>
        <v>主动去库存</v>
      </c>
      <c r="O137" s="48">
        <v>41394</v>
      </c>
      <c r="P137" s="49">
        <v>15.391031277727601</v>
      </c>
      <c r="R137" s="52">
        <v>44227</v>
      </c>
      <c r="S137" s="53">
        <v>12.5</v>
      </c>
      <c r="Y137" s="52">
        <v>43404</v>
      </c>
      <c r="Z137" s="1">
        <v>40.35722673750908</v>
      </c>
    </row>
    <row r="138" spans="1:26" x14ac:dyDescent="0.3">
      <c r="A138" s="8">
        <v>42369</v>
      </c>
      <c r="B138" s="9">
        <f t="shared" si="33"/>
        <v>56.863028768836941</v>
      </c>
      <c r="C138" s="9">
        <f t="shared" si="32"/>
        <v>13.4</v>
      </c>
      <c r="D138" s="7">
        <v>0</v>
      </c>
      <c r="E138" s="7">
        <v>1</v>
      </c>
      <c r="F138" s="7">
        <v>0</v>
      </c>
      <c r="G138" s="7">
        <v>1</v>
      </c>
      <c r="H138" s="1">
        <f t="shared" si="27"/>
        <v>1</v>
      </c>
      <c r="I138" s="1">
        <f t="shared" si="28"/>
        <v>0</v>
      </c>
      <c r="J138" s="1">
        <f t="shared" si="29"/>
        <v>0</v>
      </c>
      <c r="K138" s="1">
        <f t="shared" si="30"/>
        <v>0</v>
      </c>
      <c r="L138" s="1" t="str">
        <f t="shared" si="34"/>
        <v>主动去库存</v>
      </c>
      <c r="O138" s="48">
        <v>41364</v>
      </c>
      <c r="P138" s="49">
        <v>21.58051740405314</v>
      </c>
      <c r="R138" s="52">
        <v>44255</v>
      </c>
      <c r="S138" s="53">
        <v>12.6</v>
      </c>
      <c r="Y138" s="52">
        <v>43434</v>
      </c>
      <c r="Z138" s="1">
        <v>45.162692722482028</v>
      </c>
    </row>
    <row r="139" spans="1:26" x14ac:dyDescent="0.3">
      <c r="A139" s="8">
        <v>42338</v>
      </c>
      <c r="B139" s="9">
        <f t="shared" si="33"/>
        <v>51.738067528749731</v>
      </c>
      <c r="C139" s="9">
        <f t="shared" si="32"/>
        <v>13.9</v>
      </c>
      <c r="D139" s="7">
        <v>0</v>
      </c>
      <c r="E139" s="7">
        <v>1</v>
      </c>
      <c r="F139" s="7">
        <v>0</v>
      </c>
      <c r="G139" s="7">
        <v>1</v>
      </c>
      <c r="H139" s="1">
        <f t="shared" si="27"/>
        <v>1</v>
      </c>
      <c r="I139" s="1">
        <f t="shared" si="28"/>
        <v>0</v>
      </c>
      <c r="J139" s="1">
        <f t="shared" si="29"/>
        <v>0</v>
      </c>
      <c r="K139" s="1">
        <f t="shared" si="30"/>
        <v>0</v>
      </c>
      <c r="L139" s="1" t="str">
        <f t="shared" si="34"/>
        <v>主动去库存</v>
      </c>
      <c r="O139" s="48">
        <v>41333</v>
      </c>
      <c r="P139" s="49">
        <v>24.68216597998823</v>
      </c>
      <c r="R139" s="52">
        <v>44286</v>
      </c>
      <c r="S139" s="53">
        <v>12.3</v>
      </c>
      <c r="Y139" s="52">
        <v>43465</v>
      </c>
      <c r="Z139" s="1">
        <v>48.705451875716591</v>
      </c>
    </row>
    <row r="140" spans="1:26" x14ac:dyDescent="0.3">
      <c r="A140" s="8">
        <v>42308</v>
      </c>
      <c r="B140" s="9">
        <f t="shared" si="33"/>
        <v>59.738104669318069</v>
      </c>
      <c r="C140" s="9">
        <f t="shared" si="32"/>
        <v>14.4</v>
      </c>
      <c r="D140" s="7">
        <v>0</v>
      </c>
      <c r="E140" s="7">
        <v>1</v>
      </c>
      <c r="F140" s="7">
        <v>0</v>
      </c>
      <c r="G140" s="7">
        <v>1</v>
      </c>
      <c r="H140" s="1">
        <f t="shared" si="27"/>
        <v>1</v>
      </c>
      <c r="I140" s="1">
        <f t="shared" si="28"/>
        <v>0</v>
      </c>
      <c r="J140" s="1">
        <f t="shared" si="29"/>
        <v>0</v>
      </c>
      <c r="K140" s="1">
        <f t="shared" si="30"/>
        <v>0</v>
      </c>
      <c r="L140" s="1" t="str">
        <f t="shared" si="34"/>
        <v>主动去库存</v>
      </c>
      <c r="O140" s="48">
        <v>41305</v>
      </c>
      <c r="P140" s="49">
        <v>32.55864121409428</v>
      </c>
      <c r="R140" s="52">
        <v>44316</v>
      </c>
      <c r="S140" s="53">
        <v>12</v>
      </c>
      <c r="Y140" s="52">
        <v>43496</v>
      </c>
      <c r="Z140" s="1">
        <v>60.602467410239463</v>
      </c>
    </row>
    <row r="141" spans="1:26" x14ac:dyDescent="0.3">
      <c r="A141" s="8">
        <v>42277</v>
      </c>
      <c r="B141" s="9">
        <f t="shared" si="33"/>
        <v>59.866371609249093</v>
      </c>
      <c r="C141" s="9">
        <f t="shared" si="32"/>
        <v>12.4</v>
      </c>
      <c r="D141" s="7">
        <v>0</v>
      </c>
      <c r="E141" s="7">
        <v>1</v>
      </c>
      <c r="F141" s="7">
        <v>0</v>
      </c>
      <c r="G141" s="7">
        <v>1</v>
      </c>
      <c r="H141" s="1">
        <f t="shared" si="27"/>
        <v>1</v>
      </c>
      <c r="I141" s="1">
        <f t="shared" si="28"/>
        <v>0</v>
      </c>
      <c r="J141" s="1">
        <f t="shared" si="29"/>
        <v>0</v>
      </c>
      <c r="K141" s="1">
        <f t="shared" si="30"/>
        <v>0</v>
      </c>
      <c r="L141" s="1" t="str">
        <f t="shared" si="34"/>
        <v>主动去库存</v>
      </c>
      <c r="O141" s="48">
        <v>41274</v>
      </c>
      <c r="P141" s="49">
        <v>35.10071440614368</v>
      </c>
      <c r="R141" s="52">
        <v>44347</v>
      </c>
      <c r="S141" s="53">
        <v>11.8</v>
      </c>
      <c r="Y141" s="52">
        <v>43524</v>
      </c>
      <c r="Z141" s="1">
        <v>68.251427387893784</v>
      </c>
    </row>
    <row r="142" spans="1:26" x14ac:dyDescent="0.3">
      <c r="A142" s="8">
        <v>42247</v>
      </c>
      <c r="B142" s="9">
        <f t="shared" si="33"/>
        <v>64.014843644418676</v>
      </c>
      <c r="C142" s="9">
        <f t="shared" si="32"/>
        <v>14.7</v>
      </c>
      <c r="D142" s="7">
        <v>0</v>
      </c>
      <c r="E142" s="7">
        <v>1</v>
      </c>
      <c r="F142" s="7">
        <v>0</v>
      </c>
      <c r="G142" s="7">
        <v>1</v>
      </c>
      <c r="H142" s="1">
        <f t="shared" si="27"/>
        <v>1</v>
      </c>
      <c r="I142" s="1">
        <f t="shared" si="28"/>
        <v>0</v>
      </c>
      <c r="J142" s="1">
        <f t="shared" si="29"/>
        <v>0</v>
      </c>
      <c r="K142" s="1">
        <f t="shared" si="30"/>
        <v>0</v>
      </c>
      <c r="L142" s="1" t="str">
        <f t="shared" si="34"/>
        <v>主动去库存</v>
      </c>
      <c r="O142" s="48">
        <v>41243</v>
      </c>
      <c r="P142" s="49">
        <v>52.92110196776045</v>
      </c>
      <c r="R142" s="52">
        <v>44377</v>
      </c>
      <c r="S142" s="53">
        <v>11.9</v>
      </c>
      <c r="Y142" s="52">
        <v>43555</v>
      </c>
      <c r="Z142" s="1">
        <v>71.325717871192467</v>
      </c>
    </row>
    <row r="143" spans="1:26" x14ac:dyDescent="0.3">
      <c r="A143" s="8">
        <v>42216</v>
      </c>
      <c r="B143" s="9">
        <f t="shared" si="33"/>
        <v>70.013050708316669</v>
      </c>
      <c r="C143" s="9">
        <f t="shared" si="32"/>
        <v>14.4</v>
      </c>
      <c r="D143" s="7">
        <v>0</v>
      </c>
      <c r="E143" s="7">
        <v>1</v>
      </c>
      <c r="F143" s="7">
        <v>0</v>
      </c>
      <c r="G143" s="7">
        <v>1</v>
      </c>
      <c r="H143" s="1">
        <f t="shared" si="27"/>
        <v>1</v>
      </c>
      <c r="I143" s="1">
        <f t="shared" si="28"/>
        <v>0</v>
      </c>
      <c r="J143" s="1">
        <f t="shared" si="29"/>
        <v>0</v>
      </c>
      <c r="K143" s="1">
        <f t="shared" si="30"/>
        <v>0</v>
      </c>
      <c r="L143" s="1" t="str">
        <f t="shared" si="34"/>
        <v>主动去库存</v>
      </c>
      <c r="O143" s="48">
        <v>41213</v>
      </c>
      <c r="P143" s="49">
        <v>59.39948807161943</v>
      </c>
      <c r="R143" s="52">
        <v>44408</v>
      </c>
      <c r="S143" s="53">
        <v>11.8</v>
      </c>
      <c r="Y143" s="52">
        <v>43585</v>
      </c>
      <c r="Z143" s="1">
        <v>76.114393908368314</v>
      </c>
    </row>
    <row r="144" spans="1:26" x14ac:dyDescent="0.3">
      <c r="A144" s="8">
        <v>42185</v>
      </c>
      <c r="B144" s="9">
        <f t="shared" si="33"/>
        <v>71.681830934379775</v>
      </c>
      <c r="C144" s="9">
        <f t="shared" si="32"/>
        <v>12.5</v>
      </c>
      <c r="D144" s="7">
        <v>1</v>
      </c>
      <c r="E144" s="7">
        <v>0</v>
      </c>
      <c r="F144" s="7">
        <v>1</v>
      </c>
      <c r="G144" s="7">
        <v>0</v>
      </c>
      <c r="H144" s="1">
        <f t="shared" si="27"/>
        <v>0</v>
      </c>
      <c r="I144" s="1">
        <f t="shared" si="28"/>
        <v>0</v>
      </c>
      <c r="J144" s="1">
        <f t="shared" si="29"/>
        <v>0</v>
      </c>
      <c r="K144" s="1">
        <f t="shared" si="30"/>
        <v>1</v>
      </c>
      <c r="L144" s="1" t="str">
        <f t="shared" si="34"/>
        <v>主动补库存</v>
      </c>
      <c r="O144" s="48">
        <v>41182</v>
      </c>
      <c r="P144" s="49">
        <v>56.820690974931161</v>
      </c>
      <c r="R144" s="52">
        <v>44439</v>
      </c>
      <c r="S144" s="53">
        <v>11.7</v>
      </c>
      <c r="Y144" s="52">
        <v>43616</v>
      </c>
      <c r="Z144" s="1">
        <v>72.555269391072102</v>
      </c>
    </row>
    <row r="145" spans="1:26" x14ac:dyDescent="0.3">
      <c r="A145" s="8">
        <v>42155</v>
      </c>
      <c r="B145" s="9">
        <f t="shared" si="33"/>
        <v>61.78848965236368</v>
      </c>
      <c r="C145" s="9">
        <f t="shared" si="32"/>
        <v>13.1</v>
      </c>
      <c r="D145" s="7">
        <v>1</v>
      </c>
      <c r="E145" s="7">
        <v>0</v>
      </c>
      <c r="F145" s="7">
        <v>1</v>
      </c>
      <c r="G145" s="7">
        <v>0</v>
      </c>
      <c r="H145" s="1">
        <f t="shared" si="27"/>
        <v>0</v>
      </c>
      <c r="I145" s="1">
        <f t="shared" si="28"/>
        <v>0</v>
      </c>
      <c r="J145" s="1">
        <f t="shared" si="29"/>
        <v>0</v>
      </c>
      <c r="K145" s="1">
        <f t="shared" si="30"/>
        <v>1</v>
      </c>
      <c r="L145" s="1" t="str">
        <f t="shared" si="34"/>
        <v>主动补库存</v>
      </c>
      <c r="O145" s="48">
        <v>41152</v>
      </c>
      <c r="P145" s="49">
        <v>68.993689690080757</v>
      </c>
      <c r="R145" s="52">
        <v>44469</v>
      </c>
      <c r="S145" s="53">
        <v>11.4</v>
      </c>
      <c r="Y145" s="52">
        <v>43646</v>
      </c>
      <c r="Z145" s="1">
        <v>62.916721448823253</v>
      </c>
    </row>
    <row r="146" spans="1:26" x14ac:dyDescent="0.3">
      <c r="A146" s="8">
        <v>42124</v>
      </c>
      <c r="B146" s="9">
        <f t="shared" si="33"/>
        <v>63.147974375535703</v>
      </c>
      <c r="C146" s="9">
        <f t="shared" si="32"/>
        <v>13.4</v>
      </c>
      <c r="D146" s="7">
        <v>1</v>
      </c>
      <c r="E146" s="7">
        <v>0</v>
      </c>
      <c r="F146" s="7">
        <v>1</v>
      </c>
      <c r="G146" s="7">
        <v>0</v>
      </c>
      <c r="H146" s="1">
        <f t="shared" si="27"/>
        <v>0</v>
      </c>
      <c r="I146" s="1">
        <f t="shared" si="28"/>
        <v>0</v>
      </c>
      <c r="J146" s="1">
        <f t="shared" si="29"/>
        <v>0</v>
      </c>
      <c r="K146" s="1">
        <f t="shared" si="30"/>
        <v>1</v>
      </c>
      <c r="L146" s="1" t="str">
        <f t="shared" si="34"/>
        <v>主动补库存</v>
      </c>
      <c r="O146" s="48">
        <v>41121</v>
      </c>
      <c r="P146" s="49">
        <v>70.641235197307196</v>
      </c>
      <c r="R146" s="52">
        <v>44500</v>
      </c>
      <c r="S146" s="53">
        <v>11.4</v>
      </c>
      <c r="Y146" s="52">
        <v>43677</v>
      </c>
      <c r="Z146" s="1">
        <v>57.139011401484197</v>
      </c>
    </row>
    <row r="147" spans="1:26" x14ac:dyDescent="0.3">
      <c r="A147" s="8">
        <v>42094</v>
      </c>
      <c r="B147" s="9">
        <f t="shared" si="33"/>
        <v>63.350369795822587</v>
      </c>
      <c r="C147" s="9">
        <f t="shared" si="32"/>
        <v>13.3</v>
      </c>
      <c r="D147" s="7">
        <v>1</v>
      </c>
      <c r="E147" s="7">
        <v>0</v>
      </c>
      <c r="F147" s="7">
        <v>1</v>
      </c>
      <c r="G147" s="7">
        <v>0</v>
      </c>
      <c r="H147" s="1">
        <f t="shared" si="27"/>
        <v>0</v>
      </c>
      <c r="I147" s="1">
        <f t="shared" si="28"/>
        <v>0</v>
      </c>
      <c r="J147" s="1">
        <f t="shared" si="29"/>
        <v>0</v>
      </c>
      <c r="K147" s="1">
        <f t="shared" si="30"/>
        <v>1</v>
      </c>
      <c r="L147" s="1" t="str">
        <f t="shared" si="34"/>
        <v>主动补库存</v>
      </c>
      <c r="O147" s="48">
        <v>41090</v>
      </c>
      <c r="P147" s="49">
        <v>67.52717351314601</v>
      </c>
      <c r="R147" s="52">
        <v>44530</v>
      </c>
      <c r="S147" s="53">
        <v>11.4</v>
      </c>
      <c r="Y147" s="52">
        <v>43708</v>
      </c>
      <c r="Z147" s="1">
        <v>48.979200750307399</v>
      </c>
    </row>
    <row r="148" spans="1:26" x14ac:dyDescent="0.3">
      <c r="A148" s="8">
        <v>42063</v>
      </c>
      <c r="B148" s="9">
        <f t="shared" si="33"/>
        <v>65.307148193893354</v>
      </c>
      <c r="C148" s="9">
        <f t="shared" ref="C148:C179" si="35">VLOOKUP(A148,R:S,2,0)</f>
        <v>13.8</v>
      </c>
      <c r="D148" s="7">
        <v>1</v>
      </c>
      <c r="E148" s="7">
        <v>0</v>
      </c>
      <c r="F148" s="7">
        <v>1</v>
      </c>
      <c r="G148" s="7">
        <v>0</v>
      </c>
      <c r="H148" s="1">
        <f t="shared" si="27"/>
        <v>0</v>
      </c>
      <c r="I148" s="1">
        <f t="shared" si="28"/>
        <v>0</v>
      </c>
      <c r="J148" s="1">
        <f t="shared" si="29"/>
        <v>0</v>
      </c>
      <c r="K148" s="1">
        <f t="shared" si="30"/>
        <v>1</v>
      </c>
      <c r="L148" s="1" t="str">
        <f t="shared" si="34"/>
        <v>主动补库存</v>
      </c>
      <c r="O148" s="48">
        <v>41060</v>
      </c>
      <c r="P148" s="49">
        <v>68.117185989016335</v>
      </c>
      <c r="R148" s="52">
        <v>44561</v>
      </c>
      <c r="S148" s="53">
        <v>11.3</v>
      </c>
      <c r="Y148" s="52">
        <v>43738</v>
      </c>
      <c r="Z148" s="1">
        <v>47.249017012817319</v>
      </c>
    </row>
    <row r="149" spans="1:26" x14ac:dyDescent="0.3">
      <c r="A149" s="8">
        <v>42035</v>
      </c>
      <c r="B149" s="9">
        <f t="shared" si="33"/>
        <v>60.321182553688502</v>
      </c>
      <c r="C149" s="9">
        <f t="shared" si="35"/>
        <v>13.7</v>
      </c>
      <c r="D149" s="7">
        <v>1</v>
      </c>
      <c r="E149" s="7">
        <v>0</v>
      </c>
      <c r="F149" s="7">
        <v>1</v>
      </c>
      <c r="G149" s="7">
        <v>0</v>
      </c>
      <c r="H149" s="1">
        <f t="shared" si="27"/>
        <v>0</v>
      </c>
      <c r="I149" s="1">
        <f t="shared" si="28"/>
        <v>0</v>
      </c>
      <c r="J149" s="1">
        <f t="shared" si="29"/>
        <v>0</v>
      </c>
      <c r="K149" s="1">
        <f t="shared" si="30"/>
        <v>1</v>
      </c>
      <c r="L149" s="1" t="str">
        <f t="shared" si="34"/>
        <v>主动补库存</v>
      </c>
      <c r="O149" s="48">
        <v>41029</v>
      </c>
      <c r="P149" s="49">
        <v>57.429183050597963</v>
      </c>
      <c r="R149" s="52">
        <v>44592</v>
      </c>
      <c r="S149" s="53">
        <v>11.2</v>
      </c>
      <c r="Y149" s="52">
        <v>43769</v>
      </c>
      <c r="Z149" s="1">
        <v>44.649964669714663</v>
      </c>
    </row>
    <row r="150" spans="1:26" x14ac:dyDescent="0.3">
      <c r="A150" s="8">
        <v>42004</v>
      </c>
      <c r="B150" s="9">
        <f t="shared" si="33"/>
        <v>48.86909257936103</v>
      </c>
      <c r="C150" s="9">
        <f t="shared" si="35"/>
        <v>13.3</v>
      </c>
      <c r="D150" s="7">
        <v>1</v>
      </c>
      <c r="E150" s="7">
        <v>0</v>
      </c>
      <c r="F150" s="7">
        <v>1</v>
      </c>
      <c r="G150" s="7">
        <v>0</v>
      </c>
      <c r="H150" s="1">
        <f t="shared" si="27"/>
        <v>0</v>
      </c>
      <c r="I150" s="1">
        <f t="shared" si="28"/>
        <v>0</v>
      </c>
      <c r="J150" s="1">
        <f t="shared" si="29"/>
        <v>0</v>
      </c>
      <c r="K150" s="1">
        <f t="shared" si="30"/>
        <v>1</v>
      </c>
      <c r="L150" s="1" t="str">
        <f t="shared" si="34"/>
        <v>主动补库存</v>
      </c>
      <c r="O150" s="48">
        <v>40999</v>
      </c>
      <c r="P150" s="49">
        <v>42.859564219368927</v>
      </c>
      <c r="R150" s="52">
        <v>44620</v>
      </c>
      <c r="S150" s="53">
        <v>11.1</v>
      </c>
      <c r="Y150" s="52">
        <v>43799</v>
      </c>
      <c r="Z150" s="1">
        <v>39.570233011857788</v>
      </c>
    </row>
    <row r="151" spans="1:26" x14ac:dyDescent="0.3">
      <c r="A151" s="8">
        <v>41973</v>
      </c>
      <c r="B151" s="9">
        <f t="shared" si="33"/>
        <v>52.267391302182368</v>
      </c>
      <c r="C151" s="9">
        <f t="shared" si="35"/>
        <v>13</v>
      </c>
      <c r="D151" s="7">
        <v>1</v>
      </c>
      <c r="E151" s="7">
        <v>0</v>
      </c>
      <c r="F151" s="7">
        <v>1</v>
      </c>
      <c r="G151" s="7">
        <v>0</v>
      </c>
      <c r="H151" s="1">
        <f t="shared" si="27"/>
        <v>0</v>
      </c>
      <c r="I151" s="1">
        <f t="shared" si="28"/>
        <v>0</v>
      </c>
      <c r="J151" s="1">
        <f t="shared" si="29"/>
        <v>0</v>
      </c>
      <c r="K151" s="1">
        <f t="shared" si="30"/>
        <v>1</v>
      </c>
      <c r="L151" s="1" t="str">
        <f t="shared" si="34"/>
        <v>主动补库存</v>
      </c>
      <c r="O151" s="48">
        <v>40968</v>
      </c>
      <c r="P151" s="49">
        <v>21.517810378752252</v>
      </c>
      <c r="R151" s="52">
        <v>44651</v>
      </c>
      <c r="S151" s="53">
        <v>11</v>
      </c>
      <c r="Y151" s="52">
        <v>43830</v>
      </c>
      <c r="Z151" s="1">
        <v>31.77585436197214</v>
      </c>
    </row>
    <row r="152" spans="1:26" x14ac:dyDescent="0.3">
      <c r="A152" s="8">
        <v>41943</v>
      </c>
      <c r="B152" s="9">
        <f t="shared" si="33"/>
        <v>41.54019205134508</v>
      </c>
      <c r="C152" s="9">
        <f t="shared" si="35"/>
        <v>12.9</v>
      </c>
      <c r="D152" s="7">
        <v>0</v>
      </c>
      <c r="E152" s="7">
        <v>1</v>
      </c>
      <c r="F152" s="7">
        <v>1</v>
      </c>
      <c r="G152" s="7">
        <v>0</v>
      </c>
      <c r="H152" s="1">
        <f t="shared" si="27"/>
        <v>0</v>
      </c>
      <c r="I152" s="1">
        <f t="shared" si="28"/>
        <v>0</v>
      </c>
      <c r="J152" s="1">
        <f t="shared" si="29"/>
        <v>1</v>
      </c>
      <c r="K152" s="1">
        <f t="shared" si="30"/>
        <v>0</v>
      </c>
      <c r="L152" s="1" t="str">
        <f t="shared" si="34"/>
        <v>被动补库存</v>
      </c>
      <c r="O152" s="48">
        <v>40939</v>
      </c>
      <c r="P152" s="49">
        <v>7.5773023371650492</v>
      </c>
      <c r="R152" s="52">
        <v>44681</v>
      </c>
      <c r="S152" s="53">
        <v>10.6</v>
      </c>
      <c r="Y152" s="52">
        <v>43861</v>
      </c>
      <c r="Z152" s="1">
        <v>26.670633788154738</v>
      </c>
    </row>
    <row r="153" spans="1:26" x14ac:dyDescent="0.3">
      <c r="A153" s="8">
        <v>41912</v>
      </c>
      <c r="B153" s="9">
        <f t="shared" si="33"/>
        <v>31.001084319037449</v>
      </c>
      <c r="C153" s="9">
        <f t="shared" si="35"/>
        <v>13</v>
      </c>
      <c r="D153" s="7">
        <v>0</v>
      </c>
      <c r="E153" s="7">
        <v>1</v>
      </c>
      <c r="F153" s="7">
        <v>1</v>
      </c>
      <c r="G153" s="7">
        <v>0</v>
      </c>
      <c r="H153" s="1">
        <f t="shared" si="27"/>
        <v>0</v>
      </c>
      <c r="I153" s="1">
        <f t="shared" si="28"/>
        <v>0</v>
      </c>
      <c r="J153" s="1">
        <f t="shared" si="29"/>
        <v>1</v>
      </c>
      <c r="K153" s="1">
        <f t="shared" si="30"/>
        <v>0</v>
      </c>
      <c r="L153" s="1" t="str">
        <f t="shared" si="34"/>
        <v>被动补库存</v>
      </c>
      <c r="O153" s="48">
        <v>40908</v>
      </c>
      <c r="P153" s="49">
        <v>2.0920691321757299</v>
      </c>
      <c r="R153" s="52">
        <v>44712</v>
      </c>
      <c r="S153" s="53">
        <v>10.7</v>
      </c>
      <c r="Y153" s="52">
        <v>43890</v>
      </c>
      <c r="Z153" s="1">
        <v>24.331336195577862</v>
      </c>
    </row>
    <row r="154" spans="1:26" x14ac:dyDescent="0.3">
      <c r="A154" s="8">
        <v>41882</v>
      </c>
      <c r="B154" s="9">
        <f t="shared" si="33"/>
        <v>18.094920750175309</v>
      </c>
      <c r="C154" s="9">
        <f t="shared" si="35"/>
        <v>13.2</v>
      </c>
      <c r="D154" s="7">
        <v>0</v>
      </c>
      <c r="E154" s="7">
        <v>1</v>
      </c>
      <c r="F154" s="7">
        <v>1</v>
      </c>
      <c r="G154" s="7">
        <v>0</v>
      </c>
      <c r="H154" s="1">
        <f t="shared" si="27"/>
        <v>0</v>
      </c>
      <c r="I154" s="1">
        <f t="shared" si="28"/>
        <v>0</v>
      </c>
      <c r="J154" s="1">
        <f t="shared" si="29"/>
        <v>1</v>
      </c>
      <c r="K154" s="1">
        <f t="shared" si="30"/>
        <v>0</v>
      </c>
      <c r="L154" s="1" t="str">
        <f t="shared" si="34"/>
        <v>被动补库存</v>
      </c>
      <c r="O154" s="48">
        <v>40877</v>
      </c>
      <c r="P154" s="49">
        <v>-6.549295684524</v>
      </c>
      <c r="R154" s="52">
        <v>44742</v>
      </c>
      <c r="S154" s="53">
        <v>10.8</v>
      </c>
      <c r="Y154" s="52">
        <v>43921</v>
      </c>
      <c r="Z154" s="1">
        <v>25.639304221043261</v>
      </c>
    </row>
    <row r="155" spans="1:26" x14ac:dyDescent="0.3">
      <c r="A155" s="8">
        <v>41851</v>
      </c>
      <c r="B155" s="9">
        <f t="shared" si="33"/>
        <v>6.7926289325367852</v>
      </c>
      <c r="C155" s="9">
        <f t="shared" si="35"/>
        <v>13.3</v>
      </c>
      <c r="D155" s="7">
        <v>0</v>
      </c>
      <c r="E155" s="7">
        <v>1</v>
      </c>
      <c r="F155" s="7">
        <v>1</v>
      </c>
      <c r="G155" s="7">
        <v>0</v>
      </c>
      <c r="H155" s="1">
        <f t="shared" si="27"/>
        <v>0</v>
      </c>
      <c r="I155" s="1">
        <f t="shared" si="28"/>
        <v>0</v>
      </c>
      <c r="J155" s="1">
        <f t="shared" si="29"/>
        <v>1</v>
      </c>
      <c r="K155" s="1">
        <f t="shared" si="30"/>
        <v>0</v>
      </c>
      <c r="L155" s="1" t="str">
        <f t="shared" si="34"/>
        <v>被动补库存</v>
      </c>
      <c r="O155" s="48">
        <v>40847</v>
      </c>
      <c r="P155" s="49">
        <v>-9.6591330709735104</v>
      </c>
      <c r="R155" s="52">
        <v>44773</v>
      </c>
      <c r="S155" s="53">
        <v>10.5</v>
      </c>
      <c r="Y155" s="52">
        <v>43951</v>
      </c>
      <c r="Z155" s="1">
        <v>27.942041121771631</v>
      </c>
    </row>
    <row r="156" spans="1:26" x14ac:dyDescent="0.3">
      <c r="A156" s="8">
        <v>41820</v>
      </c>
      <c r="B156" s="9">
        <f t="shared" si="33"/>
        <v>-5.3922686578061736</v>
      </c>
      <c r="C156" s="9">
        <f t="shared" si="35"/>
        <v>13.7</v>
      </c>
      <c r="D156" s="7">
        <v>0</v>
      </c>
      <c r="E156" s="7">
        <v>1</v>
      </c>
      <c r="F156" s="7">
        <v>1</v>
      </c>
      <c r="G156" s="7">
        <v>0</v>
      </c>
      <c r="H156" s="1">
        <f t="shared" si="27"/>
        <v>0</v>
      </c>
      <c r="I156" s="1">
        <f t="shared" si="28"/>
        <v>0</v>
      </c>
      <c r="J156" s="1">
        <f t="shared" si="29"/>
        <v>1</v>
      </c>
      <c r="K156" s="1">
        <f t="shared" si="30"/>
        <v>0</v>
      </c>
      <c r="L156" s="1" t="str">
        <f t="shared" si="34"/>
        <v>被动补库存</v>
      </c>
      <c r="O156" s="48">
        <v>40816</v>
      </c>
      <c r="P156" s="49">
        <v>-5.2213893433786014</v>
      </c>
      <c r="R156" s="52">
        <v>44804</v>
      </c>
      <c r="S156" s="53">
        <v>10.4</v>
      </c>
      <c r="Y156" s="52">
        <v>43982</v>
      </c>
      <c r="Z156" s="1">
        <v>28.14243607938845</v>
      </c>
    </row>
    <row r="157" spans="1:26" x14ac:dyDescent="0.3">
      <c r="A157" s="8">
        <v>41790</v>
      </c>
      <c r="B157" s="9">
        <f t="shared" si="33"/>
        <v>-11.74238882690387</v>
      </c>
      <c r="C157" s="9">
        <f t="shared" si="35"/>
        <v>13.6</v>
      </c>
      <c r="D157" s="7">
        <v>0</v>
      </c>
      <c r="E157" s="7">
        <v>1</v>
      </c>
      <c r="F157" s="7">
        <v>1</v>
      </c>
      <c r="G157" s="7">
        <v>0</v>
      </c>
      <c r="H157" s="1">
        <f t="shared" si="27"/>
        <v>0</v>
      </c>
      <c r="I157" s="1">
        <f t="shared" si="28"/>
        <v>0</v>
      </c>
      <c r="J157" s="1">
        <f t="shared" si="29"/>
        <v>1</v>
      </c>
      <c r="K157" s="1">
        <f t="shared" si="30"/>
        <v>0</v>
      </c>
      <c r="L157" s="1" t="str">
        <f t="shared" si="34"/>
        <v>被动补库存</v>
      </c>
      <c r="O157" s="48">
        <v>40786</v>
      </c>
      <c r="P157" s="49">
        <v>-9.2385926662433953</v>
      </c>
      <c r="R157" s="52">
        <v>44834</v>
      </c>
      <c r="S157" s="53">
        <v>10.7</v>
      </c>
      <c r="Y157" s="52">
        <v>44012</v>
      </c>
      <c r="Z157" s="1">
        <v>23.339677074795731</v>
      </c>
    </row>
    <row r="158" spans="1:26" x14ac:dyDescent="0.3">
      <c r="A158" s="8">
        <v>41759</v>
      </c>
      <c r="B158" s="9">
        <f t="shared" si="33"/>
        <v>-15.11670457469519</v>
      </c>
      <c r="C158" s="9">
        <f t="shared" si="35"/>
        <v>13.4</v>
      </c>
      <c r="D158" s="7">
        <v>0</v>
      </c>
      <c r="E158" s="7">
        <v>1</v>
      </c>
      <c r="F158" s="7">
        <v>1</v>
      </c>
      <c r="G158" s="7">
        <v>0</v>
      </c>
      <c r="H158" s="1">
        <f t="shared" si="27"/>
        <v>0</v>
      </c>
      <c r="I158" s="1">
        <f t="shared" si="28"/>
        <v>0</v>
      </c>
      <c r="J158" s="1">
        <f t="shared" si="29"/>
        <v>1</v>
      </c>
      <c r="K158" s="1">
        <f t="shared" si="30"/>
        <v>0</v>
      </c>
      <c r="L158" s="1" t="str">
        <f t="shared" si="34"/>
        <v>被动补库存</v>
      </c>
      <c r="O158" s="48">
        <v>40755</v>
      </c>
      <c r="P158" s="49">
        <v>-15.76066953925389</v>
      </c>
      <c r="R158" s="52">
        <v>44865</v>
      </c>
      <c r="S158" s="53">
        <v>10.5</v>
      </c>
      <c r="Y158" s="52">
        <v>44043</v>
      </c>
      <c r="Z158" s="1">
        <v>19.666890767086691</v>
      </c>
    </row>
    <row r="159" spans="1:26" x14ac:dyDescent="0.3">
      <c r="A159" s="8">
        <v>41729</v>
      </c>
      <c r="B159" s="9">
        <f t="shared" si="33"/>
        <v>-12.470288754964651</v>
      </c>
      <c r="C159" s="9">
        <f t="shared" si="35"/>
        <v>13.7</v>
      </c>
      <c r="D159" s="7">
        <v>0</v>
      </c>
      <c r="E159" s="7">
        <v>1</v>
      </c>
      <c r="F159" s="7">
        <v>0</v>
      </c>
      <c r="G159" s="7">
        <v>1</v>
      </c>
      <c r="H159" s="1">
        <f t="shared" si="27"/>
        <v>1</v>
      </c>
      <c r="I159" s="1">
        <f t="shared" si="28"/>
        <v>0</v>
      </c>
      <c r="J159" s="1">
        <f t="shared" si="29"/>
        <v>0</v>
      </c>
      <c r="K159" s="1">
        <f t="shared" si="30"/>
        <v>0</v>
      </c>
      <c r="L159" s="1" t="str">
        <f t="shared" si="34"/>
        <v>主动去库存</v>
      </c>
      <c r="O159" s="48">
        <v>40724</v>
      </c>
      <c r="P159" s="49">
        <v>-21.604997735905648</v>
      </c>
      <c r="R159" s="52">
        <v>44895</v>
      </c>
      <c r="S159" s="53">
        <v>10.4</v>
      </c>
      <c r="Y159" s="52">
        <v>44074</v>
      </c>
      <c r="Z159" s="1">
        <v>13.422573940980079</v>
      </c>
    </row>
    <row r="160" spans="1:26" x14ac:dyDescent="0.3">
      <c r="A160" s="8">
        <v>41698</v>
      </c>
      <c r="B160" s="9">
        <f t="shared" si="33"/>
        <v>-9.3066734329391583</v>
      </c>
      <c r="C160" s="9">
        <f t="shared" si="35"/>
        <v>13.9</v>
      </c>
      <c r="D160" s="7">
        <v>0</v>
      </c>
      <c r="E160" s="7">
        <v>1</v>
      </c>
      <c r="F160" s="7">
        <v>0</v>
      </c>
      <c r="G160" s="7">
        <v>1</v>
      </c>
      <c r="H160" s="1">
        <f t="shared" si="27"/>
        <v>1</v>
      </c>
      <c r="I160" s="1">
        <f t="shared" si="28"/>
        <v>0</v>
      </c>
      <c r="J160" s="1">
        <f t="shared" si="29"/>
        <v>0</v>
      </c>
      <c r="K160" s="1">
        <f t="shared" si="30"/>
        <v>0</v>
      </c>
      <c r="L160" s="1" t="str">
        <f t="shared" si="34"/>
        <v>主动去库存</v>
      </c>
      <c r="O160" s="48">
        <v>40694</v>
      </c>
      <c r="P160" s="49">
        <v>-27.774219379835309</v>
      </c>
      <c r="R160" s="52">
        <v>44926</v>
      </c>
      <c r="S160" s="53">
        <v>10.4</v>
      </c>
      <c r="Y160" s="52">
        <v>44104</v>
      </c>
      <c r="Z160" s="1">
        <v>7.264763540667329</v>
      </c>
    </row>
    <row r="161" spans="1:26" x14ac:dyDescent="0.3">
      <c r="A161" s="8">
        <v>41670</v>
      </c>
      <c r="B161" s="9">
        <f t="shared" si="33"/>
        <v>-6.8850188115132509</v>
      </c>
      <c r="C161" s="9">
        <f t="shared" si="35"/>
        <v>14</v>
      </c>
      <c r="D161" s="7">
        <v>0</v>
      </c>
      <c r="E161" s="7">
        <v>1</v>
      </c>
      <c r="F161" s="7">
        <v>0</v>
      </c>
      <c r="G161" s="7">
        <v>1</v>
      </c>
      <c r="H161" s="1">
        <f t="shared" si="27"/>
        <v>1</v>
      </c>
      <c r="I161" s="1">
        <f t="shared" si="28"/>
        <v>0</v>
      </c>
      <c r="J161" s="1">
        <f t="shared" si="29"/>
        <v>0</v>
      </c>
      <c r="K161" s="1">
        <f t="shared" si="30"/>
        <v>0</v>
      </c>
      <c r="L161" s="1" t="str">
        <f t="shared" si="34"/>
        <v>主动去库存</v>
      </c>
      <c r="O161" s="48">
        <v>40663</v>
      </c>
      <c r="P161" s="49">
        <v>-29.410028552889159</v>
      </c>
      <c r="R161" s="52">
        <v>44957</v>
      </c>
      <c r="S161" s="53">
        <v>10.6</v>
      </c>
      <c r="Y161" s="52">
        <v>44135</v>
      </c>
      <c r="Z161" s="1">
        <v>5.4671193536221709</v>
      </c>
    </row>
    <row r="162" spans="1:26" x14ac:dyDescent="0.3">
      <c r="A162" s="8">
        <v>41639</v>
      </c>
      <c r="B162" s="9">
        <f t="shared" si="33"/>
        <v>-4.1072292010469118</v>
      </c>
      <c r="C162" s="9">
        <f t="shared" si="35"/>
        <v>13.9</v>
      </c>
      <c r="D162" s="7">
        <v>0</v>
      </c>
      <c r="E162" s="7">
        <v>1</v>
      </c>
      <c r="F162" s="7">
        <v>0</v>
      </c>
      <c r="G162" s="7">
        <v>1</v>
      </c>
      <c r="H162" s="1">
        <f t="shared" si="27"/>
        <v>1</v>
      </c>
      <c r="I162" s="1">
        <f t="shared" si="28"/>
        <v>0</v>
      </c>
      <c r="J162" s="1">
        <f t="shared" si="29"/>
        <v>0</v>
      </c>
      <c r="K162" s="1">
        <f t="shared" si="30"/>
        <v>0</v>
      </c>
      <c r="L162" s="1" t="str">
        <f t="shared" si="34"/>
        <v>主动去库存</v>
      </c>
      <c r="O162" s="48">
        <v>40633</v>
      </c>
      <c r="P162" s="49">
        <v>-29.695698630028161</v>
      </c>
      <c r="R162" s="52">
        <v>44985</v>
      </c>
      <c r="S162" s="53">
        <v>10.8</v>
      </c>
      <c r="Y162" s="52">
        <v>44165</v>
      </c>
      <c r="Z162" s="1">
        <v>5.6604232481235979</v>
      </c>
    </row>
    <row r="163" spans="1:26" x14ac:dyDescent="0.3">
      <c r="A163" s="8">
        <v>41608</v>
      </c>
      <c r="B163" s="9">
        <f t="shared" si="33"/>
        <v>-10.097504885095031</v>
      </c>
      <c r="C163" s="9">
        <f t="shared" si="35"/>
        <v>14.2</v>
      </c>
      <c r="D163" s="7">
        <v>0</v>
      </c>
      <c r="E163" s="7">
        <v>1</v>
      </c>
      <c r="F163" s="7">
        <v>0</v>
      </c>
      <c r="G163" s="7">
        <v>1</v>
      </c>
      <c r="H163" s="1">
        <f t="shared" si="27"/>
        <v>1</v>
      </c>
      <c r="I163" s="1">
        <f t="shared" si="28"/>
        <v>0</v>
      </c>
      <c r="J163" s="1">
        <f t="shared" si="29"/>
        <v>0</v>
      </c>
      <c r="K163" s="1">
        <f t="shared" si="30"/>
        <v>0</v>
      </c>
      <c r="L163" s="1" t="str">
        <f t="shared" si="34"/>
        <v>主动去库存</v>
      </c>
      <c r="O163" s="48">
        <v>40602</v>
      </c>
      <c r="P163" s="49">
        <v>-33.90073066462066</v>
      </c>
      <c r="R163" s="52">
        <v>45016</v>
      </c>
      <c r="S163" s="53">
        <v>11.1</v>
      </c>
      <c r="Y163" s="52">
        <v>44196</v>
      </c>
      <c r="Z163" s="1">
        <v>9.6868796808843154</v>
      </c>
    </row>
    <row r="164" spans="1:26" x14ac:dyDescent="0.3">
      <c r="A164" s="8">
        <v>41578</v>
      </c>
      <c r="B164" s="9">
        <f t="shared" si="33"/>
        <v>-12.41022411215075</v>
      </c>
      <c r="C164" s="9">
        <f t="shared" si="35"/>
        <v>14.3</v>
      </c>
      <c r="D164" s="7">
        <v>0</v>
      </c>
      <c r="E164" s="7">
        <v>1</v>
      </c>
      <c r="F164" s="7">
        <v>0</v>
      </c>
      <c r="G164" s="7">
        <v>1</v>
      </c>
      <c r="H164" s="1">
        <f t="shared" si="27"/>
        <v>1</v>
      </c>
      <c r="I164" s="1">
        <f t="shared" si="28"/>
        <v>0</v>
      </c>
      <c r="J164" s="1">
        <f t="shared" si="29"/>
        <v>0</v>
      </c>
      <c r="K164" s="1">
        <f t="shared" si="30"/>
        <v>0</v>
      </c>
      <c r="L164" s="1" t="str">
        <f t="shared" si="34"/>
        <v>主动去库存</v>
      </c>
      <c r="O164" s="48">
        <v>40574</v>
      </c>
      <c r="P164" s="49">
        <v>-35.909986065406891</v>
      </c>
      <c r="R164" s="52">
        <v>45046</v>
      </c>
      <c r="S164" s="53">
        <v>10.9</v>
      </c>
      <c r="Y164" s="52">
        <v>44227</v>
      </c>
      <c r="Z164" s="1">
        <v>2.9966241824681661</v>
      </c>
    </row>
    <row r="165" spans="1:26" x14ac:dyDescent="0.3">
      <c r="A165" s="8">
        <v>41547</v>
      </c>
      <c r="B165" s="9">
        <f t="shared" ref="B165:B196" si="36">VLOOKUP(A165,O:P,2,0)</f>
        <v>-12.133201577317489</v>
      </c>
      <c r="C165" s="9">
        <f t="shared" si="35"/>
        <v>14.6</v>
      </c>
      <c r="D165" s="7">
        <v>0</v>
      </c>
      <c r="E165" s="7">
        <v>1</v>
      </c>
      <c r="F165" s="7">
        <v>0</v>
      </c>
      <c r="G165" s="7">
        <v>1</v>
      </c>
      <c r="H165" s="1">
        <f t="shared" ref="H165:H209" si="37">INT(AND(G165=1,E165=1))</f>
        <v>1</v>
      </c>
      <c r="I165" s="1">
        <f t="shared" ref="I165:I209" si="38">INT(AND(G165=1,D165=1))</f>
        <v>0</v>
      </c>
      <c r="J165" s="1">
        <f t="shared" ref="J165:J209" si="39">INT(AND(F165=1,E165=1))</f>
        <v>0</v>
      </c>
      <c r="K165" s="1">
        <f t="shared" ref="K165:K209" si="40">INT(AND(F165=1,D165=1))</f>
        <v>0</v>
      </c>
      <c r="L165" s="1" t="str">
        <f t="shared" ref="L165:L196" si="41">INDEX($H$3:$K$3,1,MATCH(1,H165:K165,0))</f>
        <v>主动去库存</v>
      </c>
      <c r="O165" s="48">
        <v>40543</v>
      </c>
      <c r="P165" s="49">
        <v>-37.885445562155979</v>
      </c>
      <c r="R165" s="52">
        <v>45077</v>
      </c>
      <c r="S165" s="53">
        <v>10.6</v>
      </c>
      <c r="Y165" s="52">
        <v>44255</v>
      </c>
      <c r="Z165" s="1">
        <v>-0.12358854567029599</v>
      </c>
    </row>
    <row r="166" spans="1:26" x14ac:dyDescent="0.3">
      <c r="A166" s="8">
        <v>41517</v>
      </c>
      <c r="B166" s="9">
        <f t="shared" si="36"/>
        <v>-13.6270198121025</v>
      </c>
      <c r="C166" s="9">
        <f t="shared" si="35"/>
        <v>14.6</v>
      </c>
      <c r="D166" s="7">
        <v>0</v>
      </c>
      <c r="E166" s="7">
        <v>1</v>
      </c>
      <c r="F166" s="7">
        <v>0</v>
      </c>
      <c r="G166" s="7">
        <v>1</v>
      </c>
      <c r="H166" s="1">
        <f t="shared" si="37"/>
        <v>1</v>
      </c>
      <c r="I166" s="1">
        <f t="shared" si="38"/>
        <v>0</v>
      </c>
      <c r="J166" s="1">
        <f t="shared" si="39"/>
        <v>0</v>
      </c>
      <c r="K166" s="1">
        <f t="shared" si="40"/>
        <v>0</v>
      </c>
      <c r="L166" s="1" t="str">
        <f t="shared" si="41"/>
        <v>主动去库存</v>
      </c>
      <c r="O166" s="48">
        <v>40512</v>
      </c>
      <c r="P166" s="49">
        <v>-37.401729189740223</v>
      </c>
      <c r="R166" s="52">
        <v>45107</v>
      </c>
      <c r="S166" s="53">
        <v>10.6</v>
      </c>
      <c r="Y166" s="52">
        <v>44286</v>
      </c>
      <c r="Z166" s="1">
        <v>-4.4850950530415377</v>
      </c>
    </row>
    <row r="167" spans="1:26" x14ac:dyDescent="0.3">
      <c r="A167" s="8">
        <v>41486</v>
      </c>
      <c r="B167" s="9">
        <f t="shared" si="36"/>
        <v>-8.4409559539657568</v>
      </c>
      <c r="C167" s="9">
        <f t="shared" si="35"/>
        <v>15</v>
      </c>
      <c r="D167" s="7">
        <v>0</v>
      </c>
      <c r="E167" s="7">
        <v>1</v>
      </c>
      <c r="F167" s="7">
        <v>0</v>
      </c>
      <c r="G167" s="7">
        <v>1</v>
      </c>
      <c r="H167" s="1">
        <f t="shared" si="37"/>
        <v>1</v>
      </c>
      <c r="I167" s="1">
        <f t="shared" si="38"/>
        <v>0</v>
      </c>
      <c r="J167" s="1">
        <f t="shared" si="39"/>
        <v>0</v>
      </c>
      <c r="K167" s="1">
        <f t="shared" si="40"/>
        <v>0</v>
      </c>
      <c r="L167" s="1" t="str">
        <f t="shared" si="41"/>
        <v>主动去库存</v>
      </c>
      <c r="O167" s="48">
        <v>40482</v>
      </c>
      <c r="P167" s="49">
        <v>-39.474395383099981</v>
      </c>
      <c r="R167" s="52">
        <v>45138</v>
      </c>
      <c r="S167" s="53">
        <v>10.5</v>
      </c>
      <c r="Y167" s="52">
        <v>44316</v>
      </c>
      <c r="Z167" s="1">
        <v>-5.6696887765172637</v>
      </c>
    </row>
    <row r="168" spans="1:26" x14ac:dyDescent="0.3">
      <c r="A168" s="8">
        <v>41455</v>
      </c>
      <c r="B168" s="9">
        <f t="shared" si="36"/>
        <v>2.264042713179375</v>
      </c>
      <c r="C168" s="9">
        <f t="shared" si="35"/>
        <v>15.1</v>
      </c>
      <c r="D168" s="7">
        <v>0</v>
      </c>
      <c r="E168" s="7">
        <v>1</v>
      </c>
      <c r="F168" s="7">
        <v>0</v>
      </c>
      <c r="G168" s="7">
        <v>1</v>
      </c>
      <c r="H168" s="1">
        <f t="shared" si="37"/>
        <v>1</v>
      </c>
      <c r="I168" s="1">
        <f t="shared" si="38"/>
        <v>0</v>
      </c>
      <c r="J168" s="1">
        <f t="shared" si="39"/>
        <v>0</v>
      </c>
      <c r="K168" s="1">
        <f t="shared" si="40"/>
        <v>0</v>
      </c>
      <c r="L168" s="1" t="str">
        <f t="shared" si="41"/>
        <v>主动去库存</v>
      </c>
      <c r="O168" s="48">
        <v>40451</v>
      </c>
      <c r="P168" s="49">
        <v>-43.863648823666367</v>
      </c>
      <c r="R168" s="52">
        <v>45169</v>
      </c>
      <c r="S168" s="53">
        <v>10.5</v>
      </c>
      <c r="Y168" s="52">
        <v>44347</v>
      </c>
      <c r="Z168" s="1">
        <v>-5.6222198223187236</v>
      </c>
    </row>
    <row r="169" spans="1:26" x14ac:dyDescent="0.3">
      <c r="A169" s="8">
        <v>41425</v>
      </c>
      <c r="B169" s="9">
        <f t="shared" si="36"/>
        <v>7.3057222851685042</v>
      </c>
      <c r="C169" s="9">
        <f t="shared" si="35"/>
        <v>15.6</v>
      </c>
      <c r="D169" s="7">
        <v>0</v>
      </c>
      <c r="E169" s="7">
        <v>1</v>
      </c>
      <c r="F169" s="7">
        <v>0</v>
      </c>
      <c r="G169" s="7">
        <v>1</v>
      </c>
      <c r="H169" s="1">
        <f t="shared" si="37"/>
        <v>1</v>
      </c>
      <c r="I169" s="1">
        <f t="shared" si="38"/>
        <v>0</v>
      </c>
      <c r="J169" s="1">
        <f t="shared" si="39"/>
        <v>0</v>
      </c>
      <c r="K169" s="1">
        <f t="shared" si="40"/>
        <v>0</v>
      </c>
      <c r="L169" s="1" t="str">
        <f t="shared" si="41"/>
        <v>主动去库存</v>
      </c>
      <c r="O169" s="48">
        <v>40421</v>
      </c>
      <c r="P169" s="49">
        <v>-47.17793947961313</v>
      </c>
      <c r="R169" s="52">
        <v>45199</v>
      </c>
      <c r="S169" s="53">
        <v>10.199999999999999</v>
      </c>
      <c r="Y169" s="52">
        <v>44377</v>
      </c>
      <c r="Z169" s="1">
        <v>-0.109618052364842</v>
      </c>
    </row>
    <row r="170" spans="1:26" x14ac:dyDescent="0.3">
      <c r="A170" s="8">
        <v>41394</v>
      </c>
      <c r="B170" s="9">
        <f t="shared" si="36"/>
        <v>15.391031277727601</v>
      </c>
      <c r="C170" s="9">
        <f t="shared" si="35"/>
        <v>16.100000000000001</v>
      </c>
      <c r="D170" s="7">
        <v>0</v>
      </c>
      <c r="E170" s="7">
        <v>1</v>
      </c>
      <c r="F170" s="7">
        <v>0</v>
      </c>
      <c r="G170" s="7">
        <v>1</v>
      </c>
      <c r="H170" s="1">
        <f t="shared" si="37"/>
        <v>1</v>
      </c>
      <c r="I170" s="1">
        <f t="shared" si="38"/>
        <v>0</v>
      </c>
      <c r="J170" s="1">
        <f t="shared" si="39"/>
        <v>0</v>
      </c>
      <c r="K170" s="1">
        <f t="shared" si="40"/>
        <v>0</v>
      </c>
      <c r="L170" s="1" t="str">
        <f t="shared" si="41"/>
        <v>主动去库存</v>
      </c>
      <c r="O170" s="48">
        <v>40390</v>
      </c>
      <c r="P170" s="49">
        <v>-50.829999322093272</v>
      </c>
      <c r="R170" s="52">
        <v>45230</v>
      </c>
      <c r="S170" s="53">
        <v>10.3</v>
      </c>
      <c r="Y170" s="52">
        <v>44408</v>
      </c>
      <c r="Z170" s="1">
        <v>3.1797932722426112</v>
      </c>
    </row>
    <row r="171" spans="1:26" x14ac:dyDescent="0.3">
      <c r="A171" s="8">
        <v>41364</v>
      </c>
      <c r="B171" s="9">
        <f t="shared" si="36"/>
        <v>21.58051740405314</v>
      </c>
      <c r="C171" s="9">
        <f t="shared" si="35"/>
        <v>16</v>
      </c>
      <c r="D171" s="7">
        <v>0</v>
      </c>
      <c r="E171" s="7">
        <v>1</v>
      </c>
      <c r="F171" s="7">
        <v>0</v>
      </c>
      <c r="G171" s="7">
        <v>1</v>
      </c>
      <c r="H171" s="1">
        <f t="shared" si="37"/>
        <v>1</v>
      </c>
      <c r="I171" s="1">
        <f t="shared" si="38"/>
        <v>0</v>
      </c>
      <c r="J171" s="1">
        <f t="shared" si="39"/>
        <v>0</v>
      </c>
      <c r="K171" s="1">
        <f t="shared" si="40"/>
        <v>0</v>
      </c>
      <c r="L171" s="1" t="str">
        <f t="shared" si="41"/>
        <v>主动去库存</v>
      </c>
      <c r="O171" s="48">
        <v>40359</v>
      </c>
      <c r="P171" s="49">
        <v>-52.31133572879066</v>
      </c>
      <c r="R171" s="52">
        <v>45260</v>
      </c>
      <c r="S171" s="53">
        <v>10.199999999999999</v>
      </c>
      <c r="Y171" s="52">
        <v>44439</v>
      </c>
      <c r="Z171" s="1">
        <v>8.6419309227981262</v>
      </c>
    </row>
    <row r="172" spans="1:26" x14ac:dyDescent="0.3">
      <c r="A172" s="8">
        <v>41333</v>
      </c>
      <c r="B172" s="9">
        <f t="shared" si="36"/>
        <v>24.68216597998823</v>
      </c>
      <c r="C172" s="9">
        <f t="shared" si="35"/>
        <v>16.100000000000001</v>
      </c>
      <c r="D172" s="7">
        <v>0</v>
      </c>
      <c r="E172" s="7">
        <v>1</v>
      </c>
      <c r="F172" s="7">
        <v>0</v>
      </c>
      <c r="G172" s="7">
        <v>1</v>
      </c>
      <c r="H172" s="1">
        <f t="shared" si="37"/>
        <v>1</v>
      </c>
      <c r="I172" s="1">
        <f t="shared" si="38"/>
        <v>0</v>
      </c>
      <c r="J172" s="1">
        <f t="shared" si="39"/>
        <v>0</v>
      </c>
      <c r="K172" s="1">
        <f t="shared" si="40"/>
        <v>0</v>
      </c>
      <c r="L172" s="1" t="str">
        <f t="shared" si="41"/>
        <v>主动去库存</v>
      </c>
      <c r="O172" s="48">
        <v>40329</v>
      </c>
      <c r="P172" s="49">
        <v>-49.01285195885054</v>
      </c>
      <c r="R172" s="52">
        <v>45291</v>
      </c>
      <c r="S172" s="53">
        <v>10.1</v>
      </c>
      <c r="Y172" s="52">
        <v>44469</v>
      </c>
      <c r="Z172" s="1">
        <v>13.87308373062497</v>
      </c>
    </row>
    <row r="173" spans="1:26" x14ac:dyDescent="0.3">
      <c r="A173" s="8">
        <v>41305</v>
      </c>
      <c r="B173" s="9">
        <f t="shared" si="36"/>
        <v>32.55864121409428</v>
      </c>
      <c r="C173" s="9">
        <f t="shared" si="35"/>
        <v>16.399999999999999</v>
      </c>
      <c r="D173" s="7">
        <v>0</v>
      </c>
      <c r="E173" s="7">
        <v>1</v>
      </c>
      <c r="F173" s="7">
        <v>0</v>
      </c>
      <c r="G173" s="7">
        <v>1</v>
      </c>
      <c r="H173" s="1">
        <f t="shared" si="37"/>
        <v>1</v>
      </c>
      <c r="I173" s="1">
        <f t="shared" si="38"/>
        <v>0</v>
      </c>
      <c r="J173" s="1">
        <f t="shared" si="39"/>
        <v>0</v>
      </c>
      <c r="K173" s="1">
        <f t="shared" si="40"/>
        <v>0</v>
      </c>
      <c r="L173" s="1" t="str">
        <f t="shared" si="41"/>
        <v>主动去库存</v>
      </c>
      <c r="O173" s="48">
        <v>40298</v>
      </c>
      <c r="P173" s="49">
        <v>-48.834499724415537</v>
      </c>
      <c r="R173" s="52">
        <v>45322</v>
      </c>
      <c r="S173" s="53">
        <v>10</v>
      </c>
      <c r="Y173" s="52">
        <v>44500</v>
      </c>
      <c r="Z173" s="1">
        <v>16.945511878054219</v>
      </c>
    </row>
    <row r="174" spans="1:26" x14ac:dyDescent="0.3">
      <c r="A174" s="8">
        <v>41274</v>
      </c>
      <c r="B174" s="9">
        <f t="shared" si="36"/>
        <v>35.10071440614368</v>
      </c>
      <c r="C174" s="9">
        <f t="shared" si="35"/>
        <v>15.6</v>
      </c>
      <c r="D174" s="7">
        <v>0</v>
      </c>
      <c r="E174" s="7">
        <v>1</v>
      </c>
      <c r="F174" s="7">
        <v>0</v>
      </c>
      <c r="G174" s="7">
        <v>1</v>
      </c>
      <c r="H174" s="1">
        <f t="shared" si="37"/>
        <v>1</v>
      </c>
      <c r="I174" s="1">
        <f t="shared" si="38"/>
        <v>0</v>
      </c>
      <c r="J174" s="1">
        <f t="shared" si="39"/>
        <v>0</v>
      </c>
      <c r="K174" s="1">
        <f t="shared" si="40"/>
        <v>0</v>
      </c>
      <c r="L174" s="1" t="str">
        <f t="shared" si="41"/>
        <v>主动去库存</v>
      </c>
      <c r="O174" s="48">
        <v>40268</v>
      </c>
      <c r="P174" s="49">
        <v>-48.325844979792727</v>
      </c>
      <c r="R174" s="52">
        <v>45351</v>
      </c>
      <c r="S174" s="53">
        <v>9.6999999999999993</v>
      </c>
      <c r="Y174" s="52">
        <v>44530</v>
      </c>
      <c r="Z174" s="1">
        <v>17.773395863092428</v>
      </c>
    </row>
    <row r="175" spans="1:26" x14ac:dyDescent="0.3">
      <c r="A175" s="8">
        <v>41243</v>
      </c>
      <c r="B175" s="9">
        <f t="shared" si="36"/>
        <v>52.92110196776045</v>
      </c>
      <c r="C175" s="9">
        <f t="shared" si="35"/>
        <v>16.100000000000001</v>
      </c>
      <c r="D175" s="7">
        <v>0</v>
      </c>
      <c r="E175" s="7">
        <v>1</v>
      </c>
      <c r="F175" s="7">
        <v>0</v>
      </c>
      <c r="G175" s="7">
        <v>1</v>
      </c>
      <c r="H175" s="1">
        <f t="shared" si="37"/>
        <v>1</v>
      </c>
      <c r="I175" s="1">
        <f t="shared" si="38"/>
        <v>0</v>
      </c>
      <c r="J175" s="1">
        <f t="shared" si="39"/>
        <v>0</v>
      </c>
      <c r="K175" s="1">
        <f t="shared" si="40"/>
        <v>0</v>
      </c>
      <c r="L175" s="1" t="str">
        <f t="shared" si="41"/>
        <v>主动去库存</v>
      </c>
      <c r="O175" s="48">
        <v>40237</v>
      </c>
      <c r="P175" s="49">
        <v>-33.225265669537222</v>
      </c>
      <c r="R175" s="52">
        <v>45382</v>
      </c>
      <c r="S175" s="53">
        <v>9.1999999999999993</v>
      </c>
      <c r="Y175" s="52">
        <v>44561</v>
      </c>
      <c r="Z175" s="1">
        <v>17.906280137500609</v>
      </c>
    </row>
    <row r="176" spans="1:26" x14ac:dyDescent="0.3">
      <c r="A176" s="8">
        <v>41213</v>
      </c>
      <c r="B176" s="9">
        <f t="shared" si="36"/>
        <v>59.39948807161943</v>
      </c>
      <c r="C176" s="9">
        <f t="shared" si="35"/>
        <v>16.2</v>
      </c>
      <c r="D176" s="7">
        <v>0</v>
      </c>
      <c r="E176" s="7">
        <v>1</v>
      </c>
      <c r="F176" s="7">
        <v>0</v>
      </c>
      <c r="G176" s="7">
        <v>1</v>
      </c>
      <c r="H176" s="1">
        <f t="shared" si="37"/>
        <v>1</v>
      </c>
      <c r="I176" s="1">
        <f t="shared" si="38"/>
        <v>0</v>
      </c>
      <c r="J176" s="1">
        <f t="shared" si="39"/>
        <v>0</v>
      </c>
      <c r="K176" s="1">
        <f t="shared" si="40"/>
        <v>0</v>
      </c>
      <c r="L176" s="1" t="str">
        <f t="shared" si="41"/>
        <v>主动去库存</v>
      </c>
      <c r="O176" s="48">
        <v>40209</v>
      </c>
      <c r="P176" s="49">
        <v>-13.60693776127372</v>
      </c>
      <c r="R176" s="52">
        <v>45412</v>
      </c>
      <c r="S176" s="53">
        <v>9.1</v>
      </c>
      <c r="Y176" s="52">
        <v>44592</v>
      </c>
      <c r="Z176" s="1">
        <v>22.092675769921382</v>
      </c>
    </row>
    <row r="177" spans="1:26" x14ac:dyDescent="0.3">
      <c r="A177" s="8">
        <v>41182</v>
      </c>
      <c r="B177" s="9">
        <f t="shared" si="36"/>
        <v>56.820690974931161</v>
      </c>
      <c r="C177" s="9">
        <f t="shared" si="35"/>
        <v>16.399999999999999</v>
      </c>
      <c r="D177" s="7">
        <v>0</v>
      </c>
      <c r="E177" s="7">
        <v>1</v>
      </c>
      <c r="F177" s="7">
        <v>0</v>
      </c>
      <c r="G177" s="7">
        <v>1</v>
      </c>
      <c r="H177" s="1">
        <f t="shared" si="37"/>
        <v>1</v>
      </c>
      <c r="I177" s="1">
        <f t="shared" si="38"/>
        <v>0</v>
      </c>
      <c r="J177" s="1">
        <f t="shared" si="39"/>
        <v>0</v>
      </c>
      <c r="K177" s="1">
        <f t="shared" si="40"/>
        <v>0</v>
      </c>
      <c r="L177" s="1" t="str">
        <f t="shared" si="41"/>
        <v>主动去库存</v>
      </c>
      <c r="O177" s="48">
        <v>40755</v>
      </c>
      <c r="P177" s="49">
        <v>-15.76066953925389</v>
      </c>
      <c r="R177" s="52">
        <v>45443</v>
      </c>
      <c r="S177" s="53">
        <v>8.9</v>
      </c>
      <c r="Y177" s="52">
        <v>44620</v>
      </c>
      <c r="Z177" s="1">
        <v>28.71490940320642</v>
      </c>
    </row>
    <row r="178" spans="1:26" x14ac:dyDescent="0.3">
      <c r="A178" s="8">
        <v>41152</v>
      </c>
      <c r="B178" s="9">
        <f t="shared" si="36"/>
        <v>68.993689690080757</v>
      </c>
      <c r="C178" s="9">
        <f t="shared" si="35"/>
        <v>16.100000000000001</v>
      </c>
      <c r="D178" s="7">
        <v>1</v>
      </c>
      <c r="E178" s="7">
        <v>0</v>
      </c>
      <c r="F178" s="7">
        <v>1</v>
      </c>
      <c r="G178" s="7">
        <v>0</v>
      </c>
      <c r="H178" s="1">
        <f t="shared" si="37"/>
        <v>0</v>
      </c>
      <c r="I178" s="1">
        <f t="shared" si="38"/>
        <v>0</v>
      </c>
      <c r="J178" s="1">
        <f t="shared" si="39"/>
        <v>0</v>
      </c>
      <c r="K178" s="1">
        <f t="shared" si="40"/>
        <v>1</v>
      </c>
      <c r="L178" s="1" t="str">
        <f t="shared" si="41"/>
        <v>主动补库存</v>
      </c>
      <c r="O178" s="48">
        <v>40724</v>
      </c>
      <c r="P178" s="49">
        <v>-21.604997735905648</v>
      </c>
      <c r="R178" s="52">
        <v>45473</v>
      </c>
      <c r="S178" s="120">
        <v>8.3000000000000007</v>
      </c>
      <c r="Y178" s="52">
        <v>44651</v>
      </c>
      <c r="Z178" s="1">
        <v>35.251779199049388</v>
      </c>
    </row>
    <row r="179" spans="1:26" x14ac:dyDescent="0.3">
      <c r="A179" s="8">
        <v>41121</v>
      </c>
      <c r="B179" s="9">
        <f t="shared" si="36"/>
        <v>70.641235197307196</v>
      </c>
      <c r="C179" s="9">
        <f t="shared" si="35"/>
        <v>15.9</v>
      </c>
      <c r="D179" s="7">
        <v>1</v>
      </c>
      <c r="E179" s="7">
        <v>0</v>
      </c>
      <c r="F179" s="7">
        <v>1</v>
      </c>
      <c r="G179" s="7">
        <v>0</v>
      </c>
      <c r="H179" s="1">
        <f t="shared" si="37"/>
        <v>0</v>
      </c>
      <c r="I179" s="1">
        <f t="shared" si="38"/>
        <v>0</v>
      </c>
      <c r="J179" s="1">
        <f t="shared" si="39"/>
        <v>0</v>
      </c>
      <c r="K179" s="1">
        <f t="shared" si="40"/>
        <v>1</v>
      </c>
      <c r="L179" s="1" t="str">
        <f t="shared" si="41"/>
        <v>主动补库存</v>
      </c>
      <c r="O179" s="48">
        <v>40694</v>
      </c>
      <c r="P179" s="49">
        <v>-27.774219379835309</v>
      </c>
      <c r="R179" s="52">
        <v>45504</v>
      </c>
      <c r="S179" s="120">
        <v>8.3000000000000007</v>
      </c>
      <c r="Y179" s="52">
        <v>44681</v>
      </c>
      <c r="Z179" s="1">
        <v>37.069277515424481</v>
      </c>
    </row>
    <row r="180" spans="1:26" x14ac:dyDescent="0.3">
      <c r="A180" s="8">
        <v>41090</v>
      </c>
      <c r="B180" s="9">
        <f t="shared" si="36"/>
        <v>67.52717351314601</v>
      </c>
      <c r="C180" s="9">
        <f t="shared" ref="C180:C209" si="42">VLOOKUP(A180,R:S,2,0)</f>
        <v>15.9</v>
      </c>
      <c r="D180" s="7">
        <v>1</v>
      </c>
      <c r="E180" s="7">
        <v>0</v>
      </c>
      <c r="F180" s="7">
        <v>1</v>
      </c>
      <c r="G180" s="7">
        <v>0</v>
      </c>
      <c r="H180" s="1">
        <f t="shared" si="37"/>
        <v>0</v>
      </c>
      <c r="I180" s="1">
        <f t="shared" si="38"/>
        <v>0</v>
      </c>
      <c r="J180" s="1">
        <f t="shared" si="39"/>
        <v>0</v>
      </c>
      <c r="K180" s="1">
        <f t="shared" si="40"/>
        <v>1</v>
      </c>
      <c r="L180" s="1" t="str">
        <f t="shared" si="41"/>
        <v>主动补库存</v>
      </c>
      <c r="O180" s="48">
        <v>40663</v>
      </c>
      <c r="P180" s="49">
        <v>-29.410028552889159</v>
      </c>
      <c r="R180" s="52">
        <v>45535</v>
      </c>
      <c r="S180" s="120">
        <v>8</v>
      </c>
      <c r="Y180" s="52">
        <v>44712</v>
      </c>
      <c r="Z180" s="1">
        <v>43.116721430031482</v>
      </c>
    </row>
    <row r="181" spans="1:26" x14ac:dyDescent="0.3">
      <c r="A181" s="8">
        <v>41060</v>
      </c>
      <c r="B181" s="9">
        <f t="shared" si="36"/>
        <v>68.117185989016335</v>
      </c>
      <c r="C181" s="9">
        <f t="shared" si="42"/>
        <v>15.4</v>
      </c>
      <c r="D181" s="7">
        <v>1</v>
      </c>
      <c r="E181" s="7">
        <v>0</v>
      </c>
      <c r="F181" s="7">
        <v>1</v>
      </c>
      <c r="G181" s="7">
        <v>0</v>
      </c>
      <c r="H181" s="1">
        <f t="shared" si="37"/>
        <v>0</v>
      </c>
      <c r="I181" s="1">
        <f t="shared" si="38"/>
        <v>0</v>
      </c>
      <c r="J181" s="1">
        <f t="shared" si="39"/>
        <v>0</v>
      </c>
      <c r="K181" s="1">
        <f t="shared" si="40"/>
        <v>1</v>
      </c>
      <c r="L181" s="1" t="str">
        <f t="shared" si="41"/>
        <v>主动补库存</v>
      </c>
      <c r="O181" s="48">
        <v>40633</v>
      </c>
      <c r="P181" s="49">
        <v>-29.695698630028161</v>
      </c>
      <c r="R181" s="52">
        <v>45565</v>
      </c>
      <c r="S181" s="120">
        <v>7.6</v>
      </c>
      <c r="Y181" s="52">
        <v>44742</v>
      </c>
      <c r="Z181" s="1">
        <v>39.446294727674122</v>
      </c>
    </row>
    <row r="182" spans="1:26" x14ac:dyDescent="0.3">
      <c r="A182" s="8">
        <v>41029</v>
      </c>
      <c r="B182" s="9">
        <f t="shared" si="36"/>
        <v>57.429183050597963</v>
      </c>
      <c r="C182" s="9">
        <f t="shared" si="42"/>
        <v>15.1</v>
      </c>
      <c r="D182" s="7">
        <v>1</v>
      </c>
      <c r="E182" s="7">
        <v>0</v>
      </c>
      <c r="F182" s="7">
        <v>1</v>
      </c>
      <c r="G182" s="7">
        <v>0</v>
      </c>
      <c r="H182" s="1">
        <f t="shared" si="37"/>
        <v>0</v>
      </c>
      <c r="I182" s="1">
        <f t="shared" si="38"/>
        <v>0</v>
      </c>
      <c r="J182" s="1">
        <f t="shared" si="39"/>
        <v>0</v>
      </c>
      <c r="K182" s="1">
        <f t="shared" si="40"/>
        <v>1</v>
      </c>
      <c r="L182" s="1" t="str">
        <f t="shared" si="41"/>
        <v>主动补库存</v>
      </c>
      <c r="O182" s="48">
        <v>40602</v>
      </c>
      <c r="P182" s="49">
        <v>-33.90073066462066</v>
      </c>
      <c r="R182" s="52">
        <v>45596</v>
      </c>
      <c r="S182" s="120">
        <v>7.5</v>
      </c>
      <c r="Y182" s="52">
        <v>44773</v>
      </c>
      <c r="Z182" s="1">
        <v>40.207567339838498</v>
      </c>
    </row>
    <row r="183" spans="1:26" x14ac:dyDescent="0.3">
      <c r="A183" s="8">
        <v>40999</v>
      </c>
      <c r="B183" s="9">
        <f t="shared" si="36"/>
        <v>42.859564219368927</v>
      </c>
      <c r="C183" s="9">
        <f t="shared" si="42"/>
        <v>15.5</v>
      </c>
      <c r="D183" s="7">
        <v>1</v>
      </c>
      <c r="E183" s="7">
        <v>0</v>
      </c>
      <c r="F183" s="7">
        <v>1</v>
      </c>
      <c r="G183" s="7">
        <v>0</v>
      </c>
      <c r="H183" s="1">
        <f t="shared" si="37"/>
        <v>0</v>
      </c>
      <c r="I183" s="1">
        <f t="shared" si="38"/>
        <v>0</v>
      </c>
      <c r="J183" s="1">
        <f t="shared" si="39"/>
        <v>0</v>
      </c>
      <c r="K183" s="1">
        <f t="shared" si="40"/>
        <v>1</v>
      </c>
      <c r="L183" s="1" t="str">
        <f t="shared" si="41"/>
        <v>主动补库存</v>
      </c>
      <c r="O183" s="48">
        <v>40574</v>
      </c>
      <c r="P183" s="49">
        <v>-35.909986065406891</v>
      </c>
      <c r="R183" s="52">
        <v>45626</v>
      </c>
      <c r="S183" s="120">
        <v>7.3</v>
      </c>
      <c r="Y183" s="52">
        <v>44804</v>
      </c>
      <c r="Z183" s="1">
        <v>37.602776863762948</v>
      </c>
    </row>
    <row r="184" spans="1:26" x14ac:dyDescent="0.3">
      <c r="A184" s="8">
        <v>40968</v>
      </c>
      <c r="B184" s="9">
        <f t="shared" si="36"/>
        <v>21.517810378752252</v>
      </c>
      <c r="C184" s="9">
        <f t="shared" si="42"/>
        <v>15</v>
      </c>
      <c r="D184" s="7">
        <v>1</v>
      </c>
      <c r="E184" s="7">
        <v>0</v>
      </c>
      <c r="F184" s="7">
        <v>1</v>
      </c>
      <c r="G184" s="7">
        <v>0</v>
      </c>
      <c r="H184" s="1">
        <f t="shared" si="37"/>
        <v>0</v>
      </c>
      <c r="I184" s="1">
        <f t="shared" si="38"/>
        <v>0</v>
      </c>
      <c r="J184" s="1">
        <f t="shared" si="39"/>
        <v>0</v>
      </c>
      <c r="K184" s="1">
        <f t="shared" si="40"/>
        <v>1</v>
      </c>
      <c r="L184" s="1" t="str">
        <f t="shared" si="41"/>
        <v>主动补库存</v>
      </c>
      <c r="O184" s="48">
        <v>40543</v>
      </c>
      <c r="P184" s="49">
        <v>-37.885445562155979</v>
      </c>
      <c r="R184" s="52">
        <v>45657</v>
      </c>
      <c r="S184" s="120">
        <v>7.2</v>
      </c>
      <c r="Y184" s="52">
        <v>44834</v>
      </c>
      <c r="Z184" s="1">
        <v>34.68844065044977</v>
      </c>
    </row>
    <row r="185" spans="1:26" x14ac:dyDescent="0.3">
      <c r="A185" s="8">
        <v>40939</v>
      </c>
      <c r="B185" s="9">
        <f t="shared" si="36"/>
        <v>7.5773023371650492</v>
      </c>
      <c r="C185" s="9">
        <f t="shared" si="42"/>
        <v>14.8</v>
      </c>
      <c r="D185" s="7">
        <v>1</v>
      </c>
      <c r="E185" s="7">
        <v>0</v>
      </c>
      <c r="F185" s="7">
        <v>1</v>
      </c>
      <c r="G185" s="7">
        <v>0</v>
      </c>
      <c r="H185" s="1">
        <f t="shared" si="37"/>
        <v>0</v>
      </c>
      <c r="I185" s="1">
        <f t="shared" si="38"/>
        <v>0</v>
      </c>
      <c r="J185" s="1">
        <f t="shared" si="39"/>
        <v>0</v>
      </c>
      <c r="K185" s="1">
        <f t="shared" si="40"/>
        <v>1</v>
      </c>
      <c r="L185" s="1" t="str">
        <f t="shared" si="41"/>
        <v>主动补库存</v>
      </c>
      <c r="O185" s="48">
        <v>40512</v>
      </c>
      <c r="P185" s="49">
        <v>-37.401729189740223</v>
      </c>
      <c r="R185" s="52">
        <v>45688</v>
      </c>
      <c r="S185" s="114">
        <v>7.54</v>
      </c>
      <c r="Y185" s="52">
        <v>44865</v>
      </c>
      <c r="Z185" s="1">
        <v>35.056671317128952</v>
      </c>
    </row>
    <row r="186" spans="1:26" x14ac:dyDescent="0.3">
      <c r="A186" s="8">
        <v>40908</v>
      </c>
      <c r="B186" s="9">
        <f t="shared" si="36"/>
        <v>2.0920691321757299</v>
      </c>
      <c r="C186" s="9">
        <f t="shared" si="42"/>
        <v>15.7</v>
      </c>
      <c r="D186" s="7">
        <v>0</v>
      </c>
      <c r="E186" s="7">
        <v>1</v>
      </c>
      <c r="F186" s="7">
        <v>1</v>
      </c>
      <c r="G186" s="7">
        <v>0</v>
      </c>
      <c r="H186" s="1">
        <f t="shared" si="37"/>
        <v>0</v>
      </c>
      <c r="I186" s="1">
        <f t="shared" si="38"/>
        <v>0</v>
      </c>
      <c r="J186" s="1">
        <f t="shared" si="39"/>
        <v>1</v>
      </c>
      <c r="K186" s="1">
        <f t="shared" si="40"/>
        <v>0</v>
      </c>
      <c r="L186" s="1" t="str">
        <f t="shared" si="41"/>
        <v>被动补库存</v>
      </c>
      <c r="O186" s="48">
        <v>40482</v>
      </c>
      <c r="P186" s="49">
        <v>-39.474395383099981</v>
      </c>
      <c r="R186" s="52">
        <v>45716</v>
      </c>
      <c r="S186" s="114">
        <v>7.71</v>
      </c>
      <c r="Y186" s="52">
        <v>44895</v>
      </c>
      <c r="Z186" s="1">
        <v>34.402114698379521</v>
      </c>
    </row>
    <row r="187" spans="1:26" x14ac:dyDescent="0.3">
      <c r="A187" s="8">
        <v>40877</v>
      </c>
      <c r="B187" s="9">
        <f t="shared" si="36"/>
        <v>-6.549295684524</v>
      </c>
      <c r="C187" s="9">
        <f t="shared" si="42"/>
        <v>15.6</v>
      </c>
      <c r="D187" s="7">
        <v>0</v>
      </c>
      <c r="E187" s="7">
        <v>1</v>
      </c>
      <c r="F187" s="7">
        <v>1</v>
      </c>
      <c r="G187" s="7">
        <v>0</v>
      </c>
      <c r="H187" s="1">
        <f t="shared" si="37"/>
        <v>0</v>
      </c>
      <c r="I187" s="1">
        <f t="shared" si="38"/>
        <v>0</v>
      </c>
      <c r="J187" s="1">
        <f t="shared" si="39"/>
        <v>1</v>
      </c>
      <c r="K187" s="1">
        <f t="shared" si="40"/>
        <v>0</v>
      </c>
      <c r="L187" s="1" t="str">
        <f t="shared" si="41"/>
        <v>被动补库存</v>
      </c>
      <c r="O187" s="48">
        <v>40451</v>
      </c>
      <c r="P187" s="49">
        <v>-43.863648823666367</v>
      </c>
      <c r="R187" s="52">
        <v>45747</v>
      </c>
      <c r="S187" s="114">
        <v>7.48</v>
      </c>
      <c r="Y187" s="52">
        <v>44926</v>
      </c>
      <c r="Z187" s="1">
        <v>30.019910461290319</v>
      </c>
    </row>
    <row r="188" spans="1:26" x14ac:dyDescent="0.3">
      <c r="A188" s="8">
        <v>40847</v>
      </c>
      <c r="B188" s="9">
        <f t="shared" si="36"/>
        <v>-9.6591330709735104</v>
      </c>
      <c r="C188" s="9">
        <f t="shared" si="42"/>
        <v>15.9</v>
      </c>
      <c r="D188" s="7">
        <v>0</v>
      </c>
      <c r="E188" s="7">
        <v>1</v>
      </c>
      <c r="F188" s="7">
        <v>1</v>
      </c>
      <c r="G188" s="7">
        <v>0</v>
      </c>
      <c r="H188" s="1">
        <f t="shared" si="37"/>
        <v>0</v>
      </c>
      <c r="I188" s="1">
        <f t="shared" si="38"/>
        <v>0</v>
      </c>
      <c r="J188" s="1">
        <f t="shared" si="39"/>
        <v>1</v>
      </c>
      <c r="K188" s="1">
        <f t="shared" si="40"/>
        <v>0</v>
      </c>
      <c r="L188" s="1" t="str">
        <f t="shared" si="41"/>
        <v>被动补库存</v>
      </c>
      <c r="O188" s="48">
        <v>40421</v>
      </c>
      <c r="P188" s="49">
        <v>-47.17793947961313</v>
      </c>
      <c r="R188" s="52">
        <v>45777</v>
      </c>
      <c r="S188" s="114">
        <v>8.11</v>
      </c>
      <c r="Y188" s="52">
        <v>44957</v>
      </c>
      <c r="Z188" s="1">
        <v>23.591447945958681</v>
      </c>
    </row>
    <row r="189" spans="1:26" x14ac:dyDescent="0.3">
      <c r="A189" s="8">
        <v>40816</v>
      </c>
      <c r="B189" s="9">
        <f t="shared" si="36"/>
        <v>-5.2213893433786014</v>
      </c>
      <c r="C189" s="9">
        <f t="shared" si="42"/>
        <v>16</v>
      </c>
      <c r="D189" s="7">
        <v>0</v>
      </c>
      <c r="E189" s="7">
        <v>1</v>
      </c>
      <c r="F189" s="7">
        <v>1</v>
      </c>
      <c r="G189" s="7">
        <v>0</v>
      </c>
      <c r="H189" s="1">
        <f t="shared" si="37"/>
        <v>0</v>
      </c>
      <c r="I189" s="1">
        <f t="shared" si="38"/>
        <v>0</v>
      </c>
      <c r="J189" s="1">
        <f t="shared" si="39"/>
        <v>1</v>
      </c>
      <c r="K189" s="1">
        <f t="shared" si="40"/>
        <v>0</v>
      </c>
      <c r="L189" s="1" t="str">
        <f t="shared" si="41"/>
        <v>被动补库存</v>
      </c>
      <c r="O189" s="48">
        <v>40390</v>
      </c>
      <c r="P189" s="49">
        <v>-50.829999322093272</v>
      </c>
      <c r="R189" s="52">
        <v>45808</v>
      </c>
      <c r="S189" s="114">
        <v>8.1199999999999992</v>
      </c>
      <c r="Y189" s="52">
        <v>44985</v>
      </c>
      <c r="Z189" s="1">
        <v>18.984670957894132</v>
      </c>
    </row>
    <row r="190" spans="1:26" x14ac:dyDescent="0.3">
      <c r="A190" s="8">
        <v>40786</v>
      </c>
      <c r="B190" s="9">
        <f t="shared" si="36"/>
        <v>-9.2385926662433953</v>
      </c>
      <c r="C190" s="9">
        <f t="shared" si="42"/>
        <v>16.5</v>
      </c>
      <c r="D190" s="7">
        <v>0</v>
      </c>
      <c r="E190" s="7">
        <v>1</v>
      </c>
      <c r="F190" s="7">
        <v>1</v>
      </c>
      <c r="G190" s="7">
        <v>0</v>
      </c>
      <c r="H190" s="1">
        <f t="shared" si="37"/>
        <v>0</v>
      </c>
      <c r="I190" s="1">
        <f t="shared" si="38"/>
        <v>0</v>
      </c>
      <c r="J190" s="1">
        <f t="shared" si="39"/>
        <v>1</v>
      </c>
      <c r="K190" s="1">
        <f t="shared" si="40"/>
        <v>0</v>
      </c>
      <c r="L190" s="1" t="str">
        <f t="shared" si="41"/>
        <v>被动补库存</v>
      </c>
      <c r="O190" s="48">
        <v>40359</v>
      </c>
      <c r="P190" s="49">
        <v>-52.31133572879066</v>
      </c>
      <c r="R190" s="52">
        <v>45838</v>
      </c>
      <c r="S190" s="114">
        <v>8.2200000000000006</v>
      </c>
      <c r="Y190" s="52">
        <v>45016</v>
      </c>
      <c r="Z190" s="1">
        <v>11.02673256509404</v>
      </c>
    </row>
    <row r="191" spans="1:26" x14ac:dyDescent="0.3">
      <c r="A191" s="8">
        <v>40755</v>
      </c>
      <c r="B191" s="9">
        <f t="shared" si="36"/>
        <v>-15.76066953925389</v>
      </c>
      <c r="C191" s="9">
        <f t="shared" si="42"/>
        <v>16.7</v>
      </c>
      <c r="D191" s="7">
        <v>0</v>
      </c>
      <c r="E191" s="7">
        <v>1</v>
      </c>
      <c r="F191" s="7">
        <v>1</v>
      </c>
      <c r="G191" s="7">
        <v>0</v>
      </c>
      <c r="H191" s="1">
        <f t="shared" si="37"/>
        <v>0</v>
      </c>
      <c r="I191" s="1">
        <f t="shared" si="38"/>
        <v>0</v>
      </c>
      <c r="J191" s="1">
        <f t="shared" si="39"/>
        <v>1</v>
      </c>
      <c r="K191" s="1">
        <f t="shared" si="40"/>
        <v>0</v>
      </c>
      <c r="L191" s="1" t="str">
        <f t="shared" si="41"/>
        <v>被动补库存</v>
      </c>
      <c r="O191" s="48">
        <v>40329</v>
      </c>
      <c r="P191" s="49">
        <v>-49.01285195885054</v>
      </c>
      <c r="R191" s="52">
        <v>45869</v>
      </c>
      <c r="S191" s="114">
        <v>8.5400000000000009</v>
      </c>
      <c r="Y191" s="52">
        <v>45046</v>
      </c>
      <c r="Z191" s="1">
        <v>7.0554404576982019</v>
      </c>
    </row>
    <row r="192" spans="1:26" x14ac:dyDescent="0.3">
      <c r="A192" s="8">
        <v>40724</v>
      </c>
      <c r="B192" s="9">
        <f t="shared" si="36"/>
        <v>-21.604997735905648</v>
      </c>
      <c r="C192" s="9">
        <f t="shared" si="42"/>
        <v>16.8</v>
      </c>
      <c r="D192" s="7">
        <v>0</v>
      </c>
      <c r="E192" s="7">
        <v>1</v>
      </c>
      <c r="F192" s="7">
        <v>1</v>
      </c>
      <c r="G192" s="7">
        <v>0</v>
      </c>
      <c r="H192" s="1">
        <f t="shared" si="37"/>
        <v>0</v>
      </c>
      <c r="I192" s="1">
        <f t="shared" si="38"/>
        <v>0</v>
      </c>
      <c r="J192" s="1">
        <f t="shared" si="39"/>
        <v>1</v>
      </c>
      <c r="K192" s="1">
        <f t="shared" si="40"/>
        <v>0</v>
      </c>
      <c r="L192" s="1" t="str">
        <f t="shared" si="41"/>
        <v>被动补库存</v>
      </c>
      <c r="O192" s="48">
        <v>40298</v>
      </c>
      <c r="P192" s="49">
        <v>-48.834499724415537</v>
      </c>
      <c r="R192" s="52">
        <v>45900</v>
      </c>
      <c r="S192" s="114">
        <v>8.58</v>
      </c>
      <c r="Y192" s="52">
        <v>45077</v>
      </c>
      <c r="Z192" s="1">
        <v>0.98544236504147698</v>
      </c>
    </row>
    <row r="193" spans="1:26" x14ac:dyDescent="0.3">
      <c r="A193" s="8">
        <v>40694</v>
      </c>
      <c r="B193" s="9">
        <f t="shared" si="36"/>
        <v>-27.774219379835309</v>
      </c>
      <c r="C193" s="9">
        <f t="shared" si="42"/>
        <v>16.899999999999999</v>
      </c>
      <c r="D193" s="7">
        <v>0</v>
      </c>
      <c r="E193" s="7">
        <v>1</v>
      </c>
      <c r="F193" s="7">
        <v>1</v>
      </c>
      <c r="G193" s="7">
        <v>0</v>
      </c>
      <c r="H193" s="1">
        <f t="shared" si="37"/>
        <v>0</v>
      </c>
      <c r="I193" s="1">
        <f t="shared" si="38"/>
        <v>0</v>
      </c>
      <c r="J193" s="1">
        <f t="shared" si="39"/>
        <v>1</v>
      </c>
      <c r="K193" s="1">
        <f t="shared" si="40"/>
        <v>0</v>
      </c>
      <c r="L193" s="1" t="str">
        <f t="shared" si="41"/>
        <v>被动补库存</v>
      </c>
      <c r="O193" s="48">
        <v>40268</v>
      </c>
      <c r="P193" s="49">
        <v>-48.325844979792727</v>
      </c>
      <c r="R193" s="52">
        <v>45930</v>
      </c>
      <c r="S193" s="114">
        <v>8.33</v>
      </c>
      <c r="Y193" s="52">
        <v>45107</v>
      </c>
      <c r="Z193" s="1">
        <v>-0.36190692945082398</v>
      </c>
    </row>
    <row r="194" spans="1:26" x14ac:dyDescent="0.3">
      <c r="A194" s="8">
        <v>40663</v>
      </c>
      <c r="B194" s="9">
        <f t="shared" si="36"/>
        <v>-29.410028552889159</v>
      </c>
      <c r="C194" s="9">
        <f t="shared" si="42"/>
        <v>17.2</v>
      </c>
      <c r="D194" s="7">
        <v>0</v>
      </c>
      <c r="E194" s="7">
        <v>1</v>
      </c>
      <c r="F194" s="7">
        <v>1</v>
      </c>
      <c r="G194" s="7">
        <v>0</v>
      </c>
      <c r="H194" s="1">
        <f t="shared" si="37"/>
        <v>0</v>
      </c>
      <c r="I194" s="1">
        <f t="shared" si="38"/>
        <v>0</v>
      </c>
      <c r="J194" s="1">
        <f t="shared" si="39"/>
        <v>1</v>
      </c>
      <c r="K194" s="1">
        <f t="shared" si="40"/>
        <v>0</v>
      </c>
      <c r="L194" s="1" t="str">
        <f t="shared" si="41"/>
        <v>被动补库存</v>
      </c>
      <c r="O194" s="48">
        <v>40237</v>
      </c>
      <c r="P194" s="49">
        <v>-33.225265669537222</v>
      </c>
      <c r="R194" s="52">
        <v>45961</v>
      </c>
      <c r="S194" s="114">
        <v>8.629999999999999</v>
      </c>
      <c r="Y194" s="52">
        <v>45138</v>
      </c>
      <c r="Z194" s="1">
        <v>2.2642084375373E-2</v>
      </c>
    </row>
    <row r="195" spans="1:26" x14ac:dyDescent="0.3">
      <c r="A195" s="8">
        <v>40633</v>
      </c>
      <c r="B195" s="9">
        <f t="shared" si="36"/>
        <v>-29.695698630028161</v>
      </c>
      <c r="C195" s="9">
        <f t="shared" si="42"/>
        <v>17.600000000000001</v>
      </c>
      <c r="D195" s="7">
        <v>0</v>
      </c>
      <c r="E195" s="7">
        <v>1</v>
      </c>
      <c r="F195" s="7">
        <v>1</v>
      </c>
      <c r="G195" s="7">
        <v>0</v>
      </c>
      <c r="H195" s="1">
        <f t="shared" si="37"/>
        <v>0</v>
      </c>
      <c r="I195" s="1">
        <f t="shared" si="38"/>
        <v>0</v>
      </c>
      <c r="J195" s="1">
        <f t="shared" si="39"/>
        <v>1</v>
      </c>
      <c r="K195" s="1">
        <f t="shared" si="40"/>
        <v>0</v>
      </c>
      <c r="L195" s="1" t="str">
        <f t="shared" si="41"/>
        <v>被动补库存</v>
      </c>
      <c r="O195" s="48">
        <v>40209</v>
      </c>
      <c r="P195" s="49">
        <v>-13.60693776127372</v>
      </c>
      <c r="R195" s="52">
        <v>45991</v>
      </c>
      <c r="S195" s="114">
        <v>8.75</v>
      </c>
      <c r="Y195" s="52">
        <v>45169</v>
      </c>
      <c r="Z195" s="1">
        <v>1.5354235265861971</v>
      </c>
    </row>
    <row r="196" spans="1:26" x14ac:dyDescent="0.3">
      <c r="A196" s="8">
        <v>40602</v>
      </c>
      <c r="B196" s="9">
        <f t="shared" si="36"/>
        <v>-33.90073066462066</v>
      </c>
      <c r="C196" s="9">
        <f t="shared" si="42"/>
        <v>17.399999999999999</v>
      </c>
      <c r="D196" s="7">
        <v>0</v>
      </c>
      <c r="E196" s="7">
        <v>1</v>
      </c>
      <c r="F196" s="7">
        <v>1</v>
      </c>
      <c r="G196" s="7">
        <v>0</v>
      </c>
      <c r="H196" s="1">
        <f t="shared" si="37"/>
        <v>0</v>
      </c>
      <c r="I196" s="1">
        <f t="shared" si="38"/>
        <v>0</v>
      </c>
      <c r="J196" s="1">
        <f t="shared" si="39"/>
        <v>1</v>
      </c>
      <c r="K196" s="1">
        <f t="shared" si="40"/>
        <v>0</v>
      </c>
      <c r="L196" s="1" t="str">
        <f t="shared" si="41"/>
        <v>被动补库存</v>
      </c>
      <c r="O196" s="48">
        <v>40451</v>
      </c>
      <c r="P196" s="49">
        <v>-43.863648823666367</v>
      </c>
      <c r="R196" s="52">
        <v>46022</v>
      </c>
      <c r="S196" s="114">
        <v>8.58</v>
      </c>
      <c r="Y196" s="52">
        <v>45199</v>
      </c>
      <c r="Z196" s="1">
        <v>0.98735996275792903</v>
      </c>
    </row>
    <row r="197" spans="1:26" x14ac:dyDescent="0.3">
      <c r="A197" s="8">
        <v>40574</v>
      </c>
      <c r="B197" s="9">
        <f t="shared" ref="B197:B228" si="43">VLOOKUP(A197,O:P,2,0)</f>
        <v>-35.909986065406891</v>
      </c>
      <c r="C197" s="9">
        <f t="shared" si="42"/>
        <v>18.3</v>
      </c>
      <c r="D197" s="7">
        <v>0</v>
      </c>
      <c r="E197" s="7">
        <v>1</v>
      </c>
      <c r="F197" s="7">
        <v>1</v>
      </c>
      <c r="G197" s="7">
        <v>0</v>
      </c>
      <c r="H197" s="1">
        <f t="shared" si="37"/>
        <v>0</v>
      </c>
      <c r="I197" s="1">
        <f t="shared" si="38"/>
        <v>0</v>
      </c>
      <c r="J197" s="1">
        <f t="shared" si="39"/>
        <v>1</v>
      </c>
      <c r="K197" s="1">
        <f t="shared" si="40"/>
        <v>0</v>
      </c>
      <c r="L197" s="1" t="str">
        <f t="shared" ref="L197:L209" si="44">INDEX($H$3:$K$3,1,MATCH(1,H197:K197,0))</f>
        <v>被动补库存</v>
      </c>
      <c r="O197" s="48">
        <v>40421</v>
      </c>
      <c r="P197" s="49">
        <v>-47.17793947961313</v>
      </c>
      <c r="R197" s="52"/>
      <c r="S197" s="53"/>
      <c r="Y197" s="52">
        <v>45230</v>
      </c>
      <c r="Z197" s="1">
        <v>1.986137707131687</v>
      </c>
    </row>
    <row r="198" spans="1:26" x14ac:dyDescent="0.3">
      <c r="A198" s="8">
        <v>40543</v>
      </c>
      <c r="B198" s="9">
        <f t="shared" si="43"/>
        <v>-37.885445562155979</v>
      </c>
      <c r="C198" s="9">
        <f t="shared" si="42"/>
        <v>19.7</v>
      </c>
      <c r="D198" s="7">
        <v>1</v>
      </c>
      <c r="E198" s="7">
        <v>0</v>
      </c>
      <c r="F198" s="7">
        <v>1</v>
      </c>
      <c r="G198" s="7">
        <v>0</v>
      </c>
      <c r="H198" s="1">
        <f t="shared" si="37"/>
        <v>0</v>
      </c>
      <c r="I198" s="1">
        <f t="shared" si="38"/>
        <v>0</v>
      </c>
      <c r="J198" s="1">
        <f t="shared" si="39"/>
        <v>0</v>
      </c>
      <c r="K198" s="1">
        <f t="shared" si="40"/>
        <v>1</v>
      </c>
      <c r="L198" s="1" t="str">
        <f t="shared" si="44"/>
        <v>主动补库存</v>
      </c>
      <c r="O198" s="48">
        <v>40390</v>
      </c>
      <c r="P198" s="49">
        <v>-50.829999322093272</v>
      </c>
      <c r="R198" s="52"/>
      <c r="S198" s="53"/>
      <c r="Y198" s="52">
        <v>45260</v>
      </c>
      <c r="Z198" s="1">
        <v>2.3895179615713911</v>
      </c>
    </row>
    <row r="199" spans="1:26" x14ac:dyDescent="0.3">
      <c r="A199" s="8">
        <v>40512</v>
      </c>
      <c r="B199" s="9">
        <f t="shared" si="43"/>
        <v>-37.401729189740223</v>
      </c>
      <c r="C199" s="9">
        <f t="shared" si="42"/>
        <v>19.399999999999999</v>
      </c>
      <c r="D199" s="7">
        <v>1</v>
      </c>
      <c r="E199" s="7">
        <v>0</v>
      </c>
      <c r="F199" s="7">
        <v>1</v>
      </c>
      <c r="G199" s="7">
        <v>0</v>
      </c>
      <c r="H199" s="1">
        <f t="shared" si="37"/>
        <v>0</v>
      </c>
      <c r="I199" s="1">
        <f t="shared" si="38"/>
        <v>0</v>
      </c>
      <c r="J199" s="1">
        <f t="shared" si="39"/>
        <v>0</v>
      </c>
      <c r="K199" s="1">
        <f t="shared" si="40"/>
        <v>1</v>
      </c>
      <c r="L199" s="1" t="str">
        <f t="shared" si="44"/>
        <v>主动补库存</v>
      </c>
      <c r="O199" s="48">
        <v>40359</v>
      </c>
      <c r="P199" s="49">
        <v>-52.31133572879066</v>
      </c>
      <c r="R199" s="52"/>
      <c r="S199" s="53"/>
      <c r="Y199" s="52">
        <v>45291</v>
      </c>
      <c r="Z199" s="1">
        <v>2.6619152336692</v>
      </c>
    </row>
    <row r="200" spans="1:26" x14ac:dyDescent="0.3">
      <c r="A200" s="8">
        <v>40482</v>
      </c>
      <c r="B200" s="9">
        <f t="shared" si="43"/>
        <v>-39.474395383099981</v>
      </c>
      <c r="C200" s="9">
        <f t="shared" si="42"/>
        <v>19.100000000000001</v>
      </c>
      <c r="D200" s="7">
        <v>1</v>
      </c>
      <c r="E200" s="7">
        <v>0</v>
      </c>
      <c r="F200" s="7">
        <v>1</v>
      </c>
      <c r="G200" s="7">
        <v>0</v>
      </c>
      <c r="H200" s="1">
        <f t="shared" si="37"/>
        <v>0</v>
      </c>
      <c r="I200" s="1">
        <f t="shared" si="38"/>
        <v>0</v>
      </c>
      <c r="J200" s="1">
        <f t="shared" si="39"/>
        <v>0</v>
      </c>
      <c r="K200" s="1">
        <f t="shared" si="40"/>
        <v>1</v>
      </c>
      <c r="L200" s="1" t="str">
        <f t="shared" si="44"/>
        <v>主动补库存</v>
      </c>
      <c r="O200" s="48">
        <v>40329</v>
      </c>
      <c r="P200" s="49">
        <v>-49.01285195885054</v>
      </c>
      <c r="R200" s="52"/>
      <c r="S200" s="53"/>
      <c r="Y200" s="52">
        <v>45322</v>
      </c>
      <c r="Z200" s="1">
        <v>-1.77191644767751</v>
      </c>
    </row>
    <row r="201" spans="1:26" x14ac:dyDescent="0.3">
      <c r="A201" s="8">
        <v>40451</v>
      </c>
      <c r="B201" s="9">
        <f t="shared" si="43"/>
        <v>-43.863648823666367</v>
      </c>
      <c r="C201" s="9">
        <f t="shared" si="42"/>
        <v>18.7</v>
      </c>
      <c r="D201" s="7">
        <v>1</v>
      </c>
      <c r="E201" s="7">
        <v>0</v>
      </c>
      <c r="F201" s="7">
        <v>1</v>
      </c>
      <c r="G201" s="7">
        <v>0</v>
      </c>
      <c r="H201" s="1">
        <f t="shared" si="37"/>
        <v>0</v>
      </c>
      <c r="I201" s="1">
        <f t="shared" si="38"/>
        <v>0</v>
      </c>
      <c r="J201" s="1">
        <f t="shared" si="39"/>
        <v>0</v>
      </c>
      <c r="K201" s="1">
        <f t="shared" si="40"/>
        <v>1</v>
      </c>
      <c r="L201" s="1" t="str">
        <f t="shared" si="44"/>
        <v>主动补库存</v>
      </c>
      <c r="O201" s="48">
        <v>40298</v>
      </c>
      <c r="P201" s="49">
        <v>-48.834499724415537</v>
      </c>
      <c r="R201" s="52"/>
      <c r="S201" s="53"/>
      <c r="Y201" s="52">
        <v>45351</v>
      </c>
      <c r="Z201" s="1">
        <v>-3.222993391898723</v>
      </c>
    </row>
    <row r="202" spans="1:26" x14ac:dyDescent="0.3">
      <c r="A202" s="8">
        <v>40421</v>
      </c>
      <c r="B202" s="9">
        <f t="shared" si="43"/>
        <v>-47.17793947961313</v>
      </c>
      <c r="C202" s="9">
        <f t="shared" si="42"/>
        <v>18.899999999999999</v>
      </c>
      <c r="D202" s="7">
        <v>0</v>
      </c>
      <c r="E202" s="7">
        <v>1</v>
      </c>
      <c r="F202" s="7">
        <v>1</v>
      </c>
      <c r="G202" s="7">
        <v>0</v>
      </c>
      <c r="H202" s="1">
        <f t="shared" si="37"/>
        <v>0</v>
      </c>
      <c r="I202" s="1">
        <f t="shared" si="38"/>
        <v>0</v>
      </c>
      <c r="J202" s="1">
        <f t="shared" si="39"/>
        <v>1</v>
      </c>
      <c r="K202" s="1">
        <f t="shared" si="40"/>
        <v>0</v>
      </c>
      <c r="L202" s="1" t="str">
        <f t="shared" si="44"/>
        <v>被动补库存</v>
      </c>
      <c r="O202" s="48">
        <v>40268</v>
      </c>
      <c r="P202" s="49">
        <v>-48.325844979792727</v>
      </c>
      <c r="R202" s="52"/>
      <c r="S202" s="53"/>
      <c r="Y202" s="52">
        <v>45382</v>
      </c>
      <c r="Z202" s="1">
        <v>-1.5276922165194531</v>
      </c>
    </row>
    <row r="203" spans="1:26" x14ac:dyDescent="0.3">
      <c r="A203" s="8">
        <v>40390</v>
      </c>
      <c r="B203" s="9">
        <f t="shared" si="43"/>
        <v>-50.829999322093272</v>
      </c>
      <c r="C203" s="9">
        <f t="shared" si="42"/>
        <v>19.100000000000001</v>
      </c>
      <c r="D203" s="7">
        <v>0</v>
      </c>
      <c r="E203" s="7">
        <v>1</v>
      </c>
      <c r="F203" s="7">
        <v>1</v>
      </c>
      <c r="G203" s="7">
        <v>0</v>
      </c>
      <c r="H203" s="1">
        <f t="shared" si="37"/>
        <v>0</v>
      </c>
      <c r="I203" s="1">
        <f t="shared" si="38"/>
        <v>0</v>
      </c>
      <c r="J203" s="1">
        <f t="shared" si="39"/>
        <v>1</v>
      </c>
      <c r="K203" s="1">
        <f t="shared" si="40"/>
        <v>0</v>
      </c>
      <c r="L203" s="1" t="str">
        <f t="shared" si="44"/>
        <v>被动补库存</v>
      </c>
      <c r="O203" s="48">
        <v>40237</v>
      </c>
      <c r="P203" s="49">
        <v>-33.225265669537222</v>
      </c>
      <c r="R203" s="52"/>
      <c r="S203" s="53"/>
      <c r="Y203" s="52">
        <v>45412</v>
      </c>
      <c r="Z203" s="1">
        <v>4.4437448867845744</v>
      </c>
    </row>
    <row r="204" spans="1:26" x14ac:dyDescent="0.3">
      <c r="A204" s="8">
        <v>40359</v>
      </c>
      <c r="B204" s="9">
        <f t="shared" si="43"/>
        <v>-52.31133572879066</v>
      </c>
      <c r="C204" s="9">
        <f t="shared" si="42"/>
        <v>19.2</v>
      </c>
      <c r="D204" s="7">
        <v>0</v>
      </c>
      <c r="E204" s="7">
        <v>1</v>
      </c>
      <c r="F204" s="7">
        <v>1</v>
      </c>
      <c r="G204" s="7">
        <v>0</v>
      </c>
      <c r="H204" s="1">
        <f t="shared" si="37"/>
        <v>0</v>
      </c>
      <c r="I204" s="1">
        <f t="shared" si="38"/>
        <v>0</v>
      </c>
      <c r="J204" s="1">
        <f t="shared" si="39"/>
        <v>1</v>
      </c>
      <c r="K204" s="1">
        <f t="shared" si="40"/>
        <v>0</v>
      </c>
      <c r="L204" s="1" t="str">
        <f t="shared" si="44"/>
        <v>被动补库存</v>
      </c>
      <c r="O204" s="48">
        <v>40209</v>
      </c>
      <c r="P204" s="49">
        <v>-13.60693776127372</v>
      </c>
      <c r="R204" s="52"/>
      <c r="S204" s="53"/>
      <c r="Y204" s="52">
        <v>45443</v>
      </c>
      <c r="Z204" s="1">
        <v>7.0554730840430464</v>
      </c>
    </row>
    <row r="205" spans="1:26" x14ac:dyDescent="0.3">
      <c r="A205" s="8">
        <v>40329</v>
      </c>
      <c r="B205" s="9">
        <f t="shared" si="43"/>
        <v>-49.01285195885054</v>
      </c>
      <c r="C205" s="9">
        <f t="shared" si="42"/>
        <v>23.2</v>
      </c>
      <c r="D205" s="7">
        <v>0</v>
      </c>
      <c r="E205" s="7">
        <v>1</v>
      </c>
      <c r="F205" s="7">
        <v>0</v>
      </c>
      <c r="G205" s="7">
        <v>1</v>
      </c>
      <c r="H205" s="1">
        <f t="shared" si="37"/>
        <v>1</v>
      </c>
      <c r="I205" s="1">
        <f t="shared" si="38"/>
        <v>0</v>
      </c>
      <c r="J205" s="1">
        <f t="shared" si="39"/>
        <v>0</v>
      </c>
      <c r="K205" s="1">
        <f t="shared" si="40"/>
        <v>0</v>
      </c>
      <c r="L205" s="1" t="str">
        <f t="shared" si="44"/>
        <v>主动去库存</v>
      </c>
      <c r="O205" s="48">
        <v>40755</v>
      </c>
      <c r="P205" s="49">
        <v>-15.76066953925389</v>
      </c>
      <c r="R205" s="52"/>
      <c r="S205" s="53"/>
      <c r="Y205" s="52">
        <v>45473</v>
      </c>
      <c r="Z205" s="113">
        <v>7.4628313533523682</v>
      </c>
    </row>
    <row r="206" spans="1:26" x14ac:dyDescent="0.3">
      <c r="A206" s="8">
        <v>40298</v>
      </c>
      <c r="B206" s="9">
        <f t="shared" si="43"/>
        <v>-48.834499724415537</v>
      </c>
      <c r="C206" s="9">
        <f t="shared" si="42"/>
        <v>24.11</v>
      </c>
      <c r="D206" s="7">
        <v>0</v>
      </c>
      <c r="E206" s="7">
        <v>1</v>
      </c>
      <c r="F206" s="7">
        <v>0</v>
      </c>
      <c r="G206" s="7">
        <v>1</v>
      </c>
      <c r="H206" s="1">
        <f t="shared" si="37"/>
        <v>1</v>
      </c>
      <c r="I206" s="1">
        <f t="shared" si="38"/>
        <v>0</v>
      </c>
      <c r="J206" s="1">
        <f t="shared" si="39"/>
        <v>0</v>
      </c>
      <c r="K206" s="1">
        <f t="shared" si="40"/>
        <v>0</v>
      </c>
      <c r="L206" s="1" t="str">
        <f t="shared" si="44"/>
        <v>主动去库存</v>
      </c>
      <c r="O206" s="48">
        <v>40724</v>
      </c>
      <c r="P206" s="49">
        <v>-21.604997735905648</v>
      </c>
      <c r="R206" s="52"/>
      <c r="S206" s="53"/>
      <c r="Y206" s="52">
        <v>45504</v>
      </c>
      <c r="Z206" s="113">
        <v>8.8647927598224356</v>
      </c>
    </row>
    <row r="207" spans="1:26" x14ac:dyDescent="0.3">
      <c r="A207" s="8">
        <v>40268</v>
      </c>
      <c r="B207" s="9">
        <f t="shared" si="43"/>
        <v>-48.325844979792727</v>
      </c>
      <c r="C207" s="9">
        <f t="shared" si="42"/>
        <v>24.08</v>
      </c>
      <c r="D207" s="7">
        <v>0</v>
      </c>
      <c r="E207" s="7">
        <v>1</v>
      </c>
      <c r="F207" s="7">
        <v>0</v>
      </c>
      <c r="G207" s="7">
        <v>1</v>
      </c>
      <c r="H207" s="1">
        <f t="shared" si="37"/>
        <v>1</v>
      </c>
      <c r="I207" s="1">
        <f t="shared" si="38"/>
        <v>0</v>
      </c>
      <c r="J207" s="1">
        <f t="shared" si="39"/>
        <v>0</v>
      </c>
      <c r="K207" s="1">
        <f t="shared" si="40"/>
        <v>0</v>
      </c>
      <c r="L207" s="1" t="str">
        <f t="shared" si="44"/>
        <v>主动去库存</v>
      </c>
      <c r="O207" s="48">
        <v>40694</v>
      </c>
      <c r="P207" s="49">
        <v>-27.774219379835309</v>
      </c>
      <c r="R207" s="52"/>
      <c r="S207" s="53"/>
      <c r="Y207" s="52">
        <v>45535</v>
      </c>
      <c r="Z207" s="113">
        <v>10.188194021350929</v>
      </c>
    </row>
    <row r="208" spans="1:26" x14ac:dyDescent="0.3">
      <c r="A208" s="8">
        <v>40237</v>
      </c>
      <c r="B208" s="9">
        <f t="shared" si="43"/>
        <v>-33.225265669537222</v>
      </c>
      <c r="C208" s="9">
        <f t="shared" si="42"/>
        <v>29.29</v>
      </c>
      <c r="D208" s="7">
        <v>0</v>
      </c>
      <c r="E208" s="7">
        <v>1</v>
      </c>
      <c r="F208" s="7">
        <v>0</v>
      </c>
      <c r="G208" s="7">
        <v>1</v>
      </c>
      <c r="H208" s="1">
        <f t="shared" si="37"/>
        <v>1</v>
      </c>
      <c r="I208" s="1">
        <f t="shared" si="38"/>
        <v>0</v>
      </c>
      <c r="J208" s="1">
        <f t="shared" si="39"/>
        <v>0</v>
      </c>
      <c r="K208" s="1">
        <f t="shared" si="40"/>
        <v>0</v>
      </c>
      <c r="L208" s="1" t="str">
        <f t="shared" si="44"/>
        <v>主动去库存</v>
      </c>
      <c r="O208" s="48">
        <v>40663</v>
      </c>
      <c r="P208" s="49">
        <v>-29.410028552889159</v>
      </c>
      <c r="R208" s="52"/>
      <c r="S208" s="53"/>
      <c r="Y208" s="52">
        <v>45565</v>
      </c>
      <c r="Z208" s="113">
        <v>12.06368981479255</v>
      </c>
    </row>
    <row r="209" spans="1:26" x14ac:dyDescent="0.3">
      <c r="A209" s="8">
        <v>40209</v>
      </c>
      <c r="B209" s="9">
        <f t="shared" si="43"/>
        <v>-13.60693776127372</v>
      </c>
      <c r="C209" s="9">
        <f t="shared" si="42"/>
        <v>31.02</v>
      </c>
      <c r="D209" s="7">
        <v>0</v>
      </c>
      <c r="E209" s="7">
        <v>1</v>
      </c>
      <c r="F209" s="7">
        <v>0</v>
      </c>
      <c r="G209" s="7">
        <v>1</v>
      </c>
      <c r="H209" s="1">
        <f t="shared" si="37"/>
        <v>1</v>
      </c>
      <c r="I209" s="1">
        <f t="shared" si="38"/>
        <v>0</v>
      </c>
      <c r="J209" s="1">
        <f t="shared" si="39"/>
        <v>0</v>
      </c>
      <c r="K209" s="1">
        <f t="shared" si="40"/>
        <v>0</v>
      </c>
      <c r="L209" s="1" t="str">
        <f t="shared" si="44"/>
        <v>主动去库存</v>
      </c>
      <c r="O209" s="48">
        <v>40633</v>
      </c>
      <c r="P209" s="49">
        <v>-29.695698630028161</v>
      </c>
      <c r="R209" s="52"/>
      <c r="S209" s="53"/>
      <c r="Y209" s="52">
        <v>45596</v>
      </c>
      <c r="Z209" s="113">
        <v>10.6055154862912</v>
      </c>
    </row>
    <row r="210" spans="1:26" x14ac:dyDescent="0.3">
      <c r="A210" s="8"/>
      <c r="B210" s="9"/>
      <c r="C210" s="9"/>
      <c r="O210" s="48">
        <v>40602</v>
      </c>
      <c r="P210" s="49">
        <v>-33.90073066462066</v>
      </c>
      <c r="R210" s="52"/>
      <c r="S210" s="53"/>
      <c r="Y210" s="52">
        <v>45626</v>
      </c>
      <c r="Z210" s="113">
        <v>9.7502667803965615</v>
      </c>
    </row>
    <row r="211" spans="1:26" x14ac:dyDescent="0.3">
      <c r="A211" s="8"/>
      <c r="B211" s="9"/>
      <c r="C211" s="9"/>
      <c r="O211" s="48">
        <v>40574</v>
      </c>
      <c r="P211" s="49">
        <v>-35.909986065406891</v>
      </c>
      <c r="R211" s="52"/>
      <c r="S211" s="53"/>
      <c r="Y211" s="52">
        <v>45657</v>
      </c>
      <c r="Z211" s="113">
        <v>11.934930259389841</v>
      </c>
    </row>
    <row r="212" spans="1:26" x14ac:dyDescent="0.3">
      <c r="A212" s="8"/>
      <c r="B212" s="9"/>
      <c r="C212" s="9"/>
      <c r="O212" s="48">
        <v>40543</v>
      </c>
      <c r="P212" s="49">
        <v>-37.885445562155979</v>
      </c>
      <c r="R212" s="52"/>
      <c r="S212" s="53"/>
      <c r="Y212" s="52">
        <v>45688</v>
      </c>
      <c r="Z212" s="132">
        <v>12.6</v>
      </c>
    </row>
    <row r="213" spans="1:26" x14ac:dyDescent="0.3">
      <c r="A213" s="8"/>
      <c r="B213" s="9"/>
      <c r="C213" s="9"/>
      <c r="O213" s="48">
        <v>40512</v>
      </c>
      <c r="P213" s="49">
        <v>-37.401729189740223</v>
      </c>
      <c r="R213" s="52"/>
      <c r="S213" s="53"/>
      <c r="Y213" s="52">
        <v>45716</v>
      </c>
      <c r="Z213" s="132">
        <v>13</v>
      </c>
    </row>
    <row r="214" spans="1:26" x14ac:dyDescent="0.3">
      <c r="A214" s="8"/>
      <c r="B214" s="9"/>
      <c r="C214" s="9"/>
      <c r="O214" s="48">
        <v>40482</v>
      </c>
      <c r="P214" s="49">
        <v>-39.474395383099981</v>
      </c>
      <c r="R214" s="52"/>
      <c r="S214" s="53"/>
      <c r="Y214" s="52">
        <v>45747</v>
      </c>
      <c r="Z214" s="132">
        <v>12.3</v>
      </c>
    </row>
    <row r="215" spans="1:26" x14ac:dyDescent="0.3">
      <c r="O215" s="48">
        <v>40451</v>
      </c>
      <c r="P215" s="49">
        <v>-43.863648823666367</v>
      </c>
      <c r="R215" s="52"/>
      <c r="S215" s="53"/>
      <c r="Y215" s="52">
        <v>45777</v>
      </c>
      <c r="Z215" s="132">
        <v>10.5</v>
      </c>
    </row>
    <row r="216" spans="1:26" x14ac:dyDescent="0.3">
      <c r="O216" s="48">
        <v>40421</v>
      </c>
      <c r="P216" s="49">
        <v>-47.17793947961313</v>
      </c>
      <c r="R216" s="52"/>
      <c r="S216" s="53"/>
      <c r="Y216" s="52">
        <v>45808</v>
      </c>
      <c r="Z216" s="132">
        <v>8.4</v>
      </c>
    </row>
    <row r="217" spans="1:26" x14ac:dyDescent="0.3">
      <c r="O217" s="48">
        <v>40390</v>
      </c>
      <c r="P217" s="49">
        <v>-50.829999322093272</v>
      </c>
      <c r="R217" s="52"/>
      <c r="S217" s="53"/>
      <c r="Y217" s="52">
        <v>45838</v>
      </c>
      <c r="Z217" s="132">
        <v>7.3</v>
      </c>
    </row>
    <row r="218" spans="1:26" x14ac:dyDescent="0.3">
      <c r="O218" s="48">
        <v>40359</v>
      </c>
      <c r="P218" s="49">
        <v>-52.31133572879066</v>
      </c>
      <c r="R218" s="52"/>
      <c r="S218" s="53"/>
      <c r="Y218" s="52">
        <v>45869</v>
      </c>
      <c r="Z218" s="132">
        <v>5.6</v>
      </c>
    </row>
    <row r="219" spans="1:26" x14ac:dyDescent="0.3">
      <c r="O219" s="48">
        <v>40329</v>
      </c>
      <c r="P219" s="49">
        <v>-49.01285195885054</v>
      </c>
      <c r="R219" s="52"/>
      <c r="S219" s="53"/>
      <c r="Y219" s="52">
        <v>45900</v>
      </c>
      <c r="Z219" s="132">
        <v>4.9000000000000004</v>
      </c>
    </row>
    <row r="220" spans="1:26" x14ac:dyDescent="0.3">
      <c r="O220" s="48">
        <v>40298</v>
      </c>
      <c r="P220" s="49">
        <v>-48.834499724415537</v>
      </c>
      <c r="R220" s="52"/>
      <c r="S220" s="53"/>
      <c r="Y220" s="52">
        <v>45930</v>
      </c>
      <c r="Z220" s="132">
        <v>3.4</v>
      </c>
    </row>
    <row r="221" spans="1:26" x14ac:dyDescent="0.3">
      <c r="O221" s="48">
        <v>40268</v>
      </c>
      <c r="P221" s="49">
        <v>-48.325844979792727</v>
      </c>
      <c r="R221" s="52"/>
      <c r="S221" s="53"/>
      <c r="Y221" s="52">
        <v>45961</v>
      </c>
      <c r="Z221" s="132">
        <v>4.2</v>
      </c>
    </row>
    <row r="222" spans="1:26" x14ac:dyDescent="0.3">
      <c r="O222" s="48">
        <v>40237</v>
      </c>
      <c r="P222" s="49">
        <v>-33.225265669537222</v>
      </c>
      <c r="R222" s="52"/>
      <c r="S222" s="53"/>
      <c r="Y222" s="52">
        <v>45991</v>
      </c>
      <c r="Z222" s="132">
        <v>4.9000000000000004</v>
      </c>
    </row>
    <row r="223" spans="1:26" x14ac:dyDescent="0.3">
      <c r="O223" s="48">
        <v>40209</v>
      </c>
      <c r="P223" s="49">
        <v>-13.60693776127372</v>
      </c>
      <c r="R223" s="52"/>
      <c r="S223" s="53"/>
      <c r="Y223" s="52">
        <v>46022</v>
      </c>
      <c r="Z223" s="132">
        <v>3</v>
      </c>
    </row>
    <row r="224" spans="1:26" x14ac:dyDescent="0.3">
      <c r="R224" s="52"/>
      <c r="S224" s="53"/>
    </row>
    <row r="225" spans="18:19" x14ac:dyDescent="0.3">
      <c r="R225" s="52"/>
      <c r="S225" s="53"/>
    </row>
    <row r="226" spans="18:19" x14ac:dyDescent="0.3">
      <c r="R226" s="52"/>
      <c r="S226" s="53"/>
    </row>
    <row r="227" spans="18:19" x14ac:dyDescent="0.3">
      <c r="R227" s="52"/>
      <c r="S227" s="53"/>
    </row>
    <row r="228" spans="18:19" x14ac:dyDescent="0.3">
      <c r="R228" s="52"/>
      <c r="S228" s="53"/>
    </row>
    <row r="229" spans="18:19" x14ac:dyDescent="0.3">
      <c r="R229" s="52"/>
      <c r="S229" s="53"/>
    </row>
    <row r="230" spans="18:19" x14ac:dyDescent="0.3">
      <c r="R230" s="52"/>
      <c r="S230" s="53"/>
    </row>
    <row r="231" spans="18:19" x14ac:dyDescent="0.3">
      <c r="R231" s="52"/>
      <c r="S231" s="53"/>
    </row>
    <row r="232" spans="18:19" x14ac:dyDescent="0.3">
      <c r="R232" s="52"/>
      <c r="S232" s="53"/>
    </row>
    <row r="233" spans="18:19" x14ac:dyDescent="0.3">
      <c r="R233" s="52"/>
      <c r="S233" s="53"/>
    </row>
    <row r="234" spans="18:19" x14ac:dyDescent="0.3">
      <c r="R234" s="52"/>
      <c r="S234" s="53"/>
    </row>
    <row r="235" spans="18:19" x14ac:dyDescent="0.3">
      <c r="R235" s="52"/>
      <c r="S235" s="53"/>
    </row>
    <row r="236" spans="18:19" x14ac:dyDescent="0.3">
      <c r="R236" s="52"/>
      <c r="S236" s="53"/>
    </row>
    <row r="237" spans="18:19" x14ac:dyDescent="0.3">
      <c r="R237" s="52"/>
      <c r="S237" s="53"/>
    </row>
    <row r="238" spans="18:19" x14ac:dyDescent="0.3">
      <c r="R238" s="52"/>
      <c r="S238" s="53"/>
    </row>
    <row r="239" spans="18:19" x14ac:dyDescent="0.3">
      <c r="R239" s="52"/>
      <c r="S239" s="53"/>
    </row>
    <row r="240" spans="18:19" x14ac:dyDescent="0.3">
      <c r="R240" s="52"/>
      <c r="S240" s="53"/>
    </row>
    <row r="241" spans="18:19" x14ac:dyDescent="0.3">
      <c r="R241" s="52"/>
      <c r="S241" s="53"/>
    </row>
    <row r="242" spans="18:19" x14ac:dyDescent="0.3">
      <c r="R242" s="52"/>
      <c r="S242" s="53"/>
    </row>
    <row r="243" spans="18:19" x14ac:dyDescent="0.3">
      <c r="R243" s="52"/>
      <c r="S243" s="53"/>
    </row>
    <row r="244" spans="18:19" x14ac:dyDescent="0.3">
      <c r="R244" s="52"/>
      <c r="S244" s="53"/>
    </row>
    <row r="245" spans="18:19" x14ac:dyDescent="0.3">
      <c r="R245" s="52"/>
      <c r="S245" s="53"/>
    </row>
    <row r="246" spans="18:19" x14ac:dyDescent="0.3">
      <c r="R246" s="52"/>
      <c r="S246" s="53"/>
    </row>
    <row r="247" spans="18:19" x14ac:dyDescent="0.3">
      <c r="R247" s="52"/>
      <c r="S247" s="53"/>
    </row>
    <row r="248" spans="18:19" x14ac:dyDescent="0.3">
      <c r="R248" s="52"/>
      <c r="S248" s="53"/>
    </row>
    <row r="249" spans="18:19" x14ac:dyDescent="0.3">
      <c r="R249" s="52"/>
      <c r="S249" s="53"/>
    </row>
    <row r="250" spans="18:19" x14ac:dyDescent="0.3">
      <c r="R250" s="52"/>
      <c r="S250" s="53"/>
    </row>
    <row r="251" spans="18:19" x14ac:dyDescent="0.3">
      <c r="R251" s="52"/>
      <c r="S251" s="53"/>
    </row>
    <row r="252" spans="18:19" x14ac:dyDescent="0.3">
      <c r="R252" s="52"/>
      <c r="S252" s="53"/>
    </row>
    <row r="253" spans="18:19" x14ac:dyDescent="0.3">
      <c r="R253" s="52"/>
      <c r="S253" s="53"/>
    </row>
    <row r="254" spans="18:19" x14ac:dyDescent="0.3">
      <c r="R254" s="52"/>
      <c r="S254" s="53"/>
    </row>
    <row r="255" spans="18:19" x14ac:dyDescent="0.3">
      <c r="R255" s="52"/>
      <c r="S255" s="53"/>
    </row>
    <row r="256" spans="18:19" x14ac:dyDescent="0.3">
      <c r="R256" s="52"/>
      <c r="S256" s="53"/>
    </row>
    <row r="257" spans="18:19" x14ac:dyDescent="0.3">
      <c r="R257" s="52"/>
      <c r="S257" s="53"/>
    </row>
    <row r="258" spans="18:19" x14ac:dyDescent="0.3">
      <c r="R258" s="52"/>
      <c r="S258" s="53"/>
    </row>
    <row r="259" spans="18:19" x14ac:dyDescent="0.3">
      <c r="R259" s="52"/>
      <c r="S259" s="53"/>
    </row>
    <row r="260" spans="18:19" x14ac:dyDescent="0.3">
      <c r="R260" s="52"/>
      <c r="S260" s="53"/>
    </row>
    <row r="261" spans="18:19" x14ac:dyDescent="0.3">
      <c r="R261" s="52"/>
      <c r="S261" s="53"/>
    </row>
    <row r="262" spans="18:19" x14ac:dyDescent="0.3">
      <c r="R262" s="52"/>
      <c r="S262" s="53"/>
    </row>
    <row r="263" spans="18:19" x14ac:dyDescent="0.3">
      <c r="R263" s="52"/>
      <c r="S263" s="53"/>
    </row>
    <row r="264" spans="18:19" x14ac:dyDescent="0.3">
      <c r="R264" s="52"/>
      <c r="S264" s="53"/>
    </row>
    <row r="265" spans="18:19" x14ac:dyDescent="0.3">
      <c r="R265" s="52"/>
      <c r="S265" s="53"/>
    </row>
    <row r="266" spans="18:19" x14ac:dyDescent="0.3">
      <c r="R266" s="52"/>
      <c r="S266" s="53"/>
    </row>
    <row r="267" spans="18:19" x14ac:dyDescent="0.3">
      <c r="R267" s="52"/>
      <c r="S267" s="53"/>
    </row>
    <row r="268" spans="18:19" x14ac:dyDescent="0.3">
      <c r="R268" s="52"/>
      <c r="S268" s="53"/>
    </row>
    <row r="269" spans="18:19" x14ac:dyDescent="0.3">
      <c r="R269" s="52"/>
      <c r="S269" s="53"/>
    </row>
    <row r="270" spans="18:19" x14ac:dyDescent="0.3">
      <c r="R270" s="52"/>
      <c r="S270" s="53"/>
    </row>
    <row r="271" spans="18:19" x14ac:dyDescent="0.3">
      <c r="R271" s="52"/>
      <c r="S271" s="53"/>
    </row>
    <row r="272" spans="18:19" x14ac:dyDescent="0.3">
      <c r="R272" s="52"/>
      <c r="S272" s="53"/>
    </row>
    <row r="273" spans="18:19" x14ac:dyDescent="0.3">
      <c r="R273" s="52"/>
      <c r="S273" s="53"/>
    </row>
    <row r="274" spans="18:19" x14ac:dyDescent="0.3">
      <c r="R274" s="52"/>
      <c r="S274" s="53"/>
    </row>
    <row r="275" spans="18:19" x14ac:dyDescent="0.3">
      <c r="R275" s="52"/>
      <c r="S275" s="53"/>
    </row>
    <row r="276" spans="18:19" x14ac:dyDescent="0.3">
      <c r="R276" s="52"/>
      <c r="S276" s="53"/>
    </row>
    <row r="277" spans="18:19" x14ac:dyDescent="0.3">
      <c r="R277" s="52"/>
      <c r="S277" s="53"/>
    </row>
    <row r="278" spans="18:19" x14ac:dyDescent="0.3">
      <c r="R278" s="52"/>
      <c r="S278" s="53"/>
    </row>
    <row r="279" spans="18:19" x14ac:dyDescent="0.3">
      <c r="R279" s="52"/>
      <c r="S279" s="53"/>
    </row>
    <row r="280" spans="18:19" x14ac:dyDescent="0.3">
      <c r="R280" s="52"/>
      <c r="S280" s="53"/>
    </row>
    <row r="281" spans="18:19" x14ac:dyDescent="0.3">
      <c r="R281" s="52"/>
      <c r="S281" s="53"/>
    </row>
    <row r="282" spans="18:19" x14ac:dyDescent="0.3">
      <c r="R282" s="52"/>
      <c r="S282" s="53"/>
    </row>
    <row r="283" spans="18:19" x14ac:dyDescent="0.3">
      <c r="R283" s="52"/>
      <c r="S283" s="53"/>
    </row>
    <row r="284" spans="18:19" x14ac:dyDescent="0.3">
      <c r="R284" s="52"/>
      <c r="S284" s="53"/>
    </row>
    <row r="285" spans="18:19" x14ac:dyDescent="0.3">
      <c r="R285" s="52"/>
      <c r="S285" s="53"/>
    </row>
    <row r="286" spans="18:19" x14ac:dyDescent="0.3">
      <c r="R286" s="52"/>
      <c r="S286" s="53"/>
    </row>
    <row r="287" spans="18:19" x14ac:dyDescent="0.3">
      <c r="R287" s="52"/>
      <c r="S287" s="53"/>
    </row>
    <row r="288" spans="18:19" x14ac:dyDescent="0.3">
      <c r="R288" s="52"/>
      <c r="S288" s="53"/>
    </row>
    <row r="289" spans="18:19" x14ac:dyDescent="0.3">
      <c r="R289" s="52"/>
      <c r="S289" s="53"/>
    </row>
    <row r="290" spans="18:19" x14ac:dyDescent="0.3">
      <c r="R290" s="52"/>
      <c r="S290" s="53"/>
    </row>
    <row r="291" spans="18:19" x14ac:dyDescent="0.3">
      <c r="R291" s="52"/>
      <c r="S291" s="53"/>
    </row>
    <row r="292" spans="18:19" x14ac:dyDescent="0.3">
      <c r="R292" s="52"/>
      <c r="S292" s="53"/>
    </row>
    <row r="293" spans="18:19" x14ac:dyDescent="0.3">
      <c r="R293" s="55"/>
      <c r="S293" s="16"/>
    </row>
    <row r="294" spans="18:19" x14ac:dyDescent="0.3">
      <c r="R294" s="55"/>
      <c r="S294" s="16"/>
    </row>
    <row r="295" spans="18:19" x14ac:dyDescent="0.3">
      <c r="R295" s="55"/>
      <c r="S295" s="16"/>
    </row>
    <row r="296" spans="18:19" x14ac:dyDescent="0.3">
      <c r="R296" s="55"/>
      <c r="S296" s="16"/>
    </row>
    <row r="297" spans="18:19" x14ac:dyDescent="0.3">
      <c r="R297" s="55"/>
      <c r="S297" s="16"/>
    </row>
    <row r="298" spans="18:19" x14ac:dyDescent="0.3">
      <c r="R298" s="55"/>
      <c r="S298" s="16"/>
    </row>
    <row r="299" spans="18:19" x14ac:dyDescent="0.3">
      <c r="R299" s="55"/>
      <c r="S299" s="16"/>
    </row>
    <row r="300" spans="18:19" x14ac:dyDescent="0.3">
      <c r="R300" s="55"/>
      <c r="S300" s="16"/>
    </row>
    <row r="301" spans="18:19" x14ac:dyDescent="0.3">
      <c r="R301" s="55"/>
      <c r="S301" s="16"/>
    </row>
    <row r="302" spans="18:19" x14ac:dyDescent="0.3">
      <c r="R302" s="55"/>
      <c r="S302" s="16"/>
    </row>
    <row r="303" spans="18:19" x14ac:dyDescent="0.3">
      <c r="R303" s="55"/>
      <c r="S303" s="16"/>
    </row>
    <row r="304" spans="18:19" x14ac:dyDescent="0.3">
      <c r="R304" s="55"/>
      <c r="S304" s="16"/>
    </row>
    <row r="305" spans="18:19" x14ac:dyDescent="0.3">
      <c r="R305" s="55"/>
      <c r="S305" s="16"/>
    </row>
    <row r="306" spans="18:19" x14ac:dyDescent="0.3">
      <c r="R306" s="55"/>
      <c r="S306" s="16"/>
    </row>
    <row r="307" spans="18:19" x14ac:dyDescent="0.3">
      <c r="R307" s="55"/>
      <c r="S307" s="16"/>
    </row>
    <row r="308" spans="18:19" x14ac:dyDescent="0.3">
      <c r="R308" s="55"/>
      <c r="S308" s="16"/>
    </row>
    <row r="309" spans="18:19" x14ac:dyDescent="0.3">
      <c r="R309" s="55"/>
      <c r="S309" s="16"/>
    </row>
    <row r="310" spans="18:19" x14ac:dyDescent="0.3">
      <c r="R310" s="55"/>
      <c r="S310" s="16"/>
    </row>
    <row r="311" spans="18:19" x14ac:dyDescent="0.3">
      <c r="R311" s="55"/>
      <c r="S311" s="16"/>
    </row>
    <row r="312" spans="18:19" x14ac:dyDescent="0.3">
      <c r="R312" s="55"/>
      <c r="S312" s="16"/>
    </row>
    <row r="313" spans="18:19" x14ac:dyDescent="0.3">
      <c r="R313" s="55"/>
      <c r="S313" s="16"/>
    </row>
    <row r="314" spans="18:19" x14ac:dyDescent="0.3">
      <c r="R314" s="55"/>
      <c r="S314" s="16"/>
    </row>
    <row r="315" spans="18:19" x14ac:dyDescent="0.3">
      <c r="R315" s="55"/>
      <c r="S315" s="16"/>
    </row>
    <row r="316" spans="18:19" x14ac:dyDescent="0.3">
      <c r="R316" s="55"/>
      <c r="S316" s="16"/>
    </row>
    <row r="317" spans="18:19" x14ac:dyDescent="0.3">
      <c r="R317" s="55"/>
      <c r="S317" s="16"/>
    </row>
    <row r="318" spans="18:19" x14ac:dyDescent="0.3">
      <c r="R318" s="55"/>
      <c r="S318" s="16"/>
    </row>
    <row r="319" spans="18:19" x14ac:dyDescent="0.3">
      <c r="R319" s="55"/>
      <c r="S319" s="16"/>
    </row>
    <row r="320" spans="18:19" x14ac:dyDescent="0.3">
      <c r="R320" s="55"/>
      <c r="S320" s="16"/>
    </row>
    <row r="321" spans="18:19" x14ac:dyDescent="0.3">
      <c r="R321" s="55"/>
      <c r="S321" s="16"/>
    </row>
    <row r="322" spans="18:19" x14ac:dyDescent="0.3">
      <c r="R322" s="55"/>
      <c r="S322" s="16"/>
    </row>
    <row r="323" spans="18:19" x14ac:dyDescent="0.3">
      <c r="R323" s="55"/>
      <c r="S323" s="16"/>
    </row>
    <row r="324" spans="18:19" x14ac:dyDescent="0.3">
      <c r="R324" s="55"/>
      <c r="S324" s="16"/>
    </row>
    <row r="325" spans="18:19" x14ac:dyDescent="0.3">
      <c r="R325" s="55"/>
      <c r="S325" s="16"/>
    </row>
    <row r="326" spans="18:19" x14ac:dyDescent="0.3">
      <c r="R326" s="55"/>
      <c r="S326" s="16"/>
    </row>
    <row r="327" spans="18:19" x14ac:dyDescent="0.3">
      <c r="R327" s="55"/>
      <c r="S327" s="16"/>
    </row>
    <row r="328" spans="18:19" x14ac:dyDescent="0.3">
      <c r="R328" s="55"/>
      <c r="S328" s="16"/>
    </row>
    <row r="329" spans="18:19" x14ac:dyDescent="0.3">
      <c r="R329" s="55"/>
      <c r="S329" s="16"/>
    </row>
    <row r="330" spans="18:19" x14ac:dyDescent="0.3">
      <c r="R330" s="55"/>
      <c r="S330" s="16"/>
    </row>
    <row r="331" spans="18:19" x14ac:dyDescent="0.3">
      <c r="R331" s="55"/>
      <c r="S331" s="16"/>
    </row>
    <row r="332" spans="18:19" x14ac:dyDescent="0.3">
      <c r="R332" s="55"/>
      <c r="S332" s="16"/>
    </row>
    <row r="333" spans="18:19" x14ac:dyDescent="0.3">
      <c r="R333" s="55"/>
      <c r="S333" s="16"/>
    </row>
    <row r="334" spans="18:19" x14ac:dyDescent="0.3">
      <c r="R334" s="55"/>
      <c r="S334" s="16"/>
    </row>
    <row r="335" spans="18:19" x14ac:dyDescent="0.3">
      <c r="R335" s="55"/>
      <c r="S335" s="16"/>
    </row>
    <row r="336" spans="18:19" x14ac:dyDescent="0.3">
      <c r="R336" s="55"/>
      <c r="S336" s="16"/>
    </row>
    <row r="337" spans="18:19" x14ac:dyDescent="0.3">
      <c r="R337" s="55"/>
      <c r="S337" s="16"/>
    </row>
    <row r="338" spans="18:19" x14ac:dyDescent="0.3">
      <c r="R338" s="55"/>
      <c r="S338" s="16"/>
    </row>
    <row r="339" spans="18:19" x14ac:dyDescent="0.3">
      <c r="R339" s="55"/>
      <c r="S339" s="16"/>
    </row>
    <row r="340" spans="18:19" x14ac:dyDescent="0.3">
      <c r="R340" s="55"/>
      <c r="S340" s="16"/>
    </row>
    <row r="341" spans="18:19" x14ac:dyDescent="0.3">
      <c r="R341" s="55"/>
      <c r="S341" s="16"/>
    </row>
    <row r="342" spans="18:19" x14ac:dyDescent="0.3">
      <c r="R342" s="55"/>
      <c r="S342" s="16"/>
    </row>
    <row r="343" spans="18:19" x14ac:dyDescent="0.3">
      <c r="R343" s="55"/>
      <c r="S343" s="16"/>
    </row>
    <row r="344" spans="18:19" x14ac:dyDescent="0.3">
      <c r="R344" s="55"/>
      <c r="S344" s="16"/>
    </row>
    <row r="345" spans="18:19" x14ac:dyDescent="0.3">
      <c r="R345" s="55"/>
      <c r="S345" s="16"/>
    </row>
    <row r="346" spans="18:19" x14ac:dyDescent="0.3">
      <c r="R346" s="55"/>
      <c r="S346" s="16"/>
    </row>
    <row r="347" spans="18:19" x14ac:dyDescent="0.3">
      <c r="R347" s="55"/>
      <c r="S347" s="16"/>
    </row>
    <row r="348" spans="18:19" x14ac:dyDescent="0.3">
      <c r="R348" s="55"/>
      <c r="S348" s="16"/>
    </row>
    <row r="349" spans="18:19" x14ac:dyDescent="0.3">
      <c r="R349" s="55"/>
      <c r="S349" s="16"/>
    </row>
    <row r="350" spans="18:19" x14ac:dyDescent="0.3">
      <c r="R350" s="55"/>
      <c r="S350" s="16"/>
    </row>
    <row r="351" spans="18:19" x14ac:dyDescent="0.3">
      <c r="R351" s="55"/>
      <c r="S351" s="16"/>
    </row>
    <row r="352" spans="18:19" x14ac:dyDescent="0.3">
      <c r="R352" s="55"/>
      <c r="S352" s="16"/>
    </row>
    <row r="353" spans="18:19" x14ac:dyDescent="0.3">
      <c r="R353" s="55"/>
      <c r="S353" s="16"/>
    </row>
    <row r="354" spans="18:19" x14ac:dyDescent="0.3">
      <c r="R354" s="55"/>
      <c r="S354" s="16"/>
    </row>
    <row r="355" spans="18:19" x14ac:dyDescent="0.3">
      <c r="R355" s="55"/>
      <c r="S355" s="16"/>
    </row>
    <row r="356" spans="18:19" x14ac:dyDescent="0.3">
      <c r="R356" s="55"/>
      <c r="S356" s="16"/>
    </row>
    <row r="357" spans="18:19" x14ac:dyDescent="0.3">
      <c r="R357" s="55"/>
      <c r="S357" s="16"/>
    </row>
    <row r="358" spans="18:19" x14ac:dyDescent="0.3">
      <c r="R358" s="55"/>
      <c r="S358" s="16"/>
    </row>
    <row r="359" spans="18:19" x14ac:dyDescent="0.3">
      <c r="R359" s="55"/>
      <c r="S359" s="16"/>
    </row>
    <row r="360" spans="18:19" x14ac:dyDescent="0.3">
      <c r="R360" s="55"/>
      <c r="S360" s="16"/>
    </row>
    <row r="361" spans="18:19" x14ac:dyDescent="0.3">
      <c r="R361" s="55"/>
      <c r="S361" s="16"/>
    </row>
    <row r="362" spans="18:19" x14ac:dyDescent="0.3">
      <c r="R362" s="55"/>
      <c r="S362" s="16"/>
    </row>
    <row r="363" spans="18:19" x14ac:dyDescent="0.3">
      <c r="R363" s="55"/>
      <c r="S363" s="16"/>
    </row>
    <row r="364" spans="18:19" x14ac:dyDescent="0.3">
      <c r="R364" s="55"/>
      <c r="S364" s="16"/>
    </row>
    <row r="365" spans="18:19" x14ac:dyDescent="0.3">
      <c r="R365" s="55"/>
      <c r="S365" s="16"/>
    </row>
    <row r="366" spans="18:19" x14ac:dyDescent="0.3">
      <c r="R366" s="55"/>
      <c r="S366" s="16"/>
    </row>
    <row r="367" spans="18:19" x14ac:dyDescent="0.3">
      <c r="R367" s="55"/>
      <c r="S367" s="16"/>
    </row>
    <row r="368" spans="18:19" x14ac:dyDescent="0.3">
      <c r="R368" s="55"/>
      <c r="S368" s="16"/>
    </row>
    <row r="369" spans="18:19" x14ac:dyDescent="0.3">
      <c r="R369" s="55"/>
      <c r="S369" s="16"/>
    </row>
    <row r="370" spans="18:19" x14ac:dyDescent="0.3">
      <c r="R370" s="55"/>
      <c r="S370" s="16"/>
    </row>
    <row r="371" spans="18:19" x14ac:dyDescent="0.3">
      <c r="R371" s="55"/>
      <c r="S371" s="16"/>
    </row>
    <row r="372" spans="18:19" x14ac:dyDescent="0.3">
      <c r="R372" s="55"/>
      <c r="S372" s="16"/>
    </row>
    <row r="373" spans="18:19" x14ac:dyDescent="0.3">
      <c r="R373" s="55"/>
      <c r="S373" s="16"/>
    </row>
    <row r="374" spans="18:19" x14ac:dyDescent="0.3">
      <c r="R374" s="55"/>
      <c r="S374" s="16"/>
    </row>
    <row r="375" spans="18:19" x14ac:dyDescent="0.3">
      <c r="R375" s="55"/>
      <c r="S375" s="16"/>
    </row>
    <row r="376" spans="18:19" x14ac:dyDescent="0.3">
      <c r="R376" s="55"/>
      <c r="S376" s="16"/>
    </row>
    <row r="377" spans="18:19" x14ac:dyDescent="0.3">
      <c r="R377" s="55"/>
      <c r="S377" s="16"/>
    </row>
    <row r="378" spans="18:19" x14ac:dyDescent="0.3">
      <c r="R378" s="55"/>
      <c r="S378" s="16"/>
    </row>
    <row r="379" spans="18:19" x14ac:dyDescent="0.3">
      <c r="R379" s="55"/>
      <c r="S379" s="16"/>
    </row>
    <row r="380" spans="18:19" x14ac:dyDescent="0.3">
      <c r="R380" s="55"/>
      <c r="S380" s="16"/>
    </row>
    <row r="381" spans="18:19" x14ac:dyDescent="0.3">
      <c r="R381" s="55"/>
      <c r="S381" s="16"/>
    </row>
    <row r="382" spans="18:19" x14ac:dyDescent="0.3">
      <c r="R382" s="55"/>
      <c r="S382" s="16"/>
    </row>
    <row r="383" spans="18:19" x14ac:dyDescent="0.3">
      <c r="R383" s="55"/>
      <c r="S383" s="16"/>
    </row>
    <row r="384" spans="18:19" x14ac:dyDescent="0.3">
      <c r="R384" s="55"/>
      <c r="S384" s="16"/>
    </row>
    <row r="385" spans="18:19" x14ac:dyDescent="0.3">
      <c r="R385" s="55"/>
      <c r="S385" s="16"/>
    </row>
    <row r="386" spans="18:19" x14ac:dyDescent="0.3">
      <c r="R386" s="55"/>
      <c r="S386" s="16"/>
    </row>
    <row r="387" spans="18:19" x14ac:dyDescent="0.3">
      <c r="R387" s="55"/>
      <c r="S387" s="16"/>
    </row>
    <row r="388" spans="18:19" x14ac:dyDescent="0.3">
      <c r="R388" s="55"/>
      <c r="S388" s="16"/>
    </row>
    <row r="389" spans="18:19" x14ac:dyDescent="0.3">
      <c r="R389" s="55"/>
      <c r="S389" s="16"/>
    </row>
    <row r="390" spans="18:19" x14ac:dyDescent="0.3">
      <c r="R390" s="55"/>
      <c r="S390" s="16"/>
    </row>
    <row r="391" spans="18:19" x14ac:dyDescent="0.3">
      <c r="R391" s="55"/>
      <c r="S391" s="16"/>
    </row>
    <row r="392" spans="18:19" x14ac:dyDescent="0.3">
      <c r="R392" s="55"/>
      <c r="S392" s="16"/>
    </row>
    <row r="393" spans="18:19" x14ac:dyDescent="0.3">
      <c r="R393" s="55"/>
      <c r="S393" s="16"/>
    </row>
    <row r="394" spans="18:19" x14ac:dyDescent="0.3">
      <c r="R394" s="55"/>
      <c r="S394" s="16"/>
    </row>
    <row r="395" spans="18:19" x14ac:dyDescent="0.3">
      <c r="R395" s="55"/>
      <c r="S395" s="16"/>
    </row>
    <row r="396" spans="18:19" x14ac:dyDescent="0.3">
      <c r="R396" s="55"/>
      <c r="S396" s="16"/>
    </row>
    <row r="397" spans="18:19" x14ac:dyDescent="0.3">
      <c r="R397" s="55"/>
      <c r="S397" s="16"/>
    </row>
    <row r="398" spans="18:19" x14ac:dyDescent="0.3">
      <c r="R398" s="55"/>
      <c r="S398" s="16"/>
    </row>
    <row r="399" spans="18:19" x14ac:dyDescent="0.3">
      <c r="R399" s="55"/>
      <c r="S399" s="16"/>
    </row>
    <row r="400" spans="18:19" x14ac:dyDescent="0.3">
      <c r="R400" s="55"/>
      <c r="S400" s="16"/>
    </row>
    <row r="401" spans="18:19" x14ac:dyDescent="0.3">
      <c r="R401" s="55"/>
      <c r="S401" s="16"/>
    </row>
    <row r="402" spans="18:19" x14ac:dyDescent="0.3">
      <c r="R402" s="55"/>
      <c r="S402" s="16"/>
    </row>
    <row r="403" spans="18:19" x14ac:dyDescent="0.3">
      <c r="R403" s="55"/>
      <c r="S403" s="16"/>
    </row>
    <row r="404" spans="18:19" x14ac:dyDescent="0.3">
      <c r="R404" s="55"/>
      <c r="S404" s="16"/>
    </row>
    <row r="405" spans="18:19" x14ac:dyDescent="0.3">
      <c r="R405" s="55"/>
      <c r="S405" s="16"/>
    </row>
    <row r="406" spans="18:19" x14ac:dyDescent="0.3">
      <c r="R406" s="55"/>
      <c r="S406" s="16"/>
    </row>
  </sheetData>
  <mergeCells count="3">
    <mergeCell ref="A1:L1"/>
    <mergeCell ref="O1:P1"/>
    <mergeCell ref="Y2:Z2"/>
  </mergeCells>
  <phoneticPr fontId="29" type="noConversion"/>
  <pageMargins left="0.7" right="0.7" top="0.75" bottom="0.75" header="0.3" footer="0.3"/>
  <pageSetup paperSize="9" orientation="portrait" r:id="rId1"/>
  <customProperties>
    <customPr name="SheetID" r:id="rId2"/>
  </customProperties>
  <drawing r:id="rId3"/>
  <legacyDrawing r:id="rId4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8"/>
  <dimension ref="A11:AA134"/>
  <sheetViews>
    <sheetView topLeftCell="A110" zoomScale="70" zoomScaleNormal="70" workbookViewId="0">
      <selection activeCell="G133" sqref="G133"/>
    </sheetView>
  </sheetViews>
  <sheetFormatPr defaultColWidth="9" defaultRowHeight="15" x14ac:dyDescent="0.35"/>
  <cols>
    <col min="1" max="1" width="9.35546875" style="26"/>
    <col min="2" max="2" width="9.35546875" style="27"/>
    <col min="3" max="3" width="14.35546875" style="27" customWidth="1"/>
    <col min="4" max="4" width="16.640625" style="27" customWidth="1"/>
    <col min="5" max="5" width="13.85546875" style="27"/>
    <col min="6" max="6" width="13.2109375" style="1" customWidth="1"/>
    <col min="7" max="7" width="12.78515625" style="1"/>
    <col min="8" max="8" width="12.2109375" style="1" customWidth="1"/>
    <col min="9" max="9" width="13.140625" style="1" customWidth="1"/>
    <col min="10" max="15" width="9" style="1"/>
    <col min="16" max="16" width="9" style="7"/>
    <col min="17" max="17" width="13.78515625" style="1" customWidth="1"/>
    <col min="18" max="18" width="12.42578125" style="1" customWidth="1"/>
    <col min="19" max="19" width="13.2109375" style="1" customWidth="1"/>
    <col min="20" max="20" width="12.78515625" style="1"/>
    <col min="21" max="21" width="12.2109375" style="1" customWidth="1"/>
    <col min="22" max="22" width="13.140625" style="1" customWidth="1"/>
    <col min="23" max="16384" width="9" style="1"/>
  </cols>
  <sheetData>
    <row r="11" spans="1:27" ht="42.45" x14ac:dyDescent="0.3">
      <c r="A11" s="28" t="s">
        <v>217</v>
      </c>
      <c r="B11" s="29" t="s">
        <v>290</v>
      </c>
      <c r="C11" s="29" t="s">
        <v>291</v>
      </c>
      <c r="D11" s="30" t="s">
        <v>218</v>
      </c>
      <c r="E11" s="30" t="s">
        <v>219</v>
      </c>
      <c r="F11" s="1" t="s">
        <v>199</v>
      </c>
      <c r="G11" s="1" t="s">
        <v>200</v>
      </c>
      <c r="H11" s="1" t="s">
        <v>220</v>
      </c>
      <c r="I11" s="1" t="s">
        <v>221</v>
      </c>
      <c r="J11" s="1" t="s">
        <v>113</v>
      </c>
      <c r="K11" s="1" t="s">
        <v>117</v>
      </c>
      <c r="L11" s="1" t="s">
        <v>130</v>
      </c>
      <c r="M11" s="1" t="s">
        <v>120</v>
      </c>
      <c r="P11" s="41" t="s">
        <v>135</v>
      </c>
      <c r="Q11" s="43" t="s">
        <v>285</v>
      </c>
      <c r="R11" s="43" t="s">
        <v>222</v>
      </c>
      <c r="S11" s="1" t="s">
        <v>199</v>
      </c>
      <c r="T11" s="1" t="s">
        <v>200</v>
      </c>
      <c r="U11" s="1" t="s">
        <v>220</v>
      </c>
      <c r="V11" s="1" t="s">
        <v>221</v>
      </c>
      <c r="W11" s="1" t="s">
        <v>113</v>
      </c>
      <c r="X11" s="1" t="s">
        <v>117</v>
      </c>
      <c r="Y11" s="1" t="s">
        <v>130</v>
      </c>
      <c r="Z11" s="1" t="s">
        <v>120</v>
      </c>
    </row>
    <row r="12" spans="1:27" x14ac:dyDescent="0.3">
      <c r="A12" s="31">
        <v>42429</v>
      </c>
      <c r="B12" s="32">
        <v>1</v>
      </c>
      <c r="C12" s="32">
        <v>1</v>
      </c>
      <c r="D12" s="27">
        <v>0.476785230428169</v>
      </c>
      <c r="E12" s="33">
        <f t="shared" ref="E12:E33" si="0">E$34+D12*E$111</f>
        <v>152.41087887079277</v>
      </c>
      <c r="F12" s="1">
        <v>0</v>
      </c>
      <c r="G12" s="1">
        <f t="shared" ref="G12:G75" si="1">1-F12</f>
        <v>1</v>
      </c>
      <c r="H12" s="1">
        <v>1</v>
      </c>
      <c r="I12" s="1">
        <f t="shared" ref="I12:I75" si="2">1-H12</f>
        <v>0</v>
      </c>
      <c r="J12" s="1">
        <f t="shared" ref="J12:J75" si="3">INT(AND(F12=1,H12=1))</f>
        <v>0</v>
      </c>
      <c r="K12" s="1">
        <f t="shared" ref="K12:K75" si="4">INT(AND(F12=1,I12=1))</f>
        <v>0</v>
      </c>
      <c r="L12" s="1">
        <f t="shared" ref="L12:L75" si="5">INT(AND(G12=1,H12=1))</f>
        <v>1</v>
      </c>
      <c r="M12" s="1">
        <f t="shared" ref="M12:M75" si="6">INT(AND(G12=1,I12=1))</f>
        <v>0</v>
      </c>
      <c r="N12" s="1" t="str">
        <f t="shared" ref="N12:N75" si="7">INDEX($J$11:$M$11,1,MATCH(1,J12:M12,0))</f>
        <v>紧货币宽财政</v>
      </c>
      <c r="P12" s="42">
        <v>42429</v>
      </c>
      <c r="Q12" s="44">
        <v>5.5188850491648296</v>
      </c>
      <c r="R12" s="45">
        <v>2.99941666666667</v>
      </c>
      <c r="S12" s="1">
        <v>0</v>
      </c>
      <c r="T12" s="1">
        <f t="shared" ref="T12:T75" si="8">1-S12</f>
        <v>1</v>
      </c>
      <c r="U12" s="1">
        <v>1</v>
      </c>
      <c r="V12" s="1">
        <f t="shared" ref="V12:V75" si="9">1-U12</f>
        <v>0</v>
      </c>
      <c r="W12" s="1">
        <f t="shared" ref="W12:W75" si="10">INT(AND(S12=1,U12=1))</f>
        <v>0</v>
      </c>
      <c r="X12" s="1">
        <f t="shared" ref="X12:X75" si="11">INT(AND(S12=1,V12=1))</f>
        <v>0</v>
      </c>
      <c r="Y12" s="1">
        <f t="shared" ref="Y12:Y75" si="12">INT(AND(T12=1,U12=1))</f>
        <v>1</v>
      </c>
      <c r="Z12" s="1">
        <f t="shared" ref="Z12:Z75" si="13">INT(AND(T12=1,V12=1))</f>
        <v>0</v>
      </c>
      <c r="AA12" s="1" t="str">
        <f t="shared" ref="AA12:AA75" si="14">INDEX($J$11:$M$11,1,MATCH(1,W12:Z12,0))</f>
        <v>紧货币宽财政</v>
      </c>
    </row>
    <row r="13" spans="1:27" x14ac:dyDescent="0.3">
      <c r="A13" s="31">
        <v>42460</v>
      </c>
      <c r="B13" s="32">
        <v>1.0650718762215701</v>
      </c>
      <c r="C13" s="32">
        <v>1.0823082950546099</v>
      </c>
      <c r="D13" s="27">
        <v>0.475442038853927</v>
      </c>
      <c r="E13" s="33">
        <f>E$34+D13*E$111</f>
        <v>152.25372545660647</v>
      </c>
      <c r="F13" s="1">
        <v>0</v>
      </c>
      <c r="G13" s="1">
        <f t="shared" si="1"/>
        <v>1</v>
      </c>
      <c r="H13" s="1">
        <v>1</v>
      </c>
      <c r="I13" s="1">
        <f t="shared" si="2"/>
        <v>0</v>
      </c>
      <c r="J13" s="1">
        <f t="shared" si="3"/>
        <v>0</v>
      </c>
      <c r="K13" s="1">
        <f t="shared" si="4"/>
        <v>0</v>
      </c>
      <c r="L13" s="1">
        <f t="shared" si="5"/>
        <v>1</v>
      </c>
      <c r="M13" s="1">
        <f t="shared" si="6"/>
        <v>0</v>
      </c>
      <c r="N13" s="1" t="str">
        <f t="shared" si="7"/>
        <v>紧货币宽财政</v>
      </c>
      <c r="P13" s="42">
        <v>42460</v>
      </c>
      <c r="Q13" s="44">
        <v>10.9017324978881</v>
      </c>
      <c r="R13" s="45">
        <v>2.8105217391304298</v>
      </c>
      <c r="S13" s="1">
        <v>0</v>
      </c>
      <c r="T13" s="1">
        <f t="shared" si="8"/>
        <v>1</v>
      </c>
      <c r="U13" s="1">
        <v>1</v>
      </c>
      <c r="V13" s="1">
        <f t="shared" si="9"/>
        <v>0</v>
      </c>
      <c r="W13" s="1">
        <f t="shared" si="10"/>
        <v>0</v>
      </c>
      <c r="X13" s="1">
        <f t="shared" si="11"/>
        <v>0</v>
      </c>
      <c r="Y13" s="1">
        <f t="shared" si="12"/>
        <v>1</v>
      </c>
      <c r="Z13" s="1">
        <f t="shared" si="13"/>
        <v>0</v>
      </c>
      <c r="AA13" s="1" t="str">
        <f t="shared" si="14"/>
        <v>紧货币宽财政</v>
      </c>
    </row>
    <row r="14" spans="1:27" x14ac:dyDescent="0.3">
      <c r="A14" s="31">
        <v>42490</v>
      </c>
      <c r="B14" s="32">
        <v>0.93170216598544398</v>
      </c>
      <c r="C14" s="32">
        <v>0.94021541897639305</v>
      </c>
      <c r="D14" s="27">
        <v>0.46387397938114799</v>
      </c>
      <c r="E14" s="33">
        <f>E$34+D14*E$111</f>
        <v>150.90026249829131</v>
      </c>
      <c r="F14" s="1">
        <v>0</v>
      </c>
      <c r="G14" s="1">
        <f t="shared" si="1"/>
        <v>1</v>
      </c>
      <c r="H14" s="1">
        <v>1</v>
      </c>
      <c r="I14" s="1">
        <f t="shared" si="2"/>
        <v>0</v>
      </c>
      <c r="J14" s="1">
        <f t="shared" si="3"/>
        <v>0</v>
      </c>
      <c r="K14" s="1">
        <f t="shared" si="4"/>
        <v>0</v>
      </c>
      <c r="L14" s="1">
        <f t="shared" si="5"/>
        <v>1</v>
      </c>
      <c r="M14" s="1">
        <f t="shared" si="6"/>
        <v>0</v>
      </c>
      <c r="N14" s="1" t="str">
        <f t="shared" si="7"/>
        <v>紧货币宽财政</v>
      </c>
      <c r="P14" s="42">
        <v>42490</v>
      </c>
      <c r="Q14" s="44">
        <v>7.69029294977791</v>
      </c>
      <c r="R14" s="45">
        <v>2.8587600000000002</v>
      </c>
      <c r="S14" s="1">
        <v>0</v>
      </c>
      <c r="T14" s="1">
        <f t="shared" si="8"/>
        <v>1</v>
      </c>
      <c r="U14" s="1">
        <v>1</v>
      </c>
      <c r="V14" s="1">
        <f t="shared" si="9"/>
        <v>0</v>
      </c>
      <c r="W14" s="1">
        <f t="shared" si="10"/>
        <v>0</v>
      </c>
      <c r="X14" s="1">
        <f t="shared" si="11"/>
        <v>0</v>
      </c>
      <c r="Y14" s="1">
        <f t="shared" si="12"/>
        <v>1</v>
      </c>
      <c r="Z14" s="1">
        <f t="shared" si="13"/>
        <v>0</v>
      </c>
      <c r="AA14" s="1" t="str">
        <f t="shared" si="14"/>
        <v>紧货币宽财政</v>
      </c>
    </row>
    <row r="15" spans="1:27" x14ac:dyDescent="0.3">
      <c r="A15" s="31">
        <v>42521</v>
      </c>
      <c r="B15" s="32">
        <v>0.99320260512869096</v>
      </c>
      <c r="C15" s="32">
        <v>1.06716238168749</v>
      </c>
      <c r="D15" s="27">
        <v>0.44976572640379803</v>
      </c>
      <c r="E15" s="33">
        <f t="shared" si="0"/>
        <v>149.24959689994137</v>
      </c>
      <c r="F15" s="1">
        <v>0</v>
      </c>
      <c r="G15" s="1">
        <f t="shared" si="1"/>
        <v>1</v>
      </c>
      <c r="H15" s="1">
        <v>1</v>
      </c>
      <c r="I15" s="1">
        <f t="shared" si="2"/>
        <v>0</v>
      </c>
      <c r="J15" s="1">
        <f t="shared" si="3"/>
        <v>0</v>
      </c>
      <c r="K15" s="1">
        <f t="shared" si="4"/>
        <v>0</v>
      </c>
      <c r="L15" s="1">
        <f t="shared" si="5"/>
        <v>1</v>
      </c>
      <c r="M15" s="1">
        <f t="shared" si="6"/>
        <v>0</v>
      </c>
      <c r="N15" s="1" t="str">
        <f t="shared" si="7"/>
        <v>紧货币宽财政</v>
      </c>
      <c r="P15" s="42">
        <v>42521</v>
      </c>
      <c r="Q15" s="44">
        <v>9.8467051083747297</v>
      </c>
      <c r="R15" s="45">
        <v>2.91659523809524</v>
      </c>
      <c r="S15" s="1">
        <v>0</v>
      </c>
      <c r="T15" s="1">
        <f t="shared" si="8"/>
        <v>1</v>
      </c>
      <c r="U15" s="1">
        <v>1</v>
      </c>
      <c r="V15" s="1">
        <f t="shared" si="9"/>
        <v>0</v>
      </c>
      <c r="W15" s="1">
        <f t="shared" si="10"/>
        <v>0</v>
      </c>
      <c r="X15" s="1">
        <f t="shared" si="11"/>
        <v>0</v>
      </c>
      <c r="Y15" s="1">
        <f t="shared" si="12"/>
        <v>1</v>
      </c>
      <c r="Z15" s="1">
        <f t="shared" si="13"/>
        <v>0</v>
      </c>
      <c r="AA15" s="1" t="str">
        <f t="shared" si="14"/>
        <v>紧货币宽财政</v>
      </c>
    </row>
    <row r="16" spans="1:27" x14ac:dyDescent="0.3">
      <c r="A16" s="31">
        <v>42551</v>
      </c>
      <c r="B16" s="32">
        <v>1.13081434032324</v>
      </c>
      <c r="C16" s="32">
        <v>1.1585340419232399</v>
      </c>
      <c r="D16" s="27">
        <v>0.43636165057955101</v>
      </c>
      <c r="E16" s="33">
        <f t="shared" si="0"/>
        <v>147.68132002850447</v>
      </c>
      <c r="F16" s="1">
        <v>0</v>
      </c>
      <c r="G16" s="1">
        <f t="shared" si="1"/>
        <v>1</v>
      </c>
      <c r="H16" s="1">
        <v>1</v>
      </c>
      <c r="I16" s="1">
        <f t="shared" si="2"/>
        <v>0</v>
      </c>
      <c r="J16" s="1">
        <f t="shared" si="3"/>
        <v>0</v>
      </c>
      <c r="K16" s="1">
        <f t="shared" si="4"/>
        <v>0</v>
      </c>
      <c r="L16" s="1">
        <f t="shared" si="5"/>
        <v>1</v>
      </c>
      <c r="M16" s="1">
        <f t="shared" si="6"/>
        <v>0</v>
      </c>
      <c r="N16" s="1" t="str">
        <f t="shared" si="7"/>
        <v>紧货币宽财政</v>
      </c>
      <c r="P16" s="42">
        <v>42551</v>
      </c>
      <c r="Q16" s="44">
        <v>12.1446122152981</v>
      </c>
      <c r="R16" s="45">
        <v>2.9540428571428601</v>
      </c>
      <c r="S16" s="1">
        <v>0</v>
      </c>
      <c r="T16" s="1">
        <f t="shared" si="8"/>
        <v>1</v>
      </c>
      <c r="U16" s="1">
        <v>1</v>
      </c>
      <c r="V16" s="1">
        <f t="shared" si="9"/>
        <v>0</v>
      </c>
      <c r="W16" s="1">
        <f t="shared" si="10"/>
        <v>0</v>
      </c>
      <c r="X16" s="1">
        <f t="shared" si="11"/>
        <v>0</v>
      </c>
      <c r="Y16" s="1">
        <f t="shared" si="12"/>
        <v>1</v>
      </c>
      <c r="Z16" s="1">
        <f t="shared" si="13"/>
        <v>0</v>
      </c>
      <c r="AA16" s="1" t="str">
        <f>INDEX($J$11:$M$11,1,MATCH(1,W16:Z16,0))</f>
        <v>紧货币宽财政</v>
      </c>
    </row>
    <row r="17" spans="1:27" x14ac:dyDescent="0.3">
      <c r="A17" s="31">
        <v>42582</v>
      </c>
      <c r="B17" s="32">
        <v>1.1270222341873799</v>
      </c>
      <c r="C17" s="32">
        <v>1.0287759599978199</v>
      </c>
      <c r="D17" s="27">
        <v>0.41451100943900199</v>
      </c>
      <c r="E17" s="33">
        <f t="shared" si="0"/>
        <v>145.12479501506024</v>
      </c>
      <c r="F17" s="1">
        <v>0</v>
      </c>
      <c r="G17" s="1">
        <f t="shared" si="1"/>
        <v>1</v>
      </c>
      <c r="H17" s="1">
        <v>1</v>
      </c>
      <c r="I17" s="1">
        <f t="shared" si="2"/>
        <v>0</v>
      </c>
      <c r="J17" s="1">
        <f t="shared" si="3"/>
        <v>0</v>
      </c>
      <c r="K17" s="1">
        <f t="shared" si="4"/>
        <v>0</v>
      </c>
      <c r="L17" s="1">
        <f t="shared" si="5"/>
        <v>1</v>
      </c>
      <c r="M17" s="1">
        <f t="shared" si="6"/>
        <v>0</v>
      </c>
      <c r="N17" s="1" t="str">
        <f t="shared" si="7"/>
        <v>紧货币宽财政</v>
      </c>
      <c r="P17" s="42">
        <v>42582</v>
      </c>
      <c r="Q17" s="44">
        <v>11.200284073409</v>
      </c>
      <c r="R17" s="45">
        <v>2.8957999999999999</v>
      </c>
      <c r="S17" s="1">
        <v>0</v>
      </c>
      <c r="T17" s="1">
        <f t="shared" si="8"/>
        <v>1</v>
      </c>
      <c r="U17" s="1">
        <v>1</v>
      </c>
      <c r="V17" s="1">
        <f t="shared" si="9"/>
        <v>0</v>
      </c>
      <c r="W17" s="1">
        <f t="shared" si="10"/>
        <v>0</v>
      </c>
      <c r="X17" s="1">
        <f t="shared" si="11"/>
        <v>0</v>
      </c>
      <c r="Y17" s="1">
        <f t="shared" si="12"/>
        <v>1</v>
      </c>
      <c r="Z17" s="1">
        <f t="shared" si="13"/>
        <v>0</v>
      </c>
      <c r="AA17" s="1" t="str">
        <f t="shared" si="14"/>
        <v>紧货币宽财政</v>
      </c>
    </row>
    <row r="18" spans="1:27" x14ac:dyDescent="0.3">
      <c r="A18" s="31">
        <v>42613</v>
      </c>
      <c r="B18" s="32">
        <v>1.16535166739222</v>
      </c>
      <c r="C18" s="32">
        <v>1.0770415729099001</v>
      </c>
      <c r="D18" s="27">
        <v>0.39131548753034801</v>
      </c>
      <c r="E18" s="33">
        <f t="shared" si="0"/>
        <v>142.41091895174773</v>
      </c>
      <c r="F18" s="1">
        <v>0</v>
      </c>
      <c r="G18" s="1">
        <f t="shared" si="1"/>
        <v>1</v>
      </c>
      <c r="H18" s="1">
        <v>1</v>
      </c>
      <c r="I18" s="1">
        <f t="shared" si="2"/>
        <v>0</v>
      </c>
      <c r="J18" s="1">
        <f t="shared" si="3"/>
        <v>0</v>
      </c>
      <c r="K18" s="1">
        <f t="shared" si="4"/>
        <v>0</v>
      </c>
      <c r="L18" s="1">
        <f t="shared" si="5"/>
        <v>1</v>
      </c>
      <c r="M18" s="1">
        <f t="shared" si="6"/>
        <v>0</v>
      </c>
      <c r="N18" s="1" t="str">
        <f t="shared" si="7"/>
        <v>紧货币宽财政</v>
      </c>
      <c r="P18" s="42">
        <v>42613</v>
      </c>
      <c r="Q18" s="44">
        <v>11.7373617201684</v>
      </c>
      <c r="R18" s="45">
        <v>2.8061826086956501</v>
      </c>
      <c r="S18" s="1">
        <v>0</v>
      </c>
      <c r="T18" s="1">
        <f t="shared" si="8"/>
        <v>1</v>
      </c>
      <c r="U18" s="1">
        <v>1</v>
      </c>
      <c r="V18" s="1">
        <f t="shared" si="9"/>
        <v>0</v>
      </c>
      <c r="W18" s="1">
        <f t="shared" si="10"/>
        <v>0</v>
      </c>
      <c r="X18" s="1">
        <f t="shared" si="11"/>
        <v>0</v>
      </c>
      <c r="Y18" s="1">
        <f t="shared" si="12"/>
        <v>1</v>
      </c>
      <c r="Z18" s="1">
        <f t="shared" si="13"/>
        <v>0</v>
      </c>
      <c r="AA18" s="1" t="str">
        <f t="shared" si="14"/>
        <v>紧货币宽财政</v>
      </c>
    </row>
    <row r="19" spans="1:27" x14ac:dyDescent="0.3">
      <c r="A19" s="31">
        <v>42643</v>
      </c>
      <c r="B19" s="34">
        <v>1.19938108043119</v>
      </c>
      <c r="C19" s="34">
        <v>1.07415455663996</v>
      </c>
      <c r="D19" s="35">
        <v>0.36423326874127498</v>
      </c>
      <c r="E19" s="33">
        <f t="shared" si="0"/>
        <v>139.24229935342618</v>
      </c>
      <c r="F19" s="1">
        <v>0</v>
      </c>
      <c r="G19" s="1">
        <f t="shared" si="1"/>
        <v>1</v>
      </c>
      <c r="H19" s="1">
        <v>0</v>
      </c>
      <c r="I19" s="1">
        <f t="shared" si="2"/>
        <v>1</v>
      </c>
      <c r="J19" s="1">
        <f t="shared" si="3"/>
        <v>0</v>
      </c>
      <c r="K19" s="1">
        <f t="shared" si="4"/>
        <v>0</v>
      </c>
      <c r="L19" s="1">
        <f t="shared" si="5"/>
        <v>0</v>
      </c>
      <c r="M19" s="1">
        <f t="shared" si="6"/>
        <v>1</v>
      </c>
      <c r="N19" s="1" t="str">
        <f t="shared" si="7"/>
        <v>双紧</v>
      </c>
      <c r="P19" s="42">
        <v>42643</v>
      </c>
      <c r="Q19" s="44">
        <v>11.494648091794099</v>
      </c>
      <c r="R19" s="45">
        <v>2.79327619047619</v>
      </c>
      <c r="S19" s="1">
        <v>0</v>
      </c>
      <c r="T19" s="1">
        <f t="shared" si="8"/>
        <v>1</v>
      </c>
      <c r="U19" s="1">
        <v>0</v>
      </c>
      <c r="V19" s="1">
        <f t="shared" si="9"/>
        <v>1</v>
      </c>
      <c r="W19" s="1">
        <f t="shared" si="10"/>
        <v>0</v>
      </c>
      <c r="X19" s="1">
        <f t="shared" si="11"/>
        <v>0</v>
      </c>
      <c r="Y19" s="1">
        <f t="shared" si="12"/>
        <v>0</v>
      </c>
      <c r="Z19" s="1">
        <f t="shared" si="13"/>
        <v>1</v>
      </c>
      <c r="AA19" s="1" t="str">
        <f t="shared" si="14"/>
        <v>双紧</v>
      </c>
    </row>
    <row r="20" spans="1:27" x14ac:dyDescent="0.3">
      <c r="A20" s="31">
        <v>42674</v>
      </c>
      <c r="B20" s="34">
        <v>1.13943313698542</v>
      </c>
      <c r="C20" s="34">
        <v>0.96023454900156002</v>
      </c>
      <c r="D20" s="35">
        <v>0.321487358071742</v>
      </c>
      <c r="E20" s="33">
        <f t="shared" si="0"/>
        <v>134.24102780509082</v>
      </c>
      <c r="F20" s="1">
        <v>0</v>
      </c>
      <c r="G20" s="1">
        <f t="shared" si="1"/>
        <v>1</v>
      </c>
      <c r="H20" s="1">
        <v>0</v>
      </c>
      <c r="I20" s="1">
        <f t="shared" si="2"/>
        <v>1</v>
      </c>
      <c r="J20" s="1">
        <f t="shared" si="3"/>
        <v>0</v>
      </c>
      <c r="K20" s="1">
        <f t="shared" si="4"/>
        <v>0</v>
      </c>
      <c r="L20" s="1">
        <f t="shared" si="5"/>
        <v>0</v>
      </c>
      <c r="M20" s="1">
        <f t="shared" si="6"/>
        <v>1</v>
      </c>
      <c r="N20" s="1" t="str">
        <f t="shared" si="7"/>
        <v>双紧</v>
      </c>
      <c r="P20" s="42">
        <v>42674</v>
      </c>
      <c r="Q20" s="44">
        <v>9.7078806783824998</v>
      </c>
      <c r="R20" s="45">
        <v>2.8082777777777799</v>
      </c>
      <c r="S20" s="1">
        <v>0</v>
      </c>
      <c r="T20" s="1">
        <f t="shared" si="8"/>
        <v>1</v>
      </c>
      <c r="U20" s="1">
        <v>0</v>
      </c>
      <c r="V20" s="1">
        <f t="shared" si="9"/>
        <v>1</v>
      </c>
      <c r="W20" s="1">
        <f t="shared" si="10"/>
        <v>0</v>
      </c>
      <c r="X20" s="1">
        <f t="shared" si="11"/>
        <v>0</v>
      </c>
      <c r="Y20" s="1">
        <f t="shared" si="12"/>
        <v>0</v>
      </c>
      <c r="Z20" s="1">
        <f t="shared" si="13"/>
        <v>1</v>
      </c>
      <c r="AA20" s="1" t="str">
        <f t="shared" si="14"/>
        <v>双紧</v>
      </c>
    </row>
    <row r="21" spans="1:27" x14ac:dyDescent="0.3">
      <c r="A21" s="31">
        <v>42704</v>
      </c>
      <c r="B21" s="34">
        <v>1.1715069620216301</v>
      </c>
      <c r="C21" s="34">
        <v>1.0594228978854501</v>
      </c>
      <c r="D21" s="35">
        <v>0.25755977799789298</v>
      </c>
      <c r="E21" s="33">
        <f t="shared" si="0"/>
        <v>126.76150093645049</v>
      </c>
      <c r="F21" s="1">
        <v>0</v>
      </c>
      <c r="G21" s="1">
        <f t="shared" si="1"/>
        <v>1</v>
      </c>
      <c r="H21" s="1">
        <v>0</v>
      </c>
      <c r="I21" s="1">
        <f t="shared" si="2"/>
        <v>1</v>
      </c>
      <c r="J21" s="1">
        <f t="shared" si="3"/>
        <v>0</v>
      </c>
      <c r="K21" s="1">
        <f t="shared" si="4"/>
        <v>0</v>
      </c>
      <c r="L21" s="1">
        <f t="shared" si="5"/>
        <v>0</v>
      </c>
      <c r="M21" s="1">
        <f t="shared" si="6"/>
        <v>1</v>
      </c>
      <c r="N21" s="1" t="str">
        <f t="shared" si="7"/>
        <v>双紧</v>
      </c>
      <c r="P21" s="42">
        <v>42704</v>
      </c>
      <c r="Q21" s="44">
        <v>10.196291298772699</v>
      </c>
      <c r="R21" s="45">
        <v>2.92010454545454</v>
      </c>
      <c r="S21" s="1">
        <v>0</v>
      </c>
      <c r="T21" s="1">
        <f t="shared" si="8"/>
        <v>1</v>
      </c>
      <c r="U21" s="1">
        <v>0</v>
      </c>
      <c r="V21" s="1">
        <f t="shared" si="9"/>
        <v>1</v>
      </c>
      <c r="W21" s="1">
        <f t="shared" si="10"/>
        <v>0</v>
      </c>
      <c r="X21" s="1">
        <f t="shared" si="11"/>
        <v>0</v>
      </c>
      <c r="Y21" s="1">
        <f t="shared" si="12"/>
        <v>0</v>
      </c>
      <c r="Z21" s="1">
        <f t="shared" si="13"/>
        <v>1</v>
      </c>
      <c r="AA21" s="1" t="str">
        <f t="shared" si="14"/>
        <v>双紧</v>
      </c>
    </row>
    <row r="22" spans="1:27" x14ac:dyDescent="0.3">
      <c r="A22" s="31">
        <v>42735</v>
      </c>
      <c r="B22" s="34">
        <v>1.1303442314968399</v>
      </c>
      <c r="C22" s="34">
        <v>1.0243827528351599</v>
      </c>
      <c r="D22" s="35">
        <v>0.164372455537655</v>
      </c>
      <c r="E22" s="33">
        <f t="shared" si="0"/>
        <v>115.85858420860264</v>
      </c>
      <c r="F22" s="1">
        <v>0</v>
      </c>
      <c r="G22" s="1">
        <f t="shared" si="1"/>
        <v>1</v>
      </c>
      <c r="H22" s="1">
        <v>0</v>
      </c>
      <c r="I22" s="1">
        <f t="shared" si="2"/>
        <v>1</v>
      </c>
      <c r="J22" s="1">
        <f t="shared" si="3"/>
        <v>0</v>
      </c>
      <c r="K22" s="1">
        <f t="shared" si="4"/>
        <v>0</v>
      </c>
      <c r="L22" s="1">
        <f t="shared" si="5"/>
        <v>0</v>
      </c>
      <c r="M22" s="1">
        <f t="shared" si="6"/>
        <v>1</v>
      </c>
      <c r="N22" s="1" t="str">
        <f t="shared" si="7"/>
        <v>双紧</v>
      </c>
      <c r="P22" s="42">
        <v>42735</v>
      </c>
      <c r="Q22" s="44">
        <v>7.5921918838134701</v>
      </c>
      <c r="R22" s="45">
        <v>3.1734818181818198</v>
      </c>
      <c r="S22" s="1">
        <v>0</v>
      </c>
      <c r="T22" s="1">
        <f t="shared" si="8"/>
        <v>1</v>
      </c>
      <c r="U22" s="1">
        <v>0</v>
      </c>
      <c r="V22" s="1">
        <f t="shared" si="9"/>
        <v>1</v>
      </c>
      <c r="W22" s="1">
        <f t="shared" si="10"/>
        <v>0</v>
      </c>
      <c r="X22" s="1">
        <f t="shared" si="11"/>
        <v>0</v>
      </c>
      <c r="Y22" s="1">
        <f t="shared" si="12"/>
        <v>0</v>
      </c>
      <c r="Z22" s="1">
        <f t="shared" si="13"/>
        <v>1</v>
      </c>
      <c r="AA22" s="1" t="str">
        <f t="shared" si="14"/>
        <v>双紧</v>
      </c>
    </row>
    <row r="23" spans="1:27" x14ac:dyDescent="0.3">
      <c r="A23" s="31">
        <v>42794</v>
      </c>
      <c r="B23" s="34">
        <v>0.76980753790019396</v>
      </c>
      <c r="C23" s="34">
        <v>0.95683740620566804</v>
      </c>
      <c r="D23" s="35">
        <v>-8.0184267997503195E-2</v>
      </c>
      <c r="E23" s="33">
        <f t="shared" si="0"/>
        <v>87.245447554989127</v>
      </c>
      <c r="F23" s="1">
        <v>0</v>
      </c>
      <c r="G23" s="1">
        <f t="shared" si="1"/>
        <v>1</v>
      </c>
      <c r="H23" s="1">
        <v>0</v>
      </c>
      <c r="I23" s="1">
        <f t="shared" si="2"/>
        <v>1</v>
      </c>
      <c r="J23" s="1">
        <f t="shared" si="3"/>
        <v>0</v>
      </c>
      <c r="K23" s="1">
        <f t="shared" si="4"/>
        <v>0</v>
      </c>
      <c r="L23" s="1">
        <f t="shared" si="5"/>
        <v>0</v>
      </c>
      <c r="M23" s="1">
        <f t="shared" si="6"/>
        <v>1</v>
      </c>
      <c r="N23" s="1" t="str">
        <f t="shared" si="7"/>
        <v>双紧</v>
      </c>
      <c r="P23" s="42">
        <v>42794</v>
      </c>
      <c r="Q23" s="44">
        <v>18.299836046750801</v>
      </c>
      <c r="R23" s="45">
        <v>4.1763947368421004</v>
      </c>
      <c r="S23" s="1">
        <v>0</v>
      </c>
      <c r="T23" s="1">
        <f t="shared" si="8"/>
        <v>1</v>
      </c>
      <c r="U23" s="1">
        <v>1</v>
      </c>
      <c r="V23" s="1">
        <f t="shared" si="9"/>
        <v>0</v>
      </c>
      <c r="W23" s="1">
        <f t="shared" si="10"/>
        <v>0</v>
      </c>
      <c r="X23" s="1">
        <f t="shared" si="11"/>
        <v>0</v>
      </c>
      <c r="Y23" s="1">
        <f t="shared" si="12"/>
        <v>1</v>
      </c>
      <c r="Z23" s="1">
        <f t="shared" si="13"/>
        <v>0</v>
      </c>
      <c r="AA23" s="1" t="str">
        <f t="shared" si="14"/>
        <v>紧货币宽财政</v>
      </c>
    </row>
    <row r="24" spans="1:27" x14ac:dyDescent="0.3">
      <c r="A24" s="31">
        <v>42825</v>
      </c>
      <c r="B24" s="32">
        <v>0.89383162636790203</v>
      </c>
      <c r="C24" s="32">
        <v>1.0740825345426299</v>
      </c>
      <c r="D24" s="27">
        <v>-0.18645440007220701</v>
      </c>
      <c r="E24" s="33">
        <f t="shared" si="0"/>
        <v>74.811842102248789</v>
      </c>
      <c r="F24" s="1">
        <v>0</v>
      </c>
      <c r="G24" s="1">
        <f t="shared" si="1"/>
        <v>1</v>
      </c>
      <c r="H24" s="1">
        <v>1</v>
      </c>
      <c r="I24" s="1">
        <f t="shared" si="2"/>
        <v>0</v>
      </c>
      <c r="J24" s="1">
        <f t="shared" si="3"/>
        <v>0</v>
      </c>
      <c r="K24" s="1">
        <f t="shared" si="4"/>
        <v>0</v>
      </c>
      <c r="L24" s="1">
        <f t="shared" si="5"/>
        <v>1</v>
      </c>
      <c r="M24" s="1">
        <f t="shared" si="6"/>
        <v>0</v>
      </c>
      <c r="N24" s="1" t="str">
        <f t="shared" si="7"/>
        <v>紧货币宽财政</v>
      </c>
      <c r="P24" s="42">
        <v>42825</v>
      </c>
      <c r="Q24" s="44">
        <v>20.6020100796515</v>
      </c>
      <c r="R24" s="45">
        <v>4.3482913043478302</v>
      </c>
      <c r="S24" s="1">
        <v>0</v>
      </c>
      <c r="T24" s="1">
        <f t="shared" si="8"/>
        <v>1</v>
      </c>
      <c r="U24" s="1">
        <v>1</v>
      </c>
      <c r="V24" s="1">
        <f t="shared" si="9"/>
        <v>0</v>
      </c>
      <c r="W24" s="1">
        <f t="shared" si="10"/>
        <v>0</v>
      </c>
      <c r="X24" s="1">
        <f t="shared" si="11"/>
        <v>0</v>
      </c>
      <c r="Y24" s="1">
        <f t="shared" si="12"/>
        <v>1</v>
      </c>
      <c r="Z24" s="1">
        <f t="shared" si="13"/>
        <v>0</v>
      </c>
      <c r="AA24" s="1" t="str">
        <f t="shared" si="14"/>
        <v>紧货币宽财政</v>
      </c>
    </row>
    <row r="25" spans="1:27" x14ac:dyDescent="0.3">
      <c r="A25" s="31">
        <v>42855</v>
      </c>
      <c r="B25" s="32">
        <v>0.88959307751237704</v>
      </c>
      <c r="C25" s="32">
        <v>0.99978896040804099</v>
      </c>
      <c r="D25" s="27">
        <v>-0.27308421984190401</v>
      </c>
      <c r="E25" s="33">
        <f t="shared" si="0"/>
        <v>64.676153189194238</v>
      </c>
      <c r="F25" s="1">
        <v>0</v>
      </c>
      <c r="G25" s="1">
        <f t="shared" si="1"/>
        <v>1</v>
      </c>
      <c r="H25" s="1">
        <v>1</v>
      </c>
      <c r="I25" s="1">
        <f t="shared" si="2"/>
        <v>0</v>
      </c>
      <c r="J25" s="1">
        <f t="shared" si="3"/>
        <v>0</v>
      </c>
      <c r="K25" s="1">
        <f t="shared" si="4"/>
        <v>0</v>
      </c>
      <c r="L25" s="1">
        <f t="shared" si="5"/>
        <v>1</v>
      </c>
      <c r="M25" s="1">
        <f t="shared" si="6"/>
        <v>0</v>
      </c>
      <c r="N25" s="1" t="str">
        <f t="shared" si="7"/>
        <v>紧货币宽财政</v>
      </c>
      <c r="P25" s="42">
        <v>42855</v>
      </c>
      <c r="Q25" s="44">
        <v>17.423385064803099</v>
      </c>
      <c r="R25" s="45">
        <v>4.2873052631578998</v>
      </c>
      <c r="S25" s="1">
        <v>0</v>
      </c>
      <c r="T25" s="1">
        <f t="shared" si="8"/>
        <v>1</v>
      </c>
      <c r="U25" s="1">
        <v>1</v>
      </c>
      <c r="V25" s="1">
        <f t="shared" si="9"/>
        <v>0</v>
      </c>
      <c r="W25" s="1">
        <f t="shared" si="10"/>
        <v>0</v>
      </c>
      <c r="X25" s="1">
        <f t="shared" si="11"/>
        <v>0</v>
      </c>
      <c r="Y25" s="1">
        <f t="shared" si="12"/>
        <v>1</v>
      </c>
      <c r="Z25" s="1">
        <f t="shared" si="13"/>
        <v>0</v>
      </c>
      <c r="AA25" s="1" t="str">
        <f t="shared" si="14"/>
        <v>紧货币宽财政</v>
      </c>
    </row>
    <row r="26" spans="1:27" x14ac:dyDescent="0.3">
      <c r="A26" s="31">
        <v>42886</v>
      </c>
      <c r="B26" s="32">
        <v>0.96742311199318898</v>
      </c>
      <c r="C26" s="32">
        <v>1.0757537988894901</v>
      </c>
      <c r="D26" s="27">
        <v>-0.33053433185923198</v>
      </c>
      <c r="E26" s="33">
        <f t="shared" si="0"/>
        <v>57.954490083166867</v>
      </c>
      <c r="F26" s="1">
        <v>0</v>
      </c>
      <c r="G26" s="1">
        <f t="shared" si="1"/>
        <v>1</v>
      </c>
      <c r="H26" s="1">
        <v>1</v>
      </c>
      <c r="I26" s="1">
        <f t="shared" si="2"/>
        <v>0</v>
      </c>
      <c r="J26" s="1">
        <f t="shared" si="3"/>
        <v>0</v>
      </c>
      <c r="K26" s="1">
        <f t="shared" si="4"/>
        <v>0</v>
      </c>
      <c r="L26" s="1">
        <f t="shared" si="5"/>
        <v>1</v>
      </c>
      <c r="M26" s="1">
        <f t="shared" si="6"/>
        <v>0</v>
      </c>
      <c r="N26" s="1" t="str">
        <f t="shared" si="7"/>
        <v>紧货币宽财政</v>
      </c>
      <c r="P26" s="42">
        <v>42886</v>
      </c>
      <c r="Q26" s="44">
        <v>15.719430425387699</v>
      </c>
      <c r="R26" s="45">
        <v>4.4370333333333303</v>
      </c>
      <c r="S26" s="1">
        <v>0</v>
      </c>
      <c r="T26" s="1">
        <f t="shared" si="8"/>
        <v>1</v>
      </c>
      <c r="U26" s="1">
        <v>1</v>
      </c>
      <c r="V26" s="1">
        <f t="shared" si="9"/>
        <v>0</v>
      </c>
      <c r="W26" s="1">
        <f t="shared" si="10"/>
        <v>0</v>
      </c>
      <c r="X26" s="1">
        <f t="shared" si="11"/>
        <v>0</v>
      </c>
      <c r="Y26" s="1">
        <f t="shared" si="12"/>
        <v>1</v>
      </c>
      <c r="Z26" s="1">
        <f t="shared" si="13"/>
        <v>0</v>
      </c>
      <c r="AA26" s="1" t="str">
        <f t="shared" si="14"/>
        <v>紧货币宽财政</v>
      </c>
    </row>
    <row r="27" spans="1:27" x14ac:dyDescent="0.3">
      <c r="A27" s="31">
        <v>42916</v>
      </c>
      <c r="B27" s="36">
        <v>1.0332594958580399</v>
      </c>
      <c r="C27" s="36">
        <v>1.0866141635052899</v>
      </c>
      <c r="D27" s="33">
        <v>-0.35334226606079</v>
      </c>
      <c r="E27" s="33">
        <f t="shared" si="0"/>
        <v>55.285961781584575</v>
      </c>
      <c r="F27" s="1">
        <v>0</v>
      </c>
      <c r="G27" s="1">
        <f t="shared" si="1"/>
        <v>1</v>
      </c>
      <c r="H27" s="1">
        <v>1</v>
      </c>
      <c r="I27" s="1">
        <f t="shared" si="2"/>
        <v>0</v>
      </c>
      <c r="J27" s="1">
        <f t="shared" si="3"/>
        <v>0</v>
      </c>
      <c r="K27" s="1">
        <f t="shared" si="4"/>
        <v>0</v>
      </c>
      <c r="L27" s="1">
        <f t="shared" si="5"/>
        <v>1</v>
      </c>
      <c r="M27" s="1">
        <f t="shared" si="6"/>
        <v>0</v>
      </c>
      <c r="N27" s="1" t="str">
        <f t="shared" si="7"/>
        <v>紧货币宽财政</v>
      </c>
      <c r="P27" s="42">
        <v>42916</v>
      </c>
      <c r="Q27" s="44">
        <v>17.172466596808601</v>
      </c>
      <c r="R27" s="45">
        <v>4.6691227272727298</v>
      </c>
      <c r="S27" s="1">
        <v>0</v>
      </c>
      <c r="T27" s="1">
        <f t="shared" si="8"/>
        <v>1</v>
      </c>
      <c r="U27" s="1">
        <v>1</v>
      </c>
      <c r="V27" s="1">
        <f t="shared" si="9"/>
        <v>0</v>
      </c>
      <c r="W27" s="1">
        <f t="shared" si="10"/>
        <v>0</v>
      </c>
      <c r="X27" s="1">
        <f t="shared" si="11"/>
        <v>0</v>
      </c>
      <c r="Y27" s="1">
        <f t="shared" si="12"/>
        <v>1</v>
      </c>
      <c r="Z27" s="1">
        <f t="shared" si="13"/>
        <v>0</v>
      </c>
      <c r="AA27" s="1" t="str">
        <f t="shared" si="14"/>
        <v>紧货币宽财政</v>
      </c>
    </row>
    <row r="28" spans="1:27" x14ac:dyDescent="0.3">
      <c r="A28" s="31">
        <v>42947</v>
      </c>
      <c r="B28" s="36">
        <v>0.98562475683522699</v>
      </c>
      <c r="C28" s="36">
        <v>0.96662421779109098</v>
      </c>
      <c r="D28" s="33">
        <v>-0.352902105891919</v>
      </c>
      <c r="E28" s="33">
        <f t="shared" si="0"/>
        <v>55.337460521342479</v>
      </c>
      <c r="F28" s="1">
        <v>0</v>
      </c>
      <c r="G28" s="1">
        <f t="shared" si="1"/>
        <v>1</v>
      </c>
      <c r="H28" s="1">
        <v>0</v>
      </c>
      <c r="I28" s="1">
        <f t="shared" si="2"/>
        <v>1</v>
      </c>
      <c r="J28" s="1">
        <f t="shared" si="3"/>
        <v>0</v>
      </c>
      <c r="K28" s="1">
        <f t="shared" si="4"/>
        <v>0</v>
      </c>
      <c r="L28" s="1">
        <f t="shared" si="5"/>
        <v>0</v>
      </c>
      <c r="M28" s="1">
        <f t="shared" si="6"/>
        <v>1</v>
      </c>
      <c r="N28" s="1" t="str">
        <f t="shared" si="7"/>
        <v>双紧</v>
      </c>
      <c r="P28" s="42">
        <v>42947</v>
      </c>
      <c r="Q28" s="44">
        <v>16.472756566501101</v>
      </c>
      <c r="R28" s="45">
        <v>4.3090952380952396</v>
      </c>
      <c r="S28" s="1">
        <v>0</v>
      </c>
      <c r="T28" s="1">
        <f t="shared" si="8"/>
        <v>1</v>
      </c>
      <c r="U28" s="1">
        <v>1</v>
      </c>
      <c r="V28" s="1">
        <f t="shared" si="9"/>
        <v>0</v>
      </c>
      <c r="W28" s="1">
        <f t="shared" si="10"/>
        <v>0</v>
      </c>
      <c r="X28" s="1">
        <f t="shared" si="11"/>
        <v>0</v>
      </c>
      <c r="Y28" s="1">
        <f t="shared" si="12"/>
        <v>1</v>
      </c>
      <c r="Z28" s="1">
        <f t="shared" si="13"/>
        <v>0</v>
      </c>
      <c r="AA28" s="1" t="str">
        <f t="shared" si="14"/>
        <v>紧货币宽财政</v>
      </c>
    </row>
    <row r="29" spans="1:27" x14ac:dyDescent="0.3">
      <c r="A29" s="31">
        <v>42978</v>
      </c>
      <c r="B29" s="36">
        <v>0.97156838451444505</v>
      </c>
      <c r="C29" s="36">
        <v>1.0025576902803901</v>
      </c>
      <c r="D29" s="33">
        <v>-0.32832511117334501</v>
      </c>
      <c r="E29" s="33">
        <f t="shared" si="0"/>
        <v>58.212968903415643</v>
      </c>
      <c r="F29" s="1">
        <v>0</v>
      </c>
      <c r="G29" s="1">
        <f t="shared" si="1"/>
        <v>1</v>
      </c>
      <c r="H29" s="1">
        <v>0</v>
      </c>
      <c r="I29" s="1">
        <f t="shared" si="2"/>
        <v>1</v>
      </c>
      <c r="J29" s="1">
        <f t="shared" si="3"/>
        <v>0</v>
      </c>
      <c r="K29" s="1">
        <f t="shared" si="4"/>
        <v>0</v>
      </c>
      <c r="L29" s="1">
        <f t="shared" si="5"/>
        <v>0</v>
      </c>
      <c r="M29" s="1">
        <f t="shared" si="6"/>
        <v>1</v>
      </c>
      <c r="N29" s="1" t="str">
        <f t="shared" si="7"/>
        <v>双紧</v>
      </c>
      <c r="P29" s="42">
        <v>42978</v>
      </c>
      <c r="Q29" s="44">
        <v>15.811883821468999</v>
      </c>
      <c r="R29" s="45">
        <v>4.3237217391304403</v>
      </c>
      <c r="S29" s="1">
        <v>0</v>
      </c>
      <c r="T29" s="1">
        <f t="shared" si="8"/>
        <v>1</v>
      </c>
      <c r="U29" s="1">
        <v>0</v>
      </c>
      <c r="V29" s="1">
        <f t="shared" si="9"/>
        <v>1</v>
      </c>
      <c r="W29" s="1">
        <f t="shared" si="10"/>
        <v>0</v>
      </c>
      <c r="X29" s="1">
        <f t="shared" si="11"/>
        <v>0</v>
      </c>
      <c r="Y29" s="1">
        <f t="shared" si="12"/>
        <v>0</v>
      </c>
      <c r="Z29" s="1">
        <f t="shared" si="13"/>
        <v>1</v>
      </c>
      <c r="AA29" s="1" t="str">
        <f t="shared" si="14"/>
        <v>双紧</v>
      </c>
    </row>
    <row r="30" spans="1:27" x14ac:dyDescent="0.3">
      <c r="A30" s="31">
        <v>43008</v>
      </c>
      <c r="B30" s="36">
        <v>0.91844615489748405</v>
      </c>
      <c r="C30" s="36">
        <v>0.94065359875611498</v>
      </c>
      <c r="D30" s="33">
        <v>-0.28643881801068799</v>
      </c>
      <c r="E30" s="33">
        <f t="shared" si="0"/>
        <v>63.113665203446509</v>
      </c>
      <c r="F30" s="1">
        <v>0</v>
      </c>
      <c r="G30" s="1">
        <f t="shared" si="1"/>
        <v>1</v>
      </c>
      <c r="H30" s="1">
        <v>0</v>
      </c>
      <c r="I30" s="1">
        <f t="shared" si="2"/>
        <v>1</v>
      </c>
      <c r="J30" s="1">
        <f t="shared" si="3"/>
        <v>0</v>
      </c>
      <c r="K30" s="1">
        <f t="shared" si="4"/>
        <v>0</v>
      </c>
      <c r="L30" s="1">
        <f t="shared" si="5"/>
        <v>0</v>
      </c>
      <c r="M30" s="1">
        <f t="shared" si="6"/>
        <v>1</v>
      </c>
      <c r="N30" s="1" t="str">
        <f t="shared" si="7"/>
        <v>双紧</v>
      </c>
      <c r="P30" s="42">
        <v>43008</v>
      </c>
      <c r="Q30" s="44">
        <v>14.8002437632571</v>
      </c>
      <c r="R30" s="45">
        <v>4.3786181818181804</v>
      </c>
      <c r="S30" s="1">
        <v>0</v>
      </c>
      <c r="T30" s="1">
        <f t="shared" si="8"/>
        <v>1</v>
      </c>
      <c r="U30" s="1">
        <v>0</v>
      </c>
      <c r="V30" s="1">
        <f t="shared" si="9"/>
        <v>1</v>
      </c>
      <c r="W30" s="1">
        <f t="shared" si="10"/>
        <v>0</v>
      </c>
      <c r="X30" s="1">
        <f t="shared" si="11"/>
        <v>0</v>
      </c>
      <c r="Y30" s="1">
        <f t="shared" si="12"/>
        <v>0</v>
      </c>
      <c r="Z30" s="1">
        <f t="shared" si="13"/>
        <v>1</v>
      </c>
      <c r="AA30" s="1" t="str">
        <f t="shared" si="14"/>
        <v>双紧</v>
      </c>
    </row>
    <row r="31" spans="1:27" x14ac:dyDescent="0.3">
      <c r="A31" s="31">
        <v>43039</v>
      </c>
      <c r="B31" s="36">
        <v>0.89995508407855795</v>
      </c>
      <c r="C31" s="36">
        <v>0.998042672774623</v>
      </c>
      <c r="D31" s="33">
        <v>-0.24870218588752799</v>
      </c>
      <c r="E31" s="33">
        <f t="shared" si="0"/>
        <v>67.528851161856238</v>
      </c>
      <c r="F31" s="1">
        <v>0</v>
      </c>
      <c r="G31" s="1">
        <f t="shared" si="1"/>
        <v>1</v>
      </c>
      <c r="H31" s="1">
        <v>0</v>
      </c>
      <c r="I31" s="1">
        <f t="shared" si="2"/>
        <v>1</v>
      </c>
      <c r="J31" s="1">
        <f t="shared" si="3"/>
        <v>0</v>
      </c>
      <c r="K31" s="1">
        <f t="shared" si="4"/>
        <v>0</v>
      </c>
      <c r="L31" s="1">
        <f t="shared" si="5"/>
        <v>0</v>
      </c>
      <c r="M31" s="1">
        <f t="shared" si="6"/>
        <v>1</v>
      </c>
      <c r="N31" s="1" t="str">
        <f t="shared" si="7"/>
        <v>双紧</v>
      </c>
      <c r="P31" s="42">
        <v>43039</v>
      </c>
      <c r="Q31" s="44">
        <v>13.5382949894841</v>
      </c>
      <c r="R31" s="45">
        <v>4.3731352941176498</v>
      </c>
      <c r="S31" s="1">
        <v>0</v>
      </c>
      <c r="T31" s="1">
        <f t="shared" si="8"/>
        <v>1</v>
      </c>
      <c r="U31" s="1">
        <v>0</v>
      </c>
      <c r="V31" s="1">
        <f t="shared" si="9"/>
        <v>1</v>
      </c>
      <c r="W31" s="1">
        <f t="shared" si="10"/>
        <v>0</v>
      </c>
      <c r="X31" s="1">
        <f t="shared" si="11"/>
        <v>0</v>
      </c>
      <c r="Y31" s="1">
        <f t="shared" si="12"/>
        <v>0</v>
      </c>
      <c r="Z31" s="1">
        <f t="shared" si="13"/>
        <v>1</v>
      </c>
      <c r="AA31" s="1" t="str">
        <f t="shared" si="14"/>
        <v>双紧</v>
      </c>
    </row>
    <row r="32" spans="1:27" x14ac:dyDescent="0.3">
      <c r="A32" s="31">
        <v>43069</v>
      </c>
      <c r="B32" s="36">
        <v>0.86212635713020003</v>
      </c>
      <c r="C32" s="36">
        <v>0.99370863520298403</v>
      </c>
      <c r="D32" s="33">
        <v>-0.22798314282964899</v>
      </c>
      <c r="E32" s="33">
        <f t="shared" si="0"/>
        <v>69.952979199628075</v>
      </c>
      <c r="F32" s="1">
        <v>0</v>
      </c>
      <c r="G32" s="1">
        <f t="shared" si="1"/>
        <v>1</v>
      </c>
      <c r="H32" s="1">
        <v>0</v>
      </c>
      <c r="I32" s="1">
        <f t="shared" si="2"/>
        <v>1</v>
      </c>
      <c r="J32" s="1">
        <f t="shared" si="3"/>
        <v>0</v>
      </c>
      <c r="K32" s="1">
        <f t="shared" si="4"/>
        <v>0</v>
      </c>
      <c r="L32" s="1">
        <f t="shared" si="5"/>
        <v>0</v>
      </c>
      <c r="M32" s="1">
        <f t="shared" si="6"/>
        <v>1</v>
      </c>
      <c r="N32" s="1" t="str">
        <f t="shared" si="7"/>
        <v>双紧</v>
      </c>
      <c r="P32" s="42">
        <v>43069</v>
      </c>
      <c r="Q32" s="44">
        <v>11.8493173353923</v>
      </c>
      <c r="R32" s="45">
        <v>4.5628136363636402</v>
      </c>
      <c r="S32" s="1">
        <v>0</v>
      </c>
      <c r="T32" s="1">
        <f t="shared" si="8"/>
        <v>1</v>
      </c>
      <c r="U32" s="1">
        <v>1</v>
      </c>
      <c r="V32" s="1">
        <f t="shared" si="9"/>
        <v>0</v>
      </c>
      <c r="W32" s="1">
        <f t="shared" si="10"/>
        <v>0</v>
      </c>
      <c r="X32" s="1">
        <f t="shared" si="11"/>
        <v>0</v>
      </c>
      <c r="Y32" s="1">
        <f t="shared" si="12"/>
        <v>1</v>
      </c>
      <c r="Z32" s="1">
        <f t="shared" si="13"/>
        <v>0</v>
      </c>
      <c r="AA32" s="1" t="str">
        <f t="shared" si="14"/>
        <v>紧货币宽财政</v>
      </c>
    </row>
    <row r="33" spans="1:27" x14ac:dyDescent="0.3">
      <c r="A33" s="31">
        <v>43100</v>
      </c>
      <c r="B33" s="36">
        <v>0.87057174957878702</v>
      </c>
      <c r="C33" s="36">
        <v>1.0302467860103599</v>
      </c>
      <c r="D33" s="33">
        <v>-0.233256393372195</v>
      </c>
      <c r="E33" s="33">
        <f t="shared" si="0"/>
        <v>69.336008886150182</v>
      </c>
      <c r="F33" s="1">
        <v>0</v>
      </c>
      <c r="G33" s="1">
        <f t="shared" si="1"/>
        <v>1</v>
      </c>
      <c r="H33" s="1">
        <v>0</v>
      </c>
      <c r="I33" s="1">
        <f t="shared" si="2"/>
        <v>1</v>
      </c>
      <c r="J33" s="1">
        <f t="shared" si="3"/>
        <v>0</v>
      </c>
      <c r="K33" s="1">
        <f t="shared" si="4"/>
        <v>0</v>
      </c>
      <c r="L33" s="1">
        <f t="shared" si="5"/>
        <v>0</v>
      </c>
      <c r="M33" s="1">
        <f t="shared" si="6"/>
        <v>1</v>
      </c>
      <c r="N33" s="1" t="str">
        <f t="shared" si="7"/>
        <v>双紧</v>
      </c>
      <c r="P33" s="42">
        <v>43100</v>
      </c>
      <c r="Q33" s="44">
        <v>12.5001597832062</v>
      </c>
      <c r="R33" s="45">
        <v>4.8368952380952397</v>
      </c>
      <c r="S33" s="1">
        <v>0</v>
      </c>
      <c r="T33" s="1">
        <f t="shared" si="8"/>
        <v>1</v>
      </c>
      <c r="U33" s="1">
        <v>1</v>
      </c>
      <c r="V33" s="1">
        <f t="shared" si="9"/>
        <v>0</v>
      </c>
      <c r="W33" s="1">
        <f t="shared" si="10"/>
        <v>0</v>
      </c>
      <c r="X33" s="1">
        <f t="shared" si="11"/>
        <v>0</v>
      </c>
      <c r="Y33" s="1">
        <f t="shared" si="12"/>
        <v>1</v>
      </c>
      <c r="Z33" s="1">
        <f t="shared" si="13"/>
        <v>0</v>
      </c>
      <c r="AA33" s="1" t="str">
        <f t="shared" si="14"/>
        <v>紧货币宽财政</v>
      </c>
    </row>
    <row r="34" spans="1:27" x14ac:dyDescent="0.3">
      <c r="A34" s="31">
        <v>43159</v>
      </c>
      <c r="B34" s="37">
        <v>0.69061429320642198</v>
      </c>
      <c r="C34" s="37">
        <v>1.0914298993151399</v>
      </c>
      <c r="D34" s="38">
        <v>-0.28174638805832197</v>
      </c>
      <c r="E34" s="39">
        <v>96.627006910697006</v>
      </c>
      <c r="F34" s="1">
        <v>0</v>
      </c>
      <c r="G34" s="1">
        <f t="shared" si="1"/>
        <v>1</v>
      </c>
      <c r="H34" s="1">
        <v>0</v>
      </c>
      <c r="I34" s="1">
        <f t="shared" si="2"/>
        <v>1</v>
      </c>
      <c r="J34" s="1">
        <f t="shared" si="3"/>
        <v>0</v>
      </c>
      <c r="K34" s="1">
        <f t="shared" si="4"/>
        <v>0</v>
      </c>
      <c r="L34" s="1">
        <f t="shared" si="5"/>
        <v>0</v>
      </c>
      <c r="M34" s="1">
        <f t="shared" si="6"/>
        <v>1</v>
      </c>
      <c r="N34" s="1" t="str">
        <f t="shared" si="7"/>
        <v>双紧</v>
      </c>
      <c r="P34" s="42">
        <v>43159</v>
      </c>
      <c r="Q34" s="44">
        <v>23.088805419361201</v>
      </c>
      <c r="R34" s="45">
        <v>4.7089705882352897</v>
      </c>
      <c r="S34" s="1">
        <v>1</v>
      </c>
      <c r="T34" s="1">
        <f t="shared" si="8"/>
        <v>0</v>
      </c>
      <c r="U34" s="1">
        <v>1</v>
      </c>
      <c r="V34" s="1">
        <f t="shared" si="9"/>
        <v>0</v>
      </c>
      <c r="W34" s="1">
        <f t="shared" si="10"/>
        <v>1</v>
      </c>
      <c r="X34" s="1">
        <f t="shared" si="11"/>
        <v>0</v>
      </c>
      <c r="Y34" s="1">
        <f t="shared" si="12"/>
        <v>0</v>
      </c>
      <c r="Z34" s="1">
        <f t="shared" si="13"/>
        <v>0</v>
      </c>
      <c r="AA34" s="1" t="str">
        <f t="shared" si="14"/>
        <v>双宽</v>
      </c>
    </row>
    <row r="35" spans="1:27" x14ac:dyDescent="0.3">
      <c r="A35" s="31">
        <v>43190</v>
      </c>
      <c r="B35" s="37">
        <v>0.68897769969313705</v>
      </c>
      <c r="C35" s="37">
        <v>0.97664682757037002</v>
      </c>
      <c r="D35" s="38">
        <v>-0.28019490118874102</v>
      </c>
      <c r="E35" s="39">
        <v>96.284209087594206</v>
      </c>
      <c r="F35" s="1">
        <v>1</v>
      </c>
      <c r="G35" s="1">
        <f t="shared" si="1"/>
        <v>0</v>
      </c>
      <c r="H35" s="1">
        <v>1</v>
      </c>
      <c r="I35" s="1">
        <f t="shared" si="2"/>
        <v>0</v>
      </c>
      <c r="J35" s="1">
        <f t="shared" si="3"/>
        <v>1</v>
      </c>
      <c r="K35" s="1">
        <f t="shared" si="4"/>
        <v>0</v>
      </c>
      <c r="L35" s="1">
        <f t="shared" si="5"/>
        <v>0</v>
      </c>
      <c r="M35" s="1">
        <f t="shared" si="6"/>
        <v>0</v>
      </c>
      <c r="N35" s="1" t="str">
        <f t="shared" si="7"/>
        <v>双宽</v>
      </c>
      <c r="P35" s="42">
        <v>43190</v>
      </c>
      <c r="Q35" s="44">
        <v>16.851154550618801</v>
      </c>
      <c r="R35" s="45">
        <v>4.6795636363636399</v>
      </c>
      <c r="S35" s="1">
        <v>1</v>
      </c>
      <c r="T35" s="1">
        <f t="shared" si="8"/>
        <v>0</v>
      </c>
      <c r="U35" s="1">
        <v>0</v>
      </c>
      <c r="V35" s="1">
        <f t="shared" si="9"/>
        <v>1</v>
      </c>
      <c r="W35" s="1">
        <f t="shared" si="10"/>
        <v>0</v>
      </c>
      <c r="X35" s="1">
        <f t="shared" si="11"/>
        <v>1</v>
      </c>
      <c r="Y35" s="1">
        <f t="shared" si="12"/>
        <v>0</v>
      </c>
      <c r="Z35" s="1">
        <f t="shared" si="13"/>
        <v>0</v>
      </c>
      <c r="AA35" s="1" t="str">
        <f t="shared" si="14"/>
        <v>宽货币紧财政</v>
      </c>
    </row>
    <row r="36" spans="1:27" x14ac:dyDescent="0.3">
      <c r="A36" s="31">
        <v>43220</v>
      </c>
      <c r="B36" s="37">
        <v>0.72066737368964096</v>
      </c>
      <c r="C36" s="37">
        <v>0.99632172880626801</v>
      </c>
      <c r="D36" s="38">
        <v>-0.26826735942394703</v>
      </c>
      <c r="E36" s="39">
        <v>96.650602981666296</v>
      </c>
      <c r="F36" s="1">
        <v>1</v>
      </c>
      <c r="G36" s="1">
        <f t="shared" si="1"/>
        <v>0</v>
      </c>
      <c r="H36" s="1">
        <v>1</v>
      </c>
      <c r="I36" s="1">
        <f t="shared" si="2"/>
        <v>0</v>
      </c>
      <c r="J36" s="1">
        <f t="shared" si="3"/>
        <v>1</v>
      </c>
      <c r="K36" s="1">
        <f t="shared" si="4"/>
        <v>0</v>
      </c>
      <c r="L36" s="1">
        <f t="shared" si="5"/>
        <v>0</v>
      </c>
      <c r="M36" s="1">
        <f t="shared" si="6"/>
        <v>0</v>
      </c>
      <c r="N36" s="1" t="str">
        <f t="shared" si="7"/>
        <v>双宽</v>
      </c>
      <c r="P36" s="42">
        <v>43220</v>
      </c>
      <c r="Q36" s="44">
        <v>16.267404005753502</v>
      </c>
      <c r="R36" s="45">
        <v>4.1458950000000003</v>
      </c>
      <c r="S36" s="1">
        <v>1</v>
      </c>
      <c r="T36" s="1">
        <f t="shared" si="8"/>
        <v>0</v>
      </c>
      <c r="U36" s="1">
        <v>0</v>
      </c>
      <c r="V36" s="1">
        <f t="shared" si="9"/>
        <v>1</v>
      </c>
      <c r="W36" s="1">
        <f t="shared" si="10"/>
        <v>0</v>
      </c>
      <c r="X36" s="1">
        <f t="shared" si="11"/>
        <v>1</v>
      </c>
      <c r="Y36" s="1">
        <f t="shared" si="12"/>
        <v>0</v>
      </c>
      <c r="Z36" s="1">
        <f t="shared" si="13"/>
        <v>0</v>
      </c>
      <c r="AA36" s="1" t="str">
        <f t="shared" si="14"/>
        <v>宽货币紧财政</v>
      </c>
    </row>
    <row r="37" spans="1:27" x14ac:dyDescent="0.3">
      <c r="A37" s="31">
        <v>43251</v>
      </c>
      <c r="B37" s="37">
        <v>0.67509440326305803</v>
      </c>
      <c r="C37" s="37">
        <v>0.94169740828666604</v>
      </c>
      <c r="D37" s="38">
        <v>-0.245269065461485</v>
      </c>
      <c r="E37" s="39">
        <v>97.666670854718703</v>
      </c>
      <c r="F37" s="1">
        <v>1</v>
      </c>
      <c r="G37" s="1">
        <f t="shared" si="1"/>
        <v>0</v>
      </c>
      <c r="H37" s="1">
        <v>1</v>
      </c>
      <c r="I37" s="1">
        <f t="shared" si="2"/>
        <v>0</v>
      </c>
      <c r="J37" s="1">
        <f t="shared" si="3"/>
        <v>1</v>
      </c>
      <c r="K37" s="1">
        <f t="shared" si="4"/>
        <v>0</v>
      </c>
      <c r="L37" s="1">
        <f t="shared" si="5"/>
        <v>0</v>
      </c>
      <c r="M37" s="1">
        <f t="shared" si="6"/>
        <v>0</v>
      </c>
      <c r="N37" s="1" t="str">
        <f t="shared" si="7"/>
        <v>双宽</v>
      </c>
      <c r="P37" s="42">
        <v>43251</v>
      </c>
      <c r="Q37" s="44">
        <v>14.109631874554699</v>
      </c>
      <c r="R37" s="45">
        <v>4.1181227272727297</v>
      </c>
      <c r="S37" s="1">
        <v>1</v>
      </c>
      <c r="T37" s="1">
        <f t="shared" si="8"/>
        <v>0</v>
      </c>
      <c r="U37" s="1">
        <v>0</v>
      </c>
      <c r="V37" s="1">
        <f t="shared" si="9"/>
        <v>1</v>
      </c>
      <c r="W37" s="1">
        <f t="shared" si="10"/>
        <v>0</v>
      </c>
      <c r="X37" s="1">
        <f t="shared" si="11"/>
        <v>1</v>
      </c>
      <c r="Y37" s="1">
        <f t="shared" si="12"/>
        <v>0</v>
      </c>
      <c r="Z37" s="1">
        <f t="shared" si="13"/>
        <v>0</v>
      </c>
      <c r="AA37" s="1" t="str">
        <f t="shared" si="14"/>
        <v>宽货币紧财政</v>
      </c>
    </row>
    <row r="38" spans="1:27" x14ac:dyDescent="0.3">
      <c r="A38" s="31">
        <v>43281</v>
      </c>
      <c r="B38" s="37">
        <v>0.729974024856612</v>
      </c>
      <c r="C38" s="37">
        <v>1.0379786452309601</v>
      </c>
      <c r="D38" s="38">
        <v>-0.21487989812149799</v>
      </c>
      <c r="E38" s="39">
        <v>97.462458293619093</v>
      </c>
      <c r="F38" s="1">
        <v>1</v>
      </c>
      <c r="G38" s="1">
        <f t="shared" si="1"/>
        <v>0</v>
      </c>
      <c r="H38" s="1">
        <v>1</v>
      </c>
      <c r="I38" s="1">
        <f t="shared" si="2"/>
        <v>0</v>
      </c>
      <c r="J38" s="1">
        <f t="shared" si="3"/>
        <v>1</v>
      </c>
      <c r="K38" s="1">
        <f t="shared" si="4"/>
        <v>0</v>
      </c>
      <c r="L38" s="1">
        <f t="shared" si="5"/>
        <v>0</v>
      </c>
      <c r="M38" s="1">
        <f t="shared" si="6"/>
        <v>0</v>
      </c>
      <c r="N38" s="1" t="str">
        <f t="shared" si="7"/>
        <v>双宽</v>
      </c>
      <c r="P38" s="42">
        <v>43281</v>
      </c>
      <c r="Q38" s="44">
        <v>12.702443102338799</v>
      </c>
      <c r="R38" s="45">
        <v>4.3137999999999996</v>
      </c>
      <c r="S38" s="1">
        <v>1</v>
      </c>
      <c r="T38" s="1">
        <f t="shared" si="8"/>
        <v>0</v>
      </c>
      <c r="U38" s="1">
        <v>0</v>
      </c>
      <c r="V38" s="1">
        <f t="shared" si="9"/>
        <v>1</v>
      </c>
      <c r="W38" s="1">
        <f t="shared" si="10"/>
        <v>0</v>
      </c>
      <c r="X38" s="1">
        <f t="shared" si="11"/>
        <v>1</v>
      </c>
      <c r="Y38" s="1">
        <f t="shared" si="12"/>
        <v>0</v>
      </c>
      <c r="Z38" s="1">
        <f t="shared" si="13"/>
        <v>0</v>
      </c>
      <c r="AA38" s="1" t="str">
        <f t="shared" si="14"/>
        <v>宽货币紧财政</v>
      </c>
    </row>
    <row r="39" spans="1:27" x14ac:dyDescent="0.3">
      <c r="A39" s="31">
        <v>43312</v>
      </c>
      <c r="B39" s="37">
        <v>0.76524525000786203</v>
      </c>
      <c r="C39" s="37">
        <v>1.0348176083373399</v>
      </c>
      <c r="D39" s="38">
        <v>-0.18981424109428299</v>
      </c>
      <c r="E39" s="39">
        <v>98.997510875960302</v>
      </c>
      <c r="F39" s="1">
        <v>1</v>
      </c>
      <c r="G39" s="1">
        <f t="shared" si="1"/>
        <v>0</v>
      </c>
      <c r="H39" s="1">
        <v>1</v>
      </c>
      <c r="I39" s="1">
        <f t="shared" si="2"/>
        <v>0</v>
      </c>
      <c r="J39" s="1">
        <f t="shared" si="3"/>
        <v>1</v>
      </c>
      <c r="K39" s="1">
        <f t="shared" si="4"/>
        <v>0</v>
      </c>
      <c r="L39" s="1">
        <f t="shared" si="5"/>
        <v>0</v>
      </c>
      <c r="M39" s="1">
        <f t="shared" si="6"/>
        <v>0</v>
      </c>
      <c r="N39" s="1" t="str">
        <f t="shared" si="7"/>
        <v>双宽</v>
      </c>
      <c r="P39" s="42">
        <v>43312</v>
      </c>
      <c r="Q39" s="44">
        <v>11.8636116446187</v>
      </c>
      <c r="R39" s="45">
        <v>3.59733636363636</v>
      </c>
      <c r="S39" s="1">
        <v>1</v>
      </c>
      <c r="T39" s="1">
        <f t="shared" si="8"/>
        <v>0</v>
      </c>
      <c r="U39" s="1">
        <v>0</v>
      </c>
      <c r="V39" s="1">
        <f t="shared" si="9"/>
        <v>1</v>
      </c>
      <c r="W39" s="1">
        <f t="shared" si="10"/>
        <v>0</v>
      </c>
      <c r="X39" s="1">
        <f t="shared" si="11"/>
        <v>1</v>
      </c>
      <c r="Y39" s="1">
        <f t="shared" si="12"/>
        <v>0</v>
      </c>
      <c r="Z39" s="1">
        <f t="shared" si="13"/>
        <v>0</v>
      </c>
      <c r="AA39" s="1" t="str">
        <f t="shared" si="14"/>
        <v>宽货币紧财政</v>
      </c>
    </row>
    <row r="40" spans="1:27" x14ac:dyDescent="0.3">
      <c r="A40" s="31">
        <v>43343</v>
      </c>
      <c r="B40" s="37">
        <v>0.75342544244189302</v>
      </c>
      <c r="C40" s="37">
        <v>0.99004788336175198</v>
      </c>
      <c r="D40" s="38">
        <v>-0.15830452249598401</v>
      </c>
      <c r="E40" s="39">
        <v>99.161304438097602</v>
      </c>
      <c r="F40" s="1">
        <v>1</v>
      </c>
      <c r="G40" s="1">
        <f t="shared" si="1"/>
        <v>0</v>
      </c>
      <c r="H40" s="1">
        <v>1</v>
      </c>
      <c r="I40" s="1">
        <f t="shared" si="2"/>
        <v>0</v>
      </c>
      <c r="J40" s="1">
        <f t="shared" si="3"/>
        <v>1</v>
      </c>
      <c r="K40" s="1">
        <f t="shared" si="4"/>
        <v>0</v>
      </c>
      <c r="L40" s="1">
        <f t="shared" si="5"/>
        <v>0</v>
      </c>
      <c r="M40" s="1">
        <f t="shared" si="6"/>
        <v>0</v>
      </c>
      <c r="N40" s="1" t="str">
        <f t="shared" si="7"/>
        <v>双宽</v>
      </c>
      <c r="P40" s="42">
        <v>43343</v>
      </c>
      <c r="Q40" s="44">
        <v>11.7970784212401</v>
      </c>
      <c r="R40" s="45">
        <v>2.8839999999999999</v>
      </c>
      <c r="S40" s="1">
        <v>1</v>
      </c>
      <c r="T40" s="1">
        <f t="shared" si="8"/>
        <v>0</v>
      </c>
      <c r="U40" s="1">
        <v>0</v>
      </c>
      <c r="V40" s="1">
        <f t="shared" si="9"/>
        <v>1</v>
      </c>
      <c r="W40" s="1">
        <f t="shared" si="10"/>
        <v>0</v>
      </c>
      <c r="X40" s="1">
        <f t="shared" si="11"/>
        <v>1</v>
      </c>
      <c r="Y40" s="1">
        <f t="shared" si="12"/>
        <v>0</v>
      </c>
      <c r="Z40" s="1">
        <f t="shared" si="13"/>
        <v>0</v>
      </c>
      <c r="AA40" s="1" t="str">
        <f t="shared" si="14"/>
        <v>宽货币紧财政</v>
      </c>
    </row>
    <row r="41" spans="1:27" x14ac:dyDescent="0.3">
      <c r="A41" s="31">
        <v>43373</v>
      </c>
      <c r="B41" s="37">
        <v>0.82545222905466398</v>
      </c>
      <c r="C41" s="37">
        <v>1.10810424136251</v>
      </c>
      <c r="D41" s="38">
        <v>-0.11699289260014301</v>
      </c>
      <c r="E41" s="39">
        <v>98.917475401727899</v>
      </c>
      <c r="F41" s="1">
        <v>1</v>
      </c>
      <c r="G41" s="1">
        <f t="shared" si="1"/>
        <v>0</v>
      </c>
      <c r="H41" s="1">
        <v>1</v>
      </c>
      <c r="I41" s="1">
        <f t="shared" si="2"/>
        <v>0</v>
      </c>
      <c r="J41" s="1">
        <f t="shared" si="3"/>
        <v>1</v>
      </c>
      <c r="K41" s="1">
        <f t="shared" si="4"/>
        <v>0</v>
      </c>
      <c r="L41" s="1">
        <f t="shared" si="5"/>
        <v>0</v>
      </c>
      <c r="M41" s="1">
        <f t="shared" si="6"/>
        <v>0</v>
      </c>
      <c r="N41" s="1" t="str">
        <f t="shared" si="7"/>
        <v>双宽</v>
      </c>
      <c r="P41" s="42">
        <v>43373</v>
      </c>
      <c r="Q41" s="44">
        <v>13.0899826110556</v>
      </c>
      <c r="R41" s="45">
        <v>2.8399047619047599</v>
      </c>
      <c r="S41" s="1">
        <v>1</v>
      </c>
      <c r="T41" s="1">
        <f t="shared" si="8"/>
        <v>0</v>
      </c>
      <c r="U41" s="1">
        <v>1</v>
      </c>
      <c r="V41" s="1">
        <f t="shared" si="9"/>
        <v>0</v>
      </c>
      <c r="W41" s="1">
        <f t="shared" si="10"/>
        <v>1</v>
      </c>
      <c r="X41" s="1">
        <f t="shared" si="11"/>
        <v>0</v>
      </c>
      <c r="Y41" s="1">
        <f t="shared" si="12"/>
        <v>0</v>
      </c>
      <c r="Z41" s="1">
        <f t="shared" si="13"/>
        <v>0</v>
      </c>
      <c r="AA41" s="1" t="str">
        <f t="shared" si="14"/>
        <v>双宽</v>
      </c>
    </row>
    <row r="42" spans="1:27" x14ac:dyDescent="0.3">
      <c r="A42" s="31">
        <v>43404</v>
      </c>
      <c r="B42" s="37">
        <v>0.88452283250730501</v>
      </c>
      <c r="C42" s="37">
        <v>1.1077859977072799</v>
      </c>
      <c r="D42" s="38">
        <v>-7.5959196889654801E-2</v>
      </c>
      <c r="E42" s="39">
        <v>100.0297662657</v>
      </c>
      <c r="F42" s="1">
        <v>1</v>
      </c>
      <c r="G42" s="1">
        <f t="shared" si="1"/>
        <v>0</v>
      </c>
      <c r="H42" s="1">
        <v>1</v>
      </c>
      <c r="I42" s="1">
        <f t="shared" si="2"/>
        <v>0</v>
      </c>
      <c r="J42" s="1">
        <f t="shared" si="3"/>
        <v>1</v>
      </c>
      <c r="K42" s="1">
        <f t="shared" si="4"/>
        <v>0</v>
      </c>
      <c r="L42" s="1">
        <f t="shared" si="5"/>
        <v>0</v>
      </c>
      <c r="M42" s="1">
        <f t="shared" si="6"/>
        <v>0</v>
      </c>
      <c r="N42" s="1" t="str">
        <f t="shared" si="7"/>
        <v>双宽</v>
      </c>
      <c r="P42" s="42">
        <v>43404</v>
      </c>
      <c r="Q42" s="44">
        <v>13.8211978228739</v>
      </c>
      <c r="R42" s="45">
        <v>2.8684444444444401</v>
      </c>
      <c r="S42" s="1">
        <v>1</v>
      </c>
      <c r="T42" s="1">
        <f t="shared" si="8"/>
        <v>0</v>
      </c>
      <c r="U42" s="1">
        <v>1</v>
      </c>
      <c r="V42" s="1">
        <f t="shared" si="9"/>
        <v>0</v>
      </c>
      <c r="W42" s="1">
        <f t="shared" si="10"/>
        <v>1</v>
      </c>
      <c r="X42" s="1">
        <f t="shared" si="11"/>
        <v>0</v>
      </c>
      <c r="Y42" s="1">
        <f t="shared" si="12"/>
        <v>0</v>
      </c>
      <c r="Z42" s="1">
        <f t="shared" si="13"/>
        <v>0</v>
      </c>
      <c r="AA42" s="1" t="str">
        <f t="shared" si="14"/>
        <v>双宽</v>
      </c>
    </row>
    <row r="43" spans="1:27" x14ac:dyDescent="0.3">
      <c r="A43" s="31">
        <v>43434</v>
      </c>
      <c r="B43" s="37">
        <v>0.89580211492338002</v>
      </c>
      <c r="C43" s="37">
        <v>1.07158239613631</v>
      </c>
      <c r="D43" s="38">
        <v>-2.8604781842952301E-2</v>
      </c>
      <c r="E43" s="39">
        <v>99.771989906763395</v>
      </c>
      <c r="F43" s="1">
        <v>1</v>
      </c>
      <c r="G43" s="1">
        <f t="shared" si="1"/>
        <v>0</v>
      </c>
      <c r="H43" s="1">
        <v>1</v>
      </c>
      <c r="I43" s="1">
        <f t="shared" si="2"/>
        <v>0</v>
      </c>
      <c r="J43" s="1">
        <f t="shared" si="3"/>
        <v>1</v>
      </c>
      <c r="K43" s="1">
        <f t="shared" si="4"/>
        <v>0</v>
      </c>
      <c r="L43" s="1">
        <f t="shared" si="5"/>
        <v>0</v>
      </c>
      <c r="M43" s="1">
        <f t="shared" si="6"/>
        <v>0</v>
      </c>
      <c r="N43" s="1" t="str">
        <f t="shared" si="7"/>
        <v>双宽</v>
      </c>
      <c r="P43" s="42">
        <v>43434</v>
      </c>
      <c r="Q43" s="44">
        <v>13.2126898955621</v>
      </c>
      <c r="R43" s="45">
        <v>3.0350181818181801</v>
      </c>
      <c r="S43" s="1">
        <v>1</v>
      </c>
      <c r="T43" s="1">
        <f t="shared" si="8"/>
        <v>0</v>
      </c>
      <c r="U43" s="1">
        <v>1</v>
      </c>
      <c r="V43" s="1">
        <f t="shared" si="9"/>
        <v>0</v>
      </c>
      <c r="W43" s="1">
        <f t="shared" si="10"/>
        <v>1</v>
      </c>
      <c r="X43" s="1">
        <f t="shared" si="11"/>
        <v>0</v>
      </c>
      <c r="Y43" s="1">
        <f t="shared" si="12"/>
        <v>0</v>
      </c>
      <c r="Z43" s="1">
        <f t="shared" si="13"/>
        <v>0</v>
      </c>
      <c r="AA43" s="1" t="str">
        <f t="shared" si="14"/>
        <v>双宽</v>
      </c>
    </row>
    <row r="44" spans="1:27" x14ac:dyDescent="0.3">
      <c r="A44" s="31">
        <v>43465</v>
      </c>
      <c r="B44" s="37">
        <v>0.97375857919076503</v>
      </c>
      <c r="C44" s="37">
        <v>1.13528697899111</v>
      </c>
      <c r="D44" s="38">
        <v>1.8693852740255201E-2</v>
      </c>
      <c r="E44" s="39">
        <v>99.252904638422805</v>
      </c>
      <c r="F44" s="1">
        <v>1</v>
      </c>
      <c r="G44" s="1">
        <f t="shared" si="1"/>
        <v>0</v>
      </c>
      <c r="H44" s="1">
        <v>1</v>
      </c>
      <c r="I44" s="1">
        <f t="shared" si="2"/>
        <v>0</v>
      </c>
      <c r="J44" s="1">
        <f t="shared" si="3"/>
        <v>1</v>
      </c>
      <c r="K44" s="1">
        <f t="shared" si="4"/>
        <v>0</v>
      </c>
      <c r="L44" s="1">
        <f t="shared" si="5"/>
        <v>0</v>
      </c>
      <c r="M44" s="1">
        <f t="shared" si="6"/>
        <v>0</v>
      </c>
      <c r="N44" s="1" t="str">
        <f t="shared" si="7"/>
        <v>双宽</v>
      </c>
      <c r="P44" s="42">
        <v>43465</v>
      </c>
      <c r="Q44" s="44">
        <v>14.1794493050032</v>
      </c>
      <c r="R44" s="45">
        <v>3.1983333333333301</v>
      </c>
      <c r="S44" s="1">
        <v>1</v>
      </c>
      <c r="T44" s="1">
        <f t="shared" si="8"/>
        <v>0</v>
      </c>
      <c r="U44" s="1">
        <v>1</v>
      </c>
      <c r="V44" s="1">
        <f t="shared" si="9"/>
        <v>0</v>
      </c>
      <c r="W44" s="1">
        <f t="shared" si="10"/>
        <v>1</v>
      </c>
      <c r="X44" s="1">
        <f t="shared" si="11"/>
        <v>0</v>
      </c>
      <c r="Y44" s="1">
        <f t="shared" si="12"/>
        <v>0</v>
      </c>
      <c r="Z44" s="1">
        <f t="shared" si="13"/>
        <v>0</v>
      </c>
      <c r="AA44" s="1" t="str">
        <f t="shared" si="14"/>
        <v>双宽</v>
      </c>
    </row>
    <row r="45" spans="1:27" x14ac:dyDescent="0.3">
      <c r="A45" s="31">
        <v>43524</v>
      </c>
      <c r="B45" s="37">
        <v>1.6842664267670999</v>
      </c>
      <c r="C45" s="37">
        <v>0.51698662900080605</v>
      </c>
      <c r="D45" s="38">
        <v>0.113840930631345</v>
      </c>
      <c r="E45" s="39">
        <v>100.245850926583</v>
      </c>
      <c r="F45" s="1">
        <v>1</v>
      </c>
      <c r="G45" s="1">
        <f t="shared" si="1"/>
        <v>0</v>
      </c>
      <c r="H45" s="1">
        <v>1</v>
      </c>
      <c r="I45" s="1">
        <f t="shared" si="2"/>
        <v>0</v>
      </c>
      <c r="J45" s="1">
        <f t="shared" si="3"/>
        <v>1</v>
      </c>
      <c r="K45" s="1">
        <f t="shared" si="4"/>
        <v>0</v>
      </c>
      <c r="L45" s="1">
        <f t="shared" si="5"/>
        <v>0</v>
      </c>
      <c r="M45" s="1">
        <f t="shared" si="6"/>
        <v>0</v>
      </c>
      <c r="N45" s="1" t="str">
        <f t="shared" si="7"/>
        <v>双宽</v>
      </c>
      <c r="P45" s="42">
        <v>43524</v>
      </c>
      <c r="Q45" s="44">
        <v>32.873258838713099</v>
      </c>
      <c r="R45" s="45">
        <v>2.8118235294117602</v>
      </c>
      <c r="S45" s="1">
        <v>1</v>
      </c>
      <c r="T45" s="1">
        <f t="shared" si="8"/>
        <v>0</v>
      </c>
      <c r="U45" s="1">
        <v>1</v>
      </c>
      <c r="V45" s="1">
        <f t="shared" si="9"/>
        <v>0</v>
      </c>
      <c r="W45" s="1">
        <f t="shared" si="10"/>
        <v>1</v>
      </c>
      <c r="X45" s="1">
        <f t="shared" si="11"/>
        <v>0</v>
      </c>
      <c r="Y45" s="1">
        <f t="shared" si="12"/>
        <v>0</v>
      </c>
      <c r="Z45" s="1">
        <f t="shared" si="13"/>
        <v>0</v>
      </c>
      <c r="AA45" s="1" t="str">
        <f t="shared" si="14"/>
        <v>双宽</v>
      </c>
    </row>
    <row r="46" spans="1:27" x14ac:dyDescent="0.3">
      <c r="A46" s="31">
        <v>43555</v>
      </c>
      <c r="B46" s="36">
        <v>1.2302356329297299</v>
      </c>
      <c r="C46" s="36">
        <v>1.0862610625614</v>
      </c>
      <c r="D46" s="33">
        <v>0.21502086079851601</v>
      </c>
      <c r="E46" s="40">
        <v>99.4273532746775</v>
      </c>
      <c r="F46" s="1">
        <v>1</v>
      </c>
      <c r="G46" s="1">
        <f t="shared" si="1"/>
        <v>0</v>
      </c>
      <c r="H46" s="1">
        <v>0</v>
      </c>
      <c r="I46" s="1">
        <f t="shared" si="2"/>
        <v>1</v>
      </c>
      <c r="J46" s="1">
        <f t="shared" si="3"/>
        <v>0</v>
      </c>
      <c r="K46" s="1">
        <f t="shared" si="4"/>
        <v>1</v>
      </c>
      <c r="L46" s="1">
        <f t="shared" si="5"/>
        <v>0</v>
      </c>
      <c r="M46" s="1">
        <f t="shared" si="6"/>
        <v>0</v>
      </c>
      <c r="N46" s="1" t="str">
        <f t="shared" si="7"/>
        <v>宽货币紧财政</v>
      </c>
      <c r="P46" s="42">
        <v>43555</v>
      </c>
      <c r="Q46" s="44">
        <v>22.821214873108801</v>
      </c>
      <c r="R46" s="45">
        <v>2.7906428571428599</v>
      </c>
      <c r="S46" s="1">
        <v>1</v>
      </c>
      <c r="T46" s="1">
        <f t="shared" si="8"/>
        <v>0</v>
      </c>
      <c r="U46" s="1">
        <v>0</v>
      </c>
      <c r="V46" s="1">
        <f t="shared" si="9"/>
        <v>1</v>
      </c>
      <c r="W46" s="1">
        <f t="shared" si="10"/>
        <v>0</v>
      </c>
      <c r="X46" s="1">
        <f t="shared" si="11"/>
        <v>1</v>
      </c>
      <c r="Y46" s="1">
        <f t="shared" si="12"/>
        <v>0</v>
      </c>
      <c r="Z46" s="1">
        <f t="shared" si="13"/>
        <v>0</v>
      </c>
      <c r="AA46" s="1" t="str">
        <f t="shared" si="14"/>
        <v>宽货币紧财政</v>
      </c>
    </row>
    <row r="47" spans="1:27" x14ac:dyDescent="0.3">
      <c r="A47" s="31">
        <v>43585</v>
      </c>
      <c r="B47" s="36">
        <v>1.2335277586823701</v>
      </c>
      <c r="C47" s="36">
        <v>1.0769458855152201</v>
      </c>
      <c r="D47" s="33">
        <v>0.34565862488673899</v>
      </c>
      <c r="E47" s="40">
        <v>99.256621064903698</v>
      </c>
      <c r="F47" s="1">
        <v>1</v>
      </c>
      <c r="G47" s="1">
        <f t="shared" si="1"/>
        <v>0</v>
      </c>
      <c r="H47" s="1">
        <v>0</v>
      </c>
      <c r="I47" s="1">
        <f t="shared" si="2"/>
        <v>1</v>
      </c>
      <c r="J47" s="1">
        <f t="shared" si="3"/>
        <v>0</v>
      </c>
      <c r="K47" s="1">
        <f t="shared" si="4"/>
        <v>1</v>
      </c>
      <c r="L47" s="1">
        <f t="shared" si="5"/>
        <v>0</v>
      </c>
      <c r="M47" s="1">
        <f t="shared" si="6"/>
        <v>0</v>
      </c>
      <c r="N47" s="1" t="str">
        <f t="shared" si="7"/>
        <v>宽货币紧财政</v>
      </c>
      <c r="P47" s="42">
        <v>43585</v>
      </c>
      <c r="Q47" s="44">
        <v>19.766225821753601</v>
      </c>
      <c r="R47" s="45">
        <v>2.81304545454545</v>
      </c>
      <c r="S47" s="1">
        <v>1</v>
      </c>
      <c r="T47" s="1">
        <f t="shared" si="8"/>
        <v>0</v>
      </c>
      <c r="U47" s="1">
        <v>0</v>
      </c>
      <c r="V47" s="1">
        <f t="shared" si="9"/>
        <v>1</v>
      </c>
      <c r="W47" s="1">
        <f t="shared" si="10"/>
        <v>0</v>
      </c>
      <c r="X47" s="1">
        <f t="shared" si="11"/>
        <v>1</v>
      </c>
      <c r="Y47" s="1">
        <f t="shared" si="12"/>
        <v>0</v>
      </c>
      <c r="Z47" s="1">
        <f t="shared" si="13"/>
        <v>0</v>
      </c>
      <c r="AA47" s="1" t="str">
        <f t="shared" si="14"/>
        <v>宽货币紧财政</v>
      </c>
    </row>
    <row r="48" spans="1:27" x14ac:dyDescent="0.3">
      <c r="A48" s="31">
        <v>43616</v>
      </c>
      <c r="B48" s="36">
        <v>1.2242217313266499</v>
      </c>
      <c r="C48" s="36">
        <v>1.0720973644616201</v>
      </c>
      <c r="D48" s="33">
        <v>0.499631311834487</v>
      </c>
      <c r="E48" s="40">
        <v>99.522957744624904</v>
      </c>
      <c r="F48" s="1">
        <v>1</v>
      </c>
      <c r="G48" s="1">
        <f t="shared" si="1"/>
        <v>0</v>
      </c>
      <c r="H48" s="1">
        <v>0</v>
      </c>
      <c r="I48" s="1">
        <f t="shared" si="2"/>
        <v>1</v>
      </c>
      <c r="J48" s="1">
        <f t="shared" si="3"/>
        <v>0</v>
      </c>
      <c r="K48" s="1">
        <f t="shared" si="4"/>
        <v>1</v>
      </c>
      <c r="L48" s="1">
        <f t="shared" si="5"/>
        <v>0</v>
      </c>
      <c r="M48" s="1">
        <f t="shared" si="6"/>
        <v>0</v>
      </c>
      <c r="N48" s="1" t="str">
        <f t="shared" si="7"/>
        <v>宽货币紧财政</v>
      </c>
      <c r="P48" s="42">
        <v>43616</v>
      </c>
      <c r="Q48" s="44">
        <v>16.591507840315899</v>
      </c>
      <c r="R48" s="45">
        <v>2.9065714285714299</v>
      </c>
      <c r="S48" s="1">
        <v>1</v>
      </c>
      <c r="T48" s="1">
        <f t="shared" si="8"/>
        <v>0</v>
      </c>
      <c r="U48" s="1">
        <v>0</v>
      </c>
      <c r="V48" s="1">
        <f t="shared" si="9"/>
        <v>1</v>
      </c>
      <c r="W48" s="1">
        <f t="shared" si="10"/>
        <v>0</v>
      </c>
      <c r="X48" s="1">
        <f t="shared" si="11"/>
        <v>1</v>
      </c>
      <c r="Y48" s="1">
        <f t="shared" si="12"/>
        <v>0</v>
      </c>
      <c r="Z48" s="1">
        <f t="shared" si="13"/>
        <v>0</v>
      </c>
      <c r="AA48" s="1" t="str">
        <f t="shared" si="14"/>
        <v>宽货币紧财政</v>
      </c>
    </row>
    <row r="49" spans="1:27" x14ac:dyDescent="0.3">
      <c r="A49" s="31">
        <v>43646</v>
      </c>
      <c r="B49" s="36">
        <v>1.1581909915173101</v>
      </c>
      <c r="C49" s="36">
        <v>1.0237719119794</v>
      </c>
      <c r="D49" s="33">
        <v>0.66579368021525098</v>
      </c>
      <c r="E49" s="40">
        <v>100.121709770377</v>
      </c>
      <c r="F49" s="1">
        <v>1</v>
      </c>
      <c r="G49" s="1">
        <f t="shared" si="1"/>
        <v>0</v>
      </c>
      <c r="H49" s="1">
        <v>0</v>
      </c>
      <c r="I49" s="1">
        <f t="shared" si="2"/>
        <v>1</v>
      </c>
      <c r="J49" s="1">
        <f t="shared" si="3"/>
        <v>0</v>
      </c>
      <c r="K49" s="1">
        <f t="shared" si="4"/>
        <v>1</v>
      </c>
      <c r="L49" s="1">
        <f t="shared" si="5"/>
        <v>0</v>
      </c>
      <c r="M49" s="1">
        <f t="shared" si="6"/>
        <v>0</v>
      </c>
      <c r="N49" s="1" t="str">
        <f t="shared" si="7"/>
        <v>宽货币紧财政</v>
      </c>
      <c r="P49" s="42">
        <v>43646</v>
      </c>
      <c r="Q49" s="44">
        <v>15.0054204019679</v>
      </c>
      <c r="R49" s="45">
        <v>2.8859473684210499</v>
      </c>
      <c r="S49" s="1">
        <v>1</v>
      </c>
      <c r="T49" s="1">
        <f t="shared" si="8"/>
        <v>0</v>
      </c>
      <c r="U49" s="1">
        <v>0</v>
      </c>
      <c r="V49" s="1">
        <f t="shared" si="9"/>
        <v>1</v>
      </c>
      <c r="W49" s="1">
        <f t="shared" si="10"/>
        <v>0</v>
      </c>
      <c r="X49" s="1">
        <f t="shared" si="11"/>
        <v>1</v>
      </c>
      <c r="Y49" s="1">
        <f t="shared" si="12"/>
        <v>0</v>
      </c>
      <c r="Z49" s="1">
        <f t="shared" si="13"/>
        <v>0</v>
      </c>
      <c r="AA49" s="1" t="str">
        <f t="shared" si="14"/>
        <v>宽货币紧财政</v>
      </c>
    </row>
    <row r="50" spans="1:27" x14ac:dyDescent="0.3">
      <c r="A50" s="31">
        <v>43677</v>
      </c>
      <c r="B50" s="36">
        <v>1.1183640737329299</v>
      </c>
      <c r="C50" s="36">
        <v>1.0279468614738401</v>
      </c>
      <c r="D50" s="33">
        <v>0.82692090261835904</v>
      </c>
      <c r="E50" s="40">
        <v>99.330406630018302</v>
      </c>
      <c r="F50" s="1">
        <v>1</v>
      </c>
      <c r="G50" s="1">
        <f t="shared" si="1"/>
        <v>0</v>
      </c>
      <c r="H50" s="1">
        <v>0</v>
      </c>
      <c r="I50" s="1">
        <f t="shared" si="2"/>
        <v>1</v>
      </c>
      <c r="J50" s="1">
        <f t="shared" si="3"/>
        <v>0</v>
      </c>
      <c r="K50" s="1">
        <f t="shared" si="4"/>
        <v>1</v>
      </c>
      <c r="L50" s="1">
        <f t="shared" si="5"/>
        <v>0</v>
      </c>
      <c r="M50" s="1">
        <f t="shared" si="6"/>
        <v>0</v>
      </c>
      <c r="N50" s="1" t="str">
        <f t="shared" si="7"/>
        <v>宽货币紧财政</v>
      </c>
      <c r="P50" s="42">
        <v>43677</v>
      </c>
      <c r="Q50" s="44">
        <v>14.8964313946567</v>
      </c>
      <c r="R50" s="45">
        <v>2.6233913043478299</v>
      </c>
      <c r="S50" s="1">
        <v>1</v>
      </c>
      <c r="T50" s="1">
        <f t="shared" si="8"/>
        <v>0</v>
      </c>
      <c r="U50" s="1">
        <v>0</v>
      </c>
      <c r="V50" s="1">
        <f t="shared" si="9"/>
        <v>1</v>
      </c>
      <c r="W50" s="1">
        <f t="shared" si="10"/>
        <v>0</v>
      </c>
      <c r="X50" s="1">
        <f t="shared" si="11"/>
        <v>1</v>
      </c>
      <c r="Y50" s="1">
        <f t="shared" si="12"/>
        <v>0</v>
      </c>
      <c r="Z50" s="1">
        <f t="shared" si="13"/>
        <v>0</v>
      </c>
      <c r="AA50" s="1" t="str">
        <f t="shared" si="14"/>
        <v>宽货币紧财政</v>
      </c>
    </row>
    <row r="51" spans="1:27" x14ac:dyDescent="0.3">
      <c r="A51" s="31">
        <v>43708</v>
      </c>
      <c r="B51" s="36">
        <v>1.06115949430112</v>
      </c>
      <c r="C51" s="36">
        <v>0.99694702169003302</v>
      </c>
      <c r="D51" s="33">
        <v>0.99216223387918201</v>
      </c>
      <c r="E51" s="40">
        <v>99.275046775470102</v>
      </c>
      <c r="F51" s="1">
        <v>1</v>
      </c>
      <c r="G51" s="1">
        <f t="shared" si="1"/>
        <v>0</v>
      </c>
      <c r="H51" s="1">
        <v>0</v>
      </c>
      <c r="I51" s="1">
        <f t="shared" si="2"/>
        <v>1</v>
      </c>
      <c r="J51" s="1">
        <f t="shared" si="3"/>
        <v>0</v>
      </c>
      <c r="K51" s="1">
        <f t="shared" si="4"/>
        <v>1</v>
      </c>
      <c r="L51" s="1">
        <f t="shared" si="5"/>
        <v>0</v>
      </c>
      <c r="M51" s="1">
        <f t="shared" si="6"/>
        <v>0</v>
      </c>
      <c r="N51" s="1" t="str">
        <f t="shared" si="7"/>
        <v>宽货币紧财政</v>
      </c>
      <c r="P51" s="42">
        <v>43708</v>
      </c>
      <c r="Q51" s="44">
        <v>13.713475898305701</v>
      </c>
      <c r="R51" s="45">
        <v>2.6622818181818202</v>
      </c>
      <c r="S51" s="1">
        <v>0</v>
      </c>
      <c r="T51" s="1">
        <f t="shared" si="8"/>
        <v>1</v>
      </c>
      <c r="U51" s="1">
        <v>0</v>
      </c>
      <c r="V51" s="1">
        <f t="shared" si="9"/>
        <v>1</v>
      </c>
      <c r="W51" s="1">
        <f t="shared" si="10"/>
        <v>0</v>
      </c>
      <c r="X51" s="1">
        <f t="shared" si="11"/>
        <v>0</v>
      </c>
      <c r="Y51" s="1">
        <f t="shared" si="12"/>
        <v>0</v>
      </c>
      <c r="Z51" s="1">
        <f t="shared" si="13"/>
        <v>1</v>
      </c>
      <c r="AA51" s="1" t="str">
        <f t="shared" si="14"/>
        <v>双紧</v>
      </c>
    </row>
    <row r="52" spans="1:27" x14ac:dyDescent="0.3">
      <c r="A52" s="31">
        <v>43738</v>
      </c>
      <c r="B52" s="36">
        <v>1.0261622557374299</v>
      </c>
      <c r="C52" s="36">
        <v>1.01298147180014</v>
      </c>
      <c r="D52" s="33">
        <v>1.1594159045574799</v>
      </c>
      <c r="E52" s="40">
        <v>99.679140172252502</v>
      </c>
      <c r="F52" s="1">
        <v>1</v>
      </c>
      <c r="G52" s="1">
        <f t="shared" si="1"/>
        <v>0</v>
      </c>
      <c r="H52" s="1">
        <v>0</v>
      </c>
      <c r="I52" s="1">
        <f t="shared" si="2"/>
        <v>1</v>
      </c>
      <c r="J52" s="1">
        <f t="shared" si="3"/>
        <v>0</v>
      </c>
      <c r="K52" s="1">
        <f t="shared" si="4"/>
        <v>1</v>
      </c>
      <c r="L52" s="1">
        <f t="shared" si="5"/>
        <v>0</v>
      </c>
      <c r="M52" s="1">
        <f t="shared" si="6"/>
        <v>0</v>
      </c>
      <c r="N52" s="1" t="str">
        <f t="shared" si="7"/>
        <v>宽货币紧财政</v>
      </c>
      <c r="P52" s="42">
        <v>43738</v>
      </c>
      <c r="Q52" s="44">
        <v>12.845194073031299</v>
      </c>
      <c r="R52" s="45">
        <v>2.7138571428571399</v>
      </c>
      <c r="S52" s="1">
        <v>0</v>
      </c>
      <c r="T52" s="1">
        <f t="shared" si="8"/>
        <v>1</v>
      </c>
      <c r="U52" s="1">
        <v>0</v>
      </c>
      <c r="V52" s="1">
        <f t="shared" si="9"/>
        <v>1</v>
      </c>
      <c r="W52" s="1">
        <f t="shared" si="10"/>
        <v>0</v>
      </c>
      <c r="X52" s="1">
        <f t="shared" si="11"/>
        <v>0</v>
      </c>
      <c r="Y52" s="1">
        <f t="shared" si="12"/>
        <v>0</v>
      </c>
      <c r="Z52" s="1">
        <f t="shared" si="13"/>
        <v>1</v>
      </c>
      <c r="AA52" s="1" t="str">
        <f t="shared" si="14"/>
        <v>双紧</v>
      </c>
    </row>
    <row r="53" spans="1:27" x14ac:dyDescent="0.3">
      <c r="A53" s="31">
        <v>43769</v>
      </c>
      <c r="B53" s="36">
        <v>0.96251795620594904</v>
      </c>
      <c r="C53" s="36">
        <v>0.96219507332902499</v>
      </c>
      <c r="D53" s="33">
        <v>1.30979469584994</v>
      </c>
      <c r="E53" s="40">
        <v>99.606060296242205</v>
      </c>
      <c r="F53" s="1">
        <v>1</v>
      </c>
      <c r="G53" s="1">
        <f t="shared" si="1"/>
        <v>0</v>
      </c>
      <c r="H53" s="1">
        <v>0</v>
      </c>
      <c r="I53" s="1">
        <f t="shared" si="2"/>
        <v>1</v>
      </c>
      <c r="J53" s="1">
        <f t="shared" si="3"/>
        <v>0</v>
      </c>
      <c r="K53" s="1">
        <f t="shared" si="4"/>
        <v>1</v>
      </c>
      <c r="L53" s="1">
        <f t="shared" si="5"/>
        <v>0</v>
      </c>
      <c r="M53" s="1">
        <f t="shared" si="6"/>
        <v>0</v>
      </c>
      <c r="N53" s="1" t="str">
        <f t="shared" si="7"/>
        <v>宽货币紧财政</v>
      </c>
      <c r="P53" s="42">
        <v>43769</v>
      </c>
      <c r="Q53" s="44">
        <v>12.0772955214305</v>
      </c>
      <c r="R53" s="45">
        <v>2.7748947368421</v>
      </c>
      <c r="S53" s="1">
        <v>0</v>
      </c>
      <c r="T53" s="1">
        <f t="shared" si="8"/>
        <v>1</v>
      </c>
      <c r="U53" s="1">
        <v>0</v>
      </c>
      <c r="V53" s="1">
        <f t="shared" si="9"/>
        <v>1</v>
      </c>
      <c r="W53" s="1">
        <f t="shared" si="10"/>
        <v>0</v>
      </c>
      <c r="X53" s="1">
        <f t="shared" si="11"/>
        <v>0</v>
      </c>
      <c r="Y53" s="1">
        <f t="shared" si="12"/>
        <v>0</v>
      </c>
      <c r="Z53" s="1">
        <f t="shared" si="13"/>
        <v>1</v>
      </c>
      <c r="AA53" s="1" t="str">
        <f t="shared" si="14"/>
        <v>双紧</v>
      </c>
    </row>
    <row r="54" spans="1:27" x14ac:dyDescent="0.3">
      <c r="A54" s="31">
        <v>43799</v>
      </c>
      <c r="B54" s="36">
        <v>0.88755087658334297</v>
      </c>
      <c r="C54" s="36">
        <v>0.94662763582586995</v>
      </c>
      <c r="D54" s="33">
        <v>1.4360369842498</v>
      </c>
      <c r="E54" s="40">
        <v>99.662614633503594</v>
      </c>
      <c r="F54" s="1">
        <v>1</v>
      </c>
      <c r="G54" s="1">
        <f t="shared" si="1"/>
        <v>0</v>
      </c>
      <c r="H54" s="1">
        <v>0</v>
      </c>
      <c r="I54" s="1">
        <f t="shared" si="2"/>
        <v>1</v>
      </c>
      <c r="J54" s="1">
        <f t="shared" si="3"/>
        <v>0</v>
      </c>
      <c r="K54" s="1">
        <f t="shared" si="4"/>
        <v>1</v>
      </c>
      <c r="L54" s="1">
        <f t="shared" si="5"/>
        <v>0</v>
      </c>
      <c r="M54" s="1">
        <f t="shared" si="6"/>
        <v>0</v>
      </c>
      <c r="N54" s="1" t="str">
        <f t="shared" si="7"/>
        <v>宽货币紧财政</v>
      </c>
      <c r="P54" s="42">
        <v>43799</v>
      </c>
      <c r="Q54" s="44">
        <v>10.510824046104201</v>
      </c>
      <c r="R54" s="45">
        <v>2.9901428571428599</v>
      </c>
      <c r="S54" s="1">
        <v>0</v>
      </c>
      <c r="T54" s="1">
        <f t="shared" si="8"/>
        <v>1</v>
      </c>
      <c r="U54" s="1">
        <v>0</v>
      </c>
      <c r="V54" s="1">
        <f t="shared" si="9"/>
        <v>1</v>
      </c>
      <c r="W54" s="1">
        <f t="shared" si="10"/>
        <v>0</v>
      </c>
      <c r="X54" s="1">
        <f t="shared" si="11"/>
        <v>0</v>
      </c>
      <c r="Y54" s="1">
        <f t="shared" si="12"/>
        <v>0</v>
      </c>
      <c r="Z54" s="1">
        <f t="shared" si="13"/>
        <v>1</v>
      </c>
      <c r="AA54" s="1" t="str">
        <f t="shared" si="14"/>
        <v>双紧</v>
      </c>
    </row>
    <row r="55" spans="1:27" x14ac:dyDescent="0.3">
      <c r="A55" s="31">
        <v>43830</v>
      </c>
      <c r="B55" s="37">
        <v>0.82852773849113603</v>
      </c>
      <c r="C55" s="37">
        <v>0.95923653925469299</v>
      </c>
      <c r="D55" s="38">
        <v>1.52531389483173</v>
      </c>
      <c r="E55" s="39">
        <v>100.199222610045</v>
      </c>
      <c r="F55" s="1">
        <v>1</v>
      </c>
      <c r="G55" s="1">
        <f t="shared" si="1"/>
        <v>0</v>
      </c>
      <c r="H55" s="1">
        <v>0</v>
      </c>
      <c r="I55" s="1">
        <f t="shared" si="2"/>
        <v>1</v>
      </c>
      <c r="J55" s="1">
        <f t="shared" si="3"/>
        <v>0</v>
      </c>
      <c r="K55" s="1">
        <f t="shared" si="4"/>
        <v>1</v>
      </c>
      <c r="L55" s="1">
        <f t="shared" si="5"/>
        <v>0</v>
      </c>
      <c r="M55" s="1">
        <f t="shared" si="6"/>
        <v>0</v>
      </c>
      <c r="N55" s="1" t="str">
        <f t="shared" si="7"/>
        <v>宽货币紧财政</v>
      </c>
      <c r="P55" s="42">
        <v>43830</v>
      </c>
      <c r="Q55" s="44">
        <v>9.5436331550943994</v>
      </c>
      <c r="R55" s="45">
        <v>3.0289954545454498</v>
      </c>
      <c r="S55" s="1">
        <v>0</v>
      </c>
      <c r="T55" s="1">
        <f t="shared" si="8"/>
        <v>1</v>
      </c>
      <c r="U55" s="1">
        <v>0</v>
      </c>
      <c r="V55" s="1">
        <f t="shared" si="9"/>
        <v>1</v>
      </c>
      <c r="W55" s="1">
        <f t="shared" si="10"/>
        <v>0</v>
      </c>
      <c r="X55" s="1">
        <f t="shared" si="11"/>
        <v>0</v>
      </c>
      <c r="Y55" s="1">
        <f t="shared" si="12"/>
        <v>0</v>
      </c>
      <c r="Z55" s="1">
        <f t="shared" si="13"/>
        <v>1</v>
      </c>
      <c r="AA55" s="1" t="str">
        <f t="shared" si="14"/>
        <v>双紧</v>
      </c>
    </row>
    <row r="56" spans="1:27" x14ac:dyDescent="0.3">
      <c r="A56" s="31">
        <v>43890</v>
      </c>
      <c r="B56" s="37">
        <v>1.14479564900495</v>
      </c>
      <c r="C56" s="37">
        <v>1.0758431241148301</v>
      </c>
      <c r="D56" s="38">
        <v>1.56171247544787</v>
      </c>
      <c r="E56" s="39">
        <v>104.280814627932</v>
      </c>
      <c r="F56" s="1">
        <v>1</v>
      </c>
      <c r="G56" s="1">
        <f t="shared" si="1"/>
        <v>0</v>
      </c>
      <c r="H56" s="1">
        <v>1</v>
      </c>
      <c r="I56" s="1">
        <f t="shared" si="2"/>
        <v>0</v>
      </c>
      <c r="J56" s="1">
        <f t="shared" si="3"/>
        <v>1</v>
      </c>
      <c r="K56" s="1">
        <f t="shared" si="4"/>
        <v>0</v>
      </c>
      <c r="L56" s="1">
        <f t="shared" si="5"/>
        <v>0</v>
      </c>
      <c r="M56" s="1">
        <f t="shared" si="6"/>
        <v>0</v>
      </c>
      <c r="N56" s="1" t="str">
        <f t="shared" si="7"/>
        <v>双宽</v>
      </c>
      <c r="P56" s="42">
        <v>43890</v>
      </c>
      <c r="Q56" s="44">
        <v>-5.1564334843147099</v>
      </c>
      <c r="R56" s="45">
        <v>2.6011500000000001</v>
      </c>
      <c r="S56" s="1">
        <v>1</v>
      </c>
      <c r="T56" s="1">
        <f t="shared" si="8"/>
        <v>0</v>
      </c>
      <c r="U56" s="1">
        <v>0</v>
      </c>
      <c r="V56" s="1">
        <f t="shared" si="9"/>
        <v>1</v>
      </c>
      <c r="W56" s="1">
        <f t="shared" si="10"/>
        <v>0</v>
      </c>
      <c r="X56" s="1">
        <f t="shared" si="11"/>
        <v>1</v>
      </c>
      <c r="Y56" s="1">
        <f t="shared" si="12"/>
        <v>0</v>
      </c>
      <c r="Z56" s="1">
        <f t="shared" si="13"/>
        <v>0</v>
      </c>
      <c r="AA56" s="1" t="str">
        <f t="shared" si="14"/>
        <v>宽货币紧财政</v>
      </c>
    </row>
    <row r="57" spans="1:27" x14ac:dyDescent="0.3">
      <c r="A57" s="31">
        <v>43921</v>
      </c>
      <c r="B57" s="37">
        <v>1.25183172599059</v>
      </c>
      <c r="C57" s="37">
        <v>1.14315254845502</v>
      </c>
      <c r="D57" s="38">
        <v>1.5330329190982701</v>
      </c>
      <c r="E57" s="38">
        <v>101.27254609384801</v>
      </c>
      <c r="F57" s="1">
        <v>1</v>
      </c>
      <c r="G57" s="1">
        <f t="shared" si="1"/>
        <v>0</v>
      </c>
      <c r="H57" s="1">
        <v>1</v>
      </c>
      <c r="I57" s="1">
        <f t="shared" si="2"/>
        <v>0</v>
      </c>
      <c r="J57" s="1">
        <f t="shared" si="3"/>
        <v>1</v>
      </c>
      <c r="K57" s="1">
        <f t="shared" si="4"/>
        <v>0</v>
      </c>
      <c r="L57" s="1">
        <f t="shared" si="5"/>
        <v>0</v>
      </c>
      <c r="M57" s="1">
        <f t="shared" si="6"/>
        <v>0</v>
      </c>
      <c r="N57" s="1" t="str">
        <f t="shared" si="7"/>
        <v>双宽</v>
      </c>
      <c r="P57" s="42">
        <v>43921</v>
      </c>
      <c r="Q57" s="44">
        <v>-3.1957166817184901</v>
      </c>
      <c r="R57" s="45">
        <v>2.1530909090909098</v>
      </c>
      <c r="S57" s="1">
        <v>1</v>
      </c>
      <c r="T57" s="1">
        <f t="shared" si="8"/>
        <v>0</v>
      </c>
      <c r="U57" s="1">
        <v>0</v>
      </c>
      <c r="V57" s="1">
        <f t="shared" si="9"/>
        <v>1</v>
      </c>
      <c r="W57" s="1">
        <f t="shared" si="10"/>
        <v>0</v>
      </c>
      <c r="X57" s="1">
        <f t="shared" si="11"/>
        <v>1</v>
      </c>
      <c r="Y57" s="1">
        <f t="shared" si="12"/>
        <v>0</v>
      </c>
      <c r="Z57" s="1">
        <f t="shared" si="13"/>
        <v>0</v>
      </c>
      <c r="AA57" s="1" t="str">
        <f t="shared" si="14"/>
        <v>宽货币紧财政</v>
      </c>
    </row>
    <row r="58" spans="1:27" x14ac:dyDescent="0.3">
      <c r="A58" s="31">
        <v>43951</v>
      </c>
      <c r="B58" s="37">
        <v>1.3796421127970999</v>
      </c>
      <c r="C58" s="37">
        <v>1.2058706968488899</v>
      </c>
      <c r="D58" s="38">
        <v>1.4655049656090999</v>
      </c>
      <c r="E58" s="38">
        <v>101.263204027418</v>
      </c>
      <c r="F58" s="1">
        <v>1</v>
      </c>
      <c r="G58" s="1">
        <f t="shared" si="1"/>
        <v>0</v>
      </c>
      <c r="H58" s="1">
        <v>1</v>
      </c>
      <c r="I58" s="1">
        <f t="shared" si="2"/>
        <v>0</v>
      </c>
      <c r="J58" s="1">
        <f t="shared" si="3"/>
        <v>1</v>
      </c>
      <c r="K58" s="1">
        <f t="shared" si="4"/>
        <v>0</v>
      </c>
      <c r="L58" s="1">
        <f t="shared" si="5"/>
        <v>0</v>
      </c>
      <c r="M58" s="1">
        <f t="shared" si="6"/>
        <v>0</v>
      </c>
      <c r="N58" s="1" t="str">
        <f t="shared" si="7"/>
        <v>双宽</v>
      </c>
      <c r="P58" s="42">
        <v>43951</v>
      </c>
      <c r="Q58" s="44">
        <v>1.2988337003507</v>
      </c>
      <c r="R58" s="45">
        <v>1.51272727272727</v>
      </c>
      <c r="S58" s="1">
        <v>1</v>
      </c>
      <c r="T58" s="1">
        <f t="shared" si="8"/>
        <v>0</v>
      </c>
      <c r="U58" s="1">
        <v>1</v>
      </c>
      <c r="V58" s="1">
        <f t="shared" si="9"/>
        <v>0</v>
      </c>
      <c r="W58" s="1">
        <f t="shared" si="10"/>
        <v>1</v>
      </c>
      <c r="X58" s="1">
        <f t="shared" si="11"/>
        <v>0</v>
      </c>
      <c r="Y58" s="1">
        <f t="shared" si="12"/>
        <v>0</v>
      </c>
      <c r="Z58" s="1">
        <f t="shared" si="13"/>
        <v>0</v>
      </c>
      <c r="AA58" s="1" t="str">
        <f t="shared" si="14"/>
        <v>双宽</v>
      </c>
    </row>
    <row r="59" spans="1:27" x14ac:dyDescent="0.3">
      <c r="A59" s="31">
        <v>43982</v>
      </c>
      <c r="B59" s="34">
        <v>1.31878676395075</v>
      </c>
      <c r="C59" s="34">
        <v>1.07232921115643</v>
      </c>
      <c r="D59" s="35">
        <v>1.3699157540190201</v>
      </c>
      <c r="E59" s="35">
        <v>100.539330729428</v>
      </c>
      <c r="F59" s="1">
        <v>0</v>
      </c>
      <c r="G59" s="1">
        <f t="shared" si="1"/>
        <v>1</v>
      </c>
      <c r="H59" s="1">
        <v>0</v>
      </c>
      <c r="I59" s="1">
        <f t="shared" si="2"/>
        <v>1</v>
      </c>
      <c r="J59" s="1">
        <f t="shared" si="3"/>
        <v>0</v>
      </c>
      <c r="K59" s="1">
        <f t="shared" si="4"/>
        <v>0</v>
      </c>
      <c r="L59" s="1">
        <f t="shared" si="5"/>
        <v>0</v>
      </c>
      <c r="M59" s="1">
        <f t="shared" si="6"/>
        <v>1</v>
      </c>
      <c r="N59" s="1" t="str">
        <f t="shared" si="7"/>
        <v>双紧</v>
      </c>
      <c r="P59" s="42">
        <v>43982</v>
      </c>
      <c r="Q59" s="44">
        <v>1.03987425545996</v>
      </c>
      <c r="R59" s="45">
        <v>1.40473684210526</v>
      </c>
      <c r="S59" s="1">
        <v>0</v>
      </c>
      <c r="T59" s="1">
        <f t="shared" si="8"/>
        <v>1</v>
      </c>
      <c r="U59" s="1">
        <v>1</v>
      </c>
      <c r="V59" s="1">
        <f t="shared" si="9"/>
        <v>0</v>
      </c>
      <c r="W59" s="1">
        <f t="shared" si="10"/>
        <v>0</v>
      </c>
      <c r="X59" s="1">
        <f t="shared" si="11"/>
        <v>0</v>
      </c>
      <c r="Y59" s="1">
        <f t="shared" si="12"/>
        <v>1</v>
      </c>
      <c r="Z59" s="1">
        <f t="shared" si="13"/>
        <v>0</v>
      </c>
      <c r="AA59" s="1" t="str">
        <f t="shared" si="14"/>
        <v>紧货币宽财政</v>
      </c>
    </row>
    <row r="60" spans="1:27" x14ac:dyDescent="0.3">
      <c r="A60" s="31">
        <v>44012</v>
      </c>
      <c r="B60" s="34">
        <v>1.1084348048396799</v>
      </c>
      <c r="C60" s="34">
        <v>0.90009178393497102</v>
      </c>
      <c r="D60" s="35">
        <v>1.26889173119702</v>
      </c>
      <c r="E60" s="35">
        <v>99.850556328195296</v>
      </c>
      <c r="F60" s="1">
        <v>0</v>
      </c>
      <c r="G60" s="1">
        <f t="shared" si="1"/>
        <v>1</v>
      </c>
      <c r="H60" s="1">
        <v>0</v>
      </c>
      <c r="I60" s="1">
        <f t="shared" si="2"/>
        <v>1</v>
      </c>
      <c r="J60" s="1">
        <f t="shared" si="3"/>
        <v>0</v>
      </c>
      <c r="K60" s="1">
        <f t="shared" si="4"/>
        <v>0</v>
      </c>
      <c r="L60" s="1">
        <f t="shared" si="5"/>
        <v>0</v>
      </c>
      <c r="M60" s="1">
        <f t="shared" si="6"/>
        <v>1</v>
      </c>
      <c r="N60" s="1" t="str">
        <f t="shared" si="7"/>
        <v>双紧</v>
      </c>
      <c r="P60" s="42">
        <v>44012</v>
      </c>
      <c r="Q60" s="44">
        <v>0.58187294633077802</v>
      </c>
      <c r="R60" s="45">
        <v>1.8831904761904801</v>
      </c>
      <c r="S60" s="1">
        <v>0</v>
      </c>
      <c r="T60" s="1">
        <f t="shared" si="8"/>
        <v>1</v>
      </c>
      <c r="U60" s="1">
        <v>1</v>
      </c>
      <c r="V60" s="1">
        <f t="shared" si="9"/>
        <v>0</v>
      </c>
      <c r="W60" s="1">
        <f t="shared" si="10"/>
        <v>0</v>
      </c>
      <c r="X60" s="1">
        <f t="shared" si="11"/>
        <v>0</v>
      </c>
      <c r="Y60" s="1">
        <f t="shared" si="12"/>
        <v>1</v>
      </c>
      <c r="Z60" s="1">
        <f t="shared" si="13"/>
        <v>0</v>
      </c>
      <c r="AA60" s="1" t="str">
        <f t="shared" si="14"/>
        <v>紧货币宽财政</v>
      </c>
    </row>
    <row r="61" spans="1:27" x14ac:dyDescent="0.3">
      <c r="A61" s="31">
        <v>44043</v>
      </c>
      <c r="B61" s="34">
        <v>1.0760048232760999</v>
      </c>
      <c r="C61" s="34">
        <v>1.0519047452969399</v>
      </c>
      <c r="D61" s="35">
        <v>1.17805482457412</v>
      </c>
      <c r="E61" s="35">
        <v>99.702257053386006</v>
      </c>
      <c r="F61" s="1">
        <v>0</v>
      </c>
      <c r="G61" s="1">
        <f t="shared" si="1"/>
        <v>1</v>
      </c>
      <c r="H61" s="1">
        <v>0</v>
      </c>
      <c r="I61" s="1">
        <f t="shared" si="2"/>
        <v>1</v>
      </c>
      <c r="J61" s="1">
        <f t="shared" si="3"/>
        <v>0</v>
      </c>
      <c r="K61" s="1">
        <f t="shared" si="4"/>
        <v>0</v>
      </c>
      <c r="L61" s="1">
        <f t="shared" si="5"/>
        <v>0</v>
      </c>
      <c r="M61" s="1">
        <f t="shared" si="6"/>
        <v>1</v>
      </c>
      <c r="N61" s="1" t="str">
        <f t="shared" si="7"/>
        <v>双紧</v>
      </c>
      <c r="P61" s="42">
        <v>44043</v>
      </c>
      <c r="Q61" s="44">
        <v>2.2339906473913</v>
      </c>
      <c r="R61" s="45">
        <v>2.3283043478260899</v>
      </c>
      <c r="S61" s="1">
        <v>0</v>
      </c>
      <c r="T61" s="1">
        <f t="shared" si="8"/>
        <v>1</v>
      </c>
      <c r="U61" s="1">
        <v>1</v>
      </c>
      <c r="V61" s="1">
        <f t="shared" si="9"/>
        <v>0</v>
      </c>
      <c r="W61" s="1">
        <f t="shared" si="10"/>
        <v>0</v>
      </c>
      <c r="X61" s="1">
        <f t="shared" si="11"/>
        <v>0</v>
      </c>
      <c r="Y61" s="1">
        <f t="shared" si="12"/>
        <v>1</v>
      </c>
      <c r="Z61" s="1">
        <f t="shared" si="13"/>
        <v>0</v>
      </c>
      <c r="AA61" s="1" t="str">
        <f t="shared" si="14"/>
        <v>紧货币宽财政</v>
      </c>
    </row>
    <row r="62" spans="1:27" x14ac:dyDescent="0.3">
      <c r="A62" s="31">
        <v>44074</v>
      </c>
      <c r="B62" s="34">
        <v>1.0601993513132899</v>
      </c>
      <c r="C62" s="34">
        <v>1.03792287813374</v>
      </c>
      <c r="D62" s="35">
        <v>1.12050005258246</v>
      </c>
      <c r="E62" s="35">
        <v>99.685514766767795</v>
      </c>
      <c r="F62" s="1">
        <v>0</v>
      </c>
      <c r="G62" s="1">
        <f t="shared" si="1"/>
        <v>1</v>
      </c>
      <c r="H62" s="1">
        <v>0</v>
      </c>
      <c r="I62" s="1">
        <f t="shared" si="2"/>
        <v>1</v>
      </c>
      <c r="J62" s="1">
        <f t="shared" si="3"/>
        <v>0</v>
      </c>
      <c r="K62" s="1">
        <f t="shared" si="4"/>
        <v>0</v>
      </c>
      <c r="L62" s="1">
        <f t="shared" si="5"/>
        <v>0</v>
      </c>
      <c r="M62" s="1">
        <f t="shared" si="6"/>
        <v>1</v>
      </c>
      <c r="N62" s="1" t="str">
        <f t="shared" si="7"/>
        <v>双紧</v>
      </c>
      <c r="P62" s="42">
        <v>44074</v>
      </c>
      <c r="Q62" s="44">
        <v>3.88700477129836</v>
      </c>
      <c r="R62" s="45">
        <v>2.6053809523809499</v>
      </c>
      <c r="S62" s="1">
        <v>0</v>
      </c>
      <c r="T62" s="1">
        <f t="shared" si="8"/>
        <v>1</v>
      </c>
      <c r="U62" s="1">
        <v>1</v>
      </c>
      <c r="V62" s="1">
        <f t="shared" si="9"/>
        <v>0</v>
      </c>
      <c r="W62" s="1">
        <f t="shared" si="10"/>
        <v>0</v>
      </c>
      <c r="X62" s="1">
        <f t="shared" si="11"/>
        <v>0</v>
      </c>
      <c r="Y62" s="1">
        <f t="shared" si="12"/>
        <v>1</v>
      </c>
      <c r="Z62" s="1">
        <f t="shared" si="13"/>
        <v>0</v>
      </c>
      <c r="AA62" s="1" t="str">
        <f t="shared" si="14"/>
        <v>紧货币宽财政</v>
      </c>
    </row>
    <row r="63" spans="1:27" x14ac:dyDescent="0.3">
      <c r="A63" s="31">
        <v>44104</v>
      </c>
      <c r="B63" s="34">
        <v>1.0205426944213101</v>
      </c>
      <c r="C63" s="34">
        <v>1.0072408920853999</v>
      </c>
      <c r="D63" s="35">
        <v>1.0977236215341</v>
      </c>
      <c r="E63" s="35">
        <v>99.655704830750906</v>
      </c>
      <c r="F63" s="1">
        <v>0</v>
      </c>
      <c r="G63" s="1">
        <f t="shared" si="1"/>
        <v>1</v>
      </c>
      <c r="H63" s="1">
        <v>0</v>
      </c>
      <c r="I63" s="1">
        <f t="shared" si="2"/>
        <v>1</v>
      </c>
      <c r="J63" s="1">
        <f t="shared" si="3"/>
        <v>0</v>
      </c>
      <c r="K63" s="1">
        <f t="shared" si="4"/>
        <v>0</v>
      </c>
      <c r="L63" s="1">
        <f t="shared" si="5"/>
        <v>0</v>
      </c>
      <c r="M63" s="1">
        <f t="shared" si="6"/>
        <v>1</v>
      </c>
      <c r="N63" s="1" t="str">
        <f t="shared" si="7"/>
        <v>双紧</v>
      </c>
      <c r="P63" s="42">
        <v>44104</v>
      </c>
      <c r="Q63" s="44">
        <v>5.4176720193027696</v>
      </c>
      <c r="R63" s="45">
        <v>2.67669565217391</v>
      </c>
      <c r="S63" s="1">
        <v>0</v>
      </c>
      <c r="T63" s="1">
        <f t="shared" si="8"/>
        <v>1</v>
      </c>
      <c r="U63" s="1">
        <v>1</v>
      </c>
      <c r="V63" s="1">
        <f t="shared" si="9"/>
        <v>0</v>
      </c>
      <c r="W63" s="1">
        <f t="shared" si="10"/>
        <v>0</v>
      </c>
      <c r="X63" s="1">
        <f t="shared" si="11"/>
        <v>0</v>
      </c>
      <c r="Y63" s="1">
        <f t="shared" si="12"/>
        <v>1</v>
      </c>
      <c r="Z63" s="1">
        <f t="shared" si="13"/>
        <v>0</v>
      </c>
      <c r="AA63" s="1" t="str">
        <f t="shared" si="14"/>
        <v>紧货币宽财政</v>
      </c>
    </row>
    <row r="64" spans="1:27" x14ac:dyDescent="0.3">
      <c r="A64" s="31">
        <v>44135</v>
      </c>
      <c r="B64" s="34">
        <v>1.0269808202545301</v>
      </c>
      <c r="C64" s="34">
        <v>1.0733238342550599</v>
      </c>
      <c r="D64" s="35">
        <v>1.08792245888059</v>
      </c>
      <c r="E64" s="35">
        <v>99.174565663736502</v>
      </c>
      <c r="F64" s="1">
        <v>0</v>
      </c>
      <c r="G64" s="1">
        <f t="shared" si="1"/>
        <v>1</v>
      </c>
      <c r="H64" s="1">
        <v>0</v>
      </c>
      <c r="I64" s="1">
        <f t="shared" si="2"/>
        <v>1</v>
      </c>
      <c r="J64" s="1">
        <f t="shared" si="3"/>
        <v>0</v>
      </c>
      <c r="K64" s="1">
        <f t="shared" si="4"/>
        <v>0</v>
      </c>
      <c r="L64" s="1">
        <f t="shared" si="5"/>
        <v>0</v>
      </c>
      <c r="M64" s="1">
        <f t="shared" si="6"/>
        <v>1</v>
      </c>
      <c r="N64" s="1" t="str">
        <f t="shared" si="7"/>
        <v>双紧</v>
      </c>
      <c r="P64" s="42">
        <v>44135</v>
      </c>
      <c r="Q64" s="44">
        <v>6.1041375745465496</v>
      </c>
      <c r="R64" s="45">
        <v>2.8344117647058802</v>
      </c>
      <c r="S64" s="1">
        <v>0</v>
      </c>
      <c r="T64" s="1">
        <f t="shared" si="8"/>
        <v>1</v>
      </c>
      <c r="U64" s="1">
        <v>1</v>
      </c>
      <c r="V64" s="1">
        <f t="shared" si="9"/>
        <v>0</v>
      </c>
      <c r="W64" s="1">
        <f t="shared" si="10"/>
        <v>0</v>
      </c>
      <c r="X64" s="1">
        <f t="shared" si="11"/>
        <v>0</v>
      </c>
      <c r="Y64" s="1">
        <f t="shared" si="12"/>
        <v>1</v>
      </c>
      <c r="Z64" s="1">
        <f t="shared" si="13"/>
        <v>0</v>
      </c>
      <c r="AA64" s="1" t="str">
        <f t="shared" si="14"/>
        <v>紧货币宽财政</v>
      </c>
    </row>
    <row r="65" spans="1:27" x14ac:dyDescent="0.3">
      <c r="A65" s="31">
        <v>44165</v>
      </c>
      <c r="B65" s="36">
        <v>1.04775208532998</v>
      </c>
      <c r="C65" s="36">
        <v>1.07590862574205</v>
      </c>
      <c r="D65" s="33">
        <v>1.0807998944525099</v>
      </c>
      <c r="E65" s="33">
        <v>99.708505853147003</v>
      </c>
      <c r="F65" s="1">
        <v>1</v>
      </c>
      <c r="G65" s="1">
        <f t="shared" si="1"/>
        <v>0</v>
      </c>
      <c r="H65" s="1">
        <v>0</v>
      </c>
      <c r="I65" s="1">
        <f t="shared" si="2"/>
        <v>1</v>
      </c>
      <c r="J65" s="1">
        <f t="shared" si="3"/>
        <v>0</v>
      </c>
      <c r="K65" s="1">
        <f t="shared" si="4"/>
        <v>1</v>
      </c>
      <c r="L65" s="1">
        <f t="shared" si="5"/>
        <v>0</v>
      </c>
      <c r="M65" s="1">
        <f t="shared" si="6"/>
        <v>0</v>
      </c>
      <c r="N65" s="1" t="str">
        <f t="shared" si="7"/>
        <v>宽货币紧财政</v>
      </c>
      <c r="P65" s="42">
        <v>44165</v>
      </c>
      <c r="Q65" s="44">
        <v>7.4210714525968404</v>
      </c>
      <c r="R65" s="45">
        <v>3.0278571428571399</v>
      </c>
      <c r="S65" s="1">
        <v>0</v>
      </c>
      <c r="T65" s="1">
        <f t="shared" si="8"/>
        <v>1</v>
      </c>
      <c r="U65" s="1">
        <v>1</v>
      </c>
      <c r="V65" s="1">
        <f t="shared" si="9"/>
        <v>0</v>
      </c>
      <c r="W65" s="1">
        <f t="shared" si="10"/>
        <v>0</v>
      </c>
      <c r="X65" s="1">
        <f t="shared" si="11"/>
        <v>0</v>
      </c>
      <c r="Y65" s="1">
        <f t="shared" si="12"/>
        <v>1</v>
      </c>
      <c r="Z65" s="1">
        <f t="shared" si="13"/>
        <v>0</v>
      </c>
      <c r="AA65" s="1" t="str">
        <f t="shared" si="14"/>
        <v>紧货币宽财政</v>
      </c>
    </row>
    <row r="66" spans="1:27" x14ac:dyDescent="0.3">
      <c r="A66" s="31">
        <v>44196</v>
      </c>
      <c r="B66" s="36">
        <v>1.0524164925509101</v>
      </c>
      <c r="C66" s="36">
        <v>1.01046555044913</v>
      </c>
      <c r="D66" s="33">
        <v>1.0598980831185001</v>
      </c>
      <c r="E66" s="33">
        <v>100.155046685746</v>
      </c>
      <c r="F66" s="1">
        <v>1</v>
      </c>
      <c r="G66" s="1">
        <f t="shared" si="1"/>
        <v>0</v>
      </c>
      <c r="H66" s="1">
        <v>0</v>
      </c>
      <c r="I66" s="1">
        <f t="shared" si="2"/>
        <v>1</v>
      </c>
      <c r="J66" s="1">
        <f t="shared" si="3"/>
        <v>0</v>
      </c>
      <c r="K66" s="1">
        <f t="shared" si="4"/>
        <v>1</v>
      </c>
      <c r="L66" s="1">
        <f t="shared" si="5"/>
        <v>0</v>
      </c>
      <c r="M66" s="1">
        <f t="shared" si="6"/>
        <v>0</v>
      </c>
      <c r="N66" s="1" t="str">
        <f t="shared" si="7"/>
        <v>宽货币紧财政</v>
      </c>
      <c r="P66" s="42">
        <v>44196</v>
      </c>
      <c r="Q66" s="44">
        <v>10.098141043305001</v>
      </c>
      <c r="R66" s="45">
        <v>2.9256521739130399</v>
      </c>
      <c r="S66" s="1">
        <v>1</v>
      </c>
      <c r="T66" s="1">
        <f t="shared" si="8"/>
        <v>0</v>
      </c>
      <c r="U66" s="1">
        <v>1</v>
      </c>
      <c r="V66" s="1">
        <f t="shared" si="9"/>
        <v>0</v>
      </c>
      <c r="W66" s="1">
        <f t="shared" si="10"/>
        <v>1</v>
      </c>
      <c r="X66" s="1">
        <f t="shared" si="11"/>
        <v>0</v>
      </c>
      <c r="Y66" s="1">
        <f t="shared" si="12"/>
        <v>0</v>
      </c>
      <c r="Z66" s="1">
        <f t="shared" si="13"/>
        <v>0</v>
      </c>
      <c r="AA66" s="1" t="str">
        <f t="shared" si="14"/>
        <v>双宽</v>
      </c>
    </row>
    <row r="67" spans="1:27" x14ac:dyDescent="0.3">
      <c r="A67" s="31">
        <v>44255</v>
      </c>
      <c r="B67" s="36">
        <v>0.59940776310385502</v>
      </c>
      <c r="C67" s="36">
        <v>0.932865010010547</v>
      </c>
      <c r="D67" s="33">
        <v>0.96171287717033105</v>
      </c>
      <c r="E67" s="33">
        <v>100.20092702068899</v>
      </c>
      <c r="F67" s="1">
        <v>1</v>
      </c>
      <c r="G67" s="1">
        <f t="shared" si="1"/>
        <v>0</v>
      </c>
      <c r="H67" s="1">
        <v>0</v>
      </c>
      <c r="I67" s="1">
        <f t="shared" si="2"/>
        <v>1</v>
      </c>
      <c r="J67" s="1">
        <f t="shared" si="3"/>
        <v>0</v>
      </c>
      <c r="K67" s="1">
        <f t="shared" si="4"/>
        <v>1</v>
      </c>
      <c r="L67" s="1">
        <f t="shared" si="5"/>
        <v>0</v>
      </c>
      <c r="M67" s="1">
        <f t="shared" si="6"/>
        <v>0</v>
      </c>
      <c r="N67" s="1" t="str">
        <f t="shared" si="7"/>
        <v>宽货币紧财政</v>
      </c>
      <c r="P67" s="42">
        <v>44255</v>
      </c>
      <c r="Q67" s="44">
        <v>3.27444781003339</v>
      </c>
      <c r="R67" s="45">
        <v>2.8085882352941201</v>
      </c>
      <c r="S67" s="1">
        <v>1</v>
      </c>
      <c r="T67" s="1">
        <f t="shared" si="8"/>
        <v>0</v>
      </c>
      <c r="U67" s="1">
        <v>0</v>
      </c>
      <c r="V67" s="1">
        <f t="shared" si="9"/>
        <v>1</v>
      </c>
      <c r="W67" s="1">
        <f t="shared" si="10"/>
        <v>0</v>
      </c>
      <c r="X67" s="1">
        <f t="shared" si="11"/>
        <v>1</v>
      </c>
      <c r="Y67" s="1">
        <f t="shared" si="12"/>
        <v>0</v>
      </c>
      <c r="Z67" s="1">
        <f t="shared" si="13"/>
        <v>0</v>
      </c>
      <c r="AA67" s="1" t="str">
        <f t="shared" si="14"/>
        <v>宽货币紧财政</v>
      </c>
    </row>
    <row r="68" spans="1:27" x14ac:dyDescent="0.3">
      <c r="A68" s="31">
        <v>44286</v>
      </c>
      <c r="B68" s="36">
        <v>0.38438527231227598</v>
      </c>
      <c r="C68" s="36">
        <v>0.79966292579958698</v>
      </c>
      <c r="D68" s="33">
        <v>0.91807816495786199</v>
      </c>
      <c r="E68" s="33">
        <v>100.088405469612</v>
      </c>
      <c r="F68" s="1">
        <v>1</v>
      </c>
      <c r="G68" s="1">
        <f t="shared" si="1"/>
        <v>0</v>
      </c>
      <c r="H68" s="1">
        <v>0</v>
      </c>
      <c r="I68" s="1">
        <f t="shared" si="2"/>
        <v>1</v>
      </c>
      <c r="J68" s="1">
        <f t="shared" si="3"/>
        <v>0</v>
      </c>
      <c r="K68" s="1">
        <f t="shared" si="4"/>
        <v>1</v>
      </c>
      <c r="L68" s="1">
        <f t="shared" si="5"/>
        <v>0</v>
      </c>
      <c r="M68" s="1">
        <f t="shared" si="6"/>
        <v>0</v>
      </c>
      <c r="N68" s="1" t="str">
        <f t="shared" si="7"/>
        <v>宽货币紧财政</v>
      </c>
      <c r="P68" s="42">
        <v>44286</v>
      </c>
      <c r="Q68" s="44">
        <v>1.33407967161116</v>
      </c>
      <c r="R68" s="45">
        <v>2.7153695652173901</v>
      </c>
      <c r="S68" s="1">
        <v>1</v>
      </c>
      <c r="T68" s="1">
        <f t="shared" si="8"/>
        <v>0</v>
      </c>
      <c r="U68" s="1">
        <v>0</v>
      </c>
      <c r="V68" s="1">
        <f t="shared" si="9"/>
        <v>1</v>
      </c>
      <c r="W68" s="1">
        <f t="shared" si="10"/>
        <v>0</v>
      </c>
      <c r="X68" s="1">
        <f t="shared" si="11"/>
        <v>1</v>
      </c>
      <c r="Y68" s="1">
        <f t="shared" si="12"/>
        <v>0</v>
      </c>
      <c r="Z68" s="1">
        <f t="shared" si="13"/>
        <v>0</v>
      </c>
      <c r="AA68" s="1" t="str">
        <f t="shared" si="14"/>
        <v>宽货币紧财政</v>
      </c>
    </row>
    <row r="69" spans="1:27" x14ac:dyDescent="0.3">
      <c r="A69" s="31">
        <v>44316</v>
      </c>
      <c r="B69" s="37">
        <v>0.30270593579538302</v>
      </c>
      <c r="C69" s="37">
        <v>0.85422897434158096</v>
      </c>
      <c r="D69" s="38">
        <v>0.87857058994210502</v>
      </c>
      <c r="E69" s="38">
        <v>100.153687711206</v>
      </c>
      <c r="F69" s="1">
        <v>1</v>
      </c>
      <c r="G69" s="1">
        <f t="shared" si="1"/>
        <v>0</v>
      </c>
      <c r="H69" s="1">
        <v>0</v>
      </c>
      <c r="I69" s="1">
        <f t="shared" si="2"/>
        <v>1</v>
      </c>
      <c r="J69" s="1">
        <f t="shared" si="3"/>
        <v>0</v>
      </c>
      <c r="K69" s="1">
        <f t="shared" si="4"/>
        <v>1</v>
      </c>
      <c r="L69" s="1">
        <f t="shared" si="5"/>
        <v>0</v>
      </c>
      <c r="M69" s="1">
        <f t="shared" si="6"/>
        <v>0</v>
      </c>
      <c r="N69" s="1" t="str">
        <f t="shared" si="7"/>
        <v>宽货币紧财政</v>
      </c>
      <c r="P69" s="42">
        <v>44316</v>
      </c>
      <c r="Q69" s="44">
        <v>0.32507397194098397</v>
      </c>
      <c r="R69" s="45">
        <v>2.6046363636363599</v>
      </c>
      <c r="S69" s="1">
        <v>1</v>
      </c>
      <c r="T69" s="1">
        <f t="shared" si="8"/>
        <v>0</v>
      </c>
      <c r="U69" s="1">
        <v>0</v>
      </c>
      <c r="V69" s="1">
        <f t="shared" si="9"/>
        <v>1</v>
      </c>
      <c r="W69" s="1">
        <f t="shared" si="10"/>
        <v>0</v>
      </c>
      <c r="X69" s="1">
        <f t="shared" si="11"/>
        <v>1</v>
      </c>
      <c r="Y69" s="1">
        <f t="shared" si="12"/>
        <v>0</v>
      </c>
      <c r="Z69" s="1">
        <f t="shared" si="13"/>
        <v>0</v>
      </c>
      <c r="AA69" s="1" t="str">
        <f t="shared" si="14"/>
        <v>宽货币紧财政</v>
      </c>
    </row>
    <row r="70" spans="1:27" x14ac:dyDescent="0.3">
      <c r="A70" s="31">
        <v>44347</v>
      </c>
      <c r="B70" s="37">
        <v>0.393826389392326</v>
      </c>
      <c r="C70" s="37">
        <v>0.98339498260688296</v>
      </c>
      <c r="D70" s="38">
        <v>0.85410274037457101</v>
      </c>
      <c r="E70" s="38">
        <v>100.09428595111</v>
      </c>
      <c r="F70" s="1">
        <v>1</v>
      </c>
      <c r="G70" s="1">
        <f t="shared" si="1"/>
        <v>0</v>
      </c>
      <c r="H70" s="1">
        <v>1</v>
      </c>
      <c r="I70" s="1">
        <f t="shared" si="2"/>
        <v>0</v>
      </c>
      <c r="J70" s="1">
        <f t="shared" si="3"/>
        <v>1</v>
      </c>
      <c r="K70" s="1">
        <f t="shared" si="4"/>
        <v>0</v>
      </c>
      <c r="L70" s="1">
        <f t="shared" si="5"/>
        <v>0</v>
      </c>
      <c r="M70" s="1">
        <f t="shared" si="6"/>
        <v>0</v>
      </c>
      <c r="N70" s="1" t="str">
        <f t="shared" si="7"/>
        <v>双宽</v>
      </c>
      <c r="P70" s="42">
        <v>44347</v>
      </c>
      <c r="Q70" s="44">
        <v>0.84331529348191003</v>
      </c>
      <c r="R70" s="45">
        <v>2.5134210526315801</v>
      </c>
      <c r="S70" s="1">
        <v>1</v>
      </c>
      <c r="T70" s="1">
        <f t="shared" si="8"/>
        <v>0</v>
      </c>
      <c r="U70" s="1">
        <v>0</v>
      </c>
      <c r="V70" s="1">
        <f t="shared" si="9"/>
        <v>1</v>
      </c>
      <c r="W70" s="1">
        <f t="shared" si="10"/>
        <v>0</v>
      </c>
      <c r="X70" s="1">
        <f t="shared" si="11"/>
        <v>1</v>
      </c>
      <c r="Y70" s="1">
        <f t="shared" si="12"/>
        <v>0</v>
      </c>
      <c r="Z70" s="1">
        <f t="shared" si="13"/>
        <v>0</v>
      </c>
      <c r="AA70" s="1" t="str">
        <f t="shared" si="14"/>
        <v>宽货币紧财政</v>
      </c>
    </row>
    <row r="71" spans="1:27" x14ac:dyDescent="0.3">
      <c r="A71" s="31">
        <v>44377</v>
      </c>
      <c r="B71" s="37">
        <v>0.48195573803478198</v>
      </c>
      <c r="C71" s="37">
        <v>0.99269867262125</v>
      </c>
      <c r="D71" s="38">
        <v>0.85909366321316305</v>
      </c>
      <c r="E71" s="38">
        <v>100.053632658472</v>
      </c>
      <c r="F71" s="1">
        <v>1</v>
      </c>
      <c r="G71" s="1">
        <f t="shared" si="1"/>
        <v>0</v>
      </c>
      <c r="H71" s="1">
        <v>1</v>
      </c>
      <c r="I71" s="1">
        <f t="shared" si="2"/>
        <v>0</v>
      </c>
      <c r="J71" s="1">
        <f t="shared" si="3"/>
        <v>1</v>
      </c>
      <c r="K71" s="1">
        <f t="shared" si="4"/>
        <v>0</v>
      </c>
      <c r="L71" s="1">
        <f t="shared" si="5"/>
        <v>0</v>
      </c>
      <c r="M71" s="1">
        <f t="shared" si="6"/>
        <v>0</v>
      </c>
      <c r="N71" s="1" t="str">
        <f t="shared" si="7"/>
        <v>双宽</v>
      </c>
      <c r="P71" s="42">
        <v>44377</v>
      </c>
      <c r="Q71" s="44">
        <v>1.08400413307512</v>
      </c>
      <c r="R71" s="45">
        <v>2.4500000000000002</v>
      </c>
      <c r="S71" s="1">
        <v>1</v>
      </c>
      <c r="T71" s="1">
        <f t="shared" si="8"/>
        <v>0</v>
      </c>
      <c r="U71" s="1">
        <v>0</v>
      </c>
      <c r="V71" s="1">
        <f t="shared" si="9"/>
        <v>1</v>
      </c>
      <c r="W71" s="1">
        <f t="shared" si="10"/>
        <v>0</v>
      </c>
      <c r="X71" s="1">
        <f t="shared" si="11"/>
        <v>1</v>
      </c>
      <c r="Y71" s="1">
        <f t="shared" si="12"/>
        <v>0</v>
      </c>
      <c r="Z71" s="1">
        <f t="shared" si="13"/>
        <v>0</v>
      </c>
      <c r="AA71" s="1" t="str">
        <f t="shared" si="14"/>
        <v>宽货币紧财政</v>
      </c>
    </row>
    <row r="72" spans="1:27" x14ac:dyDescent="0.3">
      <c r="A72" s="31">
        <v>44408</v>
      </c>
      <c r="B72" s="37">
        <v>0.51555138161685998</v>
      </c>
      <c r="C72" s="37">
        <v>0.97069364032878702</v>
      </c>
      <c r="D72" s="38">
        <v>0.88661895491432297</v>
      </c>
      <c r="E72" s="38">
        <v>100.73055678952301</v>
      </c>
      <c r="F72" s="1">
        <v>1</v>
      </c>
      <c r="G72" s="1">
        <f t="shared" si="1"/>
        <v>0</v>
      </c>
      <c r="H72" s="1">
        <v>1</v>
      </c>
      <c r="I72" s="1">
        <f t="shared" si="2"/>
        <v>0</v>
      </c>
      <c r="J72" s="1">
        <f t="shared" si="3"/>
        <v>1</v>
      </c>
      <c r="K72" s="1">
        <f t="shared" si="4"/>
        <v>0</v>
      </c>
      <c r="L72" s="1">
        <f t="shared" si="5"/>
        <v>0</v>
      </c>
      <c r="M72" s="1">
        <f t="shared" si="6"/>
        <v>0</v>
      </c>
      <c r="N72" s="1" t="str">
        <f t="shared" si="7"/>
        <v>双宽</v>
      </c>
      <c r="P72" s="42">
        <v>44408</v>
      </c>
      <c r="Q72" s="44">
        <v>0.43435361746852302</v>
      </c>
      <c r="R72" s="45">
        <v>2.4178636363636401</v>
      </c>
      <c r="S72" s="1">
        <v>1</v>
      </c>
      <c r="T72" s="1">
        <f t="shared" si="8"/>
        <v>0</v>
      </c>
      <c r="U72" s="1">
        <v>0</v>
      </c>
      <c r="V72" s="1">
        <f t="shared" si="9"/>
        <v>1</v>
      </c>
      <c r="W72" s="1">
        <f t="shared" si="10"/>
        <v>0</v>
      </c>
      <c r="X72" s="1">
        <f t="shared" si="11"/>
        <v>1</v>
      </c>
      <c r="Y72" s="1">
        <f t="shared" si="12"/>
        <v>0</v>
      </c>
      <c r="Z72" s="1">
        <f t="shared" si="13"/>
        <v>0</v>
      </c>
      <c r="AA72" s="1" t="str">
        <f t="shared" si="14"/>
        <v>宽货币紧财政</v>
      </c>
    </row>
    <row r="73" spans="1:27" x14ac:dyDescent="0.3">
      <c r="A73" s="31">
        <v>44439</v>
      </c>
      <c r="B73" s="37">
        <v>0.60167179817732996</v>
      </c>
      <c r="C73" s="37">
        <v>1.0818814916355199</v>
      </c>
      <c r="D73" s="38">
        <v>0.93175336630017103</v>
      </c>
      <c r="E73" s="38">
        <v>100.776587837684</v>
      </c>
      <c r="F73" s="1">
        <v>1</v>
      </c>
      <c r="G73" s="1">
        <f t="shared" si="1"/>
        <v>0</v>
      </c>
      <c r="H73" s="1">
        <v>1</v>
      </c>
      <c r="I73" s="1">
        <f t="shared" si="2"/>
        <v>0</v>
      </c>
      <c r="J73" s="1">
        <f t="shared" si="3"/>
        <v>1</v>
      </c>
      <c r="K73" s="1">
        <f t="shared" si="4"/>
        <v>0</v>
      </c>
      <c r="L73" s="1">
        <f t="shared" si="5"/>
        <v>0</v>
      </c>
      <c r="M73" s="1">
        <f t="shared" si="6"/>
        <v>0</v>
      </c>
      <c r="N73" s="1" t="str">
        <f t="shared" si="7"/>
        <v>双宽</v>
      </c>
      <c r="P73" s="42">
        <v>44439</v>
      </c>
      <c r="Q73" s="44">
        <v>0.36012609090143799</v>
      </c>
      <c r="R73" s="45">
        <v>2.3626818181818199</v>
      </c>
      <c r="S73" s="1">
        <v>1</v>
      </c>
      <c r="T73" s="1">
        <f t="shared" si="8"/>
        <v>0</v>
      </c>
      <c r="U73" s="1">
        <v>0</v>
      </c>
      <c r="V73" s="1">
        <f t="shared" si="9"/>
        <v>1</v>
      </c>
      <c r="W73" s="1">
        <f t="shared" si="10"/>
        <v>0</v>
      </c>
      <c r="X73" s="1">
        <f t="shared" si="11"/>
        <v>1</v>
      </c>
      <c r="Y73" s="1">
        <f t="shared" si="12"/>
        <v>0</v>
      </c>
      <c r="Z73" s="1">
        <f t="shared" si="13"/>
        <v>0</v>
      </c>
      <c r="AA73" s="1" t="str">
        <f t="shared" si="14"/>
        <v>宽货币紧财政</v>
      </c>
    </row>
    <row r="74" spans="1:27" x14ac:dyDescent="0.3">
      <c r="A74" s="31">
        <v>44469</v>
      </c>
      <c r="B74" s="37">
        <v>0.63722972111925102</v>
      </c>
      <c r="C74" s="37">
        <v>1.0364877842959499</v>
      </c>
      <c r="D74" s="38">
        <v>0.99396462300489496</v>
      </c>
      <c r="E74" s="38">
        <v>100.874745019906</v>
      </c>
      <c r="F74" s="1">
        <v>1</v>
      </c>
      <c r="G74" s="1">
        <f t="shared" si="1"/>
        <v>0</v>
      </c>
      <c r="H74" s="1">
        <v>1</v>
      </c>
      <c r="I74" s="1">
        <f t="shared" si="2"/>
        <v>0</v>
      </c>
      <c r="J74" s="1">
        <f t="shared" si="3"/>
        <v>1</v>
      </c>
      <c r="K74" s="1">
        <f t="shared" si="4"/>
        <v>0</v>
      </c>
      <c r="L74" s="1">
        <f t="shared" si="5"/>
        <v>0</v>
      </c>
      <c r="M74" s="1">
        <f t="shared" si="6"/>
        <v>0</v>
      </c>
      <c r="N74" s="1" t="str">
        <f t="shared" si="7"/>
        <v>双宽</v>
      </c>
      <c r="P74" s="42">
        <v>44469</v>
      </c>
      <c r="Q74" s="44">
        <v>-1.0800977099718601</v>
      </c>
      <c r="R74" s="45">
        <v>2.3775454545454502</v>
      </c>
      <c r="S74" s="1">
        <v>1</v>
      </c>
      <c r="T74" s="1">
        <f t="shared" si="8"/>
        <v>0</v>
      </c>
      <c r="U74" s="1">
        <v>0</v>
      </c>
      <c r="V74" s="1">
        <f t="shared" si="9"/>
        <v>1</v>
      </c>
      <c r="W74" s="1">
        <f t="shared" si="10"/>
        <v>0</v>
      </c>
      <c r="X74" s="1">
        <f t="shared" si="11"/>
        <v>1</v>
      </c>
      <c r="Y74" s="1">
        <f t="shared" si="12"/>
        <v>0</v>
      </c>
      <c r="Z74" s="1">
        <f t="shared" si="13"/>
        <v>0</v>
      </c>
      <c r="AA74" s="1" t="str">
        <f t="shared" si="14"/>
        <v>宽货币紧财政</v>
      </c>
    </row>
    <row r="75" spans="1:27" x14ac:dyDescent="0.3">
      <c r="A75" s="31">
        <v>44500</v>
      </c>
      <c r="B75" s="37">
        <v>0.71204674522529998</v>
      </c>
      <c r="C75" s="37">
        <v>1.09702218837281</v>
      </c>
      <c r="D75" s="38">
        <v>1.06923090420512</v>
      </c>
      <c r="E75" s="38">
        <v>100.915725119957</v>
      </c>
      <c r="F75" s="1">
        <v>1</v>
      </c>
      <c r="G75" s="1">
        <f t="shared" si="1"/>
        <v>0</v>
      </c>
      <c r="H75" s="1">
        <v>1</v>
      </c>
      <c r="I75" s="1">
        <f t="shared" si="2"/>
        <v>0</v>
      </c>
      <c r="J75" s="1">
        <f t="shared" si="3"/>
        <v>1</v>
      </c>
      <c r="K75" s="1">
        <f t="shared" si="4"/>
        <v>0</v>
      </c>
      <c r="L75" s="1">
        <f t="shared" si="5"/>
        <v>0</v>
      </c>
      <c r="M75" s="1">
        <f t="shared" si="6"/>
        <v>0</v>
      </c>
      <c r="N75" s="1" t="str">
        <f t="shared" si="7"/>
        <v>双宽</v>
      </c>
      <c r="P75" s="42">
        <v>44500</v>
      </c>
      <c r="Q75" s="44">
        <v>-1.0695925950163201</v>
      </c>
      <c r="R75" s="45">
        <v>2.4317176470588202</v>
      </c>
      <c r="S75" s="1">
        <v>1</v>
      </c>
      <c r="T75" s="1">
        <f t="shared" si="8"/>
        <v>0</v>
      </c>
      <c r="U75" s="1">
        <v>0</v>
      </c>
      <c r="V75" s="1">
        <f t="shared" si="9"/>
        <v>1</v>
      </c>
      <c r="W75" s="1">
        <f t="shared" si="10"/>
        <v>0</v>
      </c>
      <c r="X75" s="1">
        <f t="shared" si="11"/>
        <v>1</v>
      </c>
      <c r="Y75" s="1">
        <f t="shared" si="12"/>
        <v>0</v>
      </c>
      <c r="Z75" s="1">
        <f t="shared" si="13"/>
        <v>0</v>
      </c>
      <c r="AA75" s="1" t="str">
        <f t="shared" si="14"/>
        <v>宽货币紧财政</v>
      </c>
    </row>
    <row r="76" spans="1:27" x14ac:dyDescent="0.3">
      <c r="A76" s="31">
        <v>44530</v>
      </c>
      <c r="B76" s="37">
        <v>0.82117817946051797</v>
      </c>
      <c r="C76" s="37">
        <v>1.1868711979384501</v>
      </c>
      <c r="D76" s="38">
        <v>1.1633078820146301</v>
      </c>
      <c r="E76" s="38">
        <v>100.84793343128</v>
      </c>
      <c r="F76" s="1">
        <v>1</v>
      </c>
      <c r="G76" s="1">
        <f t="shared" ref="G76:G102" si="15">1-F76</f>
        <v>0</v>
      </c>
      <c r="H76" s="1">
        <v>1</v>
      </c>
      <c r="I76" s="1">
        <f t="shared" ref="I76:I102" si="16">1-H76</f>
        <v>0</v>
      </c>
      <c r="J76" s="1">
        <f t="shared" ref="J76:J102" si="17">INT(AND(F76=1,H76=1))</f>
        <v>1</v>
      </c>
      <c r="K76" s="1">
        <f t="shared" ref="K76:K102" si="18">INT(AND(F76=1,I76=1))</f>
        <v>0</v>
      </c>
      <c r="L76" s="1">
        <f t="shared" ref="L76:L102" si="19">INT(AND(G76=1,H76=1))</f>
        <v>0</v>
      </c>
      <c r="M76" s="1">
        <f t="shared" ref="M76:M102" si="20">INT(AND(G76=1,I76=1))</f>
        <v>0</v>
      </c>
      <c r="N76" s="1" t="str">
        <f t="shared" ref="N76:N102" si="21">INDEX($J$11:$M$11,1,MATCH(1,J76:M76,0))</f>
        <v>双宽</v>
      </c>
      <c r="P76" s="42">
        <v>44530</v>
      </c>
      <c r="Q76" s="44">
        <v>0.50197924185643295</v>
      </c>
      <c r="R76" s="45">
        <v>2.4658636363636401</v>
      </c>
      <c r="S76" s="1">
        <v>1</v>
      </c>
      <c r="T76" s="1">
        <f t="shared" ref="T76:T101" si="22">1-S76</f>
        <v>0</v>
      </c>
      <c r="U76" s="1">
        <v>0</v>
      </c>
      <c r="V76" s="1">
        <f t="shared" ref="V76:V107" si="23">1-U76</f>
        <v>1</v>
      </c>
      <c r="W76" s="1">
        <f t="shared" ref="W76:W122" si="24">INT(AND(S76=1,U76=1))</f>
        <v>0</v>
      </c>
      <c r="X76" s="1">
        <f t="shared" ref="X76:X100" si="25">INT(AND(S76=1,V76=1))</f>
        <v>1</v>
      </c>
      <c r="Y76" s="1">
        <f t="shared" ref="Y76:Y100" si="26">INT(AND(T76=1,U76=1))</f>
        <v>0</v>
      </c>
      <c r="Z76" s="1">
        <f t="shared" ref="Z76:Z101" si="27">INT(AND(T76=1,V76=1))</f>
        <v>0</v>
      </c>
      <c r="AA76" s="1" t="str">
        <f t="shared" ref="AA76:AA101" si="28">INDEX($J$11:$M$11,1,MATCH(1,W76:Z76,0))</f>
        <v>宽货币紧财政</v>
      </c>
    </row>
    <row r="77" spans="1:27" x14ac:dyDescent="0.3">
      <c r="A77" s="31">
        <v>44561</v>
      </c>
      <c r="B77" s="37">
        <v>0.79821849858463401</v>
      </c>
      <c r="C77" s="37">
        <v>1.0140435341741401</v>
      </c>
      <c r="D77" s="38">
        <v>1.26633859165233</v>
      </c>
      <c r="E77" s="38">
        <v>100.965600377312</v>
      </c>
      <c r="F77" s="1">
        <v>1</v>
      </c>
      <c r="G77" s="1">
        <f t="shared" si="15"/>
        <v>0</v>
      </c>
      <c r="H77" s="1">
        <v>1</v>
      </c>
      <c r="I77" s="1">
        <f t="shared" si="16"/>
        <v>0</v>
      </c>
      <c r="J77" s="1">
        <f t="shared" si="17"/>
        <v>1</v>
      </c>
      <c r="K77" s="1">
        <f t="shared" si="18"/>
        <v>0</v>
      </c>
      <c r="L77" s="1">
        <f t="shared" si="19"/>
        <v>0</v>
      </c>
      <c r="M77" s="1">
        <f t="shared" si="20"/>
        <v>0</v>
      </c>
      <c r="N77" s="1" t="str">
        <f t="shared" si="21"/>
        <v>双宽</v>
      </c>
      <c r="P77" s="42">
        <v>44561</v>
      </c>
      <c r="Q77" s="44">
        <v>-0.99123456009153199</v>
      </c>
      <c r="R77" s="45">
        <v>2.4946956521739101</v>
      </c>
      <c r="S77" s="1">
        <v>1</v>
      </c>
      <c r="T77" s="1">
        <f t="shared" si="22"/>
        <v>0</v>
      </c>
      <c r="U77" s="1">
        <v>0</v>
      </c>
      <c r="V77" s="1">
        <f t="shared" si="23"/>
        <v>1</v>
      </c>
      <c r="W77" s="1">
        <f t="shared" si="24"/>
        <v>0</v>
      </c>
      <c r="X77" s="1">
        <f t="shared" si="25"/>
        <v>1</v>
      </c>
      <c r="Y77" s="1">
        <f t="shared" si="26"/>
        <v>0</v>
      </c>
      <c r="Z77" s="1">
        <f t="shared" si="27"/>
        <v>0</v>
      </c>
      <c r="AA77" s="1" t="str">
        <f t="shared" si="28"/>
        <v>宽货币紧财政</v>
      </c>
    </row>
    <row r="78" spans="1:27" x14ac:dyDescent="0.3">
      <c r="A78" s="31">
        <v>44620</v>
      </c>
      <c r="B78" s="37">
        <v>1.0718898622372699</v>
      </c>
      <c r="C78" s="37">
        <v>1.0706330171830301</v>
      </c>
      <c r="D78" s="38">
        <v>1.42757381290937</v>
      </c>
      <c r="E78" s="38">
        <v>101.416802304518</v>
      </c>
      <c r="F78" s="1">
        <v>1</v>
      </c>
      <c r="G78" s="1">
        <f t="shared" si="15"/>
        <v>0</v>
      </c>
      <c r="H78" s="1">
        <v>1</v>
      </c>
      <c r="I78" s="1">
        <f t="shared" si="16"/>
        <v>0</v>
      </c>
      <c r="J78" s="1">
        <f t="shared" si="17"/>
        <v>1</v>
      </c>
      <c r="K78" s="1">
        <f t="shared" si="18"/>
        <v>0</v>
      </c>
      <c r="L78" s="1">
        <f t="shared" si="19"/>
        <v>0</v>
      </c>
      <c r="M78" s="1">
        <f t="shared" si="20"/>
        <v>0</v>
      </c>
      <c r="N78" s="1" t="str">
        <f t="shared" si="21"/>
        <v>双宽</v>
      </c>
      <c r="P78" s="42">
        <v>44620</v>
      </c>
      <c r="Q78" s="44">
        <v>11.9010918432884</v>
      </c>
      <c r="R78" s="45">
        <v>2.4100625</v>
      </c>
      <c r="S78" s="1">
        <v>1</v>
      </c>
      <c r="T78" s="1">
        <f t="shared" si="22"/>
        <v>0</v>
      </c>
      <c r="U78" s="1">
        <v>1</v>
      </c>
      <c r="V78" s="1">
        <f t="shared" si="23"/>
        <v>0</v>
      </c>
      <c r="W78" s="1">
        <f t="shared" si="24"/>
        <v>1</v>
      </c>
      <c r="X78" s="1">
        <f t="shared" si="25"/>
        <v>0</v>
      </c>
      <c r="Y78" s="1">
        <f t="shared" si="26"/>
        <v>0</v>
      </c>
      <c r="Z78" s="1">
        <f t="shared" si="27"/>
        <v>0</v>
      </c>
      <c r="AA78" s="1" t="str">
        <f t="shared" si="28"/>
        <v>双宽</v>
      </c>
    </row>
    <row r="79" spans="1:27" x14ac:dyDescent="0.3">
      <c r="A79" s="31">
        <v>44651</v>
      </c>
      <c r="B79" s="37">
        <v>1.21287709986225</v>
      </c>
      <c r="C79" s="37">
        <v>1.1416480981002</v>
      </c>
      <c r="D79" s="38">
        <v>1.4873380336904301</v>
      </c>
      <c r="E79" s="38">
        <v>101.397748304914</v>
      </c>
      <c r="F79" s="1">
        <v>1</v>
      </c>
      <c r="G79" s="1">
        <f t="shared" si="15"/>
        <v>0</v>
      </c>
      <c r="H79" s="1">
        <v>1</v>
      </c>
      <c r="I79" s="1">
        <f t="shared" si="16"/>
        <v>0</v>
      </c>
      <c r="J79" s="1">
        <f t="shared" si="17"/>
        <v>1</v>
      </c>
      <c r="K79" s="1">
        <f t="shared" si="18"/>
        <v>0</v>
      </c>
      <c r="L79" s="1">
        <f t="shared" si="19"/>
        <v>0</v>
      </c>
      <c r="M79" s="1">
        <f t="shared" si="20"/>
        <v>0</v>
      </c>
      <c r="N79" s="1" t="str">
        <f t="shared" si="21"/>
        <v>双宽</v>
      </c>
      <c r="P79" s="42">
        <v>44651</v>
      </c>
      <c r="Q79" s="44">
        <v>16.229581503011801</v>
      </c>
      <c r="R79" s="45">
        <v>2.3658695652173898</v>
      </c>
      <c r="S79" s="1">
        <v>1</v>
      </c>
      <c r="T79" s="1">
        <f t="shared" si="22"/>
        <v>0</v>
      </c>
      <c r="U79" s="1">
        <v>1</v>
      </c>
      <c r="V79" s="1">
        <f t="shared" si="23"/>
        <v>0</v>
      </c>
      <c r="W79" s="1">
        <f t="shared" si="24"/>
        <v>1</v>
      </c>
      <c r="X79" s="1">
        <f t="shared" si="25"/>
        <v>0</v>
      </c>
      <c r="Y79" s="1">
        <f t="shared" si="26"/>
        <v>0</v>
      </c>
      <c r="Z79" s="1">
        <f t="shared" si="27"/>
        <v>0</v>
      </c>
      <c r="AA79" s="1" t="str">
        <f t="shared" si="28"/>
        <v>双宽</v>
      </c>
    </row>
    <row r="80" spans="1:27" x14ac:dyDescent="0.3">
      <c r="A80" s="31">
        <v>44681</v>
      </c>
      <c r="B80" s="37">
        <v>1.6604208724182199</v>
      </c>
      <c r="C80" s="37">
        <v>1.4025037301301799</v>
      </c>
      <c r="D80" s="38">
        <v>1.51298550886442</v>
      </c>
      <c r="E80" s="38">
        <v>102.380420285673</v>
      </c>
      <c r="F80" s="1">
        <v>1</v>
      </c>
      <c r="G80" s="1">
        <f t="shared" si="15"/>
        <v>0</v>
      </c>
      <c r="H80" s="1">
        <v>1</v>
      </c>
      <c r="I80" s="1">
        <f t="shared" si="16"/>
        <v>0</v>
      </c>
      <c r="J80" s="1">
        <f t="shared" si="17"/>
        <v>1</v>
      </c>
      <c r="K80" s="1">
        <f t="shared" si="18"/>
        <v>0</v>
      </c>
      <c r="L80" s="1">
        <f t="shared" si="19"/>
        <v>0</v>
      </c>
      <c r="M80" s="1">
        <f t="shared" si="20"/>
        <v>0</v>
      </c>
      <c r="N80" s="1" t="str">
        <f t="shared" si="21"/>
        <v>双宽</v>
      </c>
      <c r="P80" s="42">
        <v>44681</v>
      </c>
      <c r="Q80" s="44">
        <v>12.7762451722927</v>
      </c>
      <c r="R80" s="45">
        <v>2.3164761904761901</v>
      </c>
      <c r="S80" s="1">
        <v>1</v>
      </c>
      <c r="T80" s="1">
        <f t="shared" si="22"/>
        <v>0</v>
      </c>
      <c r="U80" s="1">
        <v>1</v>
      </c>
      <c r="V80" s="1">
        <f t="shared" si="23"/>
        <v>0</v>
      </c>
      <c r="W80" s="1">
        <f t="shared" si="24"/>
        <v>1</v>
      </c>
      <c r="X80" s="1">
        <f t="shared" si="25"/>
        <v>0</v>
      </c>
      <c r="Y80" s="1">
        <f t="shared" si="26"/>
        <v>0</v>
      </c>
      <c r="Z80" s="1">
        <f t="shared" si="27"/>
        <v>0</v>
      </c>
      <c r="AA80" s="1" t="str">
        <f t="shared" si="28"/>
        <v>双宽</v>
      </c>
    </row>
    <row r="81" spans="1:27" x14ac:dyDescent="0.3">
      <c r="A81" s="31">
        <v>44712</v>
      </c>
      <c r="B81" s="37">
        <v>1.82577960687426</v>
      </c>
      <c r="C81" s="37">
        <v>1.3266938263392001</v>
      </c>
      <c r="D81" s="38">
        <v>1.5069756308892599</v>
      </c>
      <c r="E81" s="38">
        <v>102.717064974839</v>
      </c>
      <c r="F81" s="1">
        <v>1</v>
      </c>
      <c r="G81" s="1">
        <f t="shared" si="15"/>
        <v>0</v>
      </c>
      <c r="H81" s="1">
        <v>1</v>
      </c>
      <c r="I81" s="1">
        <f t="shared" si="16"/>
        <v>0</v>
      </c>
      <c r="J81" s="1">
        <f t="shared" si="17"/>
        <v>1</v>
      </c>
      <c r="K81" s="1">
        <f t="shared" si="18"/>
        <v>0</v>
      </c>
      <c r="L81" s="1">
        <f t="shared" si="19"/>
        <v>0</v>
      </c>
      <c r="M81" s="1">
        <f t="shared" si="20"/>
        <v>0</v>
      </c>
      <c r="N81" s="1" t="str">
        <f t="shared" si="21"/>
        <v>双宽</v>
      </c>
      <c r="P81" s="42">
        <v>44712</v>
      </c>
      <c r="Q81" s="44">
        <v>12.3580179755941</v>
      </c>
      <c r="R81" s="45">
        <v>2.0969500000000001</v>
      </c>
      <c r="S81" s="1">
        <v>1</v>
      </c>
      <c r="T81" s="1">
        <f t="shared" si="22"/>
        <v>0</v>
      </c>
      <c r="U81" s="1">
        <v>0</v>
      </c>
      <c r="V81" s="1">
        <f t="shared" si="23"/>
        <v>1</v>
      </c>
      <c r="W81" s="1">
        <f t="shared" si="24"/>
        <v>0</v>
      </c>
      <c r="X81" s="1">
        <f t="shared" si="25"/>
        <v>1</v>
      </c>
      <c r="Y81" s="1">
        <f t="shared" si="26"/>
        <v>0</v>
      </c>
      <c r="Z81" s="1">
        <f t="shared" si="27"/>
        <v>0</v>
      </c>
      <c r="AA81" s="1" t="str">
        <f t="shared" si="28"/>
        <v>宽货币紧财政</v>
      </c>
    </row>
    <row r="82" spans="1:27" x14ac:dyDescent="0.3">
      <c r="A82" s="31">
        <v>44742</v>
      </c>
      <c r="B82" s="37">
        <v>1.8537894614852899</v>
      </c>
      <c r="C82" s="37">
        <v>1.22533650715031</v>
      </c>
      <c r="D82" s="38">
        <v>1.48600966550095</v>
      </c>
      <c r="E82" s="38">
        <v>102.61802244947999</v>
      </c>
      <c r="F82" s="1">
        <v>1</v>
      </c>
      <c r="G82" s="1">
        <f t="shared" si="15"/>
        <v>0</v>
      </c>
      <c r="H82" s="1">
        <v>1</v>
      </c>
      <c r="I82" s="1">
        <f t="shared" si="16"/>
        <v>0</v>
      </c>
      <c r="J82" s="1">
        <f t="shared" si="17"/>
        <v>1</v>
      </c>
      <c r="K82" s="1">
        <f t="shared" si="18"/>
        <v>0</v>
      </c>
      <c r="L82" s="1">
        <f t="shared" si="19"/>
        <v>0</v>
      </c>
      <c r="M82" s="1">
        <f t="shared" si="20"/>
        <v>0</v>
      </c>
      <c r="N82" s="1" t="str">
        <f t="shared" si="21"/>
        <v>双宽</v>
      </c>
      <c r="P82" s="42">
        <v>44742</v>
      </c>
      <c r="Q82" s="44">
        <v>12.448661055853099</v>
      </c>
      <c r="R82" s="45">
        <v>2.00061904761905</v>
      </c>
      <c r="S82" s="1">
        <v>1</v>
      </c>
      <c r="T82" s="1">
        <f t="shared" si="22"/>
        <v>0</v>
      </c>
      <c r="U82" s="1">
        <v>0</v>
      </c>
      <c r="V82" s="1">
        <f t="shared" si="23"/>
        <v>1</v>
      </c>
      <c r="W82" s="1">
        <f t="shared" si="24"/>
        <v>0</v>
      </c>
      <c r="X82" s="1">
        <f t="shared" si="25"/>
        <v>1</v>
      </c>
      <c r="Y82" s="1">
        <f t="shared" si="26"/>
        <v>0</v>
      </c>
      <c r="Z82" s="1">
        <f t="shared" si="27"/>
        <v>0</v>
      </c>
      <c r="AA82" s="1" t="str">
        <f t="shared" si="28"/>
        <v>宽货币紧财政</v>
      </c>
    </row>
    <row r="83" spans="1:27" x14ac:dyDescent="0.3">
      <c r="A83" s="31">
        <v>44773</v>
      </c>
      <c r="B83" s="37">
        <v>1.8348464226457899</v>
      </c>
      <c r="C83" s="37">
        <v>1.16670311714556</v>
      </c>
      <c r="D83" s="38">
        <v>1.45972549828563</v>
      </c>
      <c r="E83" s="38">
        <v>102.923848574228</v>
      </c>
      <c r="F83" s="1">
        <v>0</v>
      </c>
      <c r="G83" s="1">
        <f t="shared" si="15"/>
        <v>1</v>
      </c>
      <c r="H83" s="1">
        <v>0</v>
      </c>
      <c r="I83" s="1">
        <f t="shared" si="16"/>
        <v>1</v>
      </c>
      <c r="J83" s="1">
        <f t="shared" si="17"/>
        <v>0</v>
      </c>
      <c r="K83" s="1">
        <f t="shared" si="18"/>
        <v>0</v>
      </c>
      <c r="L83" s="1">
        <f t="shared" si="19"/>
        <v>0</v>
      </c>
      <c r="M83" s="1">
        <f t="shared" si="20"/>
        <v>1</v>
      </c>
      <c r="N83" s="1" t="str">
        <f t="shared" si="21"/>
        <v>双紧</v>
      </c>
      <c r="P83" s="42">
        <v>44773</v>
      </c>
      <c r="Q83" s="44">
        <v>12.5572629128536</v>
      </c>
      <c r="R83" s="45">
        <v>1.94590476190476</v>
      </c>
      <c r="S83" s="1">
        <v>1</v>
      </c>
      <c r="T83" s="1">
        <f t="shared" si="22"/>
        <v>0</v>
      </c>
      <c r="U83" s="1">
        <v>0</v>
      </c>
      <c r="V83" s="1">
        <f t="shared" si="23"/>
        <v>1</v>
      </c>
      <c r="W83" s="1">
        <f t="shared" si="24"/>
        <v>0</v>
      </c>
      <c r="X83" s="1">
        <f t="shared" si="25"/>
        <v>1</v>
      </c>
      <c r="Y83" s="1">
        <f t="shared" si="26"/>
        <v>0</v>
      </c>
      <c r="Z83" s="1">
        <f t="shared" si="27"/>
        <v>0</v>
      </c>
      <c r="AA83" s="1" t="str">
        <f t="shared" si="28"/>
        <v>宽货币紧财政</v>
      </c>
    </row>
    <row r="84" spans="1:27" x14ac:dyDescent="0.3">
      <c r="A84" s="31">
        <v>44804</v>
      </c>
      <c r="B84" s="34">
        <v>1.7249808757873699</v>
      </c>
      <c r="C84" s="34">
        <v>1.0119360018168699</v>
      </c>
      <c r="D84" s="35">
        <v>1.45076123989757</v>
      </c>
      <c r="E84" s="35">
        <v>102.732310981738</v>
      </c>
      <c r="F84" s="1">
        <v>0</v>
      </c>
      <c r="G84" s="1">
        <f t="shared" si="15"/>
        <v>1</v>
      </c>
      <c r="H84" s="1">
        <v>0</v>
      </c>
      <c r="I84" s="1">
        <f t="shared" si="16"/>
        <v>1</v>
      </c>
      <c r="J84" s="1">
        <f t="shared" si="17"/>
        <v>0</v>
      </c>
      <c r="K84" s="1">
        <f t="shared" si="18"/>
        <v>0</v>
      </c>
      <c r="L84" s="1">
        <f t="shared" si="19"/>
        <v>0</v>
      </c>
      <c r="M84" s="1">
        <f t="shared" si="20"/>
        <v>1</v>
      </c>
      <c r="N84" s="1" t="str">
        <f t="shared" si="21"/>
        <v>双紧</v>
      </c>
      <c r="P84" s="42">
        <v>44804</v>
      </c>
      <c r="Q84" s="44">
        <v>11.0134026768072</v>
      </c>
      <c r="R84" s="45">
        <v>1.6428086956521699</v>
      </c>
      <c r="S84" s="1">
        <v>1</v>
      </c>
      <c r="T84" s="1">
        <f t="shared" si="22"/>
        <v>0</v>
      </c>
      <c r="U84" s="1">
        <v>0</v>
      </c>
      <c r="V84" s="1">
        <f t="shared" si="23"/>
        <v>1</v>
      </c>
      <c r="W84" s="1">
        <f t="shared" si="24"/>
        <v>0</v>
      </c>
      <c r="X84" s="1">
        <f t="shared" si="25"/>
        <v>1</v>
      </c>
      <c r="Y84" s="1">
        <f t="shared" si="26"/>
        <v>0</v>
      </c>
      <c r="Z84" s="1">
        <f t="shared" si="27"/>
        <v>0</v>
      </c>
      <c r="AA84" s="1" t="str">
        <f t="shared" si="28"/>
        <v>宽货币紧财政</v>
      </c>
    </row>
    <row r="85" spans="1:27" x14ac:dyDescent="0.3">
      <c r="A85" s="31">
        <v>44834</v>
      </c>
      <c r="B85" s="34">
        <v>1.60957592355588</v>
      </c>
      <c r="C85" s="34">
        <v>0.98445127150119704</v>
      </c>
      <c r="D85" s="35">
        <v>1.4701271598838701</v>
      </c>
      <c r="E85" s="35">
        <v>102.053637349572</v>
      </c>
      <c r="F85" s="1">
        <v>0</v>
      </c>
      <c r="G85" s="1">
        <f t="shared" si="15"/>
        <v>1</v>
      </c>
      <c r="H85" s="1">
        <v>0</v>
      </c>
      <c r="I85" s="1">
        <f t="shared" si="16"/>
        <v>1</v>
      </c>
      <c r="J85" s="1">
        <f t="shared" si="17"/>
        <v>0</v>
      </c>
      <c r="K85" s="1">
        <f t="shared" si="18"/>
        <v>0</v>
      </c>
      <c r="L85" s="1">
        <f t="shared" si="19"/>
        <v>0</v>
      </c>
      <c r="M85" s="1">
        <f t="shared" si="20"/>
        <v>1</v>
      </c>
      <c r="N85" s="1" t="str">
        <f t="shared" si="21"/>
        <v>双紧</v>
      </c>
      <c r="P85" s="42">
        <v>44834</v>
      </c>
      <c r="Q85" s="44">
        <v>7.9855265572514798</v>
      </c>
      <c r="R85" s="45">
        <v>1.61323809523809</v>
      </c>
      <c r="S85" s="1">
        <v>1</v>
      </c>
      <c r="T85" s="1">
        <f t="shared" si="22"/>
        <v>0</v>
      </c>
      <c r="U85" s="1">
        <v>0</v>
      </c>
      <c r="V85" s="1">
        <f t="shared" si="23"/>
        <v>1</v>
      </c>
      <c r="W85" s="1">
        <f t="shared" si="24"/>
        <v>0</v>
      </c>
      <c r="X85" s="1">
        <f t="shared" si="25"/>
        <v>1</v>
      </c>
      <c r="Y85" s="1">
        <f t="shared" si="26"/>
        <v>0</v>
      </c>
      <c r="Z85" s="1">
        <f t="shared" si="27"/>
        <v>0</v>
      </c>
      <c r="AA85" s="1" t="str">
        <f t="shared" si="28"/>
        <v>宽货币紧财政</v>
      </c>
    </row>
    <row r="86" spans="1:27" x14ac:dyDescent="0.3">
      <c r="A86" s="31">
        <v>44865</v>
      </c>
      <c r="B86" s="34">
        <v>1.48657671794082</v>
      </c>
      <c r="C86" s="34">
        <v>0.93180177590590896</v>
      </c>
      <c r="D86" s="35">
        <v>1.5138201815660901</v>
      </c>
      <c r="E86" s="35">
        <v>102.116677117449</v>
      </c>
      <c r="F86" s="1">
        <v>0</v>
      </c>
      <c r="G86" s="1">
        <f t="shared" si="15"/>
        <v>1</v>
      </c>
      <c r="H86" s="1">
        <v>0</v>
      </c>
      <c r="I86" s="1">
        <f t="shared" si="16"/>
        <v>1</v>
      </c>
      <c r="J86" s="1">
        <f t="shared" si="17"/>
        <v>0</v>
      </c>
      <c r="K86" s="1">
        <f t="shared" si="18"/>
        <v>0</v>
      </c>
      <c r="L86" s="1">
        <f t="shared" si="19"/>
        <v>0</v>
      </c>
      <c r="M86" s="1">
        <f t="shared" si="20"/>
        <v>1</v>
      </c>
      <c r="N86" s="1" t="str">
        <f t="shared" si="21"/>
        <v>双紧</v>
      </c>
      <c r="P86" s="42">
        <v>44865</v>
      </c>
      <c r="Q86" s="44">
        <v>7.3729585911890503</v>
      </c>
      <c r="R86" s="45">
        <v>1.6995555555555599</v>
      </c>
      <c r="S86" s="1">
        <v>0</v>
      </c>
      <c r="T86" s="1">
        <f t="shared" si="22"/>
        <v>1</v>
      </c>
      <c r="U86" s="1">
        <v>0</v>
      </c>
      <c r="V86" s="1">
        <f t="shared" si="23"/>
        <v>1</v>
      </c>
      <c r="W86" s="1">
        <f t="shared" si="24"/>
        <v>0</v>
      </c>
      <c r="X86" s="1">
        <f t="shared" si="25"/>
        <v>0</v>
      </c>
      <c r="Y86" s="1">
        <f t="shared" si="26"/>
        <v>0</v>
      </c>
      <c r="Z86" s="1">
        <f t="shared" si="27"/>
        <v>1</v>
      </c>
      <c r="AA86" s="1" t="str">
        <f t="shared" si="28"/>
        <v>双紧</v>
      </c>
    </row>
    <row r="87" spans="1:27" x14ac:dyDescent="0.3">
      <c r="A87" s="31">
        <v>44895</v>
      </c>
      <c r="B87" s="34">
        <v>1.38090920538364</v>
      </c>
      <c r="C87" s="34">
        <v>0.91856222836580104</v>
      </c>
      <c r="D87" s="35">
        <v>1.5923169046101699</v>
      </c>
      <c r="E87" s="35">
        <v>101.91050792244199</v>
      </c>
      <c r="F87" s="1">
        <v>0</v>
      </c>
      <c r="G87" s="1">
        <f t="shared" si="15"/>
        <v>1</v>
      </c>
      <c r="H87" s="1">
        <v>0</v>
      </c>
      <c r="I87" s="1">
        <f t="shared" si="16"/>
        <v>1</v>
      </c>
      <c r="J87" s="1">
        <f t="shared" si="17"/>
        <v>0</v>
      </c>
      <c r="K87" s="1">
        <f t="shared" si="18"/>
        <v>0</v>
      </c>
      <c r="L87" s="1">
        <f t="shared" si="19"/>
        <v>0</v>
      </c>
      <c r="M87" s="1">
        <f t="shared" si="20"/>
        <v>1</v>
      </c>
      <c r="N87" s="1" t="str">
        <f t="shared" si="21"/>
        <v>双紧</v>
      </c>
      <c r="P87" s="42">
        <v>44895</v>
      </c>
      <c r="Q87" s="44">
        <v>5.9995671024065196</v>
      </c>
      <c r="R87" s="45">
        <v>2.0111363636363602</v>
      </c>
      <c r="S87" s="1">
        <v>0</v>
      </c>
      <c r="T87" s="1">
        <f t="shared" si="22"/>
        <v>1</v>
      </c>
      <c r="U87" s="1">
        <v>0</v>
      </c>
      <c r="V87" s="1">
        <f t="shared" si="23"/>
        <v>1</v>
      </c>
      <c r="W87" s="1">
        <f t="shared" si="24"/>
        <v>0</v>
      </c>
      <c r="X87" s="1">
        <f t="shared" si="25"/>
        <v>0</v>
      </c>
      <c r="Y87" s="1">
        <f t="shared" si="26"/>
        <v>0</v>
      </c>
      <c r="Z87" s="1">
        <f t="shared" si="27"/>
        <v>1</v>
      </c>
      <c r="AA87" s="1" t="str">
        <f t="shared" si="28"/>
        <v>双紧</v>
      </c>
    </row>
    <row r="88" spans="1:27" x14ac:dyDescent="0.3">
      <c r="A88" s="31">
        <v>44926</v>
      </c>
      <c r="B88" s="34">
        <v>1.1884084486034601</v>
      </c>
      <c r="C88" s="34">
        <v>0.74181574942179795</v>
      </c>
      <c r="D88" s="35">
        <v>1.70023682148013</v>
      </c>
      <c r="E88" s="35">
        <v>101.749877001561</v>
      </c>
      <c r="F88" s="1">
        <v>0</v>
      </c>
      <c r="G88" s="1">
        <f t="shared" si="15"/>
        <v>1</v>
      </c>
      <c r="H88" s="1">
        <v>0</v>
      </c>
      <c r="I88" s="1">
        <f t="shared" si="16"/>
        <v>1</v>
      </c>
      <c r="J88" s="1">
        <f t="shared" si="17"/>
        <v>0</v>
      </c>
      <c r="K88" s="1">
        <f t="shared" si="18"/>
        <v>0</v>
      </c>
      <c r="L88" s="1">
        <f t="shared" si="19"/>
        <v>0</v>
      </c>
      <c r="M88" s="1">
        <f t="shared" si="20"/>
        <v>1</v>
      </c>
      <c r="N88" s="1" t="str">
        <f t="shared" si="21"/>
        <v>双紧</v>
      </c>
      <c r="P88" s="42">
        <v>44926</v>
      </c>
      <c r="Q88" s="44">
        <v>3.1137581496903999</v>
      </c>
      <c r="R88" s="45">
        <v>2.3194545454545401</v>
      </c>
      <c r="S88" s="1">
        <v>0</v>
      </c>
      <c r="T88" s="1">
        <f t="shared" si="22"/>
        <v>1</v>
      </c>
      <c r="U88" s="1">
        <v>0</v>
      </c>
      <c r="V88" s="1">
        <f t="shared" si="23"/>
        <v>1</v>
      </c>
      <c r="W88" s="1">
        <f t="shared" si="24"/>
        <v>0</v>
      </c>
      <c r="X88" s="1">
        <f t="shared" si="25"/>
        <v>0</v>
      </c>
      <c r="Y88" s="1">
        <f t="shared" si="26"/>
        <v>0</v>
      </c>
      <c r="Z88" s="1">
        <f t="shared" si="27"/>
        <v>1</v>
      </c>
      <c r="AA88" s="1" t="str">
        <f t="shared" si="28"/>
        <v>双紧</v>
      </c>
    </row>
    <row r="89" spans="1:27" x14ac:dyDescent="0.3">
      <c r="A89" s="31">
        <v>44985</v>
      </c>
      <c r="B89" s="34">
        <v>1.3192648585628499</v>
      </c>
      <c r="C89" s="34">
        <v>1.1608970705567101</v>
      </c>
      <c r="D89" s="35">
        <v>1.8803340569367</v>
      </c>
      <c r="E89" s="35">
        <v>101.818220786094</v>
      </c>
      <c r="F89" s="1">
        <v>1</v>
      </c>
      <c r="G89" s="1">
        <f t="shared" si="15"/>
        <v>0</v>
      </c>
      <c r="H89" s="1">
        <v>0</v>
      </c>
      <c r="I89" s="1">
        <f t="shared" si="16"/>
        <v>1</v>
      </c>
      <c r="J89" s="1">
        <f t="shared" si="17"/>
        <v>0</v>
      </c>
      <c r="K89" s="1">
        <f t="shared" si="18"/>
        <v>1</v>
      </c>
      <c r="L89" s="1">
        <f t="shared" si="19"/>
        <v>0</v>
      </c>
      <c r="M89" s="1">
        <f t="shared" si="20"/>
        <v>0</v>
      </c>
      <c r="N89" s="1" t="str">
        <f t="shared" si="21"/>
        <v>宽货币紧财政</v>
      </c>
      <c r="P89" s="42">
        <v>44985</v>
      </c>
      <c r="Q89" s="44">
        <v>2.1465878436549399</v>
      </c>
      <c r="R89" s="45">
        <v>2.3834499999999998</v>
      </c>
      <c r="S89" s="1">
        <v>0</v>
      </c>
      <c r="T89" s="1">
        <f t="shared" si="22"/>
        <v>1</v>
      </c>
      <c r="U89" s="1">
        <v>0</v>
      </c>
      <c r="V89" s="1">
        <f t="shared" si="23"/>
        <v>1</v>
      </c>
      <c r="W89" s="1">
        <f t="shared" si="24"/>
        <v>0</v>
      </c>
      <c r="X89" s="1">
        <f t="shared" si="25"/>
        <v>0</v>
      </c>
      <c r="Y89" s="1">
        <f t="shared" si="26"/>
        <v>0</v>
      </c>
      <c r="Z89" s="1">
        <f t="shared" si="27"/>
        <v>1</v>
      </c>
      <c r="AA89" s="1" t="str">
        <f t="shared" si="28"/>
        <v>双紧</v>
      </c>
    </row>
    <row r="90" spans="1:27" x14ac:dyDescent="0.3">
      <c r="A90" s="31">
        <v>45016</v>
      </c>
      <c r="B90" s="36">
        <v>1.22035817550188</v>
      </c>
      <c r="C90" s="36">
        <v>1.0318578716640801</v>
      </c>
      <c r="D90" s="33">
        <v>1.9468301403263599</v>
      </c>
      <c r="E90" s="33">
        <v>102.16778140786499</v>
      </c>
      <c r="F90" s="1">
        <v>1</v>
      </c>
      <c r="G90" s="1">
        <f t="shared" si="15"/>
        <v>0</v>
      </c>
      <c r="H90" s="1">
        <v>0</v>
      </c>
      <c r="I90" s="1">
        <f t="shared" si="16"/>
        <v>1</v>
      </c>
      <c r="J90" s="1">
        <f t="shared" si="17"/>
        <v>0</v>
      </c>
      <c r="K90" s="1">
        <f t="shared" si="18"/>
        <v>1</v>
      </c>
      <c r="L90" s="1">
        <f t="shared" si="19"/>
        <v>0</v>
      </c>
      <c r="M90" s="1">
        <f t="shared" si="20"/>
        <v>0</v>
      </c>
      <c r="N90" s="1" t="str">
        <f t="shared" si="21"/>
        <v>宽货币紧财政</v>
      </c>
      <c r="P90" s="42">
        <v>45016</v>
      </c>
      <c r="Q90" s="44">
        <v>0.68685359947495905</v>
      </c>
      <c r="R90" s="45">
        <v>2.47773913043478</v>
      </c>
      <c r="S90" s="1">
        <v>0</v>
      </c>
      <c r="T90" s="1">
        <f t="shared" si="22"/>
        <v>1</v>
      </c>
      <c r="U90" s="1">
        <v>0</v>
      </c>
      <c r="V90" s="1">
        <f t="shared" si="23"/>
        <v>1</v>
      </c>
      <c r="W90" s="1">
        <f t="shared" si="24"/>
        <v>0</v>
      </c>
      <c r="X90" s="1">
        <f t="shared" si="25"/>
        <v>0</v>
      </c>
      <c r="Y90" s="1">
        <f t="shared" si="26"/>
        <v>0</v>
      </c>
      <c r="Z90" s="1">
        <f t="shared" si="27"/>
        <v>1</v>
      </c>
      <c r="AA90" s="1" t="str">
        <f t="shared" si="28"/>
        <v>双紧</v>
      </c>
    </row>
    <row r="91" spans="1:27" x14ac:dyDescent="0.3">
      <c r="A91" s="31">
        <v>45046</v>
      </c>
      <c r="B91" s="36">
        <v>0.75008113883977201</v>
      </c>
      <c r="C91" s="36">
        <v>0.64612175072315003</v>
      </c>
      <c r="D91" s="33">
        <v>1.9872036694175299</v>
      </c>
      <c r="E91" s="33">
        <v>102.485490015064</v>
      </c>
      <c r="F91" s="1">
        <v>1</v>
      </c>
      <c r="G91" s="1">
        <f t="shared" si="15"/>
        <v>0</v>
      </c>
      <c r="H91" s="1">
        <v>0</v>
      </c>
      <c r="I91" s="1">
        <f t="shared" si="16"/>
        <v>1</v>
      </c>
      <c r="J91" s="1">
        <f t="shared" si="17"/>
        <v>0</v>
      </c>
      <c r="K91" s="1">
        <f t="shared" si="18"/>
        <v>1</v>
      </c>
      <c r="L91" s="1">
        <f t="shared" si="19"/>
        <v>0</v>
      </c>
      <c r="M91" s="1">
        <f t="shared" si="20"/>
        <v>0</v>
      </c>
      <c r="N91" s="1" t="str">
        <f t="shared" si="21"/>
        <v>宽货币紧财政</v>
      </c>
      <c r="P91" s="42">
        <v>45046</v>
      </c>
      <c r="Q91" s="44">
        <v>1.71231353572731</v>
      </c>
      <c r="R91" s="45">
        <v>2.42415</v>
      </c>
      <c r="S91" s="1">
        <v>1</v>
      </c>
      <c r="T91" s="1">
        <f t="shared" si="22"/>
        <v>0</v>
      </c>
      <c r="U91" s="1">
        <v>0</v>
      </c>
      <c r="V91" s="1">
        <f t="shared" si="23"/>
        <v>1</v>
      </c>
      <c r="W91" s="1">
        <f t="shared" si="24"/>
        <v>0</v>
      </c>
      <c r="X91" s="1">
        <f t="shared" si="25"/>
        <v>1</v>
      </c>
      <c r="Y91" s="1">
        <f t="shared" si="26"/>
        <v>0</v>
      </c>
      <c r="Z91" s="1">
        <f t="shared" si="27"/>
        <v>0</v>
      </c>
      <c r="AA91" s="1" t="str">
        <f t="shared" si="28"/>
        <v>宽货币紧财政</v>
      </c>
    </row>
    <row r="92" spans="1:27" x14ac:dyDescent="0.3">
      <c r="A92" s="31">
        <v>45077</v>
      </c>
      <c r="B92" s="36">
        <v>0.62359519637955296</v>
      </c>
      <c r="C92" s="36">
        <v>0.84526990928771795</v>
      </c>
      <c r="D92" s="33">
        <v>2.0157222704778399</v>
      </c>
      <c r="E92" s="33">
        <v>102.81567925386599</v>
      </c>
      <c r="F92" s="1">
        <v>1</v>
      </c>
      <c r="G92" s="1">
        <f t="shared" si="15"/>
        <v>0</v>
      </c>
      <c r="H92" s="1">
        <v>0</v>
      </c>
      <c r="I92" s="1">
        <f t="shared" si="16"/>
        <v>1</v>
      </c>
      <c r="J92" s="1">
        <f t="shared" si="17"/>
        <v>0</v>
      </c>
      <c r="K92" s="1">
        <f t="shared" si="18"/>
        <v>1</v>
      </c>
      <c r="L92" s="1">
        <f t="shared" si="19"/>
        <v>0</v>
      </c>
      <c r="M92" s="1">
        <f t="shared" si="20"/>
        <v>0</v>
      </c>
      <c r="N92" s="1" t="str">
        <f t="shared" si="21"/>
        <v>宽货币紧财政</v>
      </c>
      <c r="P92" s="42">
        <v>45077</v>
      </c>
      <c r="Q92" s="44">
        <v>0.56074226088967305</v>
      </c>
      <c r="R92" s="45">
        <v>2.3034761904761898</v>
      </c>
      <c r="S92" s="1">
        <v>1</v>
      </c>
      <c r="T92" s="1">
        <f t="shared" si="22"/>
        <v>0</v>
      </c>
      <c r="U92" s="1">
        <v>0</v>
      </c>
      <c r="V92" s="1">
        <f t="shared" si="23"/>
        <v>1</v>
      </c>
      <c r="W92" s="1">
        <f t="shared" si="24"/>
        <v>0</v>
      </c>
      <c r="X92" s="1">
        <f t="shared" si="25"/>
        <v>1</v>
      </c>
      <c r="Y92" s="1">
        <f t="shared" si="26"/>
        <v>0</v>
      </c>
      <c r="Z92" s="1">
        <f t="shared" si="27"/>
        <v>0</v>
      </c>
      <c r="AA92" s="1" t="str">
        <f t="shared" si="28"/>
        <v>宽货币紧财政</v>
      </c>
    </row>
    <row r="93" spans="1:27" x14ac:dyDescent="0.3">
      <c r="A93" s="31">
        <v>45107</v>
      </c>
      <c r="B93" s="36">
        <v>0.61734799888190395</v>
      </c>
      <c r="C93" s="36">
        <v>0.94943589187782496</v>
      </c>
      <c r="D93" s="33">
        <v>2.0504032374946801</v>
      </c>
      <c r="E93" s="33">
        <v>102.610960620593</v>
      </c>
      <c r="F93" s="1">
        <v>1</v>
      </c>
      <c r="G93" s="1">
        <f t="shared" si="15"/>
        <v>0</v>
      </c>
      <c r="H93" s="1">
        <v>0</v>
      </c>
      <c r="I93" s="1">
        <f t="shared" si="16"/>
        <v>1</v>
      </c>
      <c r="J93" s="1">
        <f t="shared" si="17"/>
        <v>0</v>
      </c>
      <c r="K93" s="1">
        <f t="shared" si="18"/>
        <v>1</v>
      </c>
      <c r="L93" s="1">
        <f t="shared" si="19"/>
        <v>0</v>
      </c>
      <c r="M93" s="1">
        <f t="shared" si="20"/>
        <v>0</v>
      </c>
      <c r="N93" s="1" t="str">
        <f t="shared" si="21"/>
        <v>宽货币紧财政</v>
      </c>
      <c r="P93" s="42">
        <v>45107</v>
      </c>
      <c r="Q93" s="44">
        <v>-3.5914714799714802</v>
      </c>
      <c r="R93" s="45">
        <v>2.1543333333333301</v>
      </c>
      <c r="S93" s="1">
        <v>1</v>
      </c>
      <c r="T93" s="1">
        <f t="shared" si="22"/>
        <v>0</v>
      </c>
      <c r="U93" s="1">
        <v>0</v>
      </c>
      <c r="V93" s="1">
        <f t="shared" si="23"/>
        <v>1</v>
      </c>
      <c r="W93" s="1">
        <f t="shared" si="24"/>
        <v>0</v>
      </c>
      <c r="X93" s="1">
        <f t="shared" si="25"/>
        <v>1</v>
      </c>
      <c r="Y93" s="1">
        <f t="shared" si="26"/>
        <v>0</v>
      </c>
      <c r="Z93" s="1">
        <f t="shared" si="27"/>
        <v>0</v>
      </c>
      <c r="AA93" s="1" t="str">
        <f t="shared" si="28"/>
        <v>宽货币紧财政</v>
      </c>
    </row>
    <row r="94" spans="1:27" x14ac:dyDescent="0.3">
      <c r="A94" s="31">
        <v>45138</v>
      </c>
      <c r="B94" s="37">
        <v>0.64392305495310898</v>
      </c>
      <c r="C94" s="37">
        <v>0.99821103801291899</v>
      </c>
      <c r="D94" s="38">
        <v>2.0907203242069499</v>
      </c>
      <c r="E94" s="38">
        <v>102.772909899298</v>
      </c>
      <c r="F94" s="1">
        <v>1</v>
      </c>
      <c r="G94" s="1">
        <f t="shared" si="15"/>
        <v>0</v>
      </c>
      <c r="H94" s="1">
        <v>1</v>
      </c>
      <c r="I94" s="1">
        <f t="shared" si="16"/>
        <v>0</v>
      </c>
      <c r="J94" s="1">
        <f t="shared" si="17"/>
        <v>1</v>
      </c>
      <c r="K94" s="1">
        <f t="shared" si="18"/>
        <v>0</v>
      </c>
      <c r="L94" s="1">
        <f t="shared" si="19"/>
        <v>0</v>
      </c>
      <c r="M94" s="1">
        <f t="shared" si="20"/>
        <v>0</v>
      </c>
      <c r="N94" s="1" t="str">
        <f t="shared" si="21"/>
        <v>双宽</v>
      </c>
      <c r="P94" s="42">
        <v>45138</v>
      </c>
      <c r="Q94" s="44">
        <v>-4.7639377078263703</v>
      </c>
      <c r="R94" s="45">
        <v>2.11557142857143</v>
      </c>
      <c r="S94" s="1">
        <v>1</v>
      </c>
      <c r="T94" s="1">
        <f t="shared" si="22"/>
        <v>0</v>
      </c>
      <c r="U94" s="1">
        <v>1</v>
      </c>
      <c r="V94" s="1">
        <f t="shared" si="23"/>
        <v>0</v>
      </c>
      <c r="W94" s="1">
        <f t="shared" si="24"/>
        <v>1</v>
      </c>
      <c r="X94" s="1">
        <f t="shared" si="25"/>
        <v>0</v>
      </c>
      <c r="Y94" s="1">
        <f t="shared" si="26"/>
        <v>0</v>
      </c>
      <c r="Z94" s="1">
        <f t="shared" si="27"/>
        <v>0</v>
      </c>
      <c r="AA94" s="1" t="str">
        <f t="shared" si="28"/>
        <v>双宽</v>
      </c>
    </row>
    <row r="95" spans="1:27" x14ac:dyDescent="0.3">
      <c r="A95" s="31">
        <v>45169</v>
      </c>
      <c r="B95" s="37">
        <v>0.73061774230295895</v>
      </c>
      <c r="C95" s="37">
        <v>1.1045605426593099</v>
      </c>
      <c r="D95" s="38">
        <v>2.15392795788956</v>
      </c>
      <c r="E95" s="38">
        <v>102.571504237141</v>
      </c>
      <c r="F95" s="1">
        <v>1</v>
      </c>
      <c r="G95" s="1">
        <f t="shared" si="15"/>
        <v>0</v>
      </c>
      <c r="H95" s="1">
        <v>1</v>
      </c>
      <c r="I95" s="1">
        <f t="shared" si="16"/>
        <v>0</v>
      </c>
      <c r="J95" s="1">
        <f t="shared" si="17"/>
        <v>1</v>
      </c>
      <c r="K95" s="1">
        <f t="shared" si="18"/>
        <v>0</v>
      </c>
      <c r="L95" s="1">
        <f t="shared" si="19"/>
        <v>0</v>
      </c>
      <c r="M95" s="1">
        <f t="shared" si="20"/>
        <v>0</v>
      </c>
      <c r="N95" s="1" t="str">
        <f t="shared" si="21"/>
        <v>双宽</v>
      </c>
      <c r="P95" s="42">
        <v>45169</v>
      </c>
      <c r="Q95" s="44">
        <v>-4.03707543962018</v>
      </c>
      <c r="R95" s="45">
        <v>2.05017391304348</v>
      </c>
      <c r="S95" s="1">
        <v>1</v>
      </c>
      <c r="T95" s="1">
        <f t="shared" si="22"/>
        <v>0</v>
      </c>
      <c r="U95" s="1">
        <v>1</v>
      </c>
      <c r="V95" s="1">
        <f t="shared" si="23"/>
        <v>0</v>
      </c>
      <c r="W95" s="1">
        <f t="shared" si="24"/>
        <v>1</v>
      </c>
      <c r="X95" s="1">
        <f t="shared" si="25"/>
        <v>0</v>
      </c>
      <c r="Y95" s="1">
        <f t="shared" si="26"/>
        <v>0</v>
      </c>
      <c r="Z95" s="1">
        <f t="shared" si="27"/>
        <v>0</v>
      </c>
      <c r="AA95" s="1" t="str">
        <f t="shared" si="28"/>
        <v>双宽</v>
      </c>
    </row>
    <row r="96" spans="1:27" x14ac:dyDescent="0.3">
      <c r="A96" s="31">
        <v>45199</v>
      </c>
      <c r="B96" s="37">
        <v>0.81020969366104101</v>
      </c>
      <c r="C96" s="37">
        <v>1.10729632642556</v>
      </c>
      <c r="D96" s="38">
        <v>2.2321298145063002</v>
      </c>
      <c r="E96" s="38">
        <v>102.287683571789</v>
      </c>
      <c r="F96" s="1">
        <v>1</v>
      </c>
      <c r="G96" s="1">
        <f t="shared" si="15"/>
        <v>0</v>
      </c>
      <c r="H96" s="1">
        <v>1</v>
      </c>
      <c r="I96" s="1">
        <f t="shared" si="16"/>
        <v>0</v>
      </c>
      <c r="J96" s="1">
        <f t="shared" si="17"/>
        <v>1</v>
      </c>
      <c r="K96" s="1">
        <f t="shared" si="18"/>
        <v>0</v>
      </c>
      <c r="L96" s="1">
        <f t="shared" si="19"/>
        <v>0</v>
      </c>
      <c r="M96" s="1">
        <f t="shared" si="20"/>
        <v>0</v>
      </c>
      <c r="N96" s="1" t="str">
        <f t="shared" si="21"/>
        <v>双宽</v>
      </c>
      <c r="P96" s="42">
        <v>45199</v>
      </c>
      <c r="Q96" s="44">
        <v>-2.3710391860589701</v>
      </c>
      <c r="R96" s="45">
        <v>2.1665000000000001</v>
      </c>
      <c r="S96" s="1">
        <v>0</v>
      </c>
      <c r="T96" s="1">
        <f t="shared" si="22"/>
        <v>1</v>
      </c>
      <c r="U96" s="1">
        <v>1</v>
      </c>
      <c r="V96" s="1">
        <f t="shared" si="23"/>
        <v>0</v>
      </c>
      <c r="W96" s="1">
        <f t="shared" si="24"/>
        <v>0</v>
      </c>
      <c r="X96" s="1">
        <f t="shared" si="25"/>
        <v>0</v>
      </c>
      <c r="Y96" s="1">
        <f t="shared" si="26"/>
        <v>1</v>
      </c>
      <c r="Z96" s="1">
        <f t="shared" si="27"/>
        <v>0</v>
      </c>
      <c r="AA96" s="1" t="str">
        <f t="shared" si="28"/>
        <v>紧货币宽财政</v>
      </c>
    </row>
    <row r="97" spans="1:27" x14ac:dyDescent="0.3">
      <c r="A97" s="31">
        <v>45230</v>
      </c>
      <c r="B97" s="37">
        <v>0.87416473809416695</v>
      </c>
      <c r="C97" s="37">
        <v>1.0877586203910301</v>
      </c>
      <c r="D97" s="38">
        <v>2.31679293218926</v>
      </c>
      <c r="E97" s="38">
        <v>102.80197142784399</v>
      </c>
      <c r="F97" s="1">
        <v>1</v>
      </c>
      <c r="G97" s="1">
        <f t="shared" si="15"/>
        <v>0</v>
      </c>
      <c r="H97" s="1">
        <v>1</v>
      </c>
      <c r="I97" s="1">
        <f t="shared" si="16"/>
        <v>0</v>
      </c>
      <c r="J97" s="1">
        <f t="shared" si="17"/>
        <v>1</v>
      </c>
      <c r="K97" s="1">
        <f t="shared" si="18"/>
        <v>0</v>
      </c>
      <c r="L97" s="1">
        <f t="shared" si="19"/>
        <v>0</v>
      </c>
      <c r="M97" s="1">
        <f t="shared" si="20"/>
        <v>0</v>
      </c>
      <c r="N97" s="1" t="str">
        <f t="shared" si="21"/>
        <v>双宽</v>
      </c>
      <c r="P97" s="42">
        <v>45230</v>
      </c>
      <c r="Q97" s="44">
        <v>-1.21363958395367</v>
      </c>
      <c r="R97" s="45">
        <v>2.3387894736842099</v>
      </c>
      <c r="S97" s="1">
        <v>0</v>
      </c>
      <c r="T97" s="1">
        <f t="shared" si="22"/>
        <v>1</v>
      </c>
      <c r="U97" s="1">
        <v>1</v>
      </c>
      <c r="V97" s="1">
        <f t="shared" si="23"/>
        <v>0</v>
      </c>
      <c r="W97" s="1">
        <f t="shared" si="24"/>
        <v>0</v>
      </c>
      <c r="X97" s="1">
        <f t="shared" si="25"/>
        <v>0</v>
      </c>
      <c r="Y97" s="1">
        <f t="shared" si="26"/>
        <v>1</v>
      </c>
      <c r="Z97" s="1">
        <f t="shared" si="27"/>
        <v>0</v>
      </c>
      <c r="AA97" s="1" t="str">
        <f t="shared" si="28"/>
        <v>紧货币宽财政</v>
      </c>
    </row>
    <row r="98" spans="1:27" x14ac:dyDescent="0.3">
      <c r="A98" s="31">
        <v>45260</v>
      </c>
      <c r="B98" s="37">
        <v>0.90293351149721102</v>
      </c>
      <c r="C98" s="37">
        <v>1.04342427636128</v>
      </c>
      <c r="D98" s="38">
        <v>2.4033977039176899</v>
      </c>
      <c r="E98" s="38">
        <v>103.093535205799</v>
      </c>
      <c r="F98" s="1">
        <v>1</v>
      </c>
      <c r="G98" s="1">
        <f t="shared" si="15"/>
        <v>0</v>
      </c>
      <c r="H98" s="1">
        <v>1</v>
      </c>
      <c r="I98" s="1">
        <f t="shared" si="16"/>
        <v>0</v>
      </c>
      <c r="J98" s="1">
        <f t="shared" si="17"/>
        <v>1</v>
      </c>
      <c r="K98" s="1">
        <f t="shared" si="18"/>
        <v>0</v>
      </c>
      <c r="L98" s="1">
        <f t="shared" si="19"/>
        <v>0</v>
      </c>
      <c r="M98" s="1">
        <f t="shared" si="20"/>
        <v>0</v>
      </c>
      <c r="N98" s="1" t="str">
        <f t="shared" si="21"/>
        <v>双宽</v>
      </c>
      <c r="P98" s="42">
        <v>45260</v>
      </c>
      <c r="Q98" s="44">
        <v>-0.48667145190832101</v>
      </c>
      <c r="R98" s="45">
        <v>2.4542772727272699</v>
      </c>
      <c r="S98" s="1">
        <v>0</v>
      </c>
      <c r="T98" s="1">
        <f t="shared" si="22"/>
        <v>1</v>
      </c>
      <c r="U98" s="1">
        <v>1</v>
      </c>
      <c r="V98" s="1">
        <f t="shared" si="23"/>
        <v>0</v>
      </c>
      <c r="W98" s="1">
        <f t="shared" si="24"/>
        <v>0</v>
      </c>
      <c r="X98" s="1">
        <f t="shared" si="25"/>
        <v>0</v>
      </c>
      <c r="Y98" s="1">
        <f t="shared" si="26"/>
        <v>1</v>
      </c>
      <c r="Z98" s="1">
        <f t="shared" si="27"/>
        <v>0</v>
      </c>
      <c r="AA98" s="1" t="str">
        <f t="shared" si="28"/>
        <v>紧货币宽财政</v>
      </c>
    </row>
    <row r="99" spans="1:27" x14ac:dyDescent="0.3">
      <c r="A99" s="31">
        <v>45291</v>
      </c>
      <c r="B99" s="37">
        <v>0.99731315194727299</v>
      </c>
      <c r="C99" s="37">
        <v>1.14896491486347</v>
      </c>
      <c r="D99" s="38">
        <v>2.4719491455504401</v>
      </c>
      <c r="E99" s="38">
        <v>103.459942756666</v>
      </c>
      <c r="F99" s="1">
        <v>1</v>
      </c>
      <c r="G99" s="1">
        <f t="shared" si="15"/>
        <v>0</v>
      </c>
      <c r="H99" s="1">
        <v>1</v>
      </c>
      <c r="I99" s="1">
        <f t="shared" si="16"/>
        <v>0</v>
      </c>
      <c r="J99" s="1">
        <f t="shared" si="17"/>
        <v>1</v>
      </c>
      <c r="K99" s="1">
        <f t="shared" si="18"/>
        <v>0</v>
      </c>
      <c r="L99" s="1">
        <f t="shared" si="19"/>
        <v>0</v>
      </c>
      <c r="M99" s="1">
        <f t="shared" si="20"/>
        <v>0</v>
      </c>
      <c r="N99" s="1" t="str">
        <f t="shared" si="21"/>
        <v>双宽</v>
      </c>
      <c r="P99" s="42">
        <v>45291</v>
      </c>
      <c r="Q99" s="44">
        <v>1.2718485312183401</v>
      </c>
      <c r="R99" s="45">
        <v>2.5737142857142898</v>
      </c>
      <c r="S99" s="1">
        <v>0</v>
      </c>
      <c r="T99" s="1">
        <f t="shared" si="22"/>
        <v>1</v>
      </c>
      <c r="U99" s="1">
        <v>1</v>
      </c>
      <c r="V99" s="1">
        <f t="shared" si="23"/>
        <v>0</v>
      </c>
      <c r="W99" s="1">
        <f t="shared" si="24"/>
        <v>0</v>
      </c>
      <c r="X99" s="1">
        <f t="shared" si="25"/>
        <v>0</v>
      </c>
      <c r="Y99" s="1">
        <f t="shared" si="26"/>
        <v>1</v>
      </c>
      <c r="Z99" s="1">
        <f t="shared" si="27"/>
        <v>0</v>
      </c>
      <c r="AA99" s="1" t="str">
        <f t="shared" si="28"/>
        <v>紧货币宽财政</v>
      </c>
    </row>
    <row r="100" spans="1:27" x14ac:dyDescent="0.3">
      <c r="A100" s="31">
        <v>45351</v>
      </c>
      <c r="B100" s="32">
        <v>1.1797815123173001</v>
      </c>
      <c r="C100" s="32">
        <v>1.1138641776184901</v>
      </c>
      <c r="D100" s="27">
        <v>2.5111036021918798</v>
      </c>
      <c r="E100" s="27">
        <v>104.73638190700299</v>
      </c>
      <c r="F100" s="1">
        <v>1</v>
      </c>
      <c r="G100" s="1">
        <f t="shared" si="15"/>
        <v>0</v>
      </c>
      <c r="H100" s="1">
        <v>1</v>
      </c>
      <c r="I100" s="1">
        <f t="shared" si="16"/>
        <v>0</v>
      </c>
      <c r="J100" s="1">
        <f t="shared" si="17"/>
        <v>1</v>
      </c>
      <c r="K100" s="1">
        <f t="shared" si="18"/>
        <v>0</v>
      </c>
      <c r="L100" s="1">
        <f t="shared" si="19"/>
        <v>0</v>
      </c>
      <c r="M100" s="1">
        <f t="shared" si="20"/>
        <v>0</v>
      </c>
      <c r="N100" s="1" t="str">
        <f t="shared" si="21"/>
        <v>双宽</v>
      </c>
      <c r="P100" s="42">
        <v>45351</v>
      </c>
      <c r="Q100" s="44">
        <v>2.7270513757000199</v>
      </c>
      <c r="R100" s="45">
        <v>2.28771666666667</v>
      </c>
      <c r="S100" s="1">
        <v>1</v>
      </c>
      <c r="T100" s="1">
        <f t="shared" si="22"/>
        <v>0</v>
      </c>
      <c r="U100" s="1">
        <v>1</v>
      </c>
      <c r="V100" s="1">
        <f t="shared" si="23"/>
        <v>0</v>
      </c>
      <c r="W100" s="1">
        <f t="shared" si="24"/>
        <v>1</v>
      </c>
      <c r="X100" s="1">
        <f t="shared" si="25"/>
        <v>0</v>
      </c>
      <c r="Y100" s="1">
        <f t="shared" si="26"/>
        <v>0</v>
      </c>
      <c r="Z100" s="1">
        <f t="shared" si="27"/>
        <v>0</v>
      </c>
      <c r="AA100" s="1" t="str">
        <f t="shared" si="28"/>
        <v>双宽</v>
      </c>
    </row>
    <row r="101" spans="1:27" x14ac:dyDescent="0.3">
      <c r="A101" s="31">
        <v>45382</v>
      </c>
      <c r="B101" s="32">
        <v>1.11099833628865</v>
      </c>
      <c r="C101" s="32">
        <v>1.02557437448204</v>
      </c>
      <c r="D101" s="27">
        <v>2.5125289527559098</v>
      </c>
      <c r="E101" s="27">
        <v>104.51673523010599</v>
      </c>
      <c r="F101" s="1">
        <v>1</v>
      </c>
      <c r="G101" s="1">
        <f t="shared" si="15"/>
        <v>0</v>
      </c>
      <c r="H101" s="1">
        <v>1</v>
      </c>
      <c r="I101" s="1">
        <f t="shared" si="16"/>
        <v>0</v>
      </c>
      <c r="J101" s="1">
        <f t="shared" si="17"/>
        <v>1</v>
      </c>
      <c r="K101" s="1">
        <f t="shared" si="18"/>
        <v>0</v>
      </c>
      <c r="L101" s="1">
        <f t="shared" si="19"/>
        <v>0</v>
      </c>
      <c r="M101" s="1">
        <f t="shared" si="20"/>
        <v>0</v>
      </c>
      <c r="N101" s="1" t="str">
        <f t="shared" si="21"/>
        <v>双宽</v>
      </c>
      <c r="P101" s="42">
        <v>45382</v>
      </c>
      <c r="Q101" s="44">
        <v>-1.4913296096919599</v>
      </c>
      <c r="R101" s="45">
        <v>2.1623809523809499</v>
      </c>
      <c r="S101" s="1">
        <v>1</v>
      </c>
      <c r="T101" s="1">
        <f t="shared" si="22"/>
        <v>0</v>
      </c>
      <c r="U101" s="1">
        <v>0</v>
      </c>
      <c r="V101" s="1">
        <f t="shared" si="23"/>
        <v>1</v>
      </c>
      <c r="W101" s="1">
        <f t="shared" si="24"/>
        <v>0</v>
      </c>
      <c r="X101" s="1">
        <f t="shared" ref="X101:X122" si="29">INT(AND(S101=1,V101=1))</f>
        <v>1</v>
      </c>
      <c r="Y101" s="1">
        <f t="shared" ref="Y101:Y122" si="30">INT(AND(T101=1,U101=1))</f>
        <v>0</v>
      </c>
      <c r="Z101" s="1">
        <f t="shared" si="27"/>
        <v>0</v>
      </c>
      <c r="AA101" s="1" t="str">
        <f t="shared" si="28"/>
        <v>宽货币紧财政</v>
      </c>
    </row>
    <row r="102" spans="1:27" x14ac:dyDescent="0.3">
      <c r="A102" s="31">
        <v>45412</v>
      </c>
      <c r="B102" s="27">
        <v>1.1282240889972199</v>
      </c>
      <c r="E102" s="27">
        <v>104.70776602513899</v>
      </c>
      <c r="F102" s="1">
        <v>1</v>
      </c>
      <c r="G102" s="1">
        <f t="shared" si="15"/>
        <v>0</v>
      </c>
      <c r="H102" s="1">
        <v>1</v>
      </c>
      <c r="I102" s="1">
        <f t="shared" si="16"/>
        <v>0</v>
      </c>
      <c r="J102" s="1">
        <f t="shared" si="17"/>
        <v>1</v>
      </c>
      <c r="K102" s="1">
        <f t="shared" si="18"/>
        <v>0</v>
      </c>
      <c r="L102" s="1">
        <f t="shared" si="19"/>
        <v>0</v>
      </c>
      <c r="M102" s="1">
        <f t="shared" si="20"/>
        <v>0</v>
      </c>
      <c r="N102" s="1" t="str">
        <f t="shared" si="21"/>
        <v>双宽</v>
      </c>
      <c r="P102" s="42">
        <v>45412</v>
      </c>
      <c r="Q102" s="44">
        <v>-2.3306455844541998</v>
      </c>
      <c r="R102" s="45">
        <v>2.0665</v>
      </c>
      <c r="S102" s="1">
        <v>1</v>
      </c>
      <c r="T102" s="1">
        <f>1-S102</f>
        <v>0</v>
      </c>
      <c r="U102" s="1">
        <v>1</v>
      </c>
      <c r="V102" s="1">
        <f t="shared" si="23"/>
        <v>0</v>
      </c>
      <c r="W102" s="1">
        <f t="shared" si="24"/>
        <v>1</v>
      </c>
      <c r="X102" s="1">
        <f t="shared" si="29"/>
        <v>0</v>
      </c>
      <c r="Y102" s="1">
        <f t="shared" si="30"/>
        <v>0</v>
      </c>
      <c r="Z102" s="1">
        <f t="shared" ref="Z102:Z122" si="31">INT(AND(T102=1,V102=1))</f>
        <v>0</v>
      </c>
      <c r="AA102" s="1" t="str">
        <f t="shared" ref="AA102:AA122" si="32">INDEX($J$11:$M$11,1,MATCH(1,W102:Z102,0))</f>
        <v>双宽</v>
      </c>
    </row>
    <row r="103" spans="1:27" x14ac:dyDescent="0.35">
      <c r="A103" s="31">
        <v>45443</v>
      </c>
      <c r="N103" s="1" t="s">
        <v>113</v>
      </c>
      <c r="P103" s="42">
        <v>45443</v>
      </c>
      <c r="Q103" s="138">
        <v>-1.7567894270287701</v>
      </c>
      <c r="R103" s="45">
        <v>1.9711904761904799</v>
      </c>
      <c r="S103" s="1">
        <v>0</v>
      </c>
      <c r="T103" s="1">
        <f t="shared" ref="T103:T122" si="33">1-S103</f>
        <v>1</v>
      </c>
      <c r="U103" s="1">
        <v>1</v>
      </c>
      <c r="V103" s="1">
        <f t="shared" si="23"/>
        <v>0</v>
      </c>
      <c r="W103" s="1">
        <f t="shared" si="24"/>
        <v>0</v>
      </c>
      <c r="X103" s="1">
        <f t="shared" si="29"/>
        <v>0</v>
      </c>
      <c r="Y103" s="1">
        <f t="shared" si="30"/>
        <v>1</v>
      </c>
      <c r="Z103" s="1">
        <f t="shared" si="31"/>
        <v>0</v>
      </c>
      <c r="AA103" s="1" t="str">
        <f t="shared" si="32"/>
        <v>紧货币宽财政</v>
      </c>
    </row>
    <row r="104" spans="1:27" x14ac:dyDescent="0.35">
      <c r="A104" s="31">
        <v>45473</v>
      </c>
      <c r="P104" s="42">
        <v>45473</v>
      </c>
      <c r="Q104" s="148">
        <v>-4.8588969987615602</v>
      </c>
      <c r="R104" s="147">
        <v>1.9348421052631599</v>
      </c>
      <c r="S104" s="1">
        <v>0</v>
      </c>
      <c r="T104" s="1">
        <f t="shared" si="33"/>
        <v>1</v>
      </c>
      <c r="U104" s="1">
        <v>1</v>
      </c>
      <c r="V104" s="1">
        <f t="shared" si="23"/>
        <v>0</v>
      </c>
      <c r="W104" s="1">
        <f t="shared" si="24"/>
        <v>0</v>
      </c>
      <c r="X104" s="1">
        <f t="shared" si="29"/>
        <v>0</v>
      </c>
      <c r="Y104" s="1">
        <f t="shared" si="30"/>
        <v>1</v>
      </c>
      <c r="Z104" s="1">
        <f t="shared" si="31"/>
        <v>0</v>
      </c>
      <c r="AA104" s="1" t="str">
        <f t="shared" si="32"/>
        <v>紧货币宽财政</v>
      </c>
    </row>
    <row r="105" spans="1:27" x14ac:dyDescent="0.35">
      <c r="A105" s="31">
        <v>45504</v>
      </c>
      <c r="P105" s="42">
        <v>45504</v>
      </c>
      <c r="Q105" s="148">
        <v>3.6609596279856298</v>
      </c>
      <c r="R105" s="147">
        <v>1.8953478260869601</v>
      </c>
      <c r="S105" s="1">
        <v>0</v>
      </c>
      <c r="T105" s="1">
        <f t="shared" si="33"/>
        <v>1</v>
      </c>
      <c r="U105" s="1">
        <v>1</v>
      </c>
      <c r="V105" s="1">
        <f t="shared" si="23"/>
        <v>0</v>
      </c>
      <c r="W105" s="1">
        <f t="shared" si="24"/>
        <v>0</v>
      </c>
      <c r="X105" s="1">
        <f t="shared" si="29"/>
        <v>0</v>
      </c>
      <c r="Y105" s="1">
        <f t="shared" si="30"/>
        <v>1</v>
      </c>
      <c r="Z105" s="1">
        <f t="shared" si="31"/>
        <v>0</v>
      </c>
      <c r="AA105" s="1" t="str">
        <f t="shared" si="32"/>
        <v>紧货币宽财政</v>
      </c>
    </row>
    <row r="106" spans="1:27" x14ac:dyDescent="0.35">
      <c r="A106" s="31">
        <v>45535</v>
      </c>
      <c r="P106" s="42">
        <v>45535</v>
      </c>
      <c r="Q106" s="148">
        <v>-8.8106360043118901</v>
      </c>
      <c r="R106" s="147">
        <v>1.8428409090909099</v>
      </c>
      <c r="S106" s="1">
        <v>0</v>
      </c>
      <c r="T106" s="1">
        <f t="shared" si="33"/>
        <v>1</v>
      </c>
      <c r="U106" s="1">
        <v>1</v>
      </c>
      <c r="V106" s="1">
        <f t="shared" si="23"/>
        <v>0</v>
      </c>
      <c r="W106" s="1">
        <f t="shared" si="24"/>
        <v>0</v>
      </c>
      <c r="X106" s="1">
        <f t="shared" si="29"/>
        <v>0</v>
      </c>
      <c r="Y106" s="1">
        <f t="shared" si="30"/>
        <v>1</v>
      </c>
      <c r="Z106" s="1">
        <f t="shared" si="31"/>
        <v>0</v>
      </c>
      <c r="AA106" s="1" t="str">
        <f t="shared" si="32"/>
        <v>紧货币宽财政</v>
      </c>
    </row>
    <row r="107" spans="1:27" x14ac:dyDescent="0.35">
      <c r="A107" s="31">
        <v>45565</v>
      </c>
      <c r="P107" s="42">
        <v>45565</v>
      </c>
      <c r="Q107" s="148">
        <v>12.597784943221701</v>
      </c>
      <c r="R107" s="147">
        <v>1.8476666666666699</v>
      </c>
      <c r="S107" s="1">
        <v>0</v>
      </c>
      <c r="T107" s="1">
        <f t="shared" si="33"/>
        <v>1</v>
      </c>
      <c r="U107" s="1">
        <v>1</v>
      </c>
      <c r="V107" s="1">
        <f t="shared" si="23"/>
        <v>0</v>
      </c>
      <c r="W107" s="1">
        <f t="shared" si="24"/>
        <v>0</v>
      </c>
      <c r="X107" s="1">
        <f t="shared" si="29"/>
        <v>0</v>
      </c>
      <c r="Y107" s="1">
        <f t="shared" si="30"/>
        <v>1</v>
      </c>
      <c r="Z107" s="1">
        <f t="shared" si="31"/>
        <v>0</v>
      </c>
      <c r="AA107" s="1" t="str">
        <f t="shared" si="32"/>
        <v>紧货币宽财政</v>
      </c>
    </row>
    <row r="108" spans="1:27" x14ac:dyDescent="0.35">
      <c r="A108" s="31">
        <v>45596</v>
      </c>
      <c r="P108" s="42">
        <v>45596</v>
      </c>
      <c r="Q108" s="148">
        <v>20.424326986211401</v>
      </c>
      <c r="R108" s="147">
        <v>1.86052631578947</v>
      </c>
      <c r="S108" s="1">
        <v>0</v>
      </c>
      <c r="T108" s="1">
        <f t="shared" si="33"/>
        <v>1</v>
      </c>
      <c r="U108" s="1">
        <v>0</v>
      </c>
      <c r="V108" s="1">
        <f>1-U108</f>
        <v>1</v>
      </c>
      <c r="W108" s="1">
        <f t="shared" si="24"/>
        <v>0</v>
      </c>
      <c r="X108" s="1">
        <f t="shared" si="29"/>
        <v>0</v>
      </c>
      <c r="Y108" s="1">
        <f t="shared" si="30"/>
        <v>0</v>
      </c>
      <c r="Z108" s="1">
        <f t="shared" si="31"/>
        <v>1</v>
      </c>
      <c r="AA108" s="1" t="str">
        <f t="shared" si="32"/>
        <v>双紧</v>
      </c>
    </row>
    <row r="109" spans="1:27" x14ac:dyDescent="0.35">
      <c r="A109" s="31">
        <v>45626</v>
      </c>
      <c r="P109" s="42">
        <v>45626</v>
      </c>
      <c r="Q109" s="148">
        <v>4.57134201757043</v>
      </c>
      <c r="R109" s="147">
        <v>1.86266666666667</v>
      </c>
      <c r="S109" s="1">
        <v>0</v>
      </c>
      <c r="T109" s="1">
        <f t="shared" si="33"/>
        <v>1</v>
      </c>
      <c r="U109" s="1">
        <v>0</v>
      </c>
      <c r="V109" s="1">
        <f t="shared" ref="V109:V122" si="34">1-U109</f>
        <v>1</v>
      </c>
      <c r="W109" s="1">
        <f t="shared" si="24"/>
        <v>0</v>
      </c>
      <c r="X109" s="1">
        <f t="shared" si="29"/>
        <v>0</v>
      </c>
      <c r="Y109" s="1">
        <f t="shared" si="30"/>
        <v>0</v>
      </c>
      <c r="Z109" s="1">
        <f t="shared" si="31"/>
        <v>1</v>
      </c>
      <c r="AA109" s="1" t="str">
        <f t="shared" si="32"/>
        <v>双紧</v>
      </c>
    </row>
    <row r="110" spans="1:27" x14ac:dyDescent="0.35">
      <c r="A110" s="31">
        <v>45657</v>
      </c>
      <c r="P110" s="42">
        <v>45657</v>
      </c>
      <c r="Q110" s="148">
        <v>10.556476874884799</v>
      </c>
      <c r="R110" s="147">
        <v>1.7298272727272701</v>
      </c>
      <c r="S110" s="1">
        <v>0</v>
      </c>
      <c r="T110" s="1">
        <f t="shared" si="33"/>
        <v>1</v>
      </c>
      <c r="U110" s="1">
        <v>0</v>
      </c>
      <c r="V110" s="1">
        <f t="shared" si="34"/>
        <v>1</v>
      </c>
      <c r="W110" s="1">
        <f t="shared" si="24"/>
        <v>0</v>
      </c>
      <c r="X110" s="1">
        <f t="shared" si="29"/>
        <v>0</v>
      </c>
      <c r="Y110" s="1">
        <f t="shared" si="30"/>
        <v>0</v>
      </c>
      <c r="Z110" s="1">
        <f t="shared" si="31"/>
        <v>1</v>
      </c>
      <c r="AA110" s="1" t="str">
        <f t="shared" si="32"/>
        <v>双紧</v>
      </c>
    </row>
    <row r="111" spans="1:27" x14ac:dyDescent="0.35">
      <c r="A111" s="31">
        <v>45688</v>
      </c>
      <c r="E111" s="149">
        <v>117</v>
      </c>
      <c r="P111" s="42">
        <v>45688</v>
      </c>
      <c r="Q111" s="147"/>
      <c r="R111" s="147">
        <v>1.6740526315789499</v>
      </c>
      <c r="S111" s="1">
        <v>0</v>
      </c>
      <c r="T111" s="1">
        <f t="shared" si="33"/>
        <v>1</v>
      </c>
      <c r="U111" s="1">
        <v>0</v>
      </c>
      <c r="V111" s="1">
        <f t="shared" si="34"/>
        <v>1</v>
      </c>
      <c r="W111" s="1">
        <f t="shared" si="24"/>
        <v>0</v>
      </c>
      <c r="X111" s="1">
        <f t="shared" si="29"/>
        <v>0</v>
      </c>
      <c r="Y111" s="1">
        <f t="shared" si="30"/>
        <v>0</v>
      </c>
      <c r="Z111" s="1">
        <f t="shared" si="31"/>
        <v>1</v>
      </c>
      <c r="AA111" s="1" t="str">
        <f t="shared" si="32"/>
        <v>双紧</v>
      </c>
    </row>
    <row r="112" spans="1:27" x14ac:dyDescent="0.35">
      <c r="A112" s="31">
        <v>45716</v>
      </c>
      <c r="E112" s="149">
        <v>117.4</v>
      </c>
      <c r="P112" s="42">
        <v>45716</v>
      </c>
      <c r="Q112" s="134">
        <v>2.9458924136379001</v>
      </c>
      <c r="R112" s="114">
        <v>1.71877777777778</v>
      </c>
      <c r="S112" s="1">
        <v>0</v>
      </c>
      <c r="T112" s="1">
        <f t="shared" si="33"/>
        <v>1</v>
      </c>
      <c r="U112" s="1">
        <v>0</v>
      </c>
      <c r="V112" s="1">
        <f t="shared" si="34"/>
        <v>1</v>
      </c>
      <c r="W112" s="1">
        <f t="shared" si="24"/>
        <v>0</v>
      </c>
      <c r="X112" s="1">
        <f t="shared" si="29"/>
        <v>0</v>
      </c>
      <c r="Y112" s="1">
        <f t="shared" si="30"/>
        <v>0</v>
      </c>
      <c r="Z112" s="1">
        <f t="shared" si="31"/>
        <v>1</v>
      </c>
      <c r="AA112" s="1" t="str">
        <f t="shared" si="32"/>
        <v>双紧</v>
      </c>
    </row>
    <row r="113" spans="1:27" x14ac:dyDescent="0.35">
      <c r="A113" s="31">
        <v>45747</v>
      </c>
      <c r="E113" s="149">
        <v>117.6</v>
      </c>
      <c r="P113" s="42">
        <v>45747</v>
      </c>
      <c r="Q113" s="134">
        <v>3.4396184995926502</v>
      </c>
      <c r="R113" s="114">
        <v>1.62461216556931</v>
      </c>
      <c r="S113" s="1">
        <v>0</v>
      </c>
      <c r="T113" s="1">
        <f t="shared" si="33"/>
        <v>1</v>
      </c>
      <c r="U113" s="1">
        <v>1</v>
      </c>
      <c r="V113" s="1">
        <f t="shared" si="34"/>
        <v>0</v>
      </c>
      <c r="W113" s="1">
        <f t="shared" si="24"/>
        <v>0</v>
      </c>
      <c r="X113" s="1">
        <f t="shared" si="29"/>
        <v>0</v>
      </c>
      <c r="Y113" s="1">
        <f t="shared" si="30"/>
        <v>1</v>
      </c>
      <c r="Z113" s="1">
        <f t="shared" si="31"/>
        <v>0</v>
      </c>
      <c r="AA113" s="1" t="str">
        <f t="shared" si="32"/>
        <v>紧货币宽财政</v>
      </c>
    </row>
    <row r="114" spans="1:27" x14ac:dyDescent="0.35">
      <c r="A114" s="31">
        <v>45777</v>
      </c>
      <c r="E114" s="149">
        <v>117.8</v>
      </c>
      <c r="P114" s="42">
        <v>45777</v>
      </c>
      <c r="Q114" s="134">
        <v>5.17265484405437</v>
      </c>
      <c r="R114" s="114">
        <v>1.55257612515147</v>
      </c>
      <c r="S114" s="1">
        <v>0</v>
      </c>
      <c r="T114" s="1">
        <f t="shared" si="33"/>
        <v>1</v>
      </c>
      <c r="U114" s="1">
        <v>1</v>
      </c>
      <c r="V114" s="1">
        <f t="shared" si="34"/>
        <v>0</v>
      </c>
      <c r="W114" s="1">
        <f t="shared" si="24"/>
        <v>0</v>
      </c>
      <c r="X114" s="1">
        <f t="shared" si="29"/>
        <v>0</v>
      </c>
      <c r="Y114" s="1">
        <f t="shared" si="30"/>
        <v>1</v>
      </c>
      <c r="Z114" s="1">
        <f t="shared" si="31"/>
        <v>0</v>
      </c>
      <c r="AA114" s="1" t="str">
        <f t="shared" si="32"/>
        <v>紧货币宽财政</v>
      </c>
    </row>
    <row r="115" spans="1:27" x14ac:dyDescent="0.35">
      <c r="A115" s="31">
        <v>45808</v>
      </c>
      <c r="E115" s="149">
        <v>118.9</v>
      </c>
      <c r="P115" s="42">
        <v>45808</v>
      </c>
      <c r="Q115" s="134">
        <v>4.92418929084028</v>
      </c>
      <c r="R115" s="114">
        <v>1.4809694030773299</v>
      </c>
      <c r="S115" s="1">
        <v>0</v>
      </c>
      <c r="T115" s="1">
        <f t="shared" si="33"/>
        <v>1</v>
      </c>
      <c r="U115" s="1">
        <v>1</v>
      </c>
      <c r="V115" s="1">
        <f t="shared" si="34"/>
        <v>0</v>
      </c>
      <c r="W115" s="1">
        <f t="shared" si="24"/>
        <v>0</v>
      </c>
      <c r="X115" s="1">
        <f t="shared" si="29"/>
        <v>0</v>
      </c>
      <c r="Y115" s="1">
        <f t="shared" si="30"/>
        <v>1</v>
      </c>
      <c r="Z115" s="1">
        <f t="shared" si="31"/>
        <v>0</v>
      </c>
      <c r="AA115" s="1" t="str">
        <f t="shared" si="32"/>
        <v>紧货币宽财政</v>
      </c>
    </row>
    <row r="116" spans="1:27" x14ac:dyDescent="0.35">
      <c r="A116" s="31">
        <v>45838</v>
      </c>
      <c r="E116" s="149">
        <v>119.2</v>
      </c>
      <c r="P116" s="42">
        <v>45838</v>
      </c>
      <c r="Q116" s="134">
        <v>2.9734137204808699</v>
      </c>
      <c r="R116" s="114">
        <v>1.4536606138734101</v>
      </c>
      <c r="S116" s="1">
        <v>0</v>
      </c>
      <c r="T116" s="1">
        <f t="shared" si="33"/>
        <v>1</v>
      </c>
      <c r="U116" s="1">
        <v>1</v>
      </c>
      <c r="V116" s="1">
        <f t="shared" si="34"/>
        <v>0</v>
      </c>
      <c r="W116" s="1">
        <f t="shared" si="24"/>
        <v>0</v>
      </c>
      <c r="X116" s="1">
        <f t="shared" si="29"/>
        <v>0</v>
      </c>
      <c r="Y116" s="1">
        <f t="shared" si="30"/>
        <v>1</v>
      </c>
      <c r="Z116" s="1">
        <f t="shared" si="31"/>
        <v>0</v>
      </c>
      <c r="AA116" s="1" t="str">
        <f t="shared" si="32"/>
        <v>紧货币宽财政</v>
      </c>
    </row>
    <row r="117" spans="1:27" x14ac:dyDescent="0.35">
      <c r="A117" s="31">
        <v>45869</v>
      </c>
      <c r="E117" s="149">
        <v>119.4</v>
      </c>
      <c r="P117" s="42">
        <v>45869</v>
      </c>
      <c r="Q117" s="134">
        <v>4.59880142923486</v>
      </c>
      <c r="R117" s="114">
        <v>1.4239882814615801</v>
      </c>
      <c r="S117" s="1">
        <v>0</v>
      </c>
      <c r="T117" s="1">
        <f t="shared" si="33"/>
        <v>1</v>
      </c>
      <c r="U117" s="1">
        <v>1</v>
      </c>
      <c r="V117" s="1">
        <f t="shared" si="34"/>
        <v>0</v>
      </c>
      <c r="W117" s="1">
        <f t="shared" si="24"/>
        <v>0</v>
      </c>
      <c r="X117" s="1">
        <f t="shared" si="29"/>
        <v>0</v>
      </c>
      <c r="Y117" s="1">
        <f t="shared" si="30"/>
        <v>1</v>
      </c>
      <c r="Z117" s="1">
        <f t="shared" si="31"/>
        <v>0</v>
      </c>
      <c r="AA117" s="1" t="str">
        <f t="shared" si="32"/>
        <v>紧货币宽财政</v>
      </c>
    </row>
    <row r="118" spans="1:27" x14ac:dyDescent="0.35">
      <c r="A118" s="31">
        <v>45900</v>
      </c>
      <c r="E118" s="149">
        <v>119.5</v>
      </c>
      <c r="P118" s="42">
        <v>45900</v>
      </c>
      <c r="Q118" s="134">
        <v>5.3281129562100604</v>
      </c>
      <c r="R118" s="114">
        <v>1.3845394618470801</v>
      </c>
      <c r="S118" s="1">
        <v>0</v>
      </c>
      <c r="T118" s="1">
        <f t="shared" si="33"/>
        <v>1</v>
      </c>
      <c r="U118" s="1">
        <v>1</v>
      </c>
      <c r="V118" s="1">
        <f t="shared" si="34"/>
        <v>0</v>
      </c>
      <c r="W118" s="1">
        <f t="shared" si="24"/>
        <v>0</v>
      </c>
      <c r="X118" s="1">
        <f t="shared" si="29"/>
        <v>0</v>
      </c>
      <c r="Y118" s="1">
        <f t="shared" si="30"/>
        <v>1</v>
      </c>
      <c r="Z118" s="1">
        <f t="shared" si="31"/>
        <v>0</v>
      </c>
      <c r="AA118" s="1" t="str">
        <f t="shared" si="32"/>
        <v>紧货币宽财政</v>
      </c>
    </row>
    <row r="119" spans="1:27" x14ac:dyDescent="0.35">
      <c r="A119" s="31">
        <v>45930</v>
      </c>
      <c r="E119" s="149">
        <v>120.7</v>
      </c>
      <c r="P119" s="42">
        <v>45930</v>
      </c>
      <c r="Q119" s="134">
        <v>5.1990161257252296</v>
      </c>
      <c r="R119" s="114">
        <v>1.38816508778363</v>
      </c>
      <c r="S119" s="1">
        <v>0</v>
      </c>
      <c r="T119" s="1">
        <f t="shared" si="33"/>
        <v>1</v>
      </c>
      <c r="U119" s="1">
        <v>1</v>
      </c>
      <c r="V119" s="1">
        <f t="shared" si="34"/>
        <v>0</v>
      </c>
      <c r="W119" s="1">
        <f t="shared" si="24"/>
        <v>0</v>
      </c>
      <c r="X119" s="1">
        <f t="shared" si="29"/>
        <v>0</v>
      </c>
      <c r="Y119" s="1">
        <f t="shared" si="30"/>
        <v>1</v>
      </c>
      <c r="Z119" s="1">
        <f t="shared" si="31"/>
        <v>0</v>
      </c>
      <c r="AA119" s="1" t="str">
        <f t="shared" si="32"/>
        <v>紧货币宽财政</v>
      </c>
    </row>
    <row r="120" spans="1:27" x14ac:dyDescent="0.35">
      <c r="A120" s="31">
        <v>45961</v>
      </c>
      <c r="E120" s="149">
        <v>120.8</v>
      </c>
      <c r="P120" s="42">
        <v>45961</v>
      </c>
      <c r="Q120" s="134">
        <v>6.0527496488638004</v>
      </c>
      <c r="R120" s="114">
        <v>1.3978266334917799</v>
      </c>
      <c r="S120" s="1">
        <v>0</v>
      </c>
      <c r="T120" s="1">
        <f t="shared" si="33"/>
        <v>1</v>
      </c>
      <c r="U120" s="1">
        <v>1</v>
      </c>
      <c r="V120" s="1">
        <f t="shared" si="34"/>
        <v>0</v>
      </c>
      <c r="W120" s="1">
        <f t="shared" si="24"/>
        <v>0</v>
      </c>
      <c r="X120" s="1">
        <f t="shared" si="29"/>
        <v>0</v>
      </c>
      <c r="Y120" s="1">
        <f t="shared" si="30"/>
        <v>1</v>
      </c>
      <c r="Z120" s="1">
        <f t="shared" si="31"/>
        <v>0</v>
      </c>
      <c r="AA120" s="1" t="str">
        <f t="shared" si="32"/>
        <v>紧货币宽财政</v>
      </c>
    </row>
    <row r="121" spans="1:27" x14ac:dyDescent="0.35">
      <c r="A121" s="31">
        <v>45991</v>
      </c>
      <c r="E121" s="149">
        <v>121.1</v>
      </c>
      <c r="P121" s="42">
        <v>45991</v>
      </c>
      <c r="Q121" s="134">
        <v>6.3562642247151402</v>
      </c>
      <c r="R121" s="114">
        <v>1.3994346943054199</v>
      </c>
      <c r="S121" s="1">
        <v>0</v>
      </c>
      <c r="T121" s="1">
        <f t="shared" si="33"/>
        <v>1</v>
      </c>
      <c r="U121" s="1">
        <v>1</v>
      </c>
      <c r="V121" s="1">
        <f t="shared" si="34"/>
        <v>0</v>
      </c>
      <c r="W121" s="1">
        <f t="shared" si="24"/>
        <v>0</v>
      </c>
      <c r="X121" s="1">
        <f t="shared" si="29"/>
        <v>0</v>
      </c>
      <c r="Y121" s="1">
        <f t="shared" si="30"/>
        <v>1</v>
      </c>
      <c r="Z121" s="1">
        <f t="shared" si="31"/>
        <v>0</v>
      </c>
      <c r="AA121" s="1" t="str">
        <f t="shared" si="32"/>
        <v>紧货币宽财政</v>
      </c>
    </row>
    <row r="122" spans="1:27" x14ac:dyDescent="0.35">
      <c r="A122" s="31">
        <v>46022</v>
      </c>
      <c r="E122" s="149">
        <v>120.9</v>
      </c>
      <c r="P122" s="42">
        <v>46022</v>
      </c>
      <c r="Q122" s="134">
        <v>6.2035875779791301</v>
      </c>
      <c r="R122" s="114">
        <v>1.2996315142861099</v>
      </c>
      <c r="S122" s="1">
        <v>0</v>
      </c>
      <c r="T122" s="1">
        <f t="shared" si="33"/>
        <v>1</v>
      </c>
      <c r="U122" s="1">
        <v>1</v>
      </c>
      <c r="V122" s="1">
        <f t="shared" si="34"/>
        <v>0</v>
      </c>
      <c r="W122" s="1">
        <f t="shared" si="24"/>
        <v>0</v>
      </c>
      <c r="X122" s="1">
        <f t="shared" si="29"/>
        <v>0</v>
      </c>
      <c r="Y122" s="1">
        <f t="shared" si="30"/>
        <v>1</v>
      </c>
      <c r="Z122" s="1">
        <f t="shared" si="31"/>
        <v>0</v>
      </c>
      <c r="AA122" s="1" t="str">
        <f t="shared" si="32"/>
        <v>紧货币宽财政</v>
      </c>
    </row>
    <row r="123" spans="1:27" x14ac:dyDescent="0.3">
      <c r="A123" s="31">
        <v>46053</v>
      </c>
      <c r="E123" s="27">
        <v>117</v>
      </c>
      <c r="P123" s="42">
        <v>46053</v>
      </c>
      <c r="Q123" s="1">
        <v>2.9458924136379001</v>
      </c>
      <c r="R123" s="1">
        <v>1.71877777777778</v>
      </c>
      <c r="S123" s="1">
        <v>0</v>
      </c>
      <c r="T123" s="1">
        <v>1</v>
      </c>
      <c r="U123" s="1">
        <v>0</v>
      </c>
      <c r="V123" s="1">
        <v>1</v>
      </c>
      <c r="W123" s="1">
        <v>0</v>
      </c>
      <c r="X123" s="1">
        <v>0</v>
      </c>
      <c r="Y123" s="1">
        <v>0</v>
      </c>
      <c r="Z123" s="1">
        <v>1</v>
      </c>
      <c r="AA123" s="1" t="s">
        <v>120</v>
      </c>
    </row>
    <row r="124" spans="1:27" x14ac:dyDescent="0.3">
      <c r="A124" s="31">
        <v>46081</v>
      </c>
      <c r="E124" s="27">
        <v>117.4</v>
      </c>
      <c r="P124" s="42">
        <v>46081</v>
      </c>
      <c r="Q124" s="1">
        <v>3.4396184995926502</v>
      </c>
      <c r="R124" s="1">
        <v>1.62461216556931</v>
      </c>
      <c r="S124" s="1">
        <v>0</v>
      </c>
      <c r="T124" s="1">
        <v>1</v>
      </c>
      <c r="U124" s="1">
        <v>1</v>
      </c>
      <c r="V124" s="1">
        <v>0</v>
      </c>
      <c r="W124" s="1">
        <v>0</v>
      </c>
      <c r="X124" s="1">
        <v>0</v>
      </c>
      <c r="Y124" s="1">
        <v>1</v>
      </c>
      <c r="Z124" s="1">
        <v>0</v>
      </c>
      <c r="AA124" s="1" t="s">
        <v>130</v>
      </c>
    </row>
    <row r="125" spans="1:27" x14ac:dyDescent="0.3">
      <c r="A125" s="31">
        <v>46112</v>
      </c>
      <c r="E125" s="27">
        <v>117.6</v>
      </c>
      <c r="P125" s="42">
        <v>46112</v>
      </c>
      <c r="Q125" s="1">
        <v>5.17265484405437</v>
      </c>
      <c r="R125" s="1">
        <v>1.55257612515147</v>
      </c>
      <c r="S125" s="1">
        <v>0</v>
      </c>
      <c r="T125" s="1">
        <v>1</v>
      </c>
      <c r="U125" s="1">
        <v>1</v>
      </c>
      <c r="V125" s="1">
        <v>0</v>
      </c>
      <c r="W125" s="1">
        <v>0</v>
      </c>
      <c r="X125" s="1">
        <v>0</v>
      </c>
      <c r="Y125" s="1">
        <v>1</v>
      </c>
      <c r="Z125" s="1">
        <v>0</v>
      </c>
      <c r="AA125" s="1" t="s">
        <v>130</v>
      </c>
    </row>
    <row r="126" spans="1:27" x14ac:dyDescent="0.3">
      <c r="A126" s="31">
        <v>46142</v>
      </c>
      <c r="E126" s="27">
        <v>117.8</v>
      </c>
      <c r="P126" s="42">
        <v>46142</v>
      </c>
      <c r="Q126" s="1">
        <v>4.92418929084028</v>
      </c>
      <c r="R126" s="1">
        <v>1.4809694030773299</v>
      </c>
      <c r="S126" s="1">
        <v>0</v>
      </c>
      <c r="T126" s="1">
        <v>1</v>
      </c>
      <c r="U126" s="1">
        <v>1</v>
      </c>
      <c r="V126" s="1">
        <v>0</v>
      </c>
      <c r="W126" s="1">
        <v>0</v>
      </c>
      <c r="X126" s="1">
        <v>0</v>
      </c>
      <c r="Y126" s="1">
        <v>1</v>
      </c>
      <c r="Z126" s="1">
        <v>0</v>
      </c>
      <c r="AA126" s="1" t="s">
        <v>130</v>
      </c>
    </row>
    <row r="127" spans="1:27" x14ac:dyDescent="0.3">
      <c r="A127" s="31">
        <v>46173</v>
      </c>
      <c r="E127" s="27">
        <v>118.9</v>
      </c>
      <c r="P127" s="42">
        <v>46173</v>
      </c>
      <c r="Q127" s="1">
        <v>2.9734137204808699</v>
      </c>
      <c r="R127" s="1">
        <v>1.4536606138734101</v>
      </c>
      <c r="S127" s="1">
        <v>0</v>
      </c>
      <c r="T127" s="1">
        <v>1</v>
      </c>
      <c r="U127" s="1">
        <v>1</v>
      </c>
      <c r="V127" s="1">
        <v>0</v>
      </c>
      <c r="W127" s="1">
        <v>0</v>
      </c>
      <c r="X127" s="1">
        <v>0</v>
      </c>
      <c r="Y127" s="1">
        <v>1</v>
      </c>
      <c r="Z127" s="1">
        <v>0</v>
      </c>
      <c r="AA127" s="1" t="s">
        <v>130</v>
      </c>
    </row>
    <row r="128" spans="1:27" x14ac:dyDescent="0.3">
      <c r="A128" s="31">
        <v>46203</v>
      </c>
      <c r="E128" s="27">
        <v>119.2</v>
      </c>
      <c r="P128" s="42">
        <v>46203</v>
      </c>
      <c r="Q128" s="1">
        <v>4.59880142923486</v>
      </c>
      <c r="R128" s="1">
        <v>1.4239882814615801</v>
      </c>
      <c r="S128" s="1">
        <v>0</v>
      </c>
      <c r="T128" s="1">
        <v>1</v>
      </c>
      <c r="U128" s="1">
        <v>1</v>
      </c>
      <c r="V128" s="1">
        <v>0</v>
      </c>
      <c r="W128" s="1">
        <v>0</v>
      </c>
      <c r="X128" s="1">
        <v>0</v>
      </c>
      <c r="Y128" s="1">
        <v>1</v>
      </c>
      <c r="Z128" s="1">
        <v>0</v>
      </c>
      <c r="AA128" s="1" t="s">
        <v>130</v>
      </c>
    </row>
    <row r="129" spans="1:27" x14ac:dyDescent="0.3">
      <c r="A129" s="31">
        <v>46234</v>
      </c>
      <c r="E129" s="27">
        <v>119.4</v>
      </c>
      <c r="P129" s="42">
        <v>46234</v>
      </c>
      <c r="Q129" s="1">
        <v>5.3281129562100604</v>
      </c>
      <c r="R129" s="1">
        <v>1.3845394618470801</v>
      </c>
      <c r="S129" s="1">
        <v>0</v>
      </c>
      <c r="T129" s="1">
        <v>1</v>
      </c>
      <c r="U129" s="1">
        <v>1</v>
      </c>
      <c r="V129" s="1">
        <v>0</v>
      </c>
      <c r="W129" s="1">
        <v>0</v>
      </c>
      <c r="X129" s="1">
        <v>0</v>
      </c>
      <c r="Y129" s="1">
        <v>1</v>
      </c>
      <c r="Z129" s="1">
        <v>0</v>
      </c>
      <c r="AA129" s="1" t="s">
        <v>130</v>
      </c>
    </row>
    <row r="130" spans="1:27" x14ac:dyDescent="0.3">
      <c r="A130" s="31">
        <v>46265</v>
      </c>
      <c r="E130" s="27">
        <v>119.5</v>
      </c>
      <c r="P130" s="42">
        <v>46265</v>
      </c>
      <c r="Q130" s="1">
        <v>5.1990161257252296</v>
      </c>
      <c r="R130" s="1">
        <v>1.38816508778363</v>
      </c>
      <c r="S130" s="1">
        <v>0</v>
      </c>
      <c r="T130" s="1">
        <v>1</v>
      </c>
      <c r="U130" s="1">
        <v>1</v>
      </c>
      <c r="V130" s="1">
        <v>0</v>
      </c>
      <c r="W130" s="1">
        <v>0</v>
      </c>
      <c r="X130" s="1">
        <v>0</v>
      </c>
      <c r="Y130" s="1">
        <v>1</v>
      </c>
      <c r="Z130" s="1">
        <v>0</v>
      </c>
      <c r="AA130" s="1" t="s">
        <v>130</v>
      </c>
    </row>
    <row r="131" spans="1:27" x14ac:dyDescent="0.3">
      <c r="A131" s="31">
        <v>46295</v>
      </c>
      <c r="E131" s="27">
        <v>120.7</v>
      </c>
      <c r="P131" s="42">
        <v>46295</v>
      </c>
      <c r="Q131" s="1">
        <v>6.0527496488638004</v>
      </c>
      <c r="R131" s="1">
        <v>1.3978266334917799</v>
      </c>
      <c r="S131" s="1">
        <v>0</v>
      </c>
      <c r="T131" s="1">
        <v>1</v>
      </c>
      <c r="U131" s="1">
        <v>1</v>
      </c>
      <c r="V131" s="1">
        <v>0</v>
      </c>
      <c r="W131" s="1">
        <v>0</v>
      </c>
      <c r="X131" s="1">
        <v>0</v>
      </c>
      <c r="Y131" s="1">
        <v>1</v>
      </c>
      <c r="Z131" s="1">
        <v>0</v>
      </c>
      <c r="AA131" s="1" t="s">
        <v>130</v>
      </c>
    </row>
    <row r="132" spans="1:27" x14ac:dyDescent="0.3">
      <c r="A132" s="31">
        <v>46326</v>
      </c>
      <c r="E132" s="27">
        <v>120.8</v>
      </c>
      <c r="P132" s="42">
        <v>46326</v>
      </c>
      <c r="Q132" s="1">
        <v>6.3562642247151402</v>
      </c>
      <c r="R132" s="1">
        <v>1.3994346943054199</v>
      </c>
      <c r="S132" s="1">
        <v>0</v>
      </c>
      <c r="T132" s="1">
        <v>1</v>
      </c>
      <c r="U132" s="1">
        <v>1</v>
      </c>
      <c r="V132" s="1">
        <v>0</v>
      </c>
      <c r="W132" s="1">
        <v>0</v>
      </c>
      <c r="X132" s="1">
        <v>0</v>
      </c>
      <c r="Y132" s="1">
        <v>1</v>
      </c>
      <c r="Z132" s="1">
        <v>0</v>
      </c>
      <c r="AA132" s="1" t="s">
        <v>130</v>
      </c>
    </row>
    <row r="133" spans="1:27" x14ac:dyDescent="0.3">
      <c r="A133" s="31">
        <v>46356</v>
      </c>
      <c r="E133" s="27">
        <v>121.1</v>
      </c>
      <c r="P133" s="42">
        <v>46356</v>
      </c>
      <c r="Q133" s="1">
        <v>6.2035875779791301</v>
      </c>
      <c r="R133" s="1">
        <v>1.2996315142861099</v>
      </c>
      <c r="S133" s="1">
        <v>0</v>
      </c>
      <c r="T133" s="1">
        <v>1</v>
      </c>
      <c r="U133" s="1">
        <v>1</v>
      </c>
      <c r="V133" s="1">
        <v>0</v>
      </c>
      <c r="W133" s="1">
        <v>0</v>
      </c>
      <c r="X133" s="1">
        <v>0</v>
      </c>
      <c r="Y133" s="1">
        <v>1</v>
      </c>
      <c r="Z133" s="1">
        <v>0</v>
      </c>
      <c r="AA133" s="1" t="s">
        <v>130</v>
      </c>
    </row>
    <row r="134" spans="1:27" x14ac:dyDescent="0.3">
      <c r="A134" s="31">
        <v>46387</v>
      </c>
      <c r="E134" s="27">
        <v>120.9</v>
      </c>
      <c r="P134" s="42">
        <v>46387</v>
      </c>
      <c r="Q134" s="1">
        <v>6.7004053094570803</v>
      </c>
      <c r="R134" s="1">
        <v>1.3263555917627601</v>
      </c>
      <c r="S134" s="1">
        <v>0</v>
      </c>
      <c r="T134" s="1">
        <v>1</v>
      </c>
      <c r="U134" s="1">
        <v>1</v>
      </c>
      <c r="V134" s="1">
        <v>0</v>
      </c>
      <c r="W134" s="1">
        <v>0</v>
      </c>
      <c r="X134" s="1">
        <v>0</v>
      </c>
      <c r="Y134" s="1">
        <v>1</v>
      </c>
      <c r="Z134" s="1">
        <v>0</v>
      </c>
      <c r="AA134" s="1" t="s">
        <v>130</v>
      </c>
    </row>
  </sheetData>
  <phoneticPr fontId="29" type="noConversion"/>
  <pageMargins left="0.75" right="0.75" top="1" bottom="1" header="0.5" footer="0.5"/>
  <pageSetup paperSize="9" orientation="portrait" horizontalDpi="1200" verticalDpi="1200" r:id="rId1"/>
  <customProperties>
    <customPr name="SheetID" r:id="rId2"/>
  </customProperties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9"/>
  <dimension ref="A18:AP295"/>
  <sheetViews>
    <sheetView topLeftCell="A16" workbookViewId="0">
      <pane xSplit="2" ySplit="8" topLeftCell="C275" activePane="bottomRight" state="frozen"/>
      <selection pane="topRight"/>
      <selection pane="bottomLeft"/>
      <selection pane="bottomRight" activeCell="K283" sqref="K283"/>
    </sheetView>
  </sheetViews>
  <sheetFormatPr defaultColWidth="8.640625" defaultRowHeight="14.15" x14ac:dyDescent="0.35"/>
  <cols>
    <col min="2" max="5" width="8.640625" style="17"/>
    <col min="33" max="33" width="14.140625" customWidth="1"/>
  </cols>
  <sheetData>
    <row r="18" spans="1:42" x14ac:dyDescent="0.35">
      <c r="A18" t="s">
        <v>223</v>
      </c>
      <c r="B18" t="s">
        <v>224</v>
      </c>
      <c r="C18" t="s">
        <v>225</v>
      </c>
      <c r="D18" t="s">
        <v>226</v>
      </c>
    </row>
    <row r="19" spans="1:42" x14ac:dyDescent="0.35">
      <c r="N19" s="162" t="s">
        <v>227</v>
      </c>
      <c r="O19" s="162"/>
      <c r="P19" s="162"/>
      <c r="Q19" s="162"/>
      <c r="R19" s="162"/>
      <c r="S19" s="163" t="s">
        <v>228</v>
      </c>
      <c r="T19" s="163"/>
      <c r="U19" s="163"/>
      <c r="V19" s="163"/>
      <c r="W19" s="163"/>
      <c r="X19" s="164" t="s">
        <v>229</v>
      </c>
      <c r="Y19" s="164"/>
      <c r="Z19" s="164"/>
      <c r="AA19" s="164"/>
      <c r="AB19" s="164"/>
      <c r="AE19" t="s">
        <v>230</v>
      </c>
    </row>
    <row r="20" spans="1:42" ht="56.6" x14ac:dyDescent="0.35">
      <c r="A20" s="18" t="s">
        <v>135</v>
      </c>
      <c r="B20" s="18" t="s">
        <v>231</v>
      </c>
      <c r="C20" s="18" t="s">
        <v>232</v>
      </c>
      <c r="D20" s="18" t="s">
        <v>233</v>
      </c>
      <c r="E20" s="18" t="s">
        <v>234</v>
      </c>
      <c r="F20" s="18" t="s">
        <v>235</v>
      </c>
      <c r="G20" s="18" t="s">
        <v>236</v>
      </c>
      <c r="H20" s="18" t="s">
        <v>237</v>
      </c>
      <c r="I20" s="18" t="s">
        <v>238</v>
      </c>
      <c r="J20" s="18" t="s">
        <v>239</v>
      </c>
      <c r="K20" s="18" t="s">
        <v>240</v>
      </c>
      <c r="L20" s="18" t="s">
        <v>241</v>
      </c>
      <c r="M20" s="18" t="s">
        <v>242</v>
      </c>
      <c r="N20" s="20" t="s">
        <v>8</v>
      </c>
      <c r="O20" s="20" t="s">
        <v>9</v>
      </c>
      <c r="P20" s="20" t="s">
        <v>10</v>
      </c>
      <c r="Q20" s="20" t="s">
        <v>7</v>
      </c>
      <c r="R20" s="20" t="s">
        <v>201</v>
      </c>
      <c r="S20" s="21" t="s">
        <v>8</v>
      </c>
      <c r="T20" s="21" t="s">
        <v>9</v>
      </c>
      <c r="U20" s="21" t="s">
        <v>10</v>
      </c>
      <c r="V20" s="21" t="s">
        <v>7</v>
      </c>
      <c r="W20" s="21" t="s">
        <v>201</v>
      </c>
      <c r="X20" s="22" t="s">
        <v>8</v>
      </c>
      <c r="Y20" s="22" t="s">
        <v>9</v>
      </c>
      <c r="Z20" s="22" t="s">
        <v>10</v>
      </c>
      <c r="AA20" s="22" t="s">
        <v>7</v>
      </c>
      <c r="AB20" s="22" t="s">
        <v>201</v>
      </c>
      <c r="AE20" s="23" t="s">
        <v>135</v>
      </c>
      <c r="AF20" s="24" t="s">
        <v>243</v>
      </c>
      <c r="AG20" s="24" t="s">
        <v>136</v>
      </c>
      <c r="AH20" s="18" t="s">
        <v>244</v>
      </c>
      <c r="AI20" s="18" t="s">
        <v>245</v>
      </c>
      <c r="AJ20" s="18" t="s">
        <v>246</v>
      </c>
      <c r="AK20" s="18" t="s">
        <v>247</v>
      </c>
      <c r="AL20" s="22" t="s">
        <v>8</v>
      </c>
      <c r="AM20" s="22" t="s">
        <v>9</v>
      </c>
      <c r="AN20" s="22" t="s">
        <v>10</v>
      </c>
      <c r="AO20" s="22" t="s">
        <v>7</v>
      </c>
      <c r="AP20" s="22" t="s">
        <v>201</v>
      </c>
    </row>
    <row r="21" spans="1:42" x14ac:dyDescent="0.35">
      <c r="A21" s="19">
        <v>37315</v>
      </c>
      <c r="B21" s="17">
        <v>10.9</v>
      </c>
      <c r="C21" s="17">
        <v>-0.5</v>
      </c>
      <c r="D21" s="17">
        <v>-4.2</v>
      </c>
      <c r="E21" s="17">
        <f t="shared" ref="E21:E84" si="0">0.6*C21+0.4*D21</f>
        <v>-1.9800000000000002</v>
      </c>
      <c r="F21">
        <v>1</v>
      </c>
      <c r="G21">
        <f t="shared" ref="G21:K21" si="1">IF(F21=1,0,1)</f>
        <v>0</v>
      </c>
      <c r="H21">
        <v>1</v>
      </c>
      <c r="I21">
        <f t="shared" si="1"/>
        <v>0</v>
      </c>
      <c r="J21">
        <v>1</v>
      </c>
      <c r="K21">
        <f t="shared" si="1"/>
        <v>0</v>
      </c>
      <c r="L21">
        <v>1</v>
      </c>
      <c r="M21">
        <f t="shared" ref="M21:M84" si="2">IF(L21=1,0,1)</f>
        <v>0</v>
      </c>
      <c r="N21">
        <f t="shared" ref="N21:N84" si="3">IF(F21=1,IF(H21=0,1,0),0)</f>
        <v>0</v>
      </c>
      <c r="O21">
        <f t="shared" ref="O21:O84" si="4">IF(F21=1,IF(H21=1,1,0),0)</f>
        <v>1</v>
      </c>
      <c r="P21">
        <f t="shared" ref="P21:P84" si="5">IF(F21=0,IF(H21=1,1,0),0)</f>
        <v>0</v>
      </c>
      <c r="Q21">
        <f t="shared" ref="Q21:Q84" si="6">IF(F21=0,IF(H21=0,1,0),0)</f>
        <v>0</v>
      </c>
      <c r="R21" s="1" t="str">
        <f t="shared" ref="R21:R84" si="7">INDEX($N$20:$Q$20,1,MATCH(1,N21:Q21,0))</f>
        <v>过热</v>
      </c>
      <c r="S21">
        <f t="shared" ref="S21:S84" si="8">IF(F21=1,IF(J21=0,1,0),0)</f>
        <v>0</v>
      </c>
      <c r="T21">
        <f t="shared" ref="T21:T84" si="9">IF(F21=1,IF(J21=1,1,0),0)</f>
        <v>1</v>
      </c>
      <c r="U21">
        <f t="shared" ref="U21:U84" si="10">IF(F21=0,IF(J21=1,1,0),0)</f>
        <v>0</v>
      </c>
      <c r="V21">
        <f t="shared" ref="V21:V84" si="11">IF(F21=0,IF(J21=0,1,0),0)</f>
        <v>0</v>
      </c>
      <c r="W21" s="1" t="str">
        <f t="shared" ref="W21:W84" si="12">INDEX($S$20:$V$20,1,MATCH(1,S21:V21,0))</f>
        <v>过热</v>
      </c>
      <c r="X21">
        <f t="shared" ref="X21:X84" si="13">IF(F21=1,IF(L21=0,1,0),0)</f>
        <v>0</v>
      </c>
      <c r="Y21">
        <f t="shared" ref="Y21:Y84" si="14">IF(F21=1,IF(L21=1,1,0),0)</f>
        <v>1</v>
      </c>
      <c r="Z21">
        <f t="shared" ref="Z21:Z84" si="15">IF(F21=0,IF(L21=1,1,0),0)</f>
        <v>0</v>
      </c>
      <c r="AA21">
        <f t="shared" ref="AA21:AA84" si="16">IF(F21=0,IF(L21=0,1,0),0)</f>
        <v>0</v>
      </c>
      <c r="AB21" s="1" t="str">
        <f t="shared" ref="AB21:AB84" si="17">INDEX($X$20:$AA$20,1,MATCH(1,X21:AA21,0))</f>
        <v>过热</v>
      </c>
      <c r="AE21" s="19">
        <v>37346</v>
      </c>
      <c r="AF21" s="25">
        <v>8.9</v>
      </c>
      <c r="AG21" s="25">
        <v>0.2475</v>
      </c>
      <c r="AH21">
        <v>1</v>
      </c>
      <c r="AI21">
        <f t="shared" ref="AI21:AI84" si="18">IF(AH21=1,0,1)</f>
        <v>0</v>
      </c>
      <c r="AJ21">
        <v>1</v>
      </c>
      <c r="AK21">
        <f t="shared" ref="AK21:AK84" si="19">IF(AJ21=1,0,1)</f>
        <v>0</v>
      </c>
      <c r="AL21">
        <f t="shared" ref="AL21:AL84" si="20">IF(AH21=1,IF(AJ21=0,1,0),0)</f>
        <v>0</v>
      </c>
      <c r="AM21">
        <f t="shared" ref="AM21:AM84" si="21">IF(AH21=1,IF(AJ21=1,1,0),0)</f>
        <v>1</v>
      </c>
      <c r="AN21">
        <f t="shared" ref="AN21:AN84" si="22">IF(AH21=0,IF(AJ21=1,1,0),0)</f>
        <v>0</v>
      </c>
      <c r="AO21">
        <f t="shared" ref="AO21:AO84" si="23">IF(AH21=0,IF(AJ21=0,1,0),0)</f>
        <v>0</v>
      </c>
      <c r="AP21" s="1" t="str">
        <f t="shared" ref="AP21:AP84" si="24">INDEX($AL$20:$AO$20,1,MATCH(1,AL21:AO21,0))</f>
        <v>过热</v>
      </c>
    </row>
    <row r="22" spans="1:42" x14ac:dyDescent="0.35">
      <c r="A22" s="19">
        <v>37346</v>
      </c>
      <c r="B22" s="17">
        <v>10.9</v>
      </c>
      <c r="C22" s="17">
        <v>-0.8</v>
      </c>
      <c r="D22" s="17">
        <v>-4</v>
      </c>
      <c r="E22" s="17">
        <f t="shared" si="0"/>
        <v>-2.08</v>
      </c>
      <c r="F22">
        <v>1</v>
      </c>
      <c r="G22">
        <f t="shared" ref="G22:K22" si="25">IF(F22=1,0,1)</f>
        <v>0</v>
      </c>
      <c r="H22">
        <v>1</v>
      </c>
      <c r="I22">
        <f t="shared" si="25"/>
        <v>0</v>
      </c>
      <c r="J22">
        <v>1</v>
      </c>
      <c r="K22">
        <f t="shared" si="25"/>
        <v>0</v>
      </c>
      <c r="L22">
        <v>1</v>
      </c>
      <c r="M22">
        <f t="shared" si="2"/>
        <v>0</v>
      </c>
      <c r="N22">
        <f t="shared" si="3"/>
        <v>0</v>
      </c>
      <c r="O22">
        <f t="shared" si="4"/>
        <v>1</v>
      </c>
      <c r="P22">
        <f t="shared" si="5"/>
        <v>0</v>
      </c>
      <c r="Q22">
        <f t="shared" si="6"/>
        <v>0</v>
      </c>
      <c r="R22" s="1" t="str">
        <f t="shared" si="7"/>
        <v>过热</v>
      </c>
      <c r="S22">
        <f t="shared" si="8"/>
        <v>0</v>
      </c>
      <c r="T22">
        <f t="shared" si="9"/>
        <v>1</v>
      </c>
      <c r="U22">
        <f t="shared" si="10"/>
        <v>0</v>
      </c>
      <c r="V22">
        <f t="shared" si="11"/>
        <v>0</v>
      </c>
      <c r="W22" s="1" t="str">
        <f t="shared" si="12"/>
        <v>过热</v>
      </c>
      <c r="X22">
        <f t="shared" si="13"/>
        <v>0</v>
      </c>
      <c r="Y22">
        <f t="shared" si="14"/>
        <v>1</v>
      </c>
      <c r="Z22">
        <f t="shared" si="15"/>
        <v>0</v>
      </c>
      <c r="AA22">
        <f t="shared" si="16"/>
        <v>0</v>
      </c>
      <c r="AB22" s="1" t="str">
        <f t="shared" si="17"/>
        <v>过热</v>
      </c>
      <c r="AE22" s="19">
        <v>37437</v>
      </c>
      <c r="AF22" s="25">
        <v>8.8000000000000007</v>
      </c>
      <c r="AG22" s="25">
        <v>0.39979999999999999</v>
      </c>
      <c r="AH22">
        <v>1</v>
      </c>
      <c r="AI22">
        <f t="shared" si="18"/>
        <v>0</v>
      </c>
      <c r="AJ22">
        <v>1</v>
      </c>
      <c r="AK22">
        <f t="shared" si="19"/>
        <v>0</v>
      </c>
      <c r="AL22">
        <f t="shared" si="20"/>
        <v>0</v>
      </c>
      <c r="AM22">
        <f t="shared" si="21"/>
        <v>1</v>
      </c>
      <c r="AN22">
        <f t="shared" si="22"/>
        <v>0</v>
      </c>
      <c r="AO22">
        <f t="shared" si="23"/>
        <v>0</v>
      </c>
      <c r="AP22" s="1" t="str">
        <f t="shared" si="24"/>
        <v>过热</v>
      </c>
    </row>
    <row r="23" spans="1:42" x14ac:dyDescent="0.35">
      <c r="A23" s="19">
        <v>37376</v>
      </c>
      <c r="B23" s="17">
        <v>12.1</v>
      </c>
      <c r="C23" s="17">
        <v>-1.3</v>
      </c>
      <c r="D23" s="17">
        <v>-3.06</v>
      </c>
      <c r="E23" s="17">
        <f t="shared" si="0"/>
        <v>-2.0040000000000004</v>
      </c>
      <c r="F23">
        <v>1</v>
      </c>
      <c r="G23">
        <f t="shared" ref="G23:K23" si="26">IF(F23=1,0,1)</f>
        <v>0</v>
      </c>
      <c r="H23">
        <v>1</v>
      </c>
      <c r="I23">
        <f t="shared" si="26"/>
        <v>0</v>
      </c>
      <c r="J23">
        <v>1</v>
      </c>
      <c r="K23">
        <f t="shared" si="26"/>
        <v>0</v>
      </c>
      <c r="L23">
        <v>1</v>
      </c>
      <c r="M23">
        <f t="shared" si="2"/>
        <v>0</v>
      </c>
      <c r="N23">
        <f t="shared" si="3"/>
        <v>0</v>
      </c>
      <c r="O23">
        <f t="shared" si="4"/>
        <v>1</v>
      </c>
      <c r="P23">
        <f t="shared" si="5"/>
        <v>0</v>
      </c>
      <c r="Q23">
        <f t="shared" si="6"/>
        <v>0</v>
      </c>
      <c r="R23" s="1" t="str">
        <f t="shared" si="7"/>
        <v>过热</v>
      </c>
      <c r="S23">
        <f t="shared" si="8"/>
        <v>0</v>
      </c>
      <c r="T23">
        <f t="shared" si="9"/>
        <v>1</v>
      </c>
      <c r="U23">
        <f t="shared" si="10"/>
        <v>0</v>
      </c>
      <c r="V23">
        <f t="shared" si="11"/>
        <v>0</v>
      </c>
      <c r="W23" s="1" t="str">
        <f t="shared" si="12"/>
        <v>过热</v>
      </c>
      <c r="X23">
        <f t="shared" si="13"/>
        <v>0</v>
      </c>
      <c r="Y23">
        <f t="shared" si="14"/>
        <v>1</v>
      </c>
      <c r="Z23">
        <f t="shared" si="15"/>
        <v>0</v>
      </c>
      <c r="AA23">
        <f t="shared" si="16"/>
        <v>0</v>
      </c>
      <c r="AB23" s="1" t="str">
        <f t="shared" si="17"/>
        <v>过热</v>
      </c>
      <c r="AE23" s="19">
        <v>37529</v>
      </c>
      <c r="AF23" s="25">
        <v>9.6</v>
      </c>
      <c r="AG23" s="25">
        <v>0.65690000000000004</v>
      </c>
      <c r="AH23">
        <v>1</v>
      </c>
      <c r="AI23">
        <f t="shared" si="18"/>
        <v>0</v>
      </c>
      <c r="AJ23">
        <v>1</v>
      </c>
      <c r="AK23">
        <f t="shared" si="19"/>
        <v>0</v>
      </c>
      <c r="AL23">
        <f t="shared" si="20"/>
        <v>0</v>
      </c>
      <c r="AM23">
        <f t="shared" si="21"/>
        <v>1</v>
      </c>
      <c r="AN23">
        <f t="shared" si="22"/>
        <v>0</v>
      </c>
      <c r="AO23">
        <f t="shared" si="23"/>
        <v>0</v>
      </c>
      <c r="AP23" s="1" t="str">
        <f t="shared" si="24"/>
        <v>过热</v>
      </c>
    </row>
    <row r="24" spans="1:42" x14ac:dyDescent="0.35">
      <c r="A24" s="19">
        <v>37407</v>
      </c>
      <c r="B24" s="17">
        <v>12.9</v>
      </c>
      <c r="C24" s="17">
        <v>-1.1000000000000001</v>
      </c>
      <c r="D24" s="17">
        <v>-2.63</v>
      </c>
      <c r="E24" s="17">
        <f t="shared" si="0"/>
        <v>-1.7120000000000002</v>
      </c>
      <c r="F24">
        <v>1</v>
      </c>
      <c r="G24">
        <f t="shared" ref="G24:K24" si="27">IF(F24=1,0,1)</f>
        <v>0</v>
      </c>
      <c r="H24">
        <v>1</v>
      </c>
      <c r="I24">
        <f t="shared" si="27"/>
        <v>0</v>
      </c>
      <c r="J24">
        <v>1</v>
      </c>
      <c r="K24">
        <f t="shared" si="27"/>
        <v>0</v>
      </c>
      <c r="L24">
        <v>1</v>
      </c>
      <c r="M24">
        <f t="shared" si="2"/>
        <v>0</v>
      </c>
      <c r="N24">
        <f t="shared" si="3"/>
        <v>0</v>
      </c>
      <c r="O24">
        <f t="shared" si="4"/>
        <v>1</v>
      </c>
      <c r="P24">
        <f t="shared" si="5"/>
        <v>0</v>
      </c>
      <c r="Q24">
        <f t="shared" si="6"/>
        <v>0</v>
      </c>
      <c r="R24" s="1" t="str">
        <f t="shared" si="7"/>
        <v>过热</v>
      </c>
      <c r="S24">
        <f t="shared" si="8"/>
        <v>0</v>
      </c>
      <c r="T24">
        <f t="shared" si="9"/>
        <v>1</v>
      </c>
      <c r="U24">
        <f t="shared" si="10"/>
        <v>0</v>
      </c>
      <c r="V24">
        <f t="shared" si="11"/>
        <v>0</v>
      </c>
      <c r="W24" s="1" t="str">
        <f t="shared" si="12"/>
        <v>过热</v>
      </c>
      <c r="X24">
        <f t="shared" si="13"/>
        <v>0</v>
      </c>
      <c r="Y24">
        <f t="shared" si="14"/>
        <v>1</v>
      </c>
      <c r="Z24">
        <f t="shared" si="15"/>
        <v>0</v>
      </c>
      <c r="AA24">
        <f t="shared" si="16"/>
        <v>0</v>
      </c>
      <c r="AB24" s="1" t="str">
        <f t="shared" si="17"/>
        <v>过热</v>
      </c>
      <c r="AE24" s="19">
        <v>37621</v>
      </c>
      <c r="AF24" s="25">
        <v>9.1</v>
      </c>
      <c r="AG24" s="25">
        <v>1.0613999999999999</v>
      </c>
      <c r="AH24">
        <v>1</v>
      </c>
      <c r="AI24">
        <f t="shared" si="18"/>
        <v>0</v>
      </c>
      <c r="AJ24">
        <v>1</v>
      </c>
      <c r="AK24">
        <f t="shared" si="19"/>
        <v>0</v>
      </c>
      <c r="AL24">
        <f t="shared" si="20"/>
        <v>0</v>
      </c>
      <c r="AM24">
        <f t="shared" si="21"/>
        <v>1</v>
      </c>
      <c r="AN24">
        <f t="shared" si="22"/>
        <v>0</v>
      </c>
      <c r="AO24">
        <f t="shared" si="23"/>
        <v>0</v>
      </c>
      <c r="AP24" s="1" t="str">
        <f t="shared" si="24"/>
        <v>过热</v>
      </c>
    </row>
    <row r="25" spans="1:42" x14ac:dyDescent="0.35">
      <c r="A25" s="19">
        <v>37437</v>
      </c>
      <c r="B25" s="17">
        <v>12.4</v>
      </c>
      <c r="C25" s="17">
        <v>-0.8</v>
      </c>
      <c r="D25" s="17">
        <v>-2.5</v>
      </c>
      <c r="E25" s="17">
        <f t="shared" si="0"/>
        <v>-1.48</v>
      </c>
      <c r="F25">
        <v>1</v>
      </c>
      <c r="G25">
        <f t="shared" ref="G25:K25" si="28">IF(F25=1,0,1)</f>
        <v>0</v>
      </c>
      <c r="H25">
        <v>1</v>
      </c>
      <c r="I25">
        <f t="shared" si="28"/>
        <v>0</v>
      </c>
      <c r="J25">
        <v>1</v>
      </c>
      <c r="K25">
        <f t="shared" si="28"/>
        <v>0</v>
      </c>
      <c r="L25">
        <v>1</v>
      </c>
      <c r="M25">
        <f t="shared" si="2"/>
        <v>0</v>
      </c>
      <c r="N25">
        <f t="shared" si="3"/>
        <v>0</v>
      </c>
      <c r="O25">
        <f t="shared" si="4"/>
        <v>1</v>
      </c>
      <c r="P25">
        <f t="shared" si="5"/>
        <v>0</v>
      </c>
      <c r="Q25">
        <f t="shared" si="6"/>
        <v>0</v>
      </c>
      <c r="R25" s="1" t="str">
        <f t="shared" si="7"/>
        <v>过热</v>
      </c>
      <c r="S25">
        <f t="shared" si="8"/>
        <v>0</v>
      </c>
      <c r="T25">
        <f t="shared" si="9"/>
        <v>1</v>
      </c>
      <c r="U25">
        <f t="shared" si="10"/>
        <v>0</v>
      </c>
      <c r="V25">
        <f t="shared" si="11"/>
        <v>0</v>
      </c>
      <c r="W25" s="1" t="str">
        <f t="shared" si="12"/>
        <v>过热</v>
      </c>
      <c r="X25">
        <f t="shared" si="13"/>
        <v>0</v>
      </c>
      <c r="Y25">
        <f t="shared" si="14"/>
        <v>1</v>
      </c>
      <c r="Z25">
        <f t="shared" si="15"/>
        <v>0</v>
      </c>
      <c r="AA25">
        <f t="shared" si="16"/>
        <v>0</v>
      </c>
      <c r="AB25" s="1" t="str">
        <f t="shared" si="17"/>
        <v>过热</v>
      </c>
      <c r="AE25" s="19">
        <v>37711</v>
      </c>
      <c r="AF25" s="25">
        <v>11.1</v>
      </c>
      <c r="AG25" s="25">
        <v>2.0941000000000001</v>
      </c>
      <c r="AH25">
        <v>1</v>
      </c>
      <c r="AI25">
        <f t="shared" si="18"/>
        <v>0</v>
      </c>
      <c r="AJ25">
        <v>1</v>
      </c>
      <c r="AK25">
        <f t="shared" si="19"/>
        <v>0</v>
      </c>
      <c r="AL25">
        <f t="shared" si="20"/>
        <v>0</v>
      </c>
      <c r="AM25">
        <f t="shared" si="21"/>
        <v>1</v>
      </c>
      <c r="AN25">
        <f t="shared" si="22"/>
        <v>0</v>
      </c>
      <c r="AO25">
        <f t="shared" si="23"/>
        <v>0</v>
      </c>
      <c r="AP25" s="1" t="str">
        <f t="shared" si="24"/>
        <v>过热</v>
      </c>
    </row>
    <row r="26" spans="1:42" x14ac:dyDescent="0.35">
      <c r="A26" s="19">
        <v>37468</v>
      </c>
      <c r="B26" s="17">
        <v>12.8</v>
      </c>
      <c r="C26" s="17">
        <v>-0.9</v>
      </c>
      <c r="D26" s="17">
        <v>-2.2999999999999998</v>
      </c>
      <c r="E26" s="17">
        <f t="shared" si="0"/>
        <v>-1.46</v>
      </c>
      <c r="F26">
        <v>1</v>
      </c>
      <c r="G26">
        <f t="shared" ref="G26:K26" si="29">IF(F26=1,0,1)</f>
        <v>0</v>
      </c>
      <c r="H26">
        <v>1</v>
      </c>
      <c r="I26">
        <f t="shared" si="29"/>
        <v>0</v>
      </c>
      <c r="J26">
        <v>1</v>
      </c>
      <c r="K26">
        <f t="shared" si="29"/>
        <v>0</v>
      </c>
      <c r="L26">
        <v>1</v>
      </c>
      <c r="M26">
        <f t="shared" si="2"/>
        <v>0</v>
      </c>
      <c r="N26">
        <f t="shared" si="3"/>
        <v>0</v>
      </c>
      <c r="O26">
        <f t="shared" si="4"/>
        <v>1</v>
      </c>
      <c r="P26">
        <f t="shared" si="5"/>
        <v>0</v>
      </c>
      <c r="Q26">
        <f t="shared" si="6"/>
        <v>0</v>
      </c>
      <c r="R26" s="1" t="str">
        <f t="shared" si="7"/>
        <v>过热</v>
      </c>
      <c r="S26">
        <f t="shared" si="8"/>
        <v>0</v>
      </c>
      <c r="T26">
        <f t="shared" si="9"/>
        <v>1</v>
      </c>
      <c r="U26">
        <f t="shared" si="10"/>
        <v>0</v>
      </c>
      <c r="V26">
        <f t="shared" si="11"/>
        <v>0</v>
      </c>
      <c r="W26" s="1" t="str">
        <f t="shared" si="12"/>
        <v>过热</v>
      </c>
      <c r="X26">
        <f t="shared" si="13"/>
        <v>0</v>
      </c>
      <c r="Y26">
        <f t="shared" si="14"/>
        <v>1</v>
      </c>
      <c r="Z26">
        <f t="shared" si="15"/>
        <v>0</v>
      </c>
      <c r="AA26">
        <f t="shared" si="16"/>
        <v>0</v>
      </c>
      <c r="AB26" s="1" t="str">
        <f t="shared" si="17"/>
        <v>过热</v>
      </c>
      <c r="AE26" s="19">
        <v>37802</v>
      </c>
      <c r="AF26" s="25">
        <v>9.1</v>
      </c>
      <c r="AG26" s="25">
        <v>2.153</v>
      </c>
      <c r="AH26">
        <v>1</v>
      </c>
      <c r="AI26">
        <f t="shared" si="18"/>
        <v>0</v>
      </c>
      <c r="AJ26">
        <v>1</v>
      </c>
      <c r="AK26">
        <f t="shared" si="19"/>
        <v>0</v>
      </c>
      <c r="AL26">
        <f t="shared" si="20"/>
        <v>0</v>
      </c>
      <c r="AM26">
        <f t="shared" si="21"/>
        <v>1</v>
      </c>
      <c r="AN26">
        <f t="shared" si="22"/>
        <v>0</v>
      </c>
      <c r="AO26">
        <f t="shared" si="23"/>
        <v>0</v>
      </c>
      <c r="AP26" s="1" t="str">
        <f t="shared" si="24"/>
        <v>过热</v>
      </c>
    </row>
    <row r="27" spans="1:42" x14ac:dyDescent="0.35">
      <c r="A27" s="19">
        <v>37499</v>
      </c>
      <c r="B27" s="17">
        <v>12.7</v>
      </c>
      <c r="C27" s="17">
        <v>-0.7</v>
      </c>
      <c r="D27" s="17">
        <v>-1.7</v>
      </c>
      <c r="E27" s="17">
        <f t="shared" si="0"/>
        <v>-1.1000000000000001</v>
      </c>
      <c r="F27">
        <v>1</v>
      </c>
      <c r="G27">
        <f t="shared" ref="G27:K27" si="30">IF(F27=1,0,1)</f>
        <v>0</v>
      </c>
      <c r="H27">
        <v>1</v>
      </c>
      <c r="I27">
        <f t="shared" si="30"/>
        <v>0</v>
      </c>
      <c r="J27">
        <v>1</v>
      </c>
      <c r="K27">
        <f t="shared" si="30"/>
        <v>0</v>
      </c>
      <c r="L27">
        <v>1</v>
      </c>
      <c r="M27">
        <f t="shared" si="2"/>
        <v>0</v>
      </c>
      <c r="N27">
        <f t="shared" si="3"/>
        <v>0</v>
      </c>
      <c r="O27">
        <f t="shared" si="4"/>
        <v>1</v>
      </c>
      <c r="P27">
        <f t="shared" si="5"/>
        <v>0</v>
      </c>
      <c r="Q27">
        <f t="shared" si="6"/>
        <v>0</v>
      </c>
      <c r="R27" s="1" t="str">
        <f t="shared" si="7"/>
        <v>过热</v>
      </c>
      <c r="S27">
        <f t="shared" si="8"/>
        <v>0</v>
      </c>
      <c r="T27">
        <f t="shared" si="9"/>
        <v>1</v>
      </c>
      <c r="U27">
        <f t="shared" si="10"/>
        <v>0</v>
      </c>
      <c r="V27">
        <f t="shared" si="11"/>
        <v>0</v>
      </c>
      <c r="W27" s="1" t="str">
        <f t="shared" si="12"/>
        <v>过热</v>
      </c>
      <c r="X27">
        <f t="shared" si="13"/>
        <v>0</v>
      </c>
      <c r="Y27">
        <f t="shared" si="14"/>
        <v>1</v>
      </c>
      <c r="Z27">
        <f t="shared" si="15"/>
        <v>0</v>
      </c>
      <c r="AA27">
        <f t="shared" si="16"/>
        <v>0</v>
      </c>
      <c r="AB27" s="1" t="str">
        <f t="shared" si="17"/>
        <v>过热</v>
      </c>
      <c r="AE27" s="19">
        <v>37894</v>
      </c>
      <c r="AF27" s="25">
        <v>10</v>
      </c>
      <c r="AG27" s="25">
        <v>2.6434000000000002</v>
      </c>
      <c r="AH27">
        <v>1</v>
      </c>
      <c r="AI27">
        <f t="shared" si="18"/>
        <v>0</v>
      </c>
      <c r="AJ27">
        <v>1</v>
      </c>
      <c r="AK27">
        <f t="shared" si="19"/>
        <v>0</v>
      </c>
      <c r="AL27">
        <f t="shared" si="20"/>
        <v>0</v>
      </c>
      <c r="AM27">
        <f t="shared" si="21"/>
        <v>1</v>
      </c>
      <c r="AN27">
        <f t="shared" si="22"/>
        <v>0</v>
      </c>
      <c r="AO27">
        <f t="shared" si="23"/>
        <v>0</v>
      </c>
      <c r="AP27" s="1" t="str">
        <f t="shared" si="24"/>
        <v>过热</v>
      </c>
    </row>
    <row r="28" spans="1:42" x14ac:dyDescent="0.35">
      <c r="A28" s="19">
        <v>37529</v>
      </c>
      <c r="B28" s="17">
        <v>13.8</v>
      </c>
      <c r="C28" s="17">
        <v>-0.7</v>
      </c>
      <c r="D28" s="17">
        <v>-1.4</v>
      </c>
      <c r="E28" s="17">
        <f t="shared" si="0"/>
        <v>-0.98</v>
      </c>
      <c r="F28">
        <v>1</v>
      </c>
      <c r="G28">
        <f t="shared" ref="G28:K28" si="31">IF(F28=1,0,1)</f>
        <v>0</v>
      </c>
      <c r="H28">
        <v>1</v>
      </c>
      <c r="I28">
        <f t="shared" si="31"/>
        <v>0</v>
      </c>
      <c r="J28">
        <v>1</v>
      </c>
      <c r="K28">
        <f t="shared" si="31"/>
        <v>0</v>
      </c>
      <c r="L28">
        <v>1</v>
      </c>
      <c r="M28">
        <f t="shared" si="2"/>
        <v>0</v>
      </c>
      <c r="N28">
        <f t="shared" si="3"/>
        <v>0</v>
      </c>
      <c r="O28">
        <f t="shared" si="4"/>
        <v>1</v>
      </c>
      <c r="P28">
        <f t="shared" si="5"/>
        <v>0</v>
      </c>
      <c r="Q28">
        <f t="shared" si="6"/>
        <v>0</v>
      </c>
      <c r="R28" s="1" t="str">
        <f t="shared" si="7"/>
        <v>过热</v>
      </c>
      <c r="S28">
        <f t="shared" si="8"/>
        <v>0</v>
      </c>
      <c r="T28">
        <f t="shared" si="9"/>
        <v>1</v>
      </c>
      <c r="U28">
        <f t="shared" si="10"/>
        <v>0</v>
      </c>
      <c r="V28">
        <f t="shared" si="11"/>
        <v>0</v>
      </c>
      <c r="W28" s="1" t="str">
        <f t="shared" si="12"/>
        <v>过热</v>
      </c>
      <c r="X28">
        <f t="shared" si="13"/>
        <v>0</v>
      </c>
      <c r="Y28">
        <f t="shared" si="14"/>
        <v>1</v>
      </c>
      <c r="Z28">
        <f t="shared" si="15"/>
        <v>0</v>
      </c>
      <c r="AA28">
        <f t="shared" si="16"/>
        <v>0</v>
      </c>
      <c r="AB28" s="1" t="str">
        <f t="shared" si="17"/>
        <v>过热</v>
      </c>
      <c r="AE28" s="19">
        <v>37986</v>
      </c>
      <c r="AF28" s="25">
        <v>10</v>
      </c>
      <c r="AG28" s="25">
        <v>3.3797000000000001</v>
      </c>
      <c r="AH28">
        <v>1</v>
      </c>
      <c r="AI28">
        <f t="shared" si="18"/>
        <v>0</v>
      </c>
      <c r="AJ28">
        <v>1</v>
      </c>
      <c r="AK28">
        <f t="shared" si="19"/>
        <v>0</v>
      </c>
      <c r="AL28">
        <f t="shared" si="20"/>
        <v>0</v>
      </c>
      <c r="AM28">
        <f t="shared" si="21"/>
        <v>1</v>
      </c>
      <c r="AN28">
        <f t="shared" si="22"/>
        <v>0</v>
      </c>
      <c r="AO28">
        <f t="shared" si="23"/>
        <v>0</v>
      </c>
      <c r="AP28" s="1" t="str">
        <f t="shared" si="24"/>
        <v>过热</v>
      </c>
    </row>
    <row r="29" spans="1:42" x14ac:dyDescent="0.35">
      <c r="A29" s="19">
        <v>37560</v>
      </c>
      <c r="B29" s="17">
        <v>14.2</v>
      </c>
      <c r="C29" s="17">
        <v>-0.8</v>
      </c>
      <c r="D29" s="17">
        <v>-1</v>
      </c>
      <c r="E29" s="17">
        <f t="shared" si="0"/>
        <v>-0.88</v>
      </c>
      <c r="F29">
        <v>1</v>
      </c>
      <c r="G29">
        <f t="shared" ref="G29:K29" si="32">IF(F29=1,0,1)</f>
        <v>0</v>
      </c>
      <c r="H29">
        <v>1</v>
      </c>
      <c r="I29">
        <f t="shared" si="32"/>
        <v>0</v>
      </c>
      <c r="J29">
        <v>1</v>
      </c>
      <c r="K29">
        <f t="shared" si="32"/>
        <v>0</v>
      </c>
      <c r="L29">
        <v>1</v>
      </c>
      <c r="M29">
        <f t="shared" si="2"/>
        <v>0</v>
      </c>
      <c r="N29">
        <f t="shared" si="3"/>
        <v>0</v>
      </c>
      <c r="O29">
        <f t="shared" si="4"/>
        <v>1</v>
      </c>
      <c r="P29">
        <f t="shared" si="5"/>
        <v>0</v>
      </c>
      <c r="Q29">
        <f t="shared" si="6"/>
        <v>0</v>
      </c>
      <c r="R29" s="1" t="str">
        <f t="shared" si="7"/>
        <v>过热</v>
      </c>
      <c r="S29">
        <f t="shared" si="8"/>
        <v>0</v>
      </c>
      <c r="T29">
        <f t="shared" si="9"/>
        <v>1</v>
      </c>
      <c r="U29">
        <f t="shared" si="10"/>
        <v>0</v>
      </c>
      <c r="V29">
        <f t="shared" si="11"/>
        <v>0</v>
      </c>
      <c r="W29" s="1" t="str">
        <f t="shared" si="12"/>
        <v>过热</v>
      </c>
      <c r="X29">
        <f t="shared" si="13"/>
        <v>0</v>
      </c>
      <c r="Y29">
        <f t="shared" si="14"/>
        <v>1</v>
      </c>
      <c r="Z29">
        <f t="shared" si="15"/>
        <v>0</v>
      </c>
      <c r="AA29">
        <f t="shared" si="16"/>
        <v>0</v>
      </c>
      <c r="AB29" s="1" t="str">
        <f t="shared" si="17"/>
        <v>过热</v>
      </c>
      <c r="AE29" s="19">
        <v>38077</v>
      </c>
      <c r="AF29" s="25">
        <v>10.6</v>
      </c>
      <c r="AG29" s="25">
        <v>4.7218999999999998</v>
      </c>
      <c r="AH29">
        <v>1</v>
      </c>
      <c r="AI29">
        <f t="shared" si="18"/>
        <v>0</v>
      </c>
      <c r="AJ29">
        <v>1</v>
      </c>
      <c r="AK29">
        <f t="shared" si="19"/>
        <v>0</v>
      </c>
      <c r="AL29">
        <f t="shared" si="20"/>
        <v>0</v>
      </c>
      <c r="AM29">
        <f t="shared" si="21"/>
        <v>1</v>
      </c>
      <c r="AN29">
        <f t="shared" si="22"/>
        <v>0</v>
      </c>
      <c r="AO29">
        <f t="shared" si="23"/>
        <v>0</v>
      </c>
      <c r="AP29" s="1" t="str">
        <f t="shared" si="24"/>
        <v>过热</v>
      </c>
    </row>
    <row r="30" spans="1:42" x14ac:dyDescent="0.35">
      <c r="A30" s="19">
        <v>37590</v>
      </c>
      <c r="B30" s="17">
        <v>14.5</v>
      </c>
      <c r="C30" s="17">
        <v>-0.7</v>
      </c>
      <c r="D30" s="17">
        <v>-0.4</v>
      </c>
      <c r="E30" s="17">
        <f t="shared" si="0"/>
        <v>-0.58000000000000007</v>
      </c>
      <c r="F30">
        <v>1</v>
      </c>
      <c r="G30">
        <f t="shared" ref="G30:K30" si="33">IF(F30=1,0,1)</f>
        <v>0</v>
      </c>
      <c r="H30">
        <v>1</v>
      </c>
      <c r="I30">
        <f t="shared" si="33"/>
        <v>0</v>
      </c>
      <c r="J30">
        <v>1</v>
      </c>
      <c r="K30">
        <f t="shared" si="33"/>
        <v>0</v>
      </c>
      <c r="L30">
        <v>1</v>
      </c>
      <c r="M30">
        <f t="shared" si="2"/>
        <v>0</v>
      </c>
      <c r="N30">
        <f t="shared" si="3"/>
        <v>0</v>
      </c>
      <c r="O30">
        <f t="shared" si="4"/>
        <v>1</v>
      </c>
      <c r="P30">
        <f t="shared" si="5"/>
        <v>0</v>
      </c>
      <c r="Q30">
        <f t="shared" si="6"/>
        <v>0</v>
      </c>
      <c r="R30" s="1" t="str">
        <f t="shared" si="7"/>
        <v>过热</v>
      </c>
      <c r="S30">
        <f t="shared" si="8"/>
        <v>0</v>
      </c>
      <c r="T30">
        <f t="shared" si="9"/>
        <v>1</v>
      </c>
      <c r="U30">
        <f t="shared" si="10"/>
        <v>0</v>
      </c>
      <c r="V30">
        <f t="shared" si="11"/>
        <v>0</v>
      </c>
      <c r="W30" s="1" t="str">
        <f t="shared" si="12"/>
        <v>过热</v>
      </c>
      <c r="X30">
        <f t="shared" si="13"/>
        <v>0</v>
      </c>
      <c r="Y30">
        <f t="shared" si="14"/>
        <v>1</v>
      </c>
      <c r="Z30">
        <f t="shared" si="15"/>
        <v>0</v>
      </c>
      <c r="AA30">
        <f t="shared" si="16"/>
        <v>0</v>
      </c>
      <c r="AB30" s="1" t="str">
        <f t="shared" si="17"/>
        <v>过热</v>
      </c>
      <c r="AE30" s="19">
        <v>38168</v>
      </c>
      <c r="AF30" s="25">
        <v>11.6</v>
      </c>
      <c r="AG30" s="25">
        <v>6.5796000000000001</v>
      </c>
      <c r="AH30">
        <v>1</v>
      </c>
      <c r="AI30">
        <f t="shared" si="18"/>
        <v>0</v>
      </c>
      <c r="AJ30">
        <v>1</v>
      </c>
      <c r="AK30">
        <f t="shared" si="19"/>
        <v>0</v>
      </c>
      <c r="AL30">
        <f t="shared" si="20"/>
        <v>0</v>
      </c>
      <c r="AM30">
        <f t="shared" si="21"/>
        <v>1</v>
      </c>
      <c r="AN30">
        <f t="shared" si="22"/>
        <v>0</v>
      </c>
      <c r="AO30">
        <f t="shared" si="23"/>
        <v>0</v>
      </c>
      <c r="AP30" s="1" t="str">
        <f t="shared" si="24"/>
        <v>过热</v>
      </c>
    </row>
    <row r="31" spans="1:42" x14ac:dyDescent="0.35">
      <c r="A31" s="19">
        <v>37621</v>
      </c>
      <c r="B31" s="17">
        <v>14.9</v>
      </c>
      <c r="C31" s="17">
        <v>-0.4</v>
      </c>
      <c r="D31" s="17">
        <v>0.4</v>
      </c>
      <c r="E31" s="17">
        <f t="shared" si="0"/>
        <v>-7.999999999999996E-2</v>
      </c>
      <c r="F31">
        <v>1</v>
      </c>
      <c r="G31">
        <f t="shared" ref="G31:K31" si="34">IF(F31=1,0,1)</f>
        <v>0</v>
      </c>
      <c r="H31">
        <v>1</v>
      </c>
      <c r="I31">
        <f t="shared" si="34"/>
        <v>0</v>
      </c>
      <c r="J31">
        <v>1</v>
      </c>
      <c r="K31">
        <f t="shared" si="34"/>
        <v>0</v>
      </c>
      <c r="L31">
        <v>1</v>
      </c>
      <c r="M31">
        <f t="shared" si="2"/>
        <v>0</v>
      </c>
      <c r="N31">
        <f t="shared" si="3"/>
        <v>0</v>
      </c>
      <c r="O31">
        <f t="shared" si="4"/>
        <v>1</v>
      </c>
      <c r="P31">
        <f t="shared" si="5"/>
        <v>0</v>
      </c>
      <c r="Q31">
        <f t="shared" si="6"/>
        <v>0</v>
      </c>
      <c r="R31" s="1" t="str">
        <f t="shared" si="7"/>
        <v>过热</v>
      </c>
      <c r="S31">
        <f t="shared" si="8"/>
        <v>0</v>
      </c>
      <c r="T31">
        <f t="shared" si="9"/>
        <v>1</v>
      </c>
      <c r="U31">
        <f t="shared" si="10"/>
        <v>0</v>
      </c>
      <c r="V31">
        <f t="shared" si="11"/>
        <v>0</v>
      </c>
      <c r="W31" s="1" t="str">
        <f t="shared" si="12"/>
        <v>过热</v>
      </c>
      <c r="X31">
        <f t="shared" si="13"/>
        <v>0</v>
      </c>
      <c r="Y31">
        <f t="shared" si="14"/>
        <v>1</v>
      </c>
      <c r="Z31">
        <f t="shared" si="15"/>
        <v>0</v>
      </c>
      <c r="AA31">
        <f t="shared" si="16"/>
        <v>0</v>
      </c>
      <c r="AB31" s="1" t="str">
        <f t="shared" si="17"/>
        <v>过热</v>
      </c>
      <c r="AE31" s="19">
        <v>38260</v>
      </c>
      <c r="AF31" s="25">
        <v>9.8000000000000007</v>
      </c>
      <c r="AG31" s="25">
        <v>8.0114999999999998</v>
      </c>
      <c r="AH31">
        <v>1</v>
      </c>
      <c r="AI31">
        <f t="shared" si="18"/>
        <v>0</v>
      </c>
      <c r="AJ31">
        <v>1</v>
      </c>
      <c r="AK31">
        <f t="shared" si="19"/>
        <v>0</v>
      </c>
      <c r="AL31">
        <f t="shared" si="20"/>
        <v>0</v>
      </c>
      <c r="AM31">
        <f t="shared" si="21"/>
        <v>1</v>
      </c>
      <c r="AN31">
        <f t="shared" si="22"/>
        <v>0</v>
      </c>
      <c r="AO31">
        <f t="shared" si="23"/>
        <v>0</v>
      </c>
      <c r="AP31" s="1" t="str">
        <f t="shared" si="24"/>
        <v>过热</v>
      </c>
    </row>
    <row r="32" spans="1:42" x14ac:dyDescent="0.35">
      <c r="A32" s="19">
        <v>37680</v>
      </c>
      <c r="B32" s="17">
        <v>17.5</v>
      </c>
      <c r="C32" s="17">
        <v>0.3</v>
      </c>
      <c r="D32" s="17">
        <v>3.2</v>
      </c>
      <c r="E32" s="17">
        <f t="shared" si="0"/>
        <v>1.4600000000000002</v>
      </c>
      <c r="F32">
        <v>1</v>
      </c>
      <c r="G32">
        <f t="shared" ref="G32:K32" si="35">IF(F32=1,0,1)</f>
        <v>0</v>
      </c>
      <c r="H32">
        <v>1</v>
      </c>
      <c r="I32">
        <f t="shared" si="35"/>
        <v>0</v>
      </c>
      <c r="J32">
        <v>1</v>
      </c>
      <c r="K32">
        <f t="shared" si="35"/>
        <v>0</v>
      </c>
      <c r="L32">
        <v>1</v>
      </c>
      <c r="M32">
        <f t="shared" si="2"/>
        <v>0</v>
      </c>
      <c r="N32">
        <f t="shared" si="3"/>
        <v>0</v>
      </c>
      <c r="O32">
        <f t="shared" si="4"/>
        <v>1</v>
      </c>
      <c r="P32">
        <f t="shared" si="5"/>
        <v>0</v>
      </c>
      <c r="Q32">
        <f t="shared" si="6"/>
        <v>0</v>
      </c>
      <c r="R32" s="1" t="str">
        <f t="shared" si="7"/>
        <v>过热</v>
      </c>
      <c r="S32">
        <f t="shared" si="8"/>
        <v>0</v>
      </c>
      <c r="T32">
        <f t="shared" si="9"/>
        <v>1</v>
      </c>
      <c r="U32">
        <f t="shared" si="10"/>
        <v>0</v>
      </c>
      <c r="V32">
        <f t="shared" si="11"/>
        <v>0</v>
      </c>
      <c r="W32" s="1" t="str">
        <f t="shared" si="12"/>
        <v>过热</v>
      </c>
      <c r="X32">
        <f t="shared" si="13"/>
        <v>0</v>
      </c>
      <c r="Y32">
        <f t="shared" si="14"/>
        <v>1</v>
      </c>
      <c r="Z32">
        <f t="shared" si="15"/>
        <v>0</v>
      </c>
      <c r="AA32">
        <f t="shared" si="16"/>
        <v>0</v>
      </c>
      <c r="AB32" s="1" t="str">
        <f t="shared" si="17"/>
        <v>过热</v>
      </c>
      <c r="AE32" s="19">
        <v>38352</v>
      </c>
      <c r="AF32" s="25">
        <v>8.8000000000000007</v>
      </c>
      <c r="AG32" s="25">
        <v>8.0266000000000002</v>
      </c>
      <c r="AH32">
        <v>1</v>
      </c>
      <c r="AI32">
        <f t="shared" si="18"/>
        <v>0</v>
      </c>
      <c r="AJ32">
        <v>0</v>
      </c>
      <c r="AK32">
        <f t="shared" si="19"/>
        <v>1</v>
      </c>
      <c r="AL32">
        <f t="shared" si="20"/>
        <v>1</v>
      </c>
      <c r="AM32">
        <f t="shared" si="21"/>
        <v>0</v>
      </c>
      <c r="AN32">
        <f t="shared" si="22"/>
        <v>0</v>
      </c>
      <c r="AO32">
        <f t="shared" si="23"/>
        <v>0</v>
      </c>
      <c r="AP32" s="1" t="str">
        <f t="shared" si="24"/>
        <v>复苏</v>
      </c>
    </row>
    <row r="33" spans="1:42" x14ac:dyDescent="0.35">
      <c r="A33" s="19">
        <v>37711</v>
      </c>
      <c r="B33" s="17">
        <v>16.899999999999999</v>
      </c>
      <c r="C33" s="17">
        <v>0.9</v>
      </c>
      <c r="D33" s="17">
        <v>4.5999999999999996</v>
      </c>
      <c r="E33" s="17">
        <f t="shared" si="0"/>
        <v>2.38</v>
      </c>
      <c r="F33">
        <v>0</v>
      </c>
      <c r="G33">
        <f t="shared" ref="G33:K33" si="36">IF(F33=1,0,1)</f>
        <v>1</v>
      </c>
      <c r="H33">
        <v>1</v>
      </c>
      <c r="I33">
        <f t="shared" si="36"/>
        <v>0</v>
      </c>
      <c r="J33">
        <v>1</v>
      </c>
      <c r="K33">
        <f t="shared" si="36"/>
        <v>0</v>
      </c>
      <c r="L33">
        <v>1</v>
      </c>
      <c r="M33">
        <f t="shared" si="2"/>
        <v>0</v>
      </c>
      <c r="N33">
        <f t="shared" si="3"/>
        <v>0</v>
      </c>
      <c r="O33">
        <f t="shared" si="4"/>
        <v>0</v>
      </c>
      <c r="P33">
        <f t="shared" si="5"/>
        <v>1</v>
      </c>
      <c r="Q33">
        <f t="shared" si="6"/>
        <v>0</v>
      </c>
      <c r="R33" s="1" t="str">
        <f t="shared" si="7"/>
        <v>滞涨</v>
      </c>
      <c r="S33">
        <f t="shared" si="8"/>
        <v>0</v>
      </c>
      <c r="T33">
        <f t="shared" si="9"/>
        <v>0</v>
      </c>
      <c r="U33">
        <f t="shared" si="10"/>
        <v>1</v>
      </c>
      <c r="V33">
        <f t="shared" si="11"/>
        <v>0</v>
      </c>
      <c r="W33" s="1" t="str">
        <f t="shared" si="12"/>
        <v>滞涨</v>
      </c>
      <c r="X33">
        <f t="shared" si="13"/>
        <v>0</v>
      </c>
      <c r="Y33">
        <f t="shared" si="14"/>
        <v>0</v>
      </c>
      <c r="Z33">
        <f t="shared" si="15"/>
        <v>1</v>
      </c>
      <c r="AA33">
        <f t="shared" si="16"/>
        <v>0</v>
      </c>
      <c r="AB33" s="1" t="str">
        <f t="shared" si="17"/>
        <v>滞涨</v>
      </c>
      <c r="AE33" s="19">
        <v>38442</v>
      </c>
      <c r="AF33" s="25">
        <v>11.1</v>
      </c>
      <c r="AG33" s="25">
        <v>5.4046000000000003</v>
      </c>
      <c r="AH33">
        <v>1</v>
      </c>
      <c r="AI33">
        <f t="shared" si="18"/>
        <v>0</v>
      </c>
      <c r="AJ33">
        <v>0</v>
      </c>
      <c r="AK33">
        <f t="shared" si="19"/>
        <v>1</v>
      </c>
      <c r="AL33">
        <f t="shared" si="20"/>
        <v>1</v>
      </c>
      <c r="AM33">
        <f t="shared" si="21"/>
        <v>0</v>
      </c>
      <c r="AN33">
        <f t="shared" si="22"/>
        <v>0</v>
      </c>
      <c r="AO33">
        <f t="shared" si="23"/>
        <v>0</v>
      </c>
      <c r="AP33" s="1" t="str">
        <f t="shared" si="24"/>
        <v>复苏</v>
      </c>
    </row>
    <row r="34" spans="1:42" x14ac:dyDescent="0.35">
      <c r="A34" s="19">
        <v>37741</v>
      </c>
      <c r="B34" s="17">
        <v>14.9</v>
      </c>
      <c r="C34" s="17">
        <v>1</v>
      </c>
      <c r="D34" s="17">
        <v>3.6</v>
      </c>
      <c r="E34" s="17">
        <f t="shared" si="0"/>
        <v>2.04</v>
      </c>
      <c r="F34">
        <v>0</v>
      </c>
      <c r="G34">
        <f t="shared" ref="G34:K34" si="37">IF(F34=1,0,1)</f>
        <v>1</v>
      </c>
      <c r="H34">
        <v>1</v>
      </c>
      <c r="I34">
        <f t="shared" si="37"/>
        <v>0</v>
      </c>
      <c r="J34">
        <v>0</v>
      </c>
      <c r="K34">
        <f t="shared" si="37"/>
        <v>1</v>
      </c>
      <c r="L34">
        <v>0</v>
      </c>
      <c r="M34">
        <f t="shared" si="2"/>
        <v>1</v>
      </c>
      <c r="N34">
        <f t="shared" si="3"/>
        <v>0</v>
      </c>
      <c r="O34">
        <f t="shared" si="4"/>
        <v>0</v>
      </c>
      <c r="P34">
        <f t="shared" si="5"/>
        <v>1</v>
      </c>
      <c r="Q34">
        <f t="shared" si="6"/>
        <v>0</v>
      </c>
      <c r="R34" s="1" t="str">
        <f t="shared" si="7"/>
        <v>滞涨</v>
      </c>
      <c r="S34">
        <f t="shared" si="8"/>
        <v>0</v>
      </c>
      <c r="T34">
        <f t="shared" si="9"/>
        <v>0</v>
      </c>
      <c r="U34">
        <f t="shared" si="10"/>
        <v>0</v>
      </c>
      <c r="V34">
        <f t="shared" si="11"/>
        <v>1</v>
      </c>
      <c r="W34" s="1" t="str">
        <f t="shared" si="12"/>
        <v>衰退</v>
      </c>
      <c r="X34">
        <f t="shared" si="13"/>
        <v>0</v>
      </c>
      <c r="Y34">
        <f t="shared" si="14"/>
        <v>0</v>
      </c>
      <c r="Z34">
        <f t="shared" si="15"/>
        <v>0</v>
      </c>
      <c r="AA34">
        <f t="shared" si="16"/>
        <v>1</v>
      </c>
      <c r="AB34" s="1" t="str">
        <f t="shared" si="17"/>
        <v>衰退</v>
      </c>
      <c r="AE34" s="19">
        <v>38533</v>
      </c>
      <c r="AF34" s="25">
        <v>11.1</v>
      </c>
      <c r="AG34" s="25">
        <v>4.1783000000000001</v>
      </c>
      <c r="AH34">
        <v>1</v>
      </c>
      <c r="AI34">
        <f t="shared" si="18"/>
        <v>0</v>
      </c>
      <c r="AJ34">
        <v>0</v>
      </c>
      <c r="AK34">
        <f t="shared" si="19"/>
        <v>1</v>
      </c>
      <c r="AL34">
        <f t="shared" si="20"/>
        <v>1</v>
      </c>
      <c r="AM34">
        <f t="shared" si="21"/>
        <v>0</v>
      </c>
      <c r="AN34">
        <f t="shared" si="22"/>
        <v>0</v>
      </c>
      <c r="AO34">
        <f t="shared" si="23"/>
        <v>0</v>
      </c>
      <c r="AP34" s="1" t="str">
        <f t="shared" si="24"/>
        <v>复苏</v>
      </c>
    </row>
    <row r="35" spans="1:42" x14ac:dyDescent="0.35">
      <c r="A35" s="19">
        <v>37772</v>
      </c>
      <c r="B35" s="17">
        <v>13.7</v>
      </c>
      <c r="C35" s="17">
        <v>0.7</v>
      </c>
      <c r="D35" s="17">
        <v>2</v>
      </c>
      <c r="E35" s="17">
        <f t="shared" si="0"/>
        <v>1.22</v>
      </c>
      <c r="F35">
        <v>0</v>
      </c>
      <c r="G35">
        <f t="shared" ref="G35:K35" si="38">IF(F35=1,0,1)</f>
        <v>1</v>
      </c>
      <c r="H35">
        <v>1</v>
      </c>
      <c r="I35">
        <f t="shared" si="38"/>
        <v>0</v>
      </c>
      <c r="J35">
        <v>0</v>
      </c>
      <c r="K35">
        <f t="shared" si="38"/>
        <v>1</v>
      </c>
      <c r="L35">
        <v>0</v>
      </c>
      <c r="M35">
        <f t="shared" si="2"/>
        <v>1</v>
      </c>
      <c r="N35">
        <f t="shared" si="3"/>
        <v>0</v>
      </c>
      <c r="O35">
        <f t="shared" si="4"/>
        <v>0</v>
      </c>
      <c r="P35">
        <f t="shared" si="5"/>
        <v>1</v>
      </c>
      <c r="Q35">
        <f t="shared" si="6"/>
        <v>0</v>
      </c>
      <c r="R35" s="1" t="str">
        <f t="shared" si="7"/>
        <v>滞涨</v>
      </c>
      <c r="S35">
        <f t="shared" si="8"/>
        <v>0</v>
      </c>
      <c r="T35">
        <f t="shared" si="9"/>
        <v>0</v>
      </c>
      <c r="U35">
        <f t="shared" si="10"/>
        <v>0</v>
      </c>
      <c r="V35">
        <f t="shared" si="11"/>
        <v>1</v>
      </c>
      <c r="W35" s="1" t="str">
        <f t="shared" si="12"/>
        <v>衰退</v>
      </c>
      <c r="X35">
        <f t="shared" si="13"/>
        <v>0</v>
      </c>
      <c r="Y35">
        <f t="shared" si="14"/>
        <v>0</v>
      </c>
      <c r="Z35">
        <f t="shared" si="15"/>
        <v>0</v>
      </c>
      <c r="AA35">
        <f t="shared" si="16"/>
        <v>1</v>
      </c>
      <c r="AB35" s="1" t="str">
        <f t="shared" si="17"/>
        <v>衰退</v>
      </c>
      <c r="AE35" s="19">
        <v>38625</v>
      </c>
      <c r="AF35" s="25">
        <v>10.8</v>
      </c>
      <c r="AG35" s="25">
        <v>3.6063999999999998</v>
      </c>
      <c r="AH35">
        <v>1</v>
      </c>
      <c r="AI35">
        <f t="shared" si="18"/>
        <v>0</v>
      </c>
      <c r="AJ35">
        <v>0</v>
      </c>
      <c r="AK35">
        <f t="shared" si="19"/>
        <v>1</v>
      </c>
      <c r="AL35">
        <f t="shared" si="20"/>
        <v>1</v>
      </c>
      <c r="AM35">
        <f t="shared" si="21"/>
        <v>0</v>
      </c>
      <c r="AN35">
        <f t="shared" si="22"/>
        <v>0</v>
      </c>
      <c r="AO35">
        <f t="shared" si="23"/>
        <v>0</v>
      </c>
      <c r="AP35" s="1" t="str">
        <f t="shared" si="24"/>
        <v>复苏</v>
      </c>
    </row>
    <row r="36" spans="1:42" x14ac:dyDescent="0.35">
      <c r="A36" s="19">
        <v>37802</v>
      </c>
      <c r="B36" s="17">
        <v>16.899999999999999</v>
      </c>
      <c r="C36" s="17">
        <v>0.3</v>
      </c>
      <c r="D36" s="17">
        <v>1.3</v>
      </c>
      <c r="E36" s="17">
        <f t="shared" si="0"/>
        <v>0.7</v>
      </c>
      <c r="F36">
        <v>1</v>
      </c>
      <c r="G36">
        <f t="shared" ref="G36:K36" si="39">IF(F36=1,0,1)</f>
        <v>0</v>
      </c>
      <c r="H36">
        <v>1</v>
      </c>
      <c r="I36">
        <f t="shared" si="39"/>
        <v>0</v>
      </c>
      <c r="J36">
        <v>0</v>
      </c>
      <c r="K36">
        <f t="shared" si="39"/>
        <v>1</v>
      </c>
      <c r="L36">
        <v>0</v>
      </c>
      <c r="M36">
        <f t="shared" si="2"/>
        <v>1</v>
      </c>
      <c r="N36">
        <f t="shared" si="3"/>
        <v>0</v>
      </c>
      <c r="O36">
        <f t="shared" si="4"/>
        <v>1</v>
      </c>
      <c r="P36">
        <f t="shared" si="5"/>
        <v>0</v>
      </c>
      <c r="Q36">
        <f t="shared" si="6"/>
        <v>0</v>
      </c>
      <c r="R36" s="1" t="str">
        <f t="shared" si="7"/>
        <v>过热</v>
      </c>
      <c r="S36">
        <f t="shared" si="8"/>
        <v>1</v>
      </c>
      <c r="T36">
        <f t="shared" si="9"/>
        <v>0</v>
      </c>
      <c r="U36">
        <f t="shared" si="10"/>
        <v>0</v>
      </c>
      <c r="V36">
        <f t="shared" si="11"/>
        <v>0</v>
      </c>
      <c r="W36" s="1" t="str">
        <f t="shared" si="12"/>
        <v>复苏</v>
      </c>
      <c r="X36">
        <f t="shared" si="13"/>
        <v>1</v>
      </c>
      <c r="Y36">
        <f t="shared" si="14"/>
        <v>0</v>
      </c>
      <c r="Z36">
        <f t="shared" si="15"/>
        <v>0</v>
      </c>
      <c r="AA36">
        <f t="shared" si="16"/>
        <v>0</v>
      </c>
      <c r="AB36" s="1" t="str">
        <f t="shared" si="17"/>
        <v>复苏</v>
      </c>
      <c r="AE36" s="19">
        <v>38717</v>
      </c>
      <c r="AF36" s="25">
        <v>12.4</v>
      </c>
      <c r="AG36" s="25">
        <v>2.8348</v>
      </c>
      <c r="AH36">
        <v>1</v>
      </c>
      <c r="AI36">
        <f t="shared" si="18"/>
        <v>0</v>
      </c>
      <c r="AJ36">
        <v>0</v>
      </c>
      <c r="AK36">
        <f t="shared" si="19"/>
        <v>1</v>
      </c>
      <c r="AL36">
        <f t="shared" si="20"/>
        <v>1</v>
      </c>
      <c r="AM36">
        <f t="shared" si="21"/>
        <v>0</v>
      </c>
      <c r="AN36">
        <f t="shared" si="22"/>
        <v>0</v>
      </c>
      <c r="AO36">
        <f t="shared" si="23"/>
        <v>0</v>
      </c>
      <c r="AP36" s="1" t="str">
        <f t="shared" si="24"/>
        <v>复苏</v>
      </c>
    </row>
    <row r="37" spans="1:42" x14ac:dyDescent="0.35">
      <c r="A37" s="19">
        <v>37833</v>
      </c>
      <c r="B37" s="17">
        <v>16.5</v>
      </c>
      <c r="C37" s="17">
        <v>0.5</v>
      </c>
      <c r="D37" s="17">
        <v>1.4</v>
      </c>
      <c r="E37" s="17">
        <f t="shared" si="0"/>
        <v>0.85999999999999988</v>
      </c>
      <c r="F37">
        <v>1</v>
      </c>
      <c r="G37">
        <f t="shared" ref="G37:K37" si="40">IF(F37=1,0,1)</f>
        <v>0</v>
      </c>
      <c r="H37">
        <v>1</v>
      </c>
      <c r="I37">
        <f t="shared" si="40"/>
        <v>0</v>
      </c>
      <c r="J37">
        <v>0</v>
      </c>
      <c r="K37">
        <f t="shared" si="40"/>
        <v>1</v>
      </c>
      <c r="L37">
        <v>1</v>
      </c>
      <c r="M37">
        <f t="shared" si="2"/>
        <v>0</v>
      </c>
      <c r="N37">
        <f t="shared" si="3"/>
        <v>0</v>
      </c>
      <c r="O37">
        <f t="shared" si="4"/>
        <v>1</v>
      </c>
      <c r="P37">
        <f t="shared" si="5"/>
        <v>0</v>
      </c>
      <c r="Q37">
        <f t="shared" si="6"/>
        <v>0</v>
      </c>
      <c r="R37" s="1" t="str">
        <f t="shared" si="7"/>
        <v>过热</v>
      </c>
      <c r="S37">
        <f t="shared" si="8"/>
        <v>1</v>
      </c>
      <c r="T37">
        <f t="shared" si="9"/>
        <v>0</v>
      </c>
      <c r="U37">
        <f t="shared" si="10"/>
        <v>0</v>
      </c>
      <c r="V37">
        <f t="shared" si="11"/>
        <v>0</v>
      </c>
      <c r="W37" s="1" t="str">
        <f t="shared" si="12"/>
        <v>复苏</v>
      </c>
      <c r="X37">
        <f t="shared" si="13"/>
        <v>0</v>
      </c>
      <c r="Y37">
        <f t="shared" si="14"/>
        <v>1</v>
      </c>
      <c r="Z37">
        <f t="shared" si="15"/>
        <v>0</v>
      </c>
      <c r="AA37">
        <f t="shared" si="16"/>
        <v>0</v>
      </c>
      <c r="AB37" s="1" t="str">
        <f t="shared" si="17"/>
        <v>过热</v>
      </c>
      <c r="AE37" s="19">
        <v>38807</v>
      </c>
      <c r="AF37" s="25">
        <v>12.5</v>
      </c>
      <c r="AG37" s="25">
        <v>3.4474999999999998</v>
      </c>
      <c r="AH37">
        <v>1</v>
      </c>
      <c r="AI37">
        <f t="shared" si="18"/>
        <v>0</v>
      </c>
      <c r="AJ37">
        <v>1</v>
      </c>
      <c r="AK37">
        <f t="shared" si="19"/>
        <v>0</v>
      </c>
      <c r="AL37">
        <f t="shared" si="20"/>
        <v>0</v>
      </c>
      <c r="AM37">
        <f t="shared" si="21"/>
        <v>1</v>
      </c>
      <c r="AN37">
        <f t="shared" si="22"/>
        <v>0</v>
      </c>
      <c r="AO37">
        <f t="shared" si="23"/>
        <v>0</v>
      </c>
      <c r="AP37" s="1" t="str">
        <f t="shared" si="24"/>
        <v>过热</v>
      </c>
    </row>
    <row r="38" spans="1:42" x14ac:dyDescent="0.35">
      <c r="A38" s="19">
        <v>37864</v>
      </c>
      <c r="B38" s="17">
        <v>17.100000000000001</v>
      </c>
      <c r="C38" s="17">
        <v>0.9</v>
      </c>
      <c r="D38" s="17">
        <v>1.4</v>
      </c>
      <c r="E38" s="17">
        <f t="shared" si="0"/>
        <v>1.1000000000000001</v>
      </c>
      <c r="F38">
        <v>1</v>
      </c>
      <c r="G38">
        <f t="shared" ref="G38:K38" si="41">IF(F38=1,0,1)</f>
        <v>0</v>
      </c>
      <c r="H38">
        <v>1</v>
      </c>
      <c r="I38">
        <f t="shared" si="41"/>
        <v>0</v>
      </c>
      <c r="J38">
        <v>0</v>
      </c>
      <c r="K38">
        <f t="shared" si="41"/>
        <v>1</v>
      </c>
      <c r="L38">
        <v>1</v>
      </c>
      <c r="M38">
        <f t="shared" si="2"/>
        <v>0</v>
      </c>
      <c r="N38">
        <f t="shared" si="3"/>
        <v>0</v>
      </c>
      <c r="O38">
        <f t="shared" si="4"/>
        <v>1</v>
      </c>
      <c r="P38">
        <f t="shared" si="5"/>
        <v>0</v>
      </c>
      <c r="Q38">
        <f t="shared" si="6"/>
        <v>0</v>
      </c>
      <c r="R38" s="1" t="str">
        <f t="shared" si="7"/>
        <v>过热</v>
      </c>
      <c r="S38">
        <f t="shared" si="8"/>
        <v>1</v>
      </c>
      <c r="T38">
        <f t="shared" si="9"/>
        <v>0</v>
      </c>
      <c r="U38">
        <f t="shared" si="10"/>
        <v>0</v>
      </c>
      <c r="V38">
        <f t="shared" si="11"/>
        <v>0</v>
      </c>
      <c r="W38" s="1" t="str">
        <f t="shared" si="12"/>
        <v>复苏</v>
      </c>
      <c r="X38">
        <f t="shared" si="13"/>
        <v>0</v>
      </c>
      <c r="Y38">
        <f t="shared" si="14"/>
        <v>1</v>
      </c>
      <c r="Z38">
        <f t="shared" si="15"/>
        <v>0</v>
      </c>
      <c r="AA38">
        <f t="shared" si="16"/>
        <v>0</v>
      </c>
      <c r="AB38" s="1" t="str">
        <f t="shared" si="17"/>
        <v>过热</v>
      </c>
      <c r="AE38" s="19">
        <v>38898</v>
      </c>
      <c r="AF38" s="25">
        <v>13.7</v>
      </c>
      <c r="AG38" s="25">
        <v>3.4234</v>
      </c>
      <c r="AH38">
        <v>1</v>
      </c>
      <c r="AI38">
        <f t="shared" si="18"/>
        <v>0</v>
      </c>
      <c r="AJ38">
        <v>1</v>
      </c>
      <c r="AK38">
        <f t="shared" si="19"/>
        <v>0</v>
      </c>
      <c r="AL38">
        <f t="shared" si="20"/>
        <v>0</v>
      </c>
      <c r="AM38">
        <f t="shared" si="21"/>
        <v>1</v>
      </c>
      <c r="AN38">
        <f t="shared" si="22"/>
        <v>0</v>
      </c>
      <c r="AO38">
        <f t="shared" si="23"/>
        <v>0</v>
      </c>
      <c r="AP38" s="1" t="str">
        <f t="shared" si="24"/>
        <v>过热</v>
      </c>
    </row>
    <row r="39" spans="1:42" x14ac:dyDescent="0.35">
      <c r="A39" s="19">
        <v>37894</v>
      </c>
      <c r="B39" s="17">
        <v>16.3</v>
      </c>
      <c r="C39" s="17">
        <v>1.1000000000000001</v>
      </c>
      <c r="D39" s="17">
        <v>1.4</v>
      </c>
      <c r="E39" s="17">
        <f t="shared" si="0"/>
        <v>1.22</v>
      </c>
      <c r="F39">
        <v>1</v>
      </c>
      <c r="G39">
        <f t="shared" ref="G39:K39" si="42">IF(F39=1,0,1)</f>
        <v>0</v>
      </c>
      <c r="H39">
        <v>1</v>
      </c>
      <c r="I39">
        <f t="shared" si="42"/>
        <v>0</v>
      </c>
      <c r="J39">
        <v>0</v>
      </c>
      <c r="K39">
        <f t="shared" si="42"/>
        <v>1</v>
      </c>
      <c r="L39">
        <v>1</v>
      </c>
      <c r="M39">
        <f t="shared" si="2"/>
        <v>0</v>
      </c>
      <c r="N39">
        <f t="shared" si="3"/>
        <v>0</v>
      </c>
      <c r="O39">
        <f t="shared" si="4"/>
        <v>1</v>
      </c>
      <c r="P39">
        <f t="shared" si="5"/>
        <v>0</v>
      </c>
      <c r="Q39">
        <f t="shared" si="6"/>
        <v>0</v>
      </c>
      <c r="R39" s="1" t="str">
        <f t="shared" si="7"/>
        <v>过热</v>
      </c>
      <c r="S39">
        <f t="shared" si="8"/>
        <v>1</v>
      </c>
      <c r="T39">
        <f t="shared" si="9"/>
        <v>0</v>
      </c>
      <c r="U39">
        <f t="shared" si="10"/>
        <v>0</v>
      </c>
      <c r="V39">
        <f t="shared" si="11"/>
        <v>0</v>
      </c>
      <c r="W39" s="1" t="str">
        <f t="shared" si="12"/>
        <v>复苏</v>
      </c>
      <c r="X39">
        <f t="shared" si="13"/>
        <v>0</v>
      </c>
      <c r="Y39">
        <f t="shared" si="14"/>
        <v>1</v>
      </c>
      <c r="Z39">
        <f t="shared" si="15"/>
        <v>0</v>
      </c>
      <c r="AA39">
        <f t="shared" si="16"/>
        <v>0</v>
      </c>
      <c r="AB39" s="1" t="str">
        <f t="shared" si="17"/>
        <v>过热</v>
      </c>
      <c r="AE39" s="19">
        <v>38990</v>
      </c>
      <c r="AF39" s="25">
        <v>12.2</v>
      </c>
      <c r="AG39" s="25">
        <v>3.9975999999999998</v>
      </c>
      <c r="AH39">
        <v>1</v>
      </c>
      <c r="AI39">
        <f t="shared" si="18"/>
        <v>0</v>
      </c>
      <c r="AJ39">
        <v>1</v>
      </c>
      <c r="AK39">
        <f t="shared" si="19"/>
        <v>0</v>
      </c>
      <c r="AL39">
        <f t="shared" si="20"/>
        <v>0</v>
      </c>
      <c r="AM39">
        <f t="shared" si="21"/>
        <v>1</v>
      </c>
      <c r="AN39">
        <f t="shared" si="22"/>
        <v>0</v>
      </c>
      <c r="AO39">
        <f t="shared" si="23"/>
        <v>0</v>
      </c>
      <c r="AP39" s="1" t="str">
        <f t="shared" si="24"/>
        <v>过热</v>
      </c>
    </row>
    <row r="40" spans="1:42" x14ac:dyDescent="0.35">
      <c r="A40" s="19">
        <v>37925</v>
      </c>
      <c r="B40" s="17">
        <v>17.2</v>
      </c>
      <c r="C40" s="17">
        <v>1.8</v>
      </c>
      <c r="D40" s="17">
        <v>1.2</v>
      </c>
      <c r="E40" s="17">
        <f t="shared" si="0"/>
        <v>1.56</v>
      </c>
      <c r="F40">
        <v>1</v>
      </c>
      <c r="G40">
        <f t="shared" ref="G40:K40" si="43">IF(F40=1,0,1)</f>
        <v>0</v>
      </c>
      <c r="H40">
        <v>1</v>
      </c>
      <c r="I40">
        <f t="shared" si="43"/>
        <v>0</v>
      </c>
      <c r="J40">
        <v>0</v>
      </c>
      <c r="K40">
        <f t="shared" si="43"/>
        <v>1</v>
      </c>
      <c r="L40">
        <v>1</v>
      </c>
      <c r="M40">
        <f t="shared" si="2"/>
        <v>0</v>
      </c>
      <c r="N40">
        <f t="shared" si="3"/>
        <v>0</v>
      </c>
      <c r="O40">
        <f t="shared" si="4"/>
        <v>1</v>
      </c>
      <c r="P40">
        <f t="shared" si="5"/>
        <v>0</v>
      </c>
      <c r="Q40">
        <f t="shared" si="6"/>
        <v>0</v>
      </c>
      <c r="R40" s="1" t="str">
        <f t="shared" si="7"/>
        <v>过热</v>
      </c>
      <c r="S40">
        <f t="shared" si="8"/>
        <v>1</v>
      </c>
      <c r="T40">
        <f t="shared" si="9"/>
        <v>0</v>
      </c>
      <c r="U40">
        <f t="shared" si="10"/>
        <v>0</v>
      </c>
      <c r="V40">
        <f t="shared" si="11"/>
        <v>0</v>
      </c>
      <c r="W40" s="1" t="str">
        <f t="shared" si="12"/>
        <v>复苏</v>
      </c>
      <c r="X40">
        <f t="shared" si="13"/>
        <v>0</v>
      </c>
      <c r="Y40">
        <f t="shared" si="14"/>
        <v>1</v>
      </c>
      <c r="Z40">
        <f t="shared" si="15"/>
        <v>0</v>
      </c>
      <c r="AA40">
        <f t="shared" si="16"/>
        <v>0</v>
      </c>
      <c r="AB40" s="1" t="str">
        <f t="shared" si="17"/>
        <v>过热</v>
      </c>
      <c r="AE40" s="19">
        <v>39082</v>
      </c>
      <c r="AF40" s="25">
        <v>12.5</v>
      </c>
      <c r="AG40" s="25">
        <v>4.6787999999999998</v>
      </c>
      <c r="AH40">
        <v>1</v>
      </c>
      <c r="AI40">
        <f t="shared" si="18"/>
        <v>0</v>
      </c>
      <c r="AJ40">
        <v>1</v>
      </c>
      <c r="AK40">
        <f t="shared" si="19"/>
        <v>0</v>
      </c>
      <c r="AL40">
        <f t="shared" si="20"/>
        <v>0</v>
      </c>
      <c r="AM40">
        <f t="shared" si="21"/>
        <v>1</v>
      </c>
      <c r="AN40">
        <f t="shared" si="22"/>
        <v>0</v>
      </c>
      <c r="AO40">
        <f t="shared" si="23"/>
        <v>0</v>
      </c>
      <c r="AP40" s="1" t="str">
        <f t="shared" si="24"/>
        <v>过热</v>
      </c>
    </row>
    <row r="41" spans="1:42" x14ac:dyDescent="0.35">
      <c r="A41" s="19">
        <v>37955</v>
      </c>
      <c r="B41" s="17">
        <v>17.899999999999999</v>
      </c>
      <c r="C41" s="17">
        <v>3</v>
      </c>
      <c r="D41" s="17">
        <v>1.9</v>
      </c>
      <c r="E41" s="17">
        <f t="shared" si="0"/>
        <v>2.5599999999999996</v>
      </c>
      <c r="F41">
        <v>1</v>
      </c>
      <c r="G41">
        <f t="shared" ref="G41:K41" si="44">IF(F41=1,0,1)</f>
        <v>0</v>
      </c>
      <c r="H41">
        <v>1</v>
      </c>
      <c r="I41">
        <f t="shared" si="44"/>
        <v>0</v>
      </c>
      <c r="J41">
        <v>1</v>
      </c>
      <c r="K41">
        <f t="shared" si="44"/>
        <v>0</v>
      </c>
      <c r="L41">
        <v>1</v>
      </c>
      <c r="M41">
        <f t="shared" si="2"/>
        <v>0</v>
      </c>
      <c r="N41">
        <f t="shared" si="3"/>
        <v>0</v>
      </c>
      <c r="O41">
        <f t="shared" si="4"/>
        <v>1</v>
      </c>
      <c r="P41">
        <f t="shared" si="5"/>
        <v>0</v>
      </c>
      <c r="Q41">
        <f t="shared" si="6"/>
        <v>0</v>
      </c>
      <c r="R41" s="1" t="str">
        <f t="shared" si="7"/>
        <v>过热</v>
      </c>
      <c r="S41">
        <f t="shared" si="8"/>
        <v>0</v>
      </c>
      <c r="T41">
        <f t="shared" si="9"/>
        <v>1</v>
      </c>
      <c r="U41">
        <f t="shared" si="10"/>
        <v>0</v>
      </c>
      <c r="V41">
        <f t="shared" si="11"/>
        <v>0</v>
      </c>
      <c r="W41" s="1" t="str">
        <f t="shared" si="12"/>
        <v>过热</v>
      </c>
      <c r="X41">
        <f t="shared" si="13"/>
        <v>0</v>
      </c>
      <c r="Y41">
        <f t="shared" si="14"/>
        <v>1</v>
      </c>
      <c r="Z41">
        <f t="shared" si="15"/>
        <v>0</v>
      </c>
      <c r="AA41">
        <f t="shared" si="16"/>
        <v>0</v>
      </c>
      <c r="AB41" s="1" t="str">
        <f t="shared" si="17"/>
        <v>过热</v>
      </c>
      <c r="AE41" s="19">
        <v>39172</v>
      </c>
      <c r="AF41" s="25">
        <v>13.8</v>
      </c>
      <c r="AG41" s="25">
        <v>6.7217000000000002</v>
      </c>
      <c r="AH41">
        <v>1</v>
      </c>
      <c r="AI41">
        <f t="shared" si="18"/>
        <v>0</v>
      </c>
      <c r="AJ41">
        <v>1</v>
      </c>
      <c r="AK41">
        <f t="shared" si="19"/>
        <v>0</v>
      </c>
      <c r="AL41">
        <f t="shared" si="20"/>
        <v>0</v>
      </c>
      <c r="AM41">
        <f t="shared" si="21"/>
        <v>1</v>
      </c>
      <c r="AN41">
        <f t="shared" si="22"/>
        <v>0</v>
      </c>
      <c r="AO41">
        <f t="shared" si="23"/>
        <v>0</v>
      </c>
      <c r="AP41" s="1" t="str">
        <f t="shared" si="24"/>
        <v>过热</v>
      </c>
    </row>
    <row r="42" spans="1:42" x14ac:dyDescent="0.35">
      <c r="A42" s="19">
        <v>37986</v>
      </c>
      <c r="B42" s="17">
        <v>18.100000000000001</v>
      </c>
      <c r="C42" s="17">
        <v>3.2</v>
      </c>
      <c r="D42" s="17">
        <v>3</v>
      </c>
      <c r="E42" s="17">
        <f t="shared" si="0"/>
        <v>3.12</v>
      </c>
      <c r="F42">
        <v>1</v>
      </c>
      <c r="G42">
        <f t="shared" ref="G42:K42" si="45">IF(F42=1,0,1)</f>
        <v>0</v>
      </c>
      <c r="H42">
        <v>1</v>
      </c>
      <c r="I42">
        <f t="shared" si="45"/>
        <v>0</v>
      </c>
      <c r="J42">
        <v>1</v>
      </c>
      <c r="K42">
        <f t="shared" si="45"/>
        <v>0</v>
      </c>
      <c r="L42">
        <v>1</v>
      </c>
      <c r="M42">
        <f t="shared" si="2"/>
        <v>0</v>
      </c>
      <c r="N42">
        <f t="shared" si="3"/>
        <v>0</v>
      </c>
      <c r="O42">
        <f t="shared" si="4"/>
        <v>1</v>
      </c>
      <c r="P42">
        <f t="shared" si="5"/>
        <v>0</v>
      </c>
      <c r="Q42">
        <f t="shared" si="6"/>
        <v>0</v>
      </c>
      <c r="R42" s="1" t="str">
        <f t="shared" si="7"/>
        <v>过热</v>
      </c>
      <c r="S42">
        <f t="shared" si="8"/>
        <v>0</v>
      </c>
      <c r="T42">
        <f t="shared" si="9"/>
        <v>1</v>
      </c>
      <c r="U42">
        <f t="shared" si="10"/>
        <v>0</v>
      </c>
      <c r="V42">
        <f t="shared" si="11"/>
        <v>0</v>
      </c>
      <c r="W42" s="1" t="str">
        <f t="shared" si="12"/>
        <v>过热</v>
      </c>
      <c r="X42">
        <f t="shared" si="13"/>
        <v>0</v>
      </c>
      <c r="Y42">
        <f t="shared" si="14"/>
        <v>1</v>
      </c>
      <c r="Z42">
        <f t="shared" si="15"/>
        <v>0</v>
      </c>
      <c r="AA42">
        <f t="shared" si="16"/>
        <v>0</v>
      </c>
      <c r="AB42" s="1" t="str">
        <f t="shared" si="17"/>
        <v>过热</v>
      </c>
      <c r="AE42" s="19">
        <v>39263</v>
      </c>
      <c r="AF42" s="25">
        <v>15</v>
      </c>
      <c r="AG42" s="25">
        <v>6.9919000000000002</v>
      </c>
      <c r="AH42">
        <v>1</v>
      </c>
      <c r="AI42">
        <f t="shared" si="18"/>
        <v>0</v>
      </c>
      <c r="AJ42">
        <v>1</v>
      </c>
      <c r="AK42">
        <f t="shared" si="19"/>
        <v>0</v>
      </c>
      <c r="AL42">
        <f t="shared" si="20"/>
        <v>0</v>
      </c>
      <c r="AM42">
        <f t="shared" si="21"/>
        <v>1</v>
      </c>
      <c r="AN42">
        <f t="shared" si="22"/>
        <v>0</v>
      </c>
      <c r="AO42">
        <f t="shared" si="23"/>
        <v>0</v>
      </c>
      <c r="AP42" s="1" t="str">
        <f t="shared" si="24"/>
        <v>过热</v>
      </c>
    </row>
    <row r="43" spans="1:42" x14ac:dyDescent="0.35">
      <c r="A43" s="19">
        <v>38046</v>
      </c>
      <c r="B43" s="17">
        <v>16.600000000000001</v>
      </c>
      <c r="C43" s="17">
        <v>2.6</v>
      </c>
      <c r="D43" s="17">
        <v>3.5</v>
      </c>
      <c r="E43" s="17">
        <f t="shared" si="0"/>
        <v>2.96</v>
      </c>
      <c r="F43">
        <v>1</v>
      </c>
      <c r="G43">
        <f t="shared" ref="G43:K43" si="46">IF(F43=1,0,1)</f>
        <v>0</v>
      </c>
      <c r="H43">
        <v>1</v>
      </c>
      <c r="I43">
        <f t="shared" si="46"/>
        <v>0</v>
      </c>
      <c r="J43">
        <v>1</v>
      </c>
      <c r="K43">
        <f t="shared" si="46"/>
        <v>0</v>
      </c>
      <c r="L43">
        <v>1</v>
      </c>
      <c r="M43">
        <f t="shared" si="2"/>
        <v>0</v>
      </c>
      <c r="N43">
        <f t="shared" si="3"/>
        <v>0</v>
      </c>
      <c r="O43">
        <f t="shared" si="4"/>
        <v>1</v>
      </c>
      <c r="P43">
        <f t="shared" si="5"/>
        <v>0</v>
      </c>
      <c r="Q43">
        <f t="shared" si="6"/>
        <v>0</v>
      </c>
      <c r="R43" s="1" t="str">
        <f t="shared" si="7"/>
        <v>过热</v>
      </c>
      <c r="S43">
        <f t="shared" si="8"/>
        <v>0</v>
      </c>
      <c r="T43">
        <f t="shared" si="9"/>
        <v>1</v>
      </c>
      <c r="U43">
        <f t="shared" si="10"/>
        <v>0</v>
      </c>
      <c r="V43">
        <f t="shared" si="11"/>
        <v>0</v>
      </c>
      <c r="W43" s="1" t="str">
        <f t="shared" si="12"/>
        <v>过热</v>
      </c>
      <c r="X43">
        <f t="shared" si="13"/>
        <v>0</v>
      </c>
      <c r="Y43">
        <f t="shared" si="14"/>
        <v>1</v>
      </c>
      <c r="Z43">
        <f t="shared" si="15"/>
        <v>0</v>
      </c>
      <c r="AA43">
        <f t="shared" si="16"/>
        <v>0</v>
      </c>
      <c r="AB43" s="1" t="str">
        <f t="shared" si="17"/>
        <v>过热</v>
      </c>
      <c r="AE43" s="19">
        <v>39355</v>
      </c>
      <c r="AF43" s="25">
        <v>14.3</v>
      </c>
      <c r="AG43" s="25">
        <v>8.4928000000000008</v>
      </c>
      <c r="AH43">
        <v>0</v>
      </c>
      <c r="AI43">
        <f t="shared" si="18"/>
        <v>1</v>
      </c>
      <c r="AJ43">
        <v>1</v>
      </c>
      <c r="AK43">
        <f t="shared" si="19"/>
        <v>0</v>
      </c>
      <c r="AL43">
        <f t="shared" si="20"/>
        <v>0</v>
      </c>
      <c r="AM43">
        <f t="shared" si="21"/>
        <v>0</v>
      </c>
      <c r="AN43">
        <f t="shared" si="22"/>
        <v>1</v>
      </c>
      <c r="AO43">
        <f t="shared" si="23"/>
        <v>0</v>
      </c>
      <c r="AP43" s="1" t="str">
        <f t="shared" si="24"/>
        <v>滞涨</v>
      </c>
    </row>
    <row r="44" spans="1:42" x14ac:dyDescent="0.35">
      <c r="A44" s="19">
        <v>38077</v>
      </c>
      <c r="B44" s="17">
        <v>19.399999999999999</v>
      </c>
      <c r="C44" s="17">
        <v>3</v>
      </c>
      <c r="D44" s="17">
        <v>4</v>
      </c>
      <c r="E44" s="17">
        <f t="shared" si="0"/>
        <v>3.4</v>
      </c>
      <c r="F44">
        <v>1</v>
      </c>
      <c r="G44">
        <f t="shared" ref="G44:K44" si="47">IF(F44=1,0,1)</f>
        <v>0</v>
      </c>
      <c r="H44">
        <v>1</v>
      </c>
      <c r="I44">
        <f t="shared" si="47"/>
        <v>0</v>
      </c>
      <c r="J44">
        <v>1</v>
      </c>
      <c r="K44">
        <f t="shared" si="47"/>
        <v>0</v>
      </c>
      <c r="L44">
        <v>1</v>
      </c>
      <c r="M44">
        <f t="shared" si="2"/>
        <v>0</v>
      </c>
      <c r="N44">
        <f t="shared" si="3"/>
        <v>0</v>
      </c>
      <c r="O44">
        <f t="shared" si="4"/>
        <v>1</v>
      </c>
      <c r="P44">
        <f t="shared" si="5"/>
        <v>0</v>
      </c>
      <c r="Q44">
        <f t="shared" si="6"/>
        <v>0</v>
      </c>
      <c r="R44" s="1" t="str">
        <f t="shared" si="7"/>
        <v>过热</v>
      </c>
      <c r="S44">
        <f t="shared" si="8"/>
        <v>0</v>
      </c>
      <c r="T44">
        <f t="shared" si="9"/>
        <v>1</v>
      </c>
      <c r="U44">
        <f t="shared" si="10"/>
        <v>0</v>
      </c>
      <c r="V44">
        <f t="shared" si="11"/>
        <v>0</v>
      </c>
      <c r="W44" s="1" t="str">
        <f t="shared" si="12"/>
        <v>过热</v>
      </c>
      <c r="X44">
        <f t="shared" si="13"/>
        <v>0</v>
      </c>
      <c r="Y44">
        <f t="shared" si="14"/>
        <v>1</v>
      </c>
      <c r="Z44">
        <f t="shared" si="15"/>
        <v>0</v>
      </c>
      <c r="AA44">
        <f t="shared" si="16"/>
        <v>0</v>
      </c>
      <c r="AB44" s="1" t="str">
        <f t="shared" si="17"/>
        <v>过热</v>
      </c>
      <c r="AE44" s="19">
        <v>39447</v>
      </c>
      <c r="AF44" s="25">
        <v>13.9</v>
      </c>
      <c r="AG44" s="25">
        <v>8.6336999999999993</v>
      </c>
      <c r="AH44">
        <v>0</v>
      </c>
      <c r="AI44">
        <f t="shared" si="18"/>
        <v>1</v>
      </c>
      <c r="AJ44">
        <v>1</v>
      </c>
      <c r="AK44">
        <f t="shared" si="19"/>
        <v>0</v>
      </c>
      <c r="AL44">
        <f t="shared" si="20"/>
        <v>0</v>
      </c>
      <c r="AM44">
        <f t="shared" si="21"/>
        <v>0</v>
      </c>
      <c r="AN44">
        <f t="shared" si="22"/>
        <v>1</v>
      </c>
      <c r="AO44">
        <f t="shared" si="23"/>
        <v>0</v>
      </c>
      <c r="AP44" s="1" t="str">
        <f t="shared" si="24"/>
        <v>滞涨</v>
      </c>
    </row>
    <row r="45" spans="1:42" x14ac:dyDescent="0.35">
      <c r="A45" s="19">
        <v>38107</v>
      </c>
      <c r="B45" s="17">
        <v>19.100000000000001</v>
      </c>
      <c r="C45" s="17">
        <v>3.8</v>
      </c>
      <c r="D45" s="17">
        <v>5</v>
      </c>
      <c r="E45" s="17">
        <f t="shared" si="0"/>
        <v>4.2799999999999994</v>
      </c>
      <c r="F45">
        <v>0</v>
      </c>
      <c r="G45">
        <f t="shared" ref="G45:K45" si="48">IF(F45=1,0,1)</f>
        <v>1</v>
      </c>
      <c r="H45">
        <v>1</v>
      </c>
      <c r="I45">
        <f t="shared" si="48"/>
        <v>0</v>
      </c>
      <c r="J45">
        <v>1</v>
      </c>
      <c r="K45">
        <f t="shared" si="48"/>
        <v>0</v>
      </c>
      <c r="L45">
        <v>1</v>
      </c>
      <c r="M45">
        <f t="shared" si="2"/>
        <v>0</v>
      </c>
      <c r="N45">
        <f t="shared" si="3"/>
        <v>0</v>
      </c>
      <c r="O45">
        <f t="shared" si="4"/>
        <v>0</v>
      </c>
      <c r="P45">
        <f t="shared" si="5"/>
        <v>1</v>
      </c>
      <c r="Q45">
        <f t="shared" si="6"/>
        <v>0</v>
      </c>
      <c r="R45" s="1" t="str">
        <f t="shared" si="7"/>
        <v>滞涨</v>
      </c>
      <c r="S45">
        <f t="shared" si="8"/>
        <v>0</v>
      </c>
      <c r="T45">
        <f t="shared" si="9"/>
        <v>0</v>
      </c>
      <c r="U45">
        <f t="shared" si="10"/>
        <v>1</v>
      </c>
      <c r="V45">
        <f t="shared" si="11"/>
        <v>0</v>
      </c>
      <c r="W45" s="1" t="str">
        <f t="shared" si="12"/>
        <v>滞涨</v>
      </c>
      <c r="X45">
        <f t="shared" si="13"/>
        <v>0</v>
      </c>
      <c r="Y45">
        <f t="shared" si="14"/>
        <v>0</v>
      </c>
      <c r="Z45">
        <f t="shared" si="15"/>
        <v>1</v>
      </c>
      <c r="AA45">
        <f t="shared" si="16"/>
        <v>0</v>
      </c>
      <c r="AB45" s="1" t="str">
        <f t="shared" si="17"/>
        <v>滞涨</v>
      </c>
      <c r="AE45" s="19">
        <v>39538</v>
      </c>
      <c r="AF45" s="25">
        <v>11.5</v>
      </c>
      <c r="AG45" s="25">
        <v>8.875</v>
      </c>
      <c r="AH45">
        <v>0</v>
      </c>
      <c r="AI45">
        <f t="shared" si="18"/>
        <v>1</v>
      </c>
      <c r="AJ45">
        <v>1</v>
      </c>
      <c r="AK45">
        <f t="shared" si="19"/>
        <v>0</v>
      </c>
      <c r="AL45">
        <f t="shared" si="20"/>
        <v>0</v>
      </c>
      <c r="AM45">
        <f t="shared" si="21"/>
        <v>0</v>
      </c>
      <c r="AN45">
        <f t="shared" si="22"/>
        <v>1</v>
      </c>
      <c r="AO45">
        <f t="shared" si="23"/>
        <v>0</v>
      </c>
      <c r="AP45" s="1" t="str">
        <f t="shared" si="24"/>
        <v>滞涨</v>
      </c>
    </row>
    <row r="46" spans="1:42" x14ac:dyDescent="0.35">
      <c r="A46" s="19">
        <v>38138</v>
      </c>
      <c r="B46" s="17">
        <v>17.5</v>
      </c>
      <c r="C46" s="17">
        <v>4.4000000000000004</v>
      </c>
      <c r="D46" s="17">
        <v>5.7</v>
      </c>
      <c r="E46" s="17">
        <f t="shared" si="0"/>
        <v>4.92</v>
      </c>
      <c r="F46">
        <v>0</v>
      </c>
      <c r="G46">
        <f t="shared" ref="G46:K46" si="49">IF(F46=1,0,1)</f>
        <v>1</v>
      </c>
      <c r="H46">
        <v>1</v>
      </c>
      <c r="I46">
        <f t="shared" si="49"/>
        <v>0</v>
      </c>
      <c r="J46">
        <v>1</v>
      </c>
      <c r="K46">
        <f t="shared" si="49"/>
        <v>0</v>
      </c>
      <c r="L46">
        <v>1</v>
      </c>
      <c r="M46">
        <f t="shared" si="2"/>
        <v>0</v>
      </c>
      <c r="N46">
        <f t="shared" si="3"/>
        <v>0</v>
      </c>
      <c r="O46">
        <f t="shared" si="4"/>
        <v>0</v>
      </c>
      <c r="P46">
        <f t="shared" si="5"/>
        <v>1</v>
      </c>
      <c r="Q46">
        <f t="shared" si="6"/>
        <v>0</v>
      </c>
      <c r="R46" s="1" t="str">
        <f t="shared" si="7"/>
        <v>滞涨</v>
      </c>
      <c r="S46">
        <f t="shared" si="8"/>
        <v>0</v>
      </c>
      <c r="T46">
        <f t="shared" si="9"/>
        <v>0</v>
      </c>
      <c r="U46">
        <f t="shared" si="10"/>
        <v>1</v>
      </c>
      <c r="V46">
        <f t="shared" si="11"/>
        <v>0</v>
      </c>
      <c r="W46" s="1" t="str">
        <f t="shared" si="12"/>
        <v>滞涨</v>
      </c>
      <c r="X46">
        <f t="shared" si="13"/>
        <v>0</v>
      </c>
      <c r="Y46">
        <f t="shared" si="14"/>
        <v>0</v>
      </c>
      <c r="Z46">
        <f t="shared" si="15"/>
        <v>1</v>
      </c>
      <c r="AA46">
        <f t="shared" si="16"/>
        <v>0</v>
      </c>
      <c r="AB46" s="1" t="str">
        <f t="shared" si="17"/>
        <v>滞涨</v>
      </c>
      <c r="AE46" s="19">
        <v>39629</v>
      </c>
      <c r="AF46" s="25">
        <v>10.9</v>
      </c>
      <c r="AG46" s="25">
        <v>9.5934000000000008</v>
      </c>
      <c r="AH46">
        <v>0</v>
      </c>
      <c r="AI46">
        <f t="shared" si="18"/>
        <v>1</v>
      </c>
      <c r="AJ46">
        <v>1</v>
      </c>
      <c r="AK46">
        <f t="shared" si="19"/>
        <v>0</v>
      </c>
      <c r="AL46">
        <f t="shared" si="20"/>
        <v>0</v>
      </c>
      <c r="AM46">
        <f t="shared" si="21"/>
        <v>0</v>
      </c>
      <c r="AN46">
        <f t="shared" si="22"/>
        <v>1</v>
      </c>
      <c r="AO46">
        <f t="shared" si="23"/>
        <v>0</v>
      </c>
      <c r="AP46" s="1" t="str">
        <f t="shared" si="24"/>
        <v>滞涨</v>
      </c>
    </row>
    <row r="47" spans="1:42" x14ac:dyDescent="0.35">
      <c r="A47" s="19">
        <v>38168</v>
      </c>
      <c r="B47" s="17">
        <v>16.2</v>
      </c>
      <c r="C47" s="17">
        <v>5</v>
      </c>
      <c r="D47" s="17">
        <v>6.4</v>
      </c>
      <c r="E47" s="17">
        <f t="shared" si="0"/>
        <v>5.5600000000000005</v>
      </c>
      <c r="F47">
        <v>0</v>
      </c>
      <c r="G47">
        <f t="shared" ref="G47:K47" si="50">IF(F47=1,0,1)</f>
        <v>1</v>
      </c>
      <c r="H47">
        <v>1</v>
      </c>
      <c r="I47">
        <f t="shared" si="50"/>
        <v>0</v>
      </c>
      <c r="J47">
        <v>1</v>
      </c>
      <c r="K47">
        <f t="shared" si="50"/>
        <v>0</v>
      </c>
      <c r="L47">
        <v>1</v>
      </c>
      <c r="M47">
        <f t="shared" si="2"/>
        <v>0</v>
      </c>
      <c r="N47">
        <f t="shared" si="3"/>
        <v>0</v>
      </c>
      <c r="O47">
        <f t="shared" si="4"/>
        <v>0</v>
      </c>
      <c r="P47">
        <f t="shared" si="5"/>
        <v>1</v>
      </c>
      <c r="Q47">
        <f t="shared" si="6"/>
        <v>0</v>
      </c>
      <c r="R47" s="1" t="str">
        <f t="shared" si="7"/>
        <v>滞涨</v>
      </c>
      <c r="S47">
        <f t="shared" si="8"/>
        <v>0</v>
      </c>
      <c r="T47">
        <f t="shared" si="9"/>
        <v>0</v>
      </c>
      <c r="U47">
        <f t="shared" si="10"/>
        <v>1</v>
      </c>
      <c r="V47">
        <f t="shared" si="11"/>
        <v>0</v>
      </c>
      <c r="W47" s="1" t="str">
        <f t="shared" si="12"/>
        <v>滞涨</v>
      </c>
      <c r="X47">
        <f t="shared" si="13"/>
        <v>0</v>
      </c>
      <c r="Y47">
        <f t="shared" si="14"/>
        <v>0</v>
      </c>
      <c r="Z47">
        <f t="shared" si="15"/>
        <v>1</v>
      </c>
      <c r="AA47">
        <f t="shared" si="16"/>
        <v>0</v>
      </c>
      <c r="AB47" s="1" t="str">
        <f t="shared" si="17"/>
        <v>滞涨</v>
      </c>
      <c r="AE47" s="19">
        <v>39721</v>
      </c>
      <c r="AF47" s="25">
        <v>9.5</v>
      </c>
      <c r="AG47" s="25">
        <v>8.4236000000000004</v>
      </c>
      <c r="AH47">
        <v>0</v>
      </c>
      <c r="AI47">
        <f t="shared" si="18"/>
        <v>1</v>
      </c>
      <c r="AJ47">
        <v>0</v>
      </c>
      <c r="AK47">
        <f t="shared" si="19"/>
        <v>1</v>
      </c>
      <c r="AL47">
        <f t="shared" si="20"/>
        <v>0</v>
      </c>
      <c r="AM47">
        <f t="shared" si="21"/>
        <v>0</v>
      </c>
      <c r="AN47">
        <f t="shared" si="22"/>
        <v>0</v>
      </c>
      <c r="AO47">
        <f t="shared" si="23"/>
        <v>1</v>
      </c>
      <c r="AP47" s="1" t="str">
        <f t="shared" si="24"/>
        <v>衰退</v>
      </c>
    </row>
    <row r="48" spans="1:42" x14ac:dyDescent="0.35">
      <c r="A48" s="19">
        <v>38199</v>
      </c>
      <c r="B48" s="17">
        <v>15.5</v>
      </c>
      <c r="C48" s="17">
        <v>5.3</v>
      </c>
      <c r="D48" s="17">
        <v>6.4</v>
      </c>
      <c r="E48" s="17">
        <f t="shared" si="0"/>
        <v>5.74</v>
      </c>
      <c r="F48">
        <v>0</v>
      </c>
      <c r="G48">
        <f t="shared" ref="G48:K48" si="51">IF(F48=1,0,1)</f>
        <v>1</v>
      </c>
      <c r="H48">
        <v>1</v>
      </c>
      <c r="I48">
        <f t="shared" si="51"/>
        <v>0</v>
      </c>
      <c r="J48">
        <v>1</v>
      </c>
      <c r="K48">
        <f t="shared" si="51"/>
        <v>0</v>
      </c>
      <c r="L48">
        <v>1</v>
      </c>
      <c r="M48">
        <f t="shared" si="2"/>
        <v>0</v>
      </c>
      <c r="N48">
        <f t="shared" si="3"/>
        <v>0</v>
      </c>
      <c r="O48">
        <f t="shared" si="4"/>
        <v>0</v>
      </c>
      <c r="P48">
        <f t="shared" si="5"/>
        <v>1</v>
      </c>
      <c r="Q48">
        <f t="shared" si="6"/>
        <v>0</v>
      </c>
      <c r="R48" s="1" t="str">
        <f t="shared" si="7"/>
        <v>滞涨</v>
      </c>
      <c r="S48">
        <f t="shared" si="8"/>
        <v>0</v>
      </c>
      <c r="T48">
        <f t="shared" si="9"/>
        <v>0</v>
      </c>
      <c r="U48">
        <f t="shared" si="10"/>
        <v>1</v>
      </c>
      <c r="V48">
        <f t="shared" si="11"/>
        <v>0</v>
      </c>
      <c r="W48" s="1" t="str">
        <f t="shared" si="12"/>
        <v>滞涨</v>
      </c>
      <c r="X48">
        <f t="shared" si="13"/>
        <v>0</v>
      </c>
      <c r="Y48">
        <f t="shared" si="14"/>
        <v>0</v>
      </c>
      <c r="Z48">
        <f t="shared" si="15"/>
        <v>1</v>
      </c>
      <c r="AA48">
        <f t="shared" si="16"/>
        <v>0</v>
      </c>
      <c r="AB48" s="1" t="str">
        <f t="shared" si="17"/>
        <v>滞涨</v>
      </c>
      <c r="AE48" s="19">
        <v>39813</v>
      </c>
      <c r="AF48" s="25">
        <v>7.1</v>
      </c>
      <c r="AG48" s="25">
        <v>5.3179999999999996</v>
      </c>
      <c r="AH48">
        <v>0</v>
      </c>
      <c r="AI48">
        <f t="shared" si="18"/>
        <v>1</v>
      </c>
      <c r="AJ48">
        <v>0</v>
      </c>
      <c r="AK48">
        <f t="shared" si="19"/>
        <v>1</v>
      </c>
      <c r="AL48">
        <f t="shared" si="20"/>
        <v>0</v>
      </c>
      <c r="AM48">
        <f t="shared" si="21"/>
        <v>0</v>
      </c>
      <c r="AN48">
        <f t="shared" si="22"/>
        <v>0</v>
      </c>
      <c r="AO48">
        <f t="shared" si="23"/>
        <v>1</v>
      </c>
      <c r="AP48" s="1" t="str">
        <f t="shared" si="24"/>
        <v>衰退</v>
      </c>
    </row>
    <row r="49" spans="1:42" x14ac:dyDescent="0.35">
      <c r="A49" s="19">
        <v>38230</v>
      </c>
      <c r="B49" s="17">
        <v>15.9</v>
      </c>
      <c r="C49" s="17">
        <v>5.3</v>
      </c>
      <c r="D49" s="17">
        <v>6.8</v>
      </c>
      <c r="E49" s="17">
        <f t="shared" si="0"/>
        <v>5.9</v>
      </c>
      <c r="F49">
        <v>0</v>
      </c>
      <c r="G49">
        <f t="shared" ref="G49:K49" si="52">IF(F49=1,0,1)</f>
        <v>1</v>
      </c>
      <c r="H49">
        <v>0</v>
      </c>
      <c r="I49">
        <f t="shared" si="52"/>
        <v>1</v>
      </c>
      <c r="J49">
        <v>1</v>
      </c>
      <c r="K49">
        <f t="shared" si="52"/>
        <v>0</v>
      </c>
      <c r="L49">
        <v>1</v>
      </c>
      <c r="M49">
        <f t="shared" si="2"/>
        <v>0</v>
      </c>
      <c r="N49">
        <f t="shared" si="3"/>
        <v>0</v>
      </c>
      <c r="O49">
        <f t="shared" si="4"/>
        <v>0</v>
      </c>
      <c r="P49">
        <f t="shared" si="5"/>
        <v>0</v>
      </c>
      <c r="Q49">
        <f t="shared" si="6"/>
        <v>1</v>
      </c>
      <c r="R49" s="1" t="str">
        <f t="shared" si="7"/>
        <v>衰退</v>
      </c>
      <c r="S49">
        <f t="shared" si="8"/>
        <v>0</v>
      </c>
      <c r="T49">
        <f t="shared" si="9"/>
        <v>0</v>
      </c>
      <c r="U49">
        <f t="shared" si="10"/>
        <v>1</v>
      </c>
      <c r="V49">
        <f t="shared" si="11"/>
        <v>0</v>
      </c>
      <c r="W49" s="1" t="str">
        <f t="shared" si="12"/>
        <v>滞涨</v>
      </c>
      <c r="X49">
        <f t="shared" si="13"/>
        <v>0</v>
      </c>
      <c r="Y49">
        <f t="shared" si="14"/>
        <v>0</v>
      </c>
      <c r="Z49">
        <f t="shared" si="15"/>
        <v>1</v>
      </c>
      <c r="AA49">
        <f t="shared" si="16"/>
        <v>0</v>
      </c>
      <c r="AB49" s="1" t="str">
        <f t="shared" si="17"/>
        <v>滞涨</v>
      </c>
      <c r="AE49" s="19">
        <v>39903</v>
      </c>
      <c r="AF49" s="25">
        <v>6.4</v>
      </c>
      <c r="AG49" s="25">
        <v>0.27139999999999997</v>
      </c>
      <c r="AH49">
        <v>0</v>
      </c>
      <c r="AI49">
        <f t="shared" si="18"/>
        <v>1</v>
      </c>
      <c r="AJ49">
        <v>0</v>
      </c>
      <c r="AK49">
        <f t="shared" si="19"/>
        <v>1</v>
      </c>
      <c r="AL49">
        <f t="shared" si="20"/>
        <v>0</v>
      </c>
      <c r="AM49">
        <f t="shared" si="21"/>
        <v>0</v>
      </c>
      <c r="AN49">
        <f t="shared" si="22"/>
        <v>0</v>
      </c>
      <c r="AO49">
        <f t="shared" si="23"/>
        <v>1</v>
      </c>
      <c r="AP49" s="1" t="str">
        <f t="shared" si="24"/>
        <v>衰退</v>
      </c>
    </row>
    <row r="50" spans="1:42" x14ac:dyDescent="0.35">
      <c r="A50" s="19">
        <v>38260</v>
      </c>
      <c r="B50" s="17">
        <v>16.100000000000001</v>
      </c>
      <c r="C50" s="17">
        <v>5.2</v>
      </c>
      <c r="D50" s="17">
        <v>7.9</v>
      </c>
      <c r="E50" s="17">
        <f t="shared" si="0"/>
        <v>6.28</v>
      </c>
      <c r="F50">
        <v>0</v>
      </c>
      <c r="G50">
        <f t="shared" ref="G50:K50" si="53">IF(F50=1,0,1)</f>
        <v>1</v>
      </c>
      <c r="H50">
        <v>0</v>
      </c>
      <c r="I50">
        <f t="shared" si="53"/>
        <v>1</v>
      </c>
      <c r="J50">
        <v>1</v>
      </c>
      <c r="K50">
        <f t="shared" si="53"/>
        <v>0</v>
      </c>
      <c r="L50">
        <v>1</v>
      </c>
      <c r="M50">
        <f t="shared" si="2"/>
        <v>0</v>
      </c>
      <c r="N50">
        <f t="shared" si="3"/>
        <v>0</v>
      </c>
      <c r="O50">
        <f t="shared" si="4"/>
        <v>0</v>
      </c>
      <c r="P50">
        <f t="shared" si="5"/>
        <v>0</v>
      </c>
      <c r="Q50">
        <f t="shared" si="6"/>
        <v>1</v>
      </c>
      <c r="R50" s="1" t="str">
        <f t="shared" si="7"/>
        <v>衰退</v>
      </c>
      <c r="S50">
        <f t="shared" si="8"/>
        <v>0</v>
      </c>
      <c r="T50">
        <f t="shared" si="9"/>
        <v>0</v>
      </c>
      <c r="U50">
        <f t="shared" si="10"/>
        <v>1</v>
      </c>
      <c r="V50">
        <f t="shared" si="11"/>
        <v>0</v>
      </c>
      <c r="W50" s="1" t="str">
        <f t="shared" si="12"/>
        <v>滞涨</v>
      </c>
      <c r="X50">
        <f t="shared" si="13"/>
        <v>0</v>
      </c>
      <c r="Y50">
        <f t="shared" si="14"/>
        <v>0</v>
      </c>
      <c r="Z50">
        <f t="shared" si="15"/>
        <v>1</v>
      </c>
      <c r="AA50">
        <f t="shared" si="16"/>
        <v>0</v>
      </c>
      <c r="AB50" s="1" t="str">
        <f t="shared" si="17"/>
        <v>滞涨</v>
      </c>
      <c r="AE50" s="19">
        <v>39994</v>
      </c>
      <c r="AF50" s="25">
        <v>8.1999999999999993</v>
      </c>
      <c r="AG50" s="25">
        <v>-1.4628000000000001</v>
      </c>
      <c r="AH50">
        <v>1</v>
      </c>
      <c r="AI50">
        <f t="shared" si="18"/>
        <v>0</v>
      </c>
      <c r="AJ50">
        <v>0</v>
      </c>
      <c r="AK50">
        <f t="shared" si="19"/>
        <v>1</v>
      </c>
      <c r="AL50">
        <f t="shared" si="20"/>
        <v>1</v>
      </c>
      <c r="AM50">
        <f t="shared" si="21"/>
        <v>0</v>
      </c>
      <c r="AN50">
        <f t="shared" si="22"/>
        <v>0</v>
      </c>
      <c r="AO50">
        <f t="shared" si="23"/>
        <v>0</v>
      </c>
      <c r="AP50" s="1" t="str">
        <f t="shared" si="24"/>
        <v>复苏</v>
      </c>
    </row>
    <row r="51" spans="1:42" x14ac:dyDescent="0.35">
      <c r="A51" s="19">
        <v>38291</v>
      </c>
      <c r="B51" s="17">
        <v>15.7</v>
      </c>
      <c r="C51" s="17">
        <v>4.3</v>
      </c>
      <c r="D51" s="17">
        <v>8.4</v>
      </c>
      <c r="E51" s="17">
        <f t="shared" si="0"/>
        <v>5.9399999999999995</v>
      </c>
      <c r="F51">
        <v>0</v>
      </c>
      <c r="G51">
        <f t="shared" ref="G51:K51" si="54">IF(F51=1,0,1)</f>
        <v>1</v>
      </c>
      <c r="H51">
        <v>0</v>
      </c>
      <c r="I51">
        <f t="shared" si="54"/>
        <v>1</v>
      </c>
      <c r="J51">
        <v>1</v>
      </c>
      <c r="K51">
        <f t="shared" si="54"/>
        <v>0</v>
      </c>
      <c r="L51">
        <v>0</v>
      </c>
      <c r="M51">
        <f t="shared" si="2"/>
        <v>1</v>
      </c>
      <c r="N51">
        <f t="shared" si="3"/>
        <v>0</v>
      </c>
      <c r="O51">
        <f t="shared" si="4"/>
        <v>0</v>
      </c>
      <c r="P51">
        <f t="shared" si="5"/>
        <v>0</v>
      </c>
      <c r="Q51">
        <f t="shared" si="6"/>
        <v>1</v>
      </c>
      <c r="R51" s="1" t="str">
        <f t="shared" si="7"/>
        <v>衰退</v>
      </c>
      <c r="S51">
        <f t="shared" si="8"/>
        <v>0</v>
      </c>
      <c r="T51">
        <f t="shared" si="9"/>
        <v>0</v>
      </c>
      <c r="U51">
        <f t="shared" si="10"/>
        <v>1</v>
      </c>
      <c r="V51">
        <f t="shared" si="11"/>
        <v>0</v>
      </c>
      <c r="W51" s="1" t="str">
        <f t="shared" si="12"/>
        <v>滞涨</v>
      </c>
      <c r="X51">
        <f t="shared" si="13"/>
        <v>0</v>
      </c>
      <c r="Y51">
        <f t="shared" si="14"/>
        <v>0</v>
      </c>
      <c r="Z51">
        <f t="shared" si="15"/>
        <v>0</v>
      </c>
      <c r="AA51">
        <f t="shared" si="16"/>
        <v>1</v>
      </c>
      <c r="AB51" s="1" t="str">
        <f t="shared" si="17"/>
        <v>衰退</v>
      </c>
      <c r="AE51" s="19">
        <v>40086</v>
      </c>
      <c r="AF51" s="25">
        <v>10.6</v>
      </c>
      <c r="AG51" s="25">
        <v>-1.3991</v>
      </c>
      <c r="AH51">
        <v>1</v>
      </c>
      <c r="AI51">
        <f t="shared" si="18"/>
        <v>0</v>
      </c>
      <c r="AJ51">
        <v>1</v>
      </c>
      <c r="AK51">
        <f t="shared" si="19"/>
        <v>0</v>
      </c>
      <c r="AL51">
        <f t="shared" si="20"/>
        <v>0</v>
      </c>
      <c r="AM51">
        <f t="shared" si="21"/>
        <v>1</v>
      </c>
      <c r="AN51">
        <f t="shared" si="22"/>
        <v>0</v>
      </c>
      <c r="AO51">
        <f t="shared" si="23"/>
        <v>0</v>
      </c>
      <c r="AP51" s="1" t="str">
        <f t="shared" si="24"/>
        <v>过热</v>
      </c>
    </row>
    <row r="52" spans="1:42" x14ac:dyDescent="0.35">
      <c r="A52" s="19">
        <v>38321</v>
      </c>
      <c r="B52" s="17">
        <v>14.8</v>
      </c>
      <c r="C52" s="17">
        <v>2.8</v>
      </c>
      <c r="D52" s="17">
        <v>8.1</v>
      </c>
      <c r="E52" s="17">
        <f t="shared" si="0"/>
        <v>4.92</v>
      </c>
      <c r="F52">
        <v>0</v>
      </c>
      <c r="G52">
        <f t="shared" ref="G52:K52" si="55">IF(F52=1,0,1)</f>
        <v>1</v>
      </c>
      <c r="H52">
        <v>0</v>
      </c>
      <c r="I52">
        <f t="shared" si="55"/>
        <v>1</v>
      </c>
      <c r="J52">
        <v>0</v>
      </c>
      <c r="K52">
        <f t="shared" si="55"/>
        <v>1</v>
      </c>
      <c r="L52">
        <v>0</v>
      </c>
      <c r="M52">
        <f t="shared" si="2"/>
        <v>1</v>
      </c>
      <c r="N52">
        <f t="shared" si="3"/>
        <v>0</v>
      </c>
      <c r="O52">
        <f t="shared" si="4"/>
        <v>0</v>
      </c>
      <c r="P52">
        <f t="shared" si="5"/>
        <v>0</v>
      </c>
      <c r="Q52">
        <f t="shared" si="6"/>
        <v>1</v>
      </c>
      <c r="R52" s="1" t="str">
        <f t="shared" si="7"/>
        <v>衰退</v>
      </c>
      <c r="S52">
        <f t="shared" si="8"/>
        <v>0</v>
      </c>
      <c r="T52">
        <f t="shared" si="9"/>
        <v>0</v>
      </c>
      <c r="U52">
        <f t="shared" si="10"/>
        <v>0</v>
      </c>
      <c r="V52">
        <f t="shared" si="11"/>
        <v>1</v>
      </c>
      <c r="W52" s="1" t="str">
        <f t="shared" si="12"/>
        <v>衰退</v>
      </c>
      <c r="X52">
        <f t="shared" si="13"/>
        <v>0</v>
      </c>
      <c r="Y52">
        <f t="shared" si="14"/>
        <v>0</v>
      </c>
      <c r="Z52">
        <f t="shared" si="15"/>
        <v>0</v>
      </c>
      <c r="AA52">
        <f t="shared" si="16"/>
        <v>1</v>
      </c>
      <c r="AB52" s="1" t="str">
        <f t="shared" si="17"/>
        <v>衰退</v>
      </c>
      <c r="AE52" s="19">
        <v>40178</v>
      </c>
      <c r="AF52" s="25">
        <v>11.9</v>
      </c>
      <c r="AG52" s="25">
        <v>1.6827000000000001</v>
      </c>
      <c r="AH52">
        <v>1</v>
      </c>
      <c r="AI52">
        <f t="shared" si="18"/>
        <v>0</v>
      </c>
      <c r="AJ52">
        <v>1</v>
      </c>
      <c r="AK52">
        <f t="shared" si="19"/>
        <v>0</v>
      </c>
      <c r="AL52">
        <f t="shared" si="20"/>
        <v>0</v>
      </c>
      <c r="AM52">
        <f t="shared" si="21"/>
        <v>1</v>
      </c>
      <c r="AN52">
        <f t="shared" si="22"/>
        <v>0</v>
      </c>
      <c r="AO52">
        <f t="shared" si="23"/>
        <v>0</v>
      </c>
      <c r="AP52" s="1" t="str">
        <f t="shared" si="24"/>
        <v>过热</v>
      </c>
    </row>
    <row r="53" spans="1:42" x14ac:dyDescent="0.35">
      <c r="A53" s="19">
        <v>38352</v>
      </c>
      <c r="B53" s="17">
        <v>14.4</v>
      </c>
      <c r="C53" s="17">
        <v>2.4</v>
      </c>
      <c r="D53" s="17">
        <v>7.1</v>
      </c>
      <c r="E53" s="17">
        <f t="shared" si="0"/>
        <v>4.2799999999999994</v>
      </c>
      <c r="F53">
        <v>0</v>
      </c>
      <c r="G53">
        <f t="shared" ref="G53:K53" si="56">IF(F53=1,0,1)</f>
        <v>1</v>
      </c>
      <c r="H53">
        <v>0</v>
      </c>
      <c r="I53">
        <f t="shared" si="56"/>
        <v>1</v>
      </c>
      <c r="J53">
        <v>0</v>
      </c>
      <c r="K53">
        <f t="shared" si="56"/>
        <v>1</v>
      </c>
      <c r="L53">
        <v>0</v>
      </c>
      <c r="M53">
        <f t="shared" si="2"/>
        <v>1</v>
      </c>
      <c r="N53">
        <f t="shared" si="3"/>
        <v>0</v>
      </c>
      <c r="O53">
        <f t="shared" si="4"/>
        <v>0</v>
      </c>
      <c r="P53">
        <f t="shared" si="5"/>
        <v>0</v>
      </c>
      <c r="Q53">
        <f t="shared" si="6"/>
        <v>1</v>
      </c>
      <c r="R53" s="1" t="str">
        <f t="shared" si="7"/>
        <v>衰退</v>
      </c>
      <c r="S53">
        <f t="shared" si="8"/>
        <v>0</v>
      </c>
      <c r="T53">
        <f t="shared" si="9"/>
        <v>0</v>
      </c>
      <c r="U53">
        <f t="shared" si="10"/>
        <v>0</v>
      </c>
      <c r="V53">
        <f t="shared" si="11"/>
        <v>1</v>
      </c>
      <c r="W53" s="1" t="str">
        <f t="shared" si="12"/>
        <v>衰退</v>
      </c>
      <c r="X53">
        <f t="shared" si="13"/>
        <v>0</v>
      </c>
      <c r="Y53">
        <f t="shared" si="14"/>
        <v>0</v>
      </c>
      <c r="Z53">
        <f t="shared" si="15"/>
        <v>0</v>
      </c>
      <c r="AA53">
        <f t="shared" si="16"/>
        <v>1</v>
      </c>
      <c r="AB53" s="1" t="str">
        <f t="shared" si="17"/>
        <v>衰退</v>
      </c>
      <c r="AE53" s="19">
        <v>40268</v>
      </c>
      <c r="AF53" s="25">
        <v>12.2</v>
      </c>
      <c r="AG53" s="25">
        <v>5.4509999999999996</v>
      </c>
      <c r="AH53">
        <v>1</v>
      </c>
      <c r="AI53">
        <f t="shared" si="18"/>
        <v>0</v>
      </c>
      <c r="AJ53">
        <v>1</v>
      </c>
      <c r="AK53">
        <f t="shared" si="19"/>
        <v>0</v>
      </c>
      <c r="AL53">
        <f t="shared" si="20"/>
        <v>0</v>
      </c>
      <c r="AM53">
        <f t="shared" si="21"/>
        <v>1</v>
      </c>
      <c r="AN53">
        <f t="shared" si="22"/>
        <v>0</v>
      </c>
      <c r="AO53">
        <f t="shared" si="23"/>
        <v>0</v>
      </c>
      <c r="AP53" s="1" t="str">
        <f t="shared" si="24"/>
        <v>过热</v>
      </c>
    </row>
    <row r="54" spans="1:42" x14ac:dyDescent="0.35">
      <c r="A54" s="19">
        <v>38411</v>
      </c>
      <c r="B54" s="17">
        <v>16.899999999999999</v>
      </c>
      <c r="C54" s="17">
        <v>2.9</v>
      </c>
      <c r="D54" s="17">
        <v>5.6</v>
      </c>
      <c r="E54" s="17">
        <f t="shared" si="0"/>
        <v>3.9799999999999995</v>
      </c>
      <c r="F54">
        <v>1</v>
      </c>
      <c r="G54">
        <f t="shared" ref="G54:K54" si="57">IF(F54=1,0,1)</f>
        <v>0</v>
      </c>
      <c r="H54">
        <v>0</v>
      </c>
      <c r="I54">
        <f t="shared" si="57"/>
        <v>1</v>
      </c>
      <c r="J54">
        <v>0</v>
      </c>
      <c r="K54">
        <f t="shared" si="57"/>
        <v>1</v>
      </c>
      <c r="L54">
        <v>0</v>
      </c>
      <c r="M54">
        <f t="shared" si="2"/>
        <v>1</v>
      </c>
      <c r="N54">
        <f t="shared" si="3"/>
        <v>1</v>
      </c>
      <c r="O54">
        <f t="shared" si="4"/>
        <v>0</v>
      </c>
      <c r="P54">
        <f t="shared" si="5"/>
        <v>0</v>
      </c>
      <c r="Q54">
        <f t="shared" si="6"/>
        <v>0</v>
      </c>
      <c r="R54" s="1" t="str">
        <f t="shared" si="7"/>
        <v>复苏</v>
      </c>
      <c r="S54">
        <f t="shared" si="8"/>
        <v>1</v>
      </c>
      <c r="T54">
        <f t="shared" si="9"/>
        <v>0</v>
      </c>
      <c r="U54">
        <f t="shared" si="10"/>
        <v>0</v>
      </c>
      <c r="V54">
        <f t="shared" si="11"/>
        <v>0</v>
      </c>
      <c r="W54" s="1" t="str">
        <f t="shared" si="12"/>
        <v>复苏</v>
      </c>
      <c r="X54">
        <f t="shared" si="13"/>
        <v>1</v>
      </c>
      <c r="Y54">
        <f t="shared" si="14"/>
        <v>0</v>
      </c>
      <c r="Z54">
        <f t="shared" si="15"/>
        <v>0</v>
      </c>
      <c r="AA54">
        <f t="shared" si="16"/>
        <v>0</v>
      </c>
      <c r="AB54" s="1" t="str">
        <f t="shared" si="17"/>
        <v>复苏</v>
      </c>
      <c r="AE54" s="19">
        <v>40359</v>
      </c>
      <c r="AF54" s="25">
        <v>10.8</v>
      </c>
      <c r="AG54" s="25">
        <v>6.9650999999999996</v>
      </c>
      <c r="AH54">
        <v>0</v>
      </c>
      <c r="AI54">
        <f t="shared" si="18"/>
        <v>1</v>
      </c>
      <c r="AJ54">
        <v>1</v>
      </c>
      <c r="AK54">
        <f t="shared" si="19"/>
        <v>0</v>
      </c>
      <c r="AL54">
        <f t="shared" si="20"/>
        <v>0</v>
      </c>
      <c r="AM54">
        <f t="shared" si="21"/>
        <v>0</v>
      </c>
      <c r="AN54">
        <f t="shared" si="22"/>
        <v>1</v>
      </c>
      <c r="AO54">
        <f t="shared" si="23"/>
        <v>0</v>
      </c>
      <c r="AP54" s="1" t="str">
        <f t="shared" si="24"/>
        <v>滞涨</v>
      </c>
    </row>
    <row r="55" spans="1:42" x14ac:dyDescent="0.35">
      <c r="A55" s="19">
        <v>38442</v>
      </c>
      <c r="B55" s="17">
        <v>15.1</v>
      </c>
      <c r="C55" s="17">
        <v>2.7</v>
      </c>
      <c r="D55" s="17">
        <v>5.6</v>
      </c>
      <c r="E55" s="17">
        <f t="shared" si="0"/>
        <v>3.86</v>
      </c>
      <c r="F55">
        <v>1</v>
      </c>
      <c r="G55">
        <f t="shared" ref="G55:K55" si="58">IF(F55=1,0,1)</f>
        <v>0</v>
      </c>
      <c r="H55">
        <v>0</v>
      </c>
      <c r="I55">
        <f t="shared" si="58"/>
        <v>1</v>
      </c>
      <c r="J55">
        <v>1</v>
      </c>
      <c r="K55">
        <f t="shared" si="58"/>
        <v>0</v>
      </c>
      <c r="L55">
        <v>0</v>
      </c>
      <c r="M55">
        <f t="shared" si="2"/>
        <v>1</v>
      </c>
      <c r="N55">
        <f t="shared" si="3"/>
        <v>1</v>
      </c>
      <c r="O55">
        <f t="shared" si="4"/>
        <v>0</v>
      </c>
      <c r="P55">
        <f t="shared" si="5"/>
        <v>0</v>
      </c>
      <c r="Q55">
        <f t="shared" si="6"/>
        <v>0</v>
      </c>
      <c r="R55" s="1" t="str">
        <f t="shared" si="7"/>
        <v>复苏</v>
      </c>
      <c r="S55">
        <f t="shared" si="8"/>
        <v>0</v>
      </c>
      <c r="T55">
        <f t="shared" si="9"/>
        <v>1</v>
      </c>
      <c r="U55">
        <f t="shared" si="10"/>
        <v>0</v>
      </c>
      <c r="V55">
        <f t="shared" si="11"/>
        <v>0</v>
      </c>
      <c r="W55" s="1" t="str">
        <f t="shared" si="12"/>
        <v>过热</v>
      </c>
      <c r="X55">
        <f t="shared" si="13"/>
        <v>1</v>
      </c>
      <c r="Y55">
        <f t="shared" si="14"/>
        <v>0</v>
      </c>
      <c r="Z55">
        <f t="shared" si="15"/>
        <v>0</v>
      </c>
      <c r="AA55">
        <f t="shared" si="16"/>
        <v>0</v>
      </c>
      <c r="AB55" s="1" t="str">
        <f t="shared" si="17"/>
        <v>复苏</v>
      </c>
      <c r="AE55" s="19">
        <v>40451</v>
      </c>
      <c r="AF55" s="25">
        <v>9.9</v>
      </c>
      <c r="AG55" s="25">
        <v>7.3925999999999998</v>
      </c>
      <c r="AH55">
        <v>0</v>
      </c>
      <c r="AI55">
        <f t="shared" si="18"/>
        <v>1</v>
      </c>
      <c r="AJ55">
        <v>1</v>
      </c>
      <c r="AK55">
        <f t="shared" si="19"/>
        <v>0</v>
      </c>
      <c r="AL55">
        <f t="shared" si="20"/>
        <v>0</v>
      </c>
      <c r="AM55">
        <f t="shared" si="21"/>
        <v>0</v>
      </c>
      <c r="AN55">
        <f t="shared" si="22"/>
        <v>1</v>
      </c>
      <c r="AO55">
        <f t="shared" si="23"/>
        <v>0</v>
      </c>
      <c r="AP55" s="1" t="str">
        <f t="shared" si="24"/>
        <v>滞涨</v>
      </c>
    </row>
    <row r="56" spans="1:42" x14ac:dyDescent="0.35">
      <c r="A56" s="19">
        <v>38472</v>
      </c>
      <c r="B56" s="17">
        <v>16</v>
      </c>
      <c r="C56" s="17">
        <v>1.8</v>
      </c>
      <c r="D56" s="17">
        <v>5.78</v>
      </c>
      <c r="E56" s="17">
        <f t="shared" si="0"/>
        <v>3.3920000000000003</v>
      </c>
      <c r="F56">
        <v>1</v>
      </c>
      <c r="G56">
        <f t="shared" ref="G56:K56" si="59">IF(F56=1,0,1)</f>
        <v>0</v>
      </c>
      <c r="H56">
        <v>0</v>
      </c>
      <c r="I56">
        <f t="shared" si="59"/>
        <v>1</v>
      </c>
      <c r="J56">
        <v>1</v>
      </c>
      <c r="K56">
        <f t="shared" si="59"/>
        <v>0</v>
      </c>
      <c r="L56">
        <v>0</v>
      </c>
      <c r="M56">
        <f t="shared" si="2"/>
        <v>1</v>
      </c>
      <c r="N56">
        <f t="shared" si="3"/>
        <v>1</v>
      </c>
      <c r="O56">
        <f t="shared" si="4"/>
        <v>0</v>
      </c>
      <c r="P56">
        <f t="shared" si="5"/>
        <v>0</v>
      </c>
      <c r="Q56">
        <f t="shared" si="6"/>
        <v>0</v>
      </c>
      <c r="R56" s="1" t="str">
        <f t="shared" si="7"/>
        <v>复苏</v>
      </c>
      <c r="S56">
        <f t="shared" si="8"/>
        <v>0</v>
      </c>
      <c r="T56">
        <f t="shared" si="9"/>
        <v>1</v>
      </c>
      <c r="U56">
        <f t="shared" si="10"/>
        <v>0</v>
      </c>
      <c r="V56">
        <f t="shared" si="11"/>
        <v>0</v>
      </c>
      <c r="W56" s="1" t="str">
        <f t="shared" si="12"/>
        <v>过热</v>
      </c>
      <c r="X56">
        <f t="shared" si="13"/>
        <v>1</v>
      </c>
      <c r="Y56">
        <f t="shared" si="14"/>
        <v>0</v>
      </c>
      <c r="Z56">
        <f t="shared" si="15"/>
        <v>0</v>
      </c>
      <c r="AA56">
        <f t="shared" si="16"/>
        <v>0</v>
      </c>
      <c r="AB56" s="1" t="str">
        <f t="shared" si="17"/>
        <v>复苏</v>
      </c>
      <c r="AE56" s="19">
        <v>40543</v>
      </c>
      <c r="AF56" s="25">
        <v>9.9</v>
      </c>
      <c r="AG56" s="25">
        <v>7.7519999999999998</v>
      </c>
      <c r="AH56">
        <v>0</v>
      </c>
      <c r="AI56">
        <f t="shared" si="18"/>
        <v>1</v>
      </c>
      <c r="AJ56">
        <v>1</v>
      </c>
      <c r="AK56">
        <f t="shared" si="19"/>
        <v>0</v>
      </c>
      <c r="AL56">
        <f t="shared" si="20"/>
        <v>0</v>
      </c>
      <c r="AM56">
        <f t="shared" si="21"/>
        <v>0</v>
      </c>
      <c r="AN56">
        <f t="shared" si="22"/>
        <v>1</v>
      </c>
      <c r="AO56">
        <f t="shared" si="23"/>
        <v>0</v>
      </c>
      <c r="AP56" s="1" t="str">
        <f t="shared" si="24"/>
        <v>滞涨</v>
      </c>
    </row>
    <row r="57" spans="1:42" x14ac:dyDescent="0.35">
      <c r="A57" s="19">
        <v>38503</v>
      </c>
      <c r="B57" s="17">
        <v>16.600000000000001</v>
      </c>
      <c r="C57" s="17">
        <v>1.8</v>
      </c>
      <c r="D57" s="17">
        <v>5.9</v>
      </c>
      <c r="E57" s="17">
        <f t="shared" si="0"/>
        <v>3.4400000000000004</v>
      </c>
      <c r="F57">
        <v>1</v>
      </c>
      <c r="G57">
        <f t="shared" ref="G57:K57" si="60">IF(F57=1,0,1)</f>
        <v>0</v>
      </c>
      <c r="H57">
        <v>0</v>
      </c>
      <c r="I57">
        <f t="shared" si="60"/>
        <v>1</v>
      </c>
      <c r="J57">
        <v>1</v>
      </c>
      <c r="K57">
        <f t="shared" si="60"/>
        <v>0</v>
      </c>
      <c r="L57">
        <v>0</v>
      </c>
      <c r="M57">
        <f t="shared" si="2"/>
        <v>1</v>
      </c>
      <c r="N57">
        <f t="shared" si="3"/>
        <v>1</v>
      </c>
      <c r="O57">
        <f t="shared" si="4"/>
        <v>0</v>
      </c>
      <c r="P57">
        <f t="shared" si="5"/>
        <v>0</v>
      </c>
      <c r="Q57">
        <f t="shared" si="6"/>
        <v>0</v>
      </c>
      <c r="R57" s="1" t="str">
        <f t="shared" si="7"/>
        <v>复苏</v>
      </c>
      <c r="S57">
        <f t="shared" si="8"/>
        <v>0</v>
      </c>
      <c r="T57">
        <f t="shared" si="9"/>
        <v>1</v>
      </c>
      <c r="U57">
        <f t="shared" si="10"/>
        <v>0</v>
      </c>
      <c r="V57">
        <f t="shared" si="11"/>
        <v>0</v>
      </c>
      <c r="W57" s="1" t="str">
        <f t="shared" si="12"/>
        <v>过热</v>
      </c>
      <c r="X57">
        <f t="shared" si="13"/>
        <v>1</v>
      </c>
      <c r="Y57">
        <f t="shared" si="14"/>
        <v>0</v>
      </c>
      <c r="Z57">
        <f t="shared" si="15"/>
        <v>0</v>
      </c>
      <c r="AA57">
        <f t="shared" si="16"/>
        <v>0</v>
      </c>
      <c r="AB57" s="1" t="str">
        <f t="shared" si="17"/>
        <v>复苏</v>
      </c>
      <c r="AE57" s="19">
        <v>40633</v>
      </c>
      <c r="AF57" s="25">
        <v>10.199999999999999</v>
      </c>
      <c r="AG57" s="25">
        <v>8.3764000000000003</v>
      </c>
      <c r="AH57">
        <v>0</v>
      </c>
      <c r="AI57">
        <f t="shared" si="18"/>
        <v>1</v>
      </c>
      <c r="AJ57">
        <v>1</v>
      </c>
      <c r="AK57">
        <f t="shared" si="19"/>
        <v>0</v>
      </c>
      <c r="AL57">
        <f t="shared" si="20"/>
        <v>0</v>
      </c>
      <c r="AM57">
        <f t="shared" si="21"/>
        <v>0</v>
      </c>
      <c r="AN57">
        <f t="shared" si="22"/>
        <v>1</v>
      </c>
      <c r="AO57">
        <f t="shared" si="23"/>
        <v>0</v>
      </c>
      <c r="AP57" s="1" t="str">
        <f t="shared" si="24"/>
        <v>滞涨</v>
      </c>
    </row>
    <row r="58" spans="1:42" x14ac:dyDescent="0.35">
      <c r="A58" s="19">
        <v>38533</v>
      </c>
      <c r="B58" s="17">
        <v>16.8</v>
      </c>
      <c r="C58" s="17">
        <v>1.6</v>
      </c>
      <c r="D58" s="17">
        <v>5.2</v>
      </c>
      <c r="E58" s="17">
        <f t="shared" si="0"/>
        <v>3.04</v>
      </c>
      <c r="F58">
        <v>1</v>
      </c>
      <c r="G58">
        <f t="shared" ref="G58:K58" si="61">IF(F58=1,0,1)</f>
        <v>0</v>
      </c>
      <c r="H58">
        <v>0</v>
      </c>
      <c r="I58">
        <f t="shared" si="61"/>
        <v>1</v>
      </c>
      <c r="J58">
        <v>0</v>
      </c>
      <c r="K58">
        <f t="shared" si="61"/>
        <v>1</v>
      </c>
      <c r="L58">
        <v>0</v>
      </c>
      <c r="M58">
        <f t="shared" si="2"/>
        <v>1</v>
      </c>
      <c r="N58">
        <f t="shared" si="3"/>
        <v>1</v>
      </c>
      <c r="O58">
        <f t="shared" si="4"/>
        <v>0</v>
      </c>
      <c r="P58">
        <f t="shared" si="5"/>
        <v>0</v>
      </c>
      <c r="Q58">
        <f t="shared" si="6"/>
        <v>0</v>
      </c>
      <c r="R58" s="1" t="str">
        <f t="shared" si="7"/>
        <v>复苏</v>
      </c>
      <c r="S58">
        <f t="shared" si="8"/>
        <v>1</v>
      </c>
      <c r="T58">
        <f t="shared" si="9"/>
        <v>0</v>
      </c>
      <c r="U58">
        <f t="shared" si="10"/>
        <v>0</v>
      </c>
      <c r="V58">
        <f t="shared" si="11"/>
        <v>0</v>
      </c>
      <c r="W58" s="1" t="str">
        <f t="shared" si="12"/>
        <v>复苏</v>
      </c>
      <c r="X58">
        <f t="shared" si="13"/>
        <v>1</v>
      </c>
      <c r="Y58">
        <f t="shared" si="14"/>
        <v>0</v>
      </c>
      <c r="Z58">
        <f t="shared" si="15"/>
        <v>0</v>
      </c>
      <c r="AA58">
        <f t="shared" si="16"/>
        <v>0</v>
      </c>
      <c r="AB58" s="1" t="str">
        <f t="shared" si="17"/>
        <v>复苏</v>
      </c>
      <c r="AE58" s="19">
        <v>40724</v>
      </c>
      <c r="AF58" s="25">
        <v>10</v>
      </c>
      <c r="AG58" s="25">
        <v>8.8492999999999995</v>
      </c>
      <c r="AH58">
        <v>0</v>
      </c>
      <c r="AI58">
        <f t="shared" si="18"/>
        <v>1</v>
      </c>
      <c r="AJ58">
        <v>1</v>
      </c>
      <c r="AK58">
        <f t="shared" si="19"/>
        <v>0</v>
      </c>
      <c r="AL58">
        <f t="shared" si="20"/>
        <v>0</v>
      </c>
      <c r="AM58">
        <f t="shared" si="21"/>
        <v>0</v>
      </c>
      <c r="AN58">
        <f t="shared" si="22"/>
        <v>1</v>
      </c>
      <c r="AO58">
        <f t="shared" si="23"/>
        <v>0</v>
      </c>
      <c r="AP58" s="1" t="str">
        <f t="shared" si="24"/>
        <v>滞涨</v>
      </c>
    </row>
    <row r="59" spans="1:42" x14ac:dyDescent="0.35">
      <c r="A59" s="19">
        <v>38564</v>
      </c>
      <c r="B59" s="17">
        <v>16.100000000000001</v>
      </c>
      <c r="C59" s="17">
        <v>1.8</v>
      </c>
      <c r="D59" s="17">
        <v>5.2</v>
      </c>
      <c r="E59" s="17">
        <f t="shared" si="0"/>
        <v>3.16</v>
      </c>
      <c r="F59">
        <v>1</v>
      </c>
      <c r="G59">
        <f t="shared" ref="G59:K59" si="62">IF(F59=1,0,1)</f>
        <v>0</v>
      </c>
      <c r="H59">
        <v>0</v>
      </c>
      <c r="I59">
        <f t="shared" si="62"/>
        <v>1</v>
      </c>
      <c r="J59">
        <v>0</v>
      </c>
      <c r="K59">
        <f t="shared" si="62"/>
        <v>1</v>
      </c>
      <c r="L59">
        <v>0</v>
      </c>
      <c r="M59">
        <f t="shared" si="2"/>
        <v>1</v>
      </c>
      <c r="N59">
        <f t="shared" si="3"/>
        <v>1</v>
      </c>
      <c r="O59">
        <f t="shared" si="4"/>
        <v>0</v>
      </c>
      <c r="P59">
        <f t="shared" si="5"/>
        <v>0</v>
      </c>
      <c r="Q59">
        <f t="shared" si="6"/>
        <v>0</v>
      </c>
      <c r="R59" s="1" t="str">
        <f t="shared" si="7"/>
        <v>复苏</v>
      </c>
      <c r="S59">
        <f t="shared" si="8"/>
        <v>1</v>
      </c>
      <c r="T59">
        <f t="shared" si="9"/>
        <v>0</v>
      </c>
      <c r="U59">
        <f t="shared" si="10"/>
        <v>0</v>
      </c>
      <c r="V59">
        <f t="shared" si="11"/>
        <v>0</v>
      </c>
      <c r="W59" s="1" t="str">
        <f t="shared" si="12"/>
        <v>复苏</v>
      </c>
      <c r="X59">
        <f t="shared" si="13"/>
        <v>1</v>
      </c>
      <c r="Y59">
        <f t="shared" si="14"/>
        <v>0</v>
      </c>
      <c r="Z59">
        <f t="shared" si="15"/>
        <v>0</v>
      </c>
      <c r="AA59">
        <f t="shared" si="16"/>
        <v>0</v>
      </c>
      <c r="AB59" s="1" t="str">
        <f t="shared" si="17"/>
        <v>复苏</v>
      </c>
      <c r="AE59" s="19">
        <v>40816</v>
      </c>
      <c r="AF59" s="25">
        <v>9.4</v>
      </c>
      <c r="AG59" s="25">
        <v>9.2548999999999992</v>
      </c>
      <c r="AH59">
        <v>0</v>
      </c>
      <c r="AI59">
        <f t="shared" si="18"/>
        <v>1</v>
      </c>
      <c r="AJ59">
        <v>1</v>
      </c>
      <c r="AK59">
        <f t="shared" si="19"/>
        <v>0</v>
      </c>
      <c r="AL59">
        <f t="shared" si="20"/>
        <v>0</v>
      </c>
      <c r="AM59">
        <f t="shared" si="21"/>
        <v>0</v>
      </c>
      <c r="AN59">
        <f t="shared" si="22"/>
        <v>1</v>
      </c>
      <c r="AO59">
        <f t="shared" si="23"/>
        <v>0</v>
      </c>
      <c r="AP59" s="1" t="str">
        <f t="shared" si="24"/>
        <v>滞涨</v>
      </c>
    </row>
    <row r="60" spans="1:42" x14ac:dyDescent="0.35">
      <c r="A60" s="19">
        <v>38595</v>
      </c>
      <c r="B60" s="17">
        <v>16</v>
      </c>
      <c r="C60" s="17">
        <v>1.3</v>
      </c>
      <c r="D60" s="17">
        <v>5.3</v>
      </c>
      <c r="E60" s="17">
        <f t="shared" si="0"/>
        <v>2.9000000000000004</v>
      </c>
      <c r="F60">
        <v>1</v>
      </c>
      <c r="G60">
        <f t="shared" ref="G60:K60" si="63">IF(F60=1,0,1)</f>
        <v>0</v>
      </c>
      <c r="H60">
        <v>0</v>
      </c>
      <c r="I60">
        <f t="shared" si="63"/>
        <v>1</v>
      </c>
      <c r="J60">
        <v>0</v>
      </c>
      <c r="K60">
        <f t="shared" si="63"/>
        <v>1</v>
      </c>
      <c r="L60">
        <v>0</v>
      </c>
      <c r="M60">
        <f t="shared" si="2"/>
        <v>1</v>
      </c>
      <c r="N60">
        <f t="shared" si="3"/>
        <v>1</v>
      </c>
      <c r="O60">
        <f t="shared" si="4"/>
        <v>0</v>
      </c>
      <c r="P60">
        <f t="shared" si="5"/>
        <v>0</v>
      </c>
      <c r="Q60">
        <f t="shared" si="6"/>
        <v>0</v>
      </c>
      <c r="R60" s="1" t="str">
        <f t="shared" si="7"/>
        <v>复苏</v>
      </c>
      <c r="S60">
        <f t="shared" si="8"/>
        <v>1</v>
      </c>
      <c r="T60">
        <f t="shared" si="9"/>
        <v>0</v>
      </c>
      <c r="U60">
        <f t="shared" si="10"/>
        <v>0</v>
      </c>
      <c r="V60">
        <f t="shared" si="11"/>
        <v>0</v>
      </c>
      <c r="W60" s="1" t="str">
        <f t="shared" si="12"/>
        <v>复苏</v>
      </c>
      <c r="X60">
        <f t="shared" si="13"/>
        <v>1</v>
      </c>
      <c r="Y60">
        <f t="shared" si="14"/>
        <v>0</v>
      </c>
      <c r="Z60">
        <f t="shared" si="15"/>
        <v>0</v>
      </c>
      <c r="AA60">
        <f t="shared" si="16"/>
        <v>0</v>
      </c>
      <c r="AB60" s="1" t="str">
        <f t="shared" si="17"/>
        <v>复苏</v>
      </c>
      <c r="AE60" s="19">
        <v>40908</v>
      </c>
      <c r="AF60" s="25">
        <v>8.8000000000000007</v>
      </c>
      <c r="AG60" s="25">
        <v>6.4009999999999998</v>
      </c>
      <c r="AH60">
        <v>0</v>
      </c>
      <c r="AI60">
        <f t="shared" si="18"/>
        <v>1</v>
      </c>
      <c r="AJ60">
        <v>0</v>
      </c>
      <c r="AK60">
        <f t="shared" si="19"/>
        <v>1</v>
      </c>
      <c r="AL60">
        <f t="shared" si="20"/>
        <v>0</v>
      </c>
      <c r="AM60">
        <f t="shared" si="21"/>
        <v>0</v>
      </c>
      <c r="AN60">
        <f t="shared" si="22"/>
        <v>0</v>
      </c>
      <c r="AO60">
        <f t="shared" si="23"/>
        <v>1</v>
      </c>
      <c r="AP60" s="1" t="str">
        <f t="shared" si="24"/>
        <v>衰退</v>
      </c>
    </row>
    <row r="61" spans="1:42" x14ac:dyDescent="0.35">
      <c r="A61" s="19">
        <v>38625</v>
      </c>
      <c r="B61" s="17">
        <v>16.5</v>
      </c>
      <c r="C61" s="17">
        <v>0.9</v>
      </c>
      <c r="D61" s="17">
        <v>4.5</v>
      </c>
      <c r="E61" s="17">
        <f t="shared" si="0"/>
        <v>2.34</v>
      </c>
      <c r="F61">
        <v>1</v>
      </c>
      <c r="G61">
        <f t="shared" ref="G61:K61" si="64">IF(F61=1,0,1)</f>
        <v>0</v>
      </c>
      <c r="H61">
        <v>0</v>
      </c>
      <c r="I61">
        <f t="shared" si="64"/>
        <v>1</v>
      </c>
      <c r="J61">
        <v>0</v>
      </c>
      <c r="K61">
        <f t="shared" si="64"/>
        <v>1</v>
      </c>
      <c r="L61">
        <v>0</v>
      </c>
      <c r="M61">
        <f t="shared" si="2"/>
        <v>1</v>
      </c>
      <c r="N61">
        <f t="shared" si="3"/>
        <v>1</v>
      </c>
      <c r="O61">
        <f t="shared" si="4"/>
        <v>0</v>
      </c>
      <c r="P61">
        <f t="shared" si="5"/>
        <v>0</v>
      </c>
      <c r="Q61">
        <f t="shared" si="6"/>
        <v>0</v>
      </c>
      <c r="R61" s="1" t="str">
        <f t="shared" si="7"/>
        <v>复苏</v>
      </c>
      <c r="S61">
        <f t="shared" si="8"/>
        <v>1</v>
      </c>
      <c r="T61">
        <f t="shared" si="9"/>
        <v>0</v>
      </c>
      <c r="U61">
        <f t="shared" si="10"/>
        <v>0</v>
      </c>
      <c r="V61">
        <f t="shared" si="11"/>
        <v>0</v>
      </c>
      <c r="W61" s="1" t="str">
        <f t="shared" si="12"/>
        <v>复苏</v>
      </c>
      <c r="X61">
        <f t="shared" si="13"/>
        <v>1</v>
      </c>
      <c r="Y61">
        <f t="shared" si="14"/>
        <v>0</v>
      </c>
      <c r="Z61">
        <f t="shared" si="15"/>
        <v>0</v>
      </c>
      <c r="AA61">
        <f t="shared" si="16"/>
        <v>0</v>
      </c>
      <c r="AB61" s="1" t="str">
        <f t="shared" si="17"/>
        <v>复苏</v>
      </c>
      <c r="AE61" s="19">
        <v>40999</v>
      </c>
      <c r="AF61" s="25">
        <v>8.1</v>
      </c>
      <c r="AG61" s="25">
        <v>3.9575</v>
      </c>
      <c r="AH61">
        <v>0</v>
      </c>
      <c r="AI61">
        <f t="shared" si="18"/>
        <v>1</v>
      </c>
      <c r="AJ61">
        <v>0</v>
      </c>
      <c r="AK61">
        <f t="shared" si="19"/>
        <v>1</v>
      </c>
      <c r="AL61">
        <f t="shared" si="20"/>
        <v>0</v>
      </c>
      <c r="AM61">
        <f t="shared" si="21"/>
        <v>0</v>
      </c>
      <c r="AN61">
        <f t="shared" si="22"/>
        <v>0</v>
      </c>
      <c r="AO61">
        <f t="shared" si="23"/>
        <v>1</v>
      </c>
      <c r="AP61" s="1" t="str">
        <f t="shared" si="24"/>
        <v>衰退</v>
      </c>
    </row>
    <row r="62" spans="1:42" x14ac:dyDescent="0.35">
      <c r="A62" s="19">
        <v>38656</v>
      </c>
      <c r="B62" s="17">
        <v>16.100000000000001</v>
      </c>
      <c r="C62" s="17">
        <v>1.2</v>
      </c>
      <c r="D62" s="17">
        <v>4</v>
      </c>
      <c r="E62" s="17">
        <f t="shared" si="0"/>
        <v>2.3200000000000003</v>
      </c>
      <c r="F62">
        <v>1</v>
      </c>
      <c r="G62">
        <f t="shared" ref="G62:K62" si="65">IF(F62=1,0,1)</f>
        <v>0</v>
      </c>
      <c r="H62">
        <v>0</v>
      </c>
      <c r="I62">
        <f t="shared" si="65"/>
        <v>1</v>
      </c>
      <c r="J62">
        <v>0</v>
      </c>
      <c r="K62">
        <f t="shared" si="65"/>
        <v>1</v>
      </c>
      <c r="L62">
        <v>0</v>
      </c>
      <c r="M62">
        <f t="shared" si="2"/>
        <v>1</v>
      </c>
      <c r="N62">
        <f t="shared" si="3"/>
        <v>1</v>
      </c>
      <c r="O62">
        <f t="shared" si="4"/>
        <v>0</v>
      </c>
      <c r="P62">
        <f t="shared" si="5"/>
        <v>0</v>
      </c>
      <c r="Q62">
        <f t="shared" si="6"/>
        <v>0</v>
      </c>
      <c r="R62" s="1" t="str">
        <f t="shared" si="7"/>
        <v>复苏</v>
      </c>
      <c r="S62">
        <f t="shared" si="8"/>
        <v>1</v>
      </c>
      <c r="T62">
        <f t="shared" si="9"/>
        <v>0</v>
      </c>
      <c r="U62">
        <f t="shared" si="10"/>
        <v>0</v>
      </c>
      <c r="V62">
        <f t="shared" si="11"/>
        <v>0</v>
      </c>
      <c r="W62" s="1" t="str">
        <f t="shared" si="12"/>
        <v>复苏</v>
      </c>
      <c r="X62">
        <f t="shared" si="13"/>
        <v>1</v>
      </c>
      <c r="Y62">
        <f t="shared" si="14"/>
        <v>0</v>
      </c>
      <c r="Z62">
        <f t="shared" si="15"/>
        <v>0</v>
      </c>
      <c r="AA62">
        <f t="shared" si="16"/>
        <v>0</v>
      </c>
      <c r="AB62" s="1" t="str">
        <f t="shared" si="17"/>
        <v>复苏</v>
      </c>
      <c r="AE62" s="19">
        <v>41090</v>
      </c>
      <c r="AF62" s="25">
        <v>7.7</v>
      </c>
      <c r="AG62" s="25">
        <v>2.6911999999999998</v>
      </c>
      <c r="AH62">
        <v>0</v>
      </c>
      <c r="AI62">
        <f t="shared" si="18"/>
        <v>1</v>
      </c>
      <c r="AJ62">
        <v>0</v>
      </c>
      <c r="AK62">
        <f t="shared" si="19"/>
        <v>1</v>
      </c>
      <c r="AL62">
        <f t="shared" si="20"/>
        <v>0</v>
      </c>
      <c r="AM62">
        <f t="shared" si="21"/>
        <v>0</v>
      </c>
      <c r="AN62">
        <f t="shared" si="22"/>
        <v>0</v>
      </c>
      <c r="AO62">
        <f t="shared" si="23"/>
        <v>1</v>
      </c>
      <c r="AP62" s="1" t="str">
        <f t="shared" si="24"/>
        <v>衰退</v>
      </c>
    </row>
    <row r="63" spans="1:42" x14ac:dyDescent="0.35">
      <c r="A63" s="19">
        <v>38686</v>
      </c>
      <c r="B63" s="17">
        <v>16.600000000000001</v>
      </c>
      <c r="C63" s="17">
        <v>1.3</v>
      </c>
      <c r="D63" s="17">
        <v>3.2</v>
      </c>
      <c r="E63" s="17">
        <f t="shared" si="0"/>
        <v>2.0600000000000005</v>
      </c>
      <c r="F63">
        <v>1</v>
      </c>
      <c r="G63">
        <f t="shared" ref="G63:K63" si="66">IF(F63=1,0,1)</f>
        <v>0</v>
      </c>
      <c r="H63">
        <v>0</v>
      </c>
      <c r="I63">
        <f t="shared" si="66"/>
        <v>1</v>
      </c>
      <c r="J63">
        <v>0</v>
      </c>
      <c r="K63">
        <f t="shared" si="66"/>
        <v>1</v>
      </c>
      <c r="L63">
        <v>0</v>
      </c>
      <c r="M63">
        <f t="shared" si="2"/>
        <v>1</v>
      </c>
      <c r="N63">
        <f t="shared" si="3"/>
        <v>1</v>
      </c>
      <c r="O63">
        <f t="shared" si="4"/>
        <v>0</v>
      </c>
      <c r="P63">
        <f t="shared" si="5"/>
        <v>0</v>
      </c>
      <c r="Q63">
        <f t="shared" si="6"/>
        <v>0</v>
      </c>
      <c r="R63" s="1" t="str">
        <f t="shared" si="7"/>
        <v>复苏</v>
      </c>
      <c r="S63">
        <f t="shared" si="8"/>
        <v>1</v>
      </c>
      <c r="T63">
        <f t="shared" si="9"/>
        <v>0</v>
      </c>
      <c r="U63">
        <f t="shared" si="10"/>
        <v>0</v>
      </c>
      <c r="V63">
        <f t="shared" si="11"/>
        <v>0</v>
      </c>
      <c r="W63" s="1" t="str">
        <f t="shared" si="12"/>
        <v>复苏</v>
      </c>
      <c r="X63">
        <f t="shared" si="13"/>
        <v>1</v>
      </c>
      <c r="Y63">
        <f t="shared" si="14"/>
        <v>0</v>
      </c>
      <c r="Z63">
        <f t="shared" si="15"/>
        <v>0</v>
      </c>
      <c r="AA63">
        <f t="shared" si="16"/>
        <v>0</v>
      </c>
      <c r="AB63" s="1" t="str">
        <f t="shared" si="17"/>
        <v>复苏</v>
      </c>
      <c r="AE63" s="19">
        <v>41182</v>
      </c>
      <c r="AF63" s="25">
        <v>7.5</v>
      </c>
      <c r="AG63" s="25">
        <v>1.5508</v>
      </c>
      <c r="AH63">
        <v>0</v>
      </c>
      <c r="AI63">
        <f t="shared" si="18"/>
        <v>1</v>
      </c>
      <c r="AJ63">
        <v>0</v>
      </c>
      <c r="AK63">
        <f t="shared" si="19"/>
        <v>1</v>
      </c>
      <c r="AL63">
        <f t="shared" si="20"/>
        <v>0</v>
      </c>
      <c r="AM63">
        <f t="shared" si="21"/>
        <v>0</v>
      </c>
      <c r="AN63">
        <f t="shared" si="22"/>
        <v>0</v>
      </c>
      <c r="AO63">
        <f t="shared" si="23"/>
        <v>1</v>
      </c>
      <c r="AP63" s="1" t="str">
        <f t="shared" si="24"/>
        <v>衰退</v>
      </c>
    </row>
    <row r="64" spans="1:42" x14ac:dyDescent="0.35">
      <c r="A64" s="19">
        <v>38717</v>
      </c>
      <c r="B64" s="17">
        <v>16.5</v>
      </c>
      <c r="C64" s="17">
        <v>1.6</v>
      </c>
      <c r="D64" s="17">
        <v>3.2</v>
      </c>
      <c r="E64" s="17">
        <f t="shared" si="0"/>
        <v>2.2400000000000002</v>
      </c>
      <c r="F64">
        <v>1</v>
      </c>
      <c r="G64">
        <f t="shared" ref="G64:K64" si="67">IF(F64=1,0,1)</f>
        <v>0</v>
      </c>
      <c r="H64">
        <v>0</v>
      </c>
      <c r="I64">
        <f t="shared" si="67"/>
        <v>1</v>
      </c>
      <c r="J64">
        <v>0</v>
      </c>
      <c r="K64">
        <f t="shared" si="67"/>
        <v>1</v>
      </c>
      <c r="L64">
        <v>0</v>
      </c>
      <c r="M64">
        <f t="shared" si="2"/>
        <v>1</v>
      </c>
      <c r="N64">
        <f t="shared" si="3"/>
        <v>1</v>
      </c>
      <c r="O64">
        <f t="shared" si="4"/>
        <v>0</v>
      </c>
      <c r="P64">
        <f t="shared" si="5"/>
        <v>0</v>
      </c>
      <c r="Q64">
        <f t="shared" si="6"/>
        <v>0</v>
      </c>
      <c r="R64" s="1" t="str">
        <f t="shared" si="7"/>
        <v>复苏</v>
      </c>
      <c r="S64">
        <f t="shared" si="8"/>
        <v>1</v>
      </c>
      <c r="T64">
        <f t="shared" si="9"/>
        <v>0</v>
      </c>
      <c r="U64">
        <f t="shared" si="10"/>
        <v>0</v>
      </c>
      <c r="V64">
        <f t="shared" si="11"/>
        <v>0</v>
      </c>
      <c r="W64" s="1" t="str">
        <f t="shared" si="12"/>
        <v>复苏</v>
      </c>
      <c r="X64">
        <f t="shared" si="13"/>
        <v>1</v>
      </c>
      <c r="Y64">
        <f t="shared" si="14"/>
        <v>0</v>
      </c>
      <c r="Z64">
        <f t="shared" si="15"/>
        <v>0</v>
      </c>
      <c r="AA64">
        <f t="shared" si="16"/>
        <v>0</v>
      </c>
      <c r="AB64" s="1" t="str">
        <f t="shared" si="17"/>
        <v>复苏</v>
      </c>
      <c r="AE64" s="19">
        <v>41274</v>
      </c>
      <c r="AF64" s="25">
        <v>8.1</v>
      </c>
      <c r="AG64" s="25">
        <v>1.8346</v>
      </c>
      <c r="AH64">
        <v>0</v>
      </c>
      <c r="AI64">
        <f t="shared" si="18"/>
        <v>1</v>
      </c>
      <c r="AJ64">
        <v>1</v>
      </c>
      <c r="AK64">
        <f t="shared" si="19"/>
        <v>0</v>
      </c>
      <c r="AL64">
        <f t="shared" si="20"/>
        <v>0</v>
      </c>
      <c r="AM64">
        <f t="shared" si="21"/>
        <v>0</v>
      </c>
      <c r="AN64">
        <f t="shared" si="22"/>
        <v>1</v>
      </c>
      <c r="AO64">
        <f t="shared" si="23"/>
        <v>0</v>
      </c>
      <c r="AP64" s="1" t="str">
        <f t="shared" si="24"/>
        <v>滞涨</v>
      </c>
    </row>
    <row r="65" spans="1:42" x14ac:dyDescent="0.35">
      <c r="A65" s="19">
        <v>38776</v>
      </c>
      <c r="B65" s="17">
        <v>16.2</v>
      </c>
      <c r="C65" s="17">
        <v>1.4</v>
      </c>
      <c r="D65" s="17">
        <v>3</v>
      </c>
      <c r="E65" s="17">
        <f t="shared" si="0"/>
        <v>2.04</v>
      </c>
      <c r="F65">
        <v>1</v>
      </c>
      <c r="G65">
        <f t="shared" ref="G65:K65" si="68">IF(F65=1,0,1)</f>
        <v>0</v>
      </c>
      <c r="H65">
        <v>0</v>
      </c>
      <c r="I65">
        <f t="shared" si="68"/>
        <v>1</v>
      </c>
      <c r="J65">
        <v>0</v>
      </c>
      <c r="K65">
        <f t="shared" si="68"/>
        <v>1</v>
      </c>
      <c r="L65">
        <v>0</v>
      </c>
      <c r="M65">
        <f t="shared" si="2"/>
        <v>1</v>
      </c>
      <c r="N65">
        <f t="shared" si="3"/>
        <v>1</v>
      </c>
      <c r="O65">
        <f t="shared" si="4"/>
        <v>0</v>
      </c>
      <c r="P65">
        <f t="shared" si="5"/>
        <v>0</v>
      </c>
      <c r="Q65">
        <f t="shared" si="6"/>
        <v>0</v>
      </c>
      <c r="R65" s="1" t="str">
        <f t="shared" si="7"/>
        <v>复苏</v>
      </c>
      <c r="S65">
        <f t="shared" si="8"/>
        <v>1</v>
      </c>
      <c r="T65">
        <f t="shared" si="9"/>
        <v>0</v>
      </c>
      <c r="U65">
        <f t="shared" si="10"/>
        <v>0</v>
      </c>
      <c r="V65">
        <f t="shared" si="11"/>
        <v>0</v>
      </c>
      <c r="W65" s="1" t="str">
        <f t="shared" si="12"/>
        <v>复苏</v>
      </c>
      <c r="X65">
        <f t="shared" si="13"/>
        <v>1</v>
      </c>
      <c r="Y65">
        <f t="shared" si="14"/>
        <v>0</v>
      </c>
      <c r="Z65">
        <f t="shared" si="15"/>
        <v>0</v>
      </c>
      <c r="AA65">
        <f t="shared" si="16"/>
        <v>0</v>
      </c>
      <c r="AB65" s="1" t="str">
        <f t="shared" si="17"/>
        <v>复苏</v>
      </c>
      <c r="AE65" s="19">
        <v>41364</v>
      </c>
      <c r="AF65" s="25">
        <v>7.9</v>
      </c>
      <c r="AG65" s="25">
        <v>2.2565</v>
      </c>
      <c r="AH65">
        <v>0</v>
      </c>
      <c r="AI65">
        <f t="shared" si="18"/>
        <v>1</v>
      </c>
      <c r="AJ65">
        <v>1</v>
      </c>
      <c r="AK65">
        <f t="shared" si="19"/>
        <v>0</v>
      </c>
      <c r="AL65">
        <f t="shared" si="20"/>
        <v>0</v>
      </c>
      <c r="AM65">
        <f t="shared" si="21"/>
        <v>0</v>
      </c>
      <c r="AN65">
        <f t="shared" si="22"/>
        <v>1</v>
      </c>
      <c r="AO65">
        <f t="shared" si="23"/>
        <v>0</v>
      </c>
      <c r="AP65" s="1" t="str">
        <f t="shared" si="24"/>
        <v>滞涨</v>
      </c>
    </row>
    <row r="66" spans="1:42" x14ac:dyDescent="0.35">
      <c r="A66" s="19">
        <v>38807</v>
      </c>
      <c r="B66" s="17">
        <v>17.8</v>
      </c>
      <c r="C66" s="17">
        <v>0.8</v>
      </c>
      <c r="D66" s="17">
        <v>2.4900000000000002</v>
      </c>
      <c r="E66" s="17">
        <f t="shared" si="0"/>
        <v>1.476</v>
      </c>
      <c r="F66">
        <v>1</v>
      </c>
      <c r="G66">
        <f t="shared" ref="G66:K66" si="69">IF(F66=1,0,1)</f>
        <v>0</v>
      </c>
      <c r="H66">
        <v>0</v>
      </c>
      <c r="I66">
        <f t="shared" si="69"/>
        <v>1</v>
      </c>
      <c r="J66">
        <v>0</v>
      </c>
      <c r="K66">
        <f t="shared" si="69"/>
        <v>1</v>
      </c>
      <c r="L66">
        <v>0</v>
      </c>
      <c r="M66">
        <f t="shared" si="2"/>
        <v>1</v>
      </c>
      <c r="N66">
        <f t="shared" si="3"/>
        <v>1</v>
      </c>
      <c r="O66">
        <f t="shared" si="4"/>
        <v>0</v>
      </c>
      <c r="P66">
        <f t="shared" si="5"/>
        <v>0</v>
      </c>
      <c r="Q66">
        <f t="shared" si="6"/>
        <v>0</v>
      </c>
      <c r="R66" s="1" t="str">
        <f t="shared" si="7"/>
        <v>复苏</v>
      </c>
      <c r="S66">
        <f t="shared" si="8"/>
        <v>1</v>
      </c>
      <c r="T66">
        <f t="shared" si="9"/>
        <v>0</v>
      </c>
      <c r="U66">
        <f t="shared" si="10"/>
        <v>0</v>
      </c>
      <c r="V66">
        <f t="shared" si="11"/>
        <v>0</v>
      </c>
      <c r="W66" s="1" t="str">
        <f t="shared" si="12"/>
        <v>复苏</v>
      </c>
      <c r="X66">
        <f t="shared" si="13"/>
        <v>1</v>
      </c>
      <c r="Y66">
        <f t="shared" si="14"/>
        <v>0</v>
      </c>
      <c r="Z66">
        <f t="shared" si="15"/>
        <v>0</v>
      </c>
      <c r="AA66">
        <f t="shared" si="16"/>
        <v>0</v>
      </c>
      <c r="AB66" s="1" t="str">
        <f t="shared" si="17"/>
        <v>复苏</v>
      </c>
      <c r="AE66" s="19">
        <v>41455</v>
      </c>
      <c r="AF66" s="25">
        <v>7.6</v>
      </c>
      <c r="AG66" s="25">
        <v>1.6068</v>
      </c>
      <c r="AH66">
        <v>0</v>
      </c>
      <c r="AI66">
        <f t="shared" si="18"/>
        <v>1</v>
      </c>
      <c r="AJ66">
        <v>1</v>
      </c>
      <c r="AK66">
        <f t="shared" si="19"/>
        <v>0</v>
      </c>
      <c r="AL66">
        <f t="shared" si="20"/>
        <v>0</v>
      </c>
      <c r="AM66">
        <f t="shared" si="21"/>
        <v>0</v>
      </c>
      <c r="AN66">
        <f t="shared" si="22"/>
        <v>1</v>
      </c>
      <c r="AO66">
        <f t="shared" si="23"/>
        <v>0</v>
      </c>
      <c r="AP66" s="1" t="str">
        <f t="shared" si="24"/>
        <v>滞涨</v>
      </c>
    </row>
    <row r="67" spans="1:42" x14ac:dyDescent="0.35">
      <c r="A67" s="19">
        <v>38837</v>
      </c>
      <c r="B67" s="17">
        <v>16.600000000000001</v>
      </c>
      <c r="C67" s="17">
        <v>1.2</v>
      </c>
      <c r="D67" s="17">
        <v>1.87</v>
      </c>
      <c r="E67" s="17">
        <f t="shared" si="0"/>
        <v>1.468</v>
      </c>
      <c r="F67">
        <v>1</v>
      </c>
      <c r="G67">
        <f t="shared" ref="G67:K67" si="70">IF(F67=1,0,1)</f>
        <v>0</v>
      </c>
      <c r="H67">
        <v>1</v>
      </c>
      <c r="I67">
        <f t="shared" si="70"/>
        <v>0</v>
      </c>
      <c r="J67">
        <v>0</v>
      </c>
      <c r="K67">
        <f t="shared" si="70"/>
        <v>1</v>
      </c>
      <c r="L67">
        <v>1</v>
      </c>
      <c r="M67">
        <f t="shared" si="2"/>
        <v>0</v>
      </c>
      <c r="N67">
        <f t="shared" si="3"/>
        <v>0</v>
      </c>
      <c r="O67">
        <f t="shared" si="4"/>
        <v>1</v>
      </c>
      <c r="P67">
        <f t="shared" si="5"/>
        <v>0</v>
      </c>
      <c r="Q67">
        <f t="shared" si="6"/>
        <v>0</v>
      </c>
      <c r="R67" s="1" t="str">
        <f t="shared" si="7"/>
        <v>过热</v>
      </c>
      <c r="S67">
        <f t="shared" si="8"/>
        <v>1</v>
      </c>
      <c r="T67">
        <f t="shared" si="9"/>
        <v>0</v>
      </c>
      <c r="U67">
        <f t="shared" si="10"/>
        <v>0</v>
      </c>
      <c r="V67">
        <f t="shared" si="11"/>
        <v>0</v>
      </c>
      <c r="W67" s="1" t="str">
        <f t="shared" si="12"/>
        <v>复苏</v>
      </c>
      <c r="X67">
        <f t="shared" si="13"/>
        <v>0</v>
      </c>
      <c r="Y67">
        <f t="shared" si="14"/>
        <v>1</v>
      </c>
      <c r="Z67">
        <f t="shared" si="15"/>
        <v>0</v>
      </c>
      <c r="AA67">
        <f t="shared" si="16"/>
        <v>0</v>
      </c>
      <c r="AB67" s="1" t="str">
        <f t="shared" si="17"/>
        <v>过热</v>
      </c>
      <c r="AE67" s="19">
        <v>41547</v>
      </c>
      <c r="AF67" s="25">
        <v>7.9</v>
      </c>
      <c r="AG67" s="25">
        <v>2.2275999999999998</v>
      </c>
      <c r="AH67">
        <v>0</v>
      </c>
      <c r="AI67">
        <f t="shared" si="18"/>
        <v>1</v>
      </c>
      <c r="AJ67">
        <v>1</v>
      </c>
      <c r="AK67">
        <f t="shared" si="19"/>
        <v>0</v>
      </c>
      <c r="AL67">
        <f t="shared" si="20"/>
        <v>0</v>
      </c>
      <c r="AM67">
        <f t="shared" si="21"/>
        <v>0</v>
      </c>
      <c r="AN67">
        <f t="shared" si="22"/>
        <v>1</v>
      </c>
      <c r="AO67">
        <f t="shared" si="23"/>
        <v>0</v>
      </c>
      <c r="AP67" s="1" t="str">
        <f t="shared" si="24"/>
        <v>滞涨</v>
      </c>
    </row>
    <row r="68" spans="1:42" x14ac:dyDescent="0.35">
      <c r="A68" s="19">
        <v>38868</v>
      </c>
      <c r="B68" s="17">
        <v>17.899999999999999</v>
      </c>
      <c r="C68" s="17">
        <v>1.4</v>
      </c>
      <c r="D68" s="17">
        <v>2.4300000000000002</v>
      </c>
      <c r="E68" s="17">
        <f t="shared" si="0"/>
        <v>1.8120000000000001</v>
      </c>
      <c r="F68">
        <v>1</v>
      </c>
      <c r="G68">
        <f t="shared" ref="G68:K68" si="71">IF(F68=1,0,1)</f>
        <v>0</v>
      </c>
      <c r="H68">
        <v>1</v>
      </c>
      <c r="I68">
        <f t="shared" si="71"/>
        <v>0</v>
      </c>
      <c r="J68">
        <v>1</v>
      </c>
      <c r="K68">
        <f t="shared" si="71"/>
        <v>0</v>
      </c>
      <c r="L68">
        <v>1</v>
      </c>
      <c r="M68">
        <f t="shared" si="2"/>
        <v>0</v>
      </c>
      <c r="N68">
        <f t="shared" si="3"/>
        <v>0</v>
      </c>
      <c r="O68">
        <f t="shared" si="4"/>
        <v>1</v>
      </c>
      <c r="P68">
        <f t="shared" si="5"/>
        <v>0</v>
      </c>
      <c r="Q68">
        <f t="shared" si="6"/>
        <v>0</v>
      </c>
      <c r="R68" s="1" t="str">
        <f t="shared" si="7"/>
        <v>过热</v>
      </c>
      <c r="S68">
        <f t="shared" si="8"/>
        <v>0</v>
      </c>
      <c r="T68">
        <f t="shared" si="9"/>
        <v>1</v>
      </c>
      <c r="U68">
        <f t="shared" si="10"/>
        <v>0</v>
      </c>
      <c r="V68">
        <f t="shared" si="11"/>
        <v>0</v>
      </c>
      <c r="W68" s="1" t="str">
        <f t="shared" si="12"/>
        <v>过热</v>
      </c>
      <c r="X68">
        <f t="shared" si="13"/>
        <v>0</v>
      </c>
      <c r="Y68">
        <f t="shared" si="14"/>
        <v>1</v>
      </c>
      <c r="Z68">
        <f t="shared" si="15"/>
        <v>0</v>
      </c>
      <c r="AA68">
        <f t="shared" si="16"/>
        <v>0</v>
      </c>
      <c r="AB68" s="1" t="str">
        <f t="shared" si="17"/>
        <v>过热</v>
      </c>
      <c r="AE68" s="19">
        <v>41639</v>
      </c>
      <c r="AF68" s="25">
        <v>7.7</v>
      </c>
      <c r="AG68" s="25">
        <v>2.6892999999999998</v>
      </c>
      <c r="AH68">
        <v>0</v>
      </c>
      <c r="AI68">
        <f t="shared" si="18"/>
        <v>1</v>
      </c>
      <c r="AJ68">
        <v>1</v>
      </c>
      <c r="AK68">
        <f t="shared" si="19"/>
        <v>0</v>
      </c>
      <c r="AL68">
        <f t="shared" si="20"/>
        <v>0</v>
      </c>
      <c r="AM68">
        <f t="shared" si="21"/>
        <v>0</v>
      </c>
      <c r="AN68">
        <f t="shared" si="22"/>
        <v>1</v>
      </c>
      <c r="AO68">
        <f t="shared" si="23"/>
        <v>0</v>
      </c>
      <c r="AP68" s="1" t="str">
        <f t="shared" si="24"/>
        <v>滞涨</v>
      </c>
    </row>
    <row r="69" spans="1:42" x14ac:dyDescent="0.35">
      <c r="A69" s="19">
        <v>38898</v>
      </c>
      <c r="B69" s="17">
        <v>19.5</v>
      </c>
      <c r="C69" s="17">
        <v>1.5</v>
      </c>
      <c r="D69" s="17">
        <v>3.52</v>
      </c>
      <c r="E69" s="17">
        <f t="shared" si="0"/>
        <v>2.3079999999999998</v>
      </c>
      <c r="F69">
        <v>1</v>
      </c>
      <c r="G69">
        <f t="shared" ref="G69:K69" si="72">IF(F69=1,0,1)</f>
        <v>0</v>
      </c>
      <c r="H69">
        <v>1</v>
      </c>
      <c r="I69">
        <f t="shared" si="72"/>
        <v>0</v>
      </c>
      <c r="J69">
        <v>1</v>
      </c>
      <c r="K69">
        <f t="shared" si="72"/>
        <v>0</v>
      </c>
      <c r="L69">
        <v>1</v>
      </c>
      <c r="M69">
        <f t="shared" si="2"/>
        <v>0</v>
      </c>
      <c r="N69">
        <f t="shared" si="3"/>
        <v>0</v>
      </c>
      <c r="O69">
        <f t="shared" si="4"/>
        <v>1</v>
      </c>
      <c r="P69">
        <f t="shared" si="5"/>
        <v>0</v>
      </c>
      <c r="Q69">
        <f t="shared" si="6"/>
        <v>0</v>
      </c>
      <c r="R69" s="1" t="str">
        <f t="shared" si="7"/>
        <v>过热</v>
      </c>
      <c r="S69">
        <f t="shared" si="8"/>
        <v>0</v>
      </c>
      <c r="T69">
        <f t="shared" si="9"/>
        <v>1</v>
      </c>
      <c r="U69">
        <f t="shared" si="10"/>
        <v>0</v>
      </c>
      <c r="V69">
        <f t="shared" si="11"/>
        <v>0</v>
      </c>
      <c r="W69" s="1" t="str">
        <f t="shared" si="12"/>
        <v>过热</v>
      </c>
      <c r="X69">
        <f t="shared" si="13"/>
        <v>0</v>
      </c>
      <c r="Y69">
        <f t="shared" si="14"/>
        <v>1</v>
      </c>
      <c r="Z69">
        <f t="shared" si="15"/>
        <v>0</v>
      </c>
      <c r="AA69">
        <f t="shared" si="16"/>
        <v>0</v>
      </c>
      <c r="AB69" s="1" t="str">
        <f t="shared" si="17"/>
        <v>过热</v>
      </c>
      <c r="AE69" s="19">
        <v>41729</v>
      </c>
      <c r="AF69" s="25">
        <v>7.5</v>
      </c>
      <c r="AG69" s="25">
        <v>0.91139999999999999</v>
      </c>
      <c r="AH69">
        <v>0</v>
      </c>
      <c r="AI69">
        <f t="shared" si="18"/>
        <v>1</v>
      </c>
      <c r="AJ69">
        <v>0</v>
      </c>
      <c r="AK69">
        <f t="shared" si="19"/>
        <v>1</v>
      </c>
      <c r="AL69">
        <f t="shared" si="20"/>
        <v>0</v>
      </c>
      <c r="AM69">
        <f t="shared" si="21"/>
        <v>0</v>
      </c>
      <c r="AN69">
        <f t="shared" si="22"/>
        <v>0</v>
      </c>
      <c r="AO69">
        <f t="shared" si="23"/>
        <v>1</v>
      </c>
      <c r="AP69" s="1" t="str">
        <f t="shared" si="24"/>
        <v>衰退</v>
      </c>
    </row>
    <row r="70" spans="1:42" x14ac:dyDescent="0.35">
      <c r="A70" s="19">
        <v>38929</v>
      </c>
      <c r="B70" s="17">
        <v>16.7</v>
      </c>
      <c r="C70" s="17">
        <v>1</v>
      </c>
      <c r="D70" s="17">
        <v>3.58</v>
      </c>
      <c r="E70" s="17">
        <f t="shared" si="0"/>
        <v>2.032</v>
      </c>
      <c r="F70">
        <v>0</v>
      </c>
      <c r="G70">
        <f t="shared" ref="G70:K70" si="73">IF(F70=1,0,1)</f>
        <v>1</v>
      </c>
      <c r="H70">
        <v>1</v>
      </c>
      <c r="I70">
        <f t="shared" si="73"/>
        <v>0</v>
      </c>
      <c r="J70">
        <v>1</v>
      </c>
      <c r="K70">
        <f t="shared" si="73"/>
        <v>0</v>
      </c>
      <c r="L70">
        <v>1</v>
      </c>
      <c r="M70">
        <f t="shared" si="2"/>
        <v>0</v>
      </c>
      <c r="N70">
        <f t="shared" si="3"/>
        <v>0</v>
      </c>
      <c r="O70">
        <f t="shared" si="4"/>
        <v>0</v>
      </c>
      <c r="P70">
        <f t="shared" si="5"/>
        <v>1</v>
      </c>
      <c r="Q70">
        <f t="shared" si="6"/>
        <v>0</v>
      </c>
      <c r="R70" s="1" t="str">
        <f t="shared" si="7"/>
        <v>滞涨</v>
      </c>
      <c r="S70">
        <f t="shared" si="8"/>
        <v>0</v>
      </c>
      <c r="T70">
        <f t="shared" si="9"/>
        <v>0</v>
      </c>
      <c r="U70">
        <f t="shared" si="10"/>
        <v>1</v>
      </c>
      <c r="V70">
        <f t="shared" si="11"/>
        <v>0</v>
      </c>
      <c r="W70" s="1" t="str">
        <f t="shared" si="12"/>
        <v>滞涨</v>
      </c>
      <c r="X70">
        <f t="shared" si="13"/>
        <v>0</v>
      </c>
      <c r="Y70">
        <f t="shared" si="14"/>
        <v>0</v>
      </c>
      <c r="Z70">
        <f t="shared" si="15"/>
        <v>1</v>
      </c>
      <c r="AA70">
        <f t="shared" si="16"/>
        <v>0</v>
      </c>
      <c r="AB70" s="1" t="str">
        <f t="shared" si="17"/>
        <v>滞涨</v>
      </c>
      <c r="AE70" s="19">
        <v>41820</v>
      </c>
      <c r="AF70" s="25">
        <v>7.6</v>
      </c>
      <c r="AG70" s="25">
        <v>1.0964</v>
      </c>
      <c r="AH70">
        <v>0</v>
      </c>
      <c r="AI70">
        <f t="shared" si="18"/>
        <v>1</v>
      </c>
      <c r="AJ70">
        <v>0</v>
      </c>
      <c r="AK70">
        <f t="shared" si="19"/>
        <v>1</v>
      </c>
      <c r="AL70">
        <f t="shared" si="20"/>
        <v>0</v>
      </c>
      <c r="AM70">
        <f t="shared" si="21"/>
        <v>0</v>
      </c>
      <c r="AN70">
        <f t="shared" si="22"/>
        <v>0</v>
      </c>
      <c r="AO70">
        <f t="shared" si="23"/>
        <v>1</v>
      </c>
      <c r="AP70" s="1" t="str">
        <f t="shared" si="24"/>
        <v>衰退</v>
      </c>
    </row>
    <row r="71" spans="1:42" x14ac:dyDescent="0.35">
      <c r="A71" s="19">
        <v>38960</v>
      </c>
      <c r="B71" s="17">
        <v>15.7</v>
      </c>
      <c r="C71" s="17">
        <v>1.3</v>
      </c>
      <c r="D71" s="17">
        <v>3.4</v>
      </c>
      <c r="E71" s="17">
        <f t="shared" si="0"/>
        <v>2.14</v>
      </c>
      <c r="F71">
        <v>0</v>
      </c>
      <c r="G71">
        <f t="shared" ref="G71:K71" si="74">IF(F71=1,0,1)</f>
        <v>1</v>
      </c>
      <c r="H71">
        <v>1</v>
      </c>
      <c r="I71">
        <f t="shared" si="74"/>
        <v>0</v>
      </c>
      <c r="J71">
        <v>0</v>
      </c>
      <c r="K71">
        <f t="shared" si="74"/>
        <v>1</v>
      </c>
      <c r="L71">
        <v>1</v>
      </c>
      <c r="M71">
        <f t="shared" si="2"/>
        <v>0</v>
      </c>
      <c r="N71">
        <f t="shared" si="3"/>
        <v>0</v>
      </c>
      <c r="O71">
        <f t="shared" si="4"/>
        <v>0</v>
      </c>
      <c r="P71">
        <f t="shared" si="5"/>
        <v>1</v>
      </c>
      <c r="Q71">
        <f t="shared" si="6"/>
        <v>0</v>
      </c>
      <c r="R71" s="1" t="str">
        <f t="shared" si="7"/>
        <v>滞涨</v>
      </c>
      <c r="S71">
        <f t="shared" si="8"/>
        <v>0</v>
      </c>
      <c r="T71">
        <f t="shared" si="9"/>
        <v>0</v>
      </c>
      <c r="U71">
        <f t="shared" si="10"/>
        <v>0</v>
      </c>
      <c r="V71">
        <f t="shared" si="11"/>
        <v>1</v>
      </c>
      <c r="W71" s="1" t="str">
        <f t="shared" si="12"/>
        <v>衰退</v>
      </c>
      <c r="X71">
        <f t="shared" si="13"/>
        <v>0</v>
      </c>
      <c r="Y71">
        <f t="shared" si="14"/>
        <v>0</v>
      </c>
      <c r="Z71">
        <f t="shared" si="15"/>
        <v>1</v>
      </c>
      <c r="AA71">
        <f t="shared" si="16"/>
        <v>0</v>
      </c>
      <c r="AB71" s="1" t="str">
        <f t="shared" si="17"/>
        <v>滞涨</v>
      </c>
      <c r="AE71" s="19">
        <v>41912</v>
      </c>
      <c r="AF71" s="25">
        <v>7.2</v>
      </c>
      <c r="AG71" s="25">
        <v>1.1910000000000001</v>
      </c>
      <c r="AH71">
        <v>0</v>
      </c>
      <c r="AI71">
        <f t="shared" si="18"/>
        <v>1</v>
      </c>
      <c r="AJ71">
        <v>0</v>
      </c>
      <c r="AK71">
        <f t="shared" si="19"/>
        <v>1</v>
      </c>
      <c r="AL71">
        <f t="shared" si="20"/>
        <v>0</v>
      </c>
      <c r="AM71">
        <f t="shared" si="21"/>
        <v>0</v>
      </c>
      <c r="AN71">
        <f t="shared" si="22"/>
        <v>0</v>
      </c>
      <c r="AO71">
        <f t="shared" si="23"/>
        <v>1</v>
      </c>
      <c r="AP71" s="1" t="str">
        <f t="shared" si="24"/>
        <v>衰退</v>
      </c>
    </row>
    <row r="72" spans="1:42" x14ac:dyDescent="0.35">
      <c r="A72" s="19">
        <v>38990</v>
      </c>
      <c r="B72" s="17">
        <v>16.100000000000001</v>
      </c>
      <c r="C72" s="17">
        <v>1.5</v>
      </c>
      <c r="D72" s="17">
        <v>3.5</v>
      </c>
      <c r="E72" s="17">
        <f t="shared" si="0"/>
        <v>2.2999999999999998</v>
      </c>
      <c r="F72">
        <v>0</v>
      </c>
      <c r="G72">
        <f t="shared" ref="G72:K72" si="75">IF(F72=1,0,1)</f>
        <v>1</v>
      </c>
      <c r="H72">
        <v>1</v>
      </c>
      <c r="I72">
        <f t="shared" si="75"/>
        <v>0</v>
      </c>
      <c r="J72">
        <v>0</v>
      </c>
      <c r="K72">
        <f t="shared" si="75"/>
        <v>1</v>
      </c>
      <c r="L72">
        <v>1</v>
      </c>
      <c r="M72">
        <f t="shared" si="2"/>
        <v>0</v>
      </c>
      <c r="N72">
        <f t="shared" si="3"/>
        <v>0</v>
      </c>
      <c r="O72">
        <f t="shared" si="4"/>
        <v>0</v>
      </c>
      <c r="P72">
        <f t="shared" si="5"/>
        <v>1</v>
      </c>
      <c r="Q72">
        <f t="shared" si="6"/>
        <v>0</v>
      </c>
      <c r="R72" s="1" t="str">
        <f t="shared" si="7"/>
        <v>滞涨</v>
      </c>
      <c r="S72">
        <f t="shared" si="8"/>
        <v>0</v>
      </c>
      <c r="T72">
        <f t="shared" si="9"/>
        <v>0</v>
      </c>
      <c r="U72">
        <f t="shared" si="10"/>
        <v>0</v>
      </c>
      <c r="V72">
        <f t="shared" si="11"/>
        <v>1</v>
      </c>
      <c r="W72" s="1" t="str">
        <f t="shared" si="12"/>
        <v>衰退</v>
      </c>
      <c r="X72">
        <f t="shared" si="13"/>
        <v>0</v>
      </c>
      <c r="Y72">
        <f t="shared" si="14"/>
        <v>0</v>
      </c>
      <c r="Z72">
        <f t="shared" si="15"/>
        <v>1</v>
      </c>
      <c r="AA72">
        <f t="shared" si="16"/>
        <v>0</v>
      </c>
      <c r="AB72" s="1" t="str">
        <f t="shared" si="17"/>
        <v>滞涨</v>
      </c>
      <c r="AE72" s="19">
        <v>42004</v>
      </c>
      <c r="AF72" s="25">
        <v>7.3</v>
      </c>
      <c r="AG72" s="25">
        <v>0.2303</v>
      </c>
      <c r="AH72">
        <v>0</v>
      </c>
      <c r="AI72">
        <f t="shared" si="18"/>
        <v>1</v>
      </c>
      <c r="AJ72">
        <v>0</v>
      </c>
      <c r="AK72">
        <f t="shared" si="19"/>
        <v>1</v>
      </c>
      <c r="AL72">
        <f t="shared" si="20"/>
        <v>0</v>
      </c>
      <c r="AM72">
        <f t="shared" si="21"/>
        <v>0</v>
      </c>
      <c r="AN72">
        <f t="shared" si="22"/>
        <v>0</v>
      </c>
      <c r="AO72">
        <f t="shared" si="23"/>
        <v>1</v>
      </c>
      <c r="AP72" s="1" t="str">
        <f t="shared" si="24"/>
        <v>衰退</v>
      </c>
    </row>
    <row r="73" spans="1:42" x14ac:dyDescent="0.35">
      <c r="A73" s="19">
        <v>39021</v>
      </c>
      <c r="B73" s="17">
        <v>14.7</v>
      </c>
      <c r="C73" s="17">
        <v>1.4</v>
      </c>
      <c r="D73" s="17">
        <v>2.9</v>
      </c>
      <c r="E73" s="17">
        <f t="shared" si="0"/>
        <v>2</v>
      </c>
      <c r="F73">
        <v>0</v>
      </c>
      <c r="G73">
        <f t="shared" ref="G73:K73" si="76">IF(F73=1,0,1)</f>
        <v>1</v>
      </c>
      <c r="H73">
        <v>1</v>
      </c>
      <c r="I73">
        <f t="shared" si="76"/>
        <v>0</v>
      </c>
      <c r="J73">
        <v>0</v>
      </c>
      <c r="K73">
        <f t="shared" si="76"/>
        <v>1</v>
      </c>
      <c r="L73">
        <v>1</v>
      </c>
      <c r="M73">
        <f t="shared" si="2"/>
        <v>0</v>
      </c>
      <c r="N73">
        <f t="shared" si="3"/>
        <v>0</v>
      </c>
      <c r="O73">
        <f t="shared" si="4"/>
        <v>0</v>
      </c>
      <c r="P73">
        <f t="shared" si="5"/>
        <v>1</v>
      </c>
      <c r="Q73">
        <f t="shared" si="6"/>
        <v>0</v>
      </c>
      <c r="R73" s="1" t="str">
        <f t="shared" si="7"/>
        <v>滞涨</v>
      </c>
      <c r="S73">
        <f t="shared" si="8"/>
        <v>0</v>
      </c>
      <c r="T73">
        <f t="shared" si="9"/>
        <v>0</v>
      </c>
      <c r="U73">
        <f t="shared" si="10"/>
        <v>0</v>
      </c>
      <c r="V73">
        <f t="shared" si="11"/>
        <v>1</v>
      </c>
      <c r="W73" s="1" t="str">
        <f t="shared" si="12"/>
        <v>衰退</v>
      </c>
      <c r="X73">
        <f t="shared" si="13"/>
        <v>0</v>
      </c>
      <c r="Y73">
        <f t="shared" si="14"/>
        <v>0</v>
      </c>
      <c r="Z73">
        <f t="shared" si="15"/>
        <v>1</v>
      </c>
      <c r="AA73">
        <f t="shared" si="16"/>
        <v>0</v>
      </c>
      <c r="AB73" s="1" t="str">
        <f t="shared" si="17"/>
        <v>滞涨</v>
      </c>
      <c r="AE73" s="19">
        <v>42094</v>
      </c>
      <c r="AF73" s="25">
        <v>7.1</v>
      </c>
      <c r="AG73" s="25">
        <v>-0.315</v>
      </c>
      <c r="AH73">
        <v>0</v>
      </c>
      <c r="AI73">
        <f t="shared" si="18"/>
        <v>1</v>
      </c>
      <c r="AJ73">
        <v>0</v>
      </c>
      <c r="AK73">
        <f t="shared" si="19"/>
        <v>1</v>
      </c>
      <c r="AL73">
        <f t="shared" si="20"/>
        <v>0</v>
      </c>
      <c r="AM73">
        <f t="shared" si="21"/>
        <v>0</v>
      </c>
      <c r="AN73">
        <f t="shared" si="22"/>
        <v>0</v>
      </c>
      <c r="AO73">
        <f t="shared" si="23"/>
        <v>1</v>
      </c>
      <c r="AP73" s="1" t="str">
        <f t="shared" si="24"/>
        <v>衰退</v>
      </c>
    </row>
    <row r="74" spans="1:42" x14ac:dyDescent="0.35">
      <c r="A74" s="19">
        <v>39051</v>
      </c>
      <c r="B74" s="17">
        <v>14.9</v>
      </c>
      <c r="C74" s="17">
        <v>1.9</v>
      </c>
      <c r="D74" s="17">
        <v>2.78</v>
      </c>
      <c r="E74" s="17">
        <f t="shared" si="0"/>
        <v>2.2519999999999998</v>
      </c>
      <c r="F74">
        <v>1</v>
      </c>
      <c r="G74">
        <f t="shared" ref="G74:K74" si="77">IF(F74=1,0,1)</f>
        <v>0</v>
      </c>
      <c r="H74">
        <v>1</v>
      </c>
      <c r="I74">
        <f t="shared" si="77"/>
        <v>0</v>
      </c>
      <c r="J74">
        <v>0</v>
      </c>
      <c r="K74">
        <f t="shared" si="77"/>
        <v>1</v>
      </c>
      <c r="L74">
        <v>1</v>
      </c>
      <c r="M74">
        <f t="shared" si="2"/>
        <v>0</v>
      </c>
      <c r="N74">
        <f t="shared" si="3"/>
        <v>0</v>
      </c>
      <c r="O74">
        <f t="shared" si="4"/>
        <v>1</v>
      </c>
      <c r="P74">
        <f t="shared" si="5"/>
        <v>0</v>
      </c>
      <c r="Q74">
        <f t="shared" si="6"/>
        <v>0</v>
      </c>
      <c r="R74" s="1" t="str">
        <f t="shared" si="7"/>
        <v>过热</v>
      </c>
      <c r="S74">
        <f t="shared" si="8"/>
        <v>1</v>
      </c>
      <c r="T74">
        <f t="shared" si="9"/>
        <v>0</v>
      </c>
      <c r="U74">
        <f t="shared" si="10"/>
        <v>0</v>
      </c>
      <c r="V74">
        <f t="shared" si="11"/>
        <v>0</v>
      </c>
      <c r="W74" s="1" t="str">
        <f t="shared" si="12"/>
        <v>复苏</v>
      </c>
      <c r="X74">
        <f t="shared" si="13"/>
        <v>0</v>
      </c>
      <c r="Y74">
        <f t="shared" si="14"/>
        <v>1</v>
      </c>
      <c r="Z74">
        <f t="shared" si="15"/>
        <v>0</v>
      </c>
      <c r="AA74">
        <f t="shared" si="16"/>
        <v>0</v>
      </c>
      <c r="AB74" s="1" t="str">
        <f t="shared" si="17"/>
        <v>过热</v>
      </c>
      <c r="AE74" s="19">
        <v>42185</v>
      </c>
      <c r="AF74" s="25">
        <v>7.1</v>
      </c>
      <c r="AG74" s="25">
        <v>0.1419</v>
      </c>
      <c r="AH74">
        <v>0</v>
      </c>
      <c r="AI74">
        <f t="shared" si="18"/>
        <v>1</v>
      </c>
      <c r="AJ74">
        <v>0</v>
      </c>
      <c r="AK74">
        <f t="shared" si="19"/>
        <v>1</v>
      </c>
      <c r="AL74">
        <f t="shared" si="20"/>
        <v>0</v>
      </c>
      <c r="AM74">
        <f t="shared" si="21"/>
        <v>0</v>
      </c>
      <c r="AN74">
        <f t="shared" si="22"/>
        <v>0</v>
      </c>
      <c r="AO74">
        <f t="shared" si="23"/>
        <v>1</v>
      </c>
      <c r="AP74" s="1" t="str">
        <f t="shared" si="24"/>
        <v>衰退</v>
      </c>
    </row>
    <row r="75" spans="1:42" x14ac:dyDescent="0.35">
      <c r="A75" s="19">
        <v>39082</v>
      </c>
      <c r="B75" s="17">
        <v>14.7</v>
      </c>
      <c r="C75" s="17">
        <v>2.8</v>
      </c>
      <c r="D75" s="17">
        <v>3.1</v>
      </c>
      <c r="E75" s="17">
        <f t="shared" si="0"/>
        <v>2.92</v>
      </c>
      <c r="F75">
        <v>1</v>
      </c>
      <c r="G75">
        <f t="shared" ref="G75:K75" si="78">IF(F75=1,0,1)</f>
        <v>0</v>
      </c>
      <c r="H75">
        <v>1</v>
      </c>
      <c r="I75">
        <f t="shared" si="78"/>
        <v>0</v>
      </c>
      <c r="J75">
        <v>0</v>
      </c>
      <c r="K75">
        <f t="shared" si="78"/>
        <v>1</v>
      </c>
      <c r="L75">
        <v>1</v>
      </c>
      <c r="M75">
        <f t="shared" si="2"/>
        <v>0</v>
      </c>
      <c r="N75">
        <f t="shared" si="3"/>
        <v>0</v>
      </c>
      <c r="O75">
        <f t="shared" si="4"/>
        <v>1</v>
      </c>
      <c r="P75">
        <f t="shared" si="5"/>
        <v>0</v>
      </c>
      <c r="Q75">
        <f t="shared" si="6"/>
        <v>0</v>
      </c>
      <c r="R75" s="1" t="str">
        <f t="shared" si="7"/>
        <v>过热</v>
      </c>
      <c r="S75">
        <f t="shared" si="8"/>
        <v>1</v>
      </c>
      <c r="T75">
        <f t="shared" si="9"/>
        <v>0</v>
      </c>
      <c r="U75">
        <f t="shared" si="10"/>
        <v>0</v>
      </c>
      <c r="V75">
        <f t="shared" si="11"/>
        <v>0</v>
      </c>
      <c r="W75" s="1" t="str">
        <f t="shared" si="12"/>
        <v>复苏</v>
      </c>
      <c r="X75">
        <f t="shared" si="13"/>
        <v>0</v>
      </c>
      <c r="Y75">
        <f t="shared" si="14"/>
        <v>1</v>
      </c>
      <c r="Z75">
        <f t="shared" si="15"/>
        <v>0</v>
      </c>
      <c r="AA75">
        <f t="shared" si="16"/>
        <v>0</v>
      </c>
      <c r="AB75" s="1" t="str">
        <f t="shared" si="17"/>
        <v>过热</v>
      </c>
      <c r="AE75" s="19">
        <v>42277</v>
      </c>
      <c r="AF75" s="25">
        <v>7</v>
      </c>
      <c r="AG75" s="25">
        <v>-0.86370000000000002</v>
      </c>
      <c r="AH75">
        <v>0</v>
      </c>
      <c r="AI75">
        <f t="shared" si="18"/>
        <v>1</v>
      </c>
      <c r="AJ75">
        <v>0</v>
      </c>
      <c r="AK75">
        <f t="shared" si="19"/>
        <v>1</v>
      </c>
      <c r="AL75">
        <f t="shared" si="20"/>
        <v>0</v>
      </c>
      <c r="AM75">
        <f t="shared" si="21"/>
        <v>0</v>
      </c>
      <c r="AN75">
        <f t="shared" si="22"/>
        <v>0</v>
      </c>
      <c r="AO75">
        <f t="shared" si="23"/>
        <v>1</v>
      </c>
      <c r="AP75" s="1" t="str">
        <f t="shared" si="24"/>
        <v>衰退</v>
      </c>
    </row>
    <row r="76" spans="1:42" x14ac:dyDescent="0.35">
      <c r="A76" s="19">
        <v>39141</v>
      </c>
      <c r="B76" s="17">
        <v>18.5</v>
      </c>
      <c r="C76" s="17">
        <v>2.4</v>
      </c>
      <c r="D76" s="17">
        <v>3</v>
      </c>
      <c r="E76" s="17">
        <f t="shared" si="0"/>
        <v>2.64</v>
      </c>
      <c r="F76">
        <v>1</v>
      </c>
      <c r="G76">
        <f t="shared" ref="G76:K76" si="79">IF(F76=1,0,1)</f>
        <v>0</v>
      </c>
      <c r="H76">
        <v>1</v>
      </c>
      <c r="I76">
        <f t="shared" si="79"/>
        <v>0</v>
      </c>
      <c r="J76">
        <v>0</v>
      </c>
      <c r="K76">
        <f t="shared" si="79"/>
        <v>1</v>
      </c>
      <c r="L76">
        <v>1</v>
      </c>
      <c r="M76">
        <f t="shared" si="2"/>
        <v>0</v>
      </c>
      <c r="N76">
        <f t="shared" si="3"/>
        <v>0</v>
      </c>
      <c r="O76">
        <f t="shared" si="4"/>
        <v>1</v>
      </c>
      <c r="P76">
        <f t="shared" si="5"/>
        <v>0</v>
      </c>
      <c r="Q76">
        <f t="shared" si="6"/>
        <v>0</v>
      </c>
      <c r="R76" s="1" t="str">
        <f t="shared" si="7"/>
        <v>过热</v>
      </c>
      <c r="S76">
        <f t="shared" si="8"/>
        <v>1</v>
      </c>
      <c r="T76">
        <f t="shared" si="9"/>
        <v>0</v>
      </c>
      <c r="U76">
        <f t="shared" si="10"/>
        <v>0</v>
      </c>
      <c r="V76">
        <f t="shared" si="11"/>
        <v>0</v>
      </c>
      <c r="W76" s="1" t="str">
        <f t="shared" si="12"/>
        <v>复苏</v>
      </c>
      <c r="X76">
        <f t="shared" si="13"/>
        <v>0</v>
      </c>
      <c r="Y76">
        <f t="shared" si="14"/>
        <v>1</v>
      </c>
      <c r="Z76">
        <f t="shared" si="15"/>
        <v>0</v>
      </c>
      <c r="AA76">
        <f t="shared" si="16"/>
        <v>0</v>
      </c>
      <c r="AB76" s="1" t="str">
        <f t="shared" si="17"/>
        <v>过热</v>
      </c>
      <c r="AE76" s="19">
        <v>42369</v>
      </c>
      <c r="AF76" s="25">
        <v>6.9</v>
      </c>
      <c r="AG76" s="25">
        <v>-0.33639999999999998</v>
      </c>
      <c r="AH76">
        <v>0</v>
      </c>
      <c r="AI76">
        <f t="shared" si="18"/>
        <v>1</v>
      </c>
      <c r="AJ76">
        <v>1</v>
      </c>
      <c r="AK76">
        <f t="shared" si="19"/>
        <v>0</v>
      </c>
      <c r="AL76">
        <f t="shared" si="20"/>
        <v>0</v>
      </c>
      <c r="AM76">
        <f t="shared" si="21"/>
        <v>0</v>
      </c>
      <c r="AN76">
        <f t="shared" si="22"/>
        <v>1</v>
      </c>
      <c r="AO76">
        <f t="shared" si="23"/>
        <v>0</v>
      </c>
      <c r="AP76" s="1" t="str">
        <f t="shared" si="24"/>
        <v>滞涨</v>
      </c>
    </row>
    <row r="77" spans="1:42" x14ac:dyDescent="0.35">
      <c r="A77" s="19">
        <v>39172</v>
      </c>
      <c r="B77" s="17">
        <v>17.600000000000001</v>
      </c>
      <c r="C77" s="17">
        <v>3.3</v>
      </c>
      <c r="D77" s="17">
        <v>2.7</v>
      </c>
      <c r="E77" s="17">
        <f t="shared" si="0"/>
        <v>3.0599999999999996</v>
      </c>
      <c r="F77">
        <v>1</v>
      </c>
      <c r="G77">
        <f t="shared" ref="G77:K77" si="80">IF(F77=1,0,1)</f>
        <v>0</v>
      </c>
      <c r="H77">
        <v>1</v>
      </c>
      <c r="I77">
        <f t="shared" si="80"/>
        <v>0</v>
      </c>
      <c r="J77">
        <v>0</v>
      </c>
      <c r="K77">
        <f t="shared" si="80"/>
        <v>1</v>
      </c>
      <c r="L77">
        <v>1</v>
      </c>
      <c r="M77">
        <f t="shared" si="2"/>
        <v>0</v>
      </c>
      <c r="N77">
        <f t="shared" si="3"/>
        <v>0</v>
      </c>
      <c r="O77">
        <f t="shared" si="4"/>
        <v>1</v>
      </c>
      <c r="P77">
        <f t="shared" si="5"/>
        <v>0</v>
      </c>
      <c r="Q77">
        <f t="shared" si="6"/>
        <v>0</v>
      </c>
      <c r="R77" s="1" t="str">
        <f t="shared" si="7"/>
        <v>过热</v>
      </c>
      <c r="S77">
        <f t="shared" si="8"/>
        <v>1</v>
      </c>
      <c r="T77">
        <f t="shared" si="9"/>
        <v>0</v>
      </c>
      <c r="U77">
        <f t="shared" si="10"/>
        <v>0</v>
      </c>
      <c r="V77">
        <f t="shared" si="11"/>
        <v>0</v>
      </c>
      <c r="W77" s="1" t="str">
        <f t="shared" si="12"/>
        <v>复苏</v>
      </c>
      <c r="X77">
        <f t="shared" si="13"/>
        <v>0</v>
      </c>
      <c r="Y77">
        <f t="shared" si="14"/>
        <v>1</v>
      </c>
      <c r="Z77">
        <f t="shared" si="15"/>
        <v>0</v>
      </c>
      <c r="AA77">
        <f t="shared" si="16"/>
        <v>0</v>
      </c>
      <c r="AB77" s="1" t="str">
        <f t="shared" si="17"/>
        <v>过热</v>
      </c>
      <c r="AE77" s="19">
        <v>42460</v>
      </c>
      <c r="AF77" s="25">
        <v>6.9</v>
      </c>
      <c r="AG77" s="25">
        <v>0.29170000000000001</v>
      </c>
      <c r="AH77">
        <v>0</v>
      </c>
      <c r="AI77">
        <f t="shared" si="18"/>
        <v>1</v>
      </c>
      <c r="AJ77">
        <v>1</v>
      </c>
      <c r="AK77">
        <f t="shared" si="19"/>
        <v>0</v>
      </c>
      <c r="AL77">
        <f t="shared" si="20"/>
        <v>0</v>
      </c>
      <c r="AM77">
        <f t="shared" si="21"/>
        <v>0</v>
      </c>
      <c r="AN77">
        <f t="shared" si="22"/>
        <v>1</v>
      </c>
      <c r="AO77">
        <f t="shared" si="23"/>
        <v>0</v>
      </c>
      <c r="AP77" s="1" t="str">
        <f t="shared" si="24"/>
        <v>滞涨</v>
      </c>
    </row>
    <row r="78" spans="1:42" x14ac:dyDescent="0.35">
      <c r="A78" s="19">
        <v>39202</v>
      </c>
      <c r="B78" s="17">
        <v>17.399999999999999</v>
      </c>
      <c r="C78" s="17">
        <v>3</v>
      </c>
      <c r="D78" s="17">
        <v>2.9</v>
      </c>
      <c r="E78" s="17">
        <f t="shared" si="0"/>
        <v>2.96</v>
      </c>
      <c r="F78">
        <v>1</v>
      </c>
      <c r="G78">
        <f t="shared" ref="G78:K78" si="81">IF(F78=1,0,1)</f>
        <v>0</v>
      </c>
      <c r="H78">
        <v>1</v>
      </c>
      <c r="I78">
        <f t="shared" si="81"/>
        <v>0</v>
      </c>
      <c r="J78">
        <v>0</v>
      </c>
      <c r="K78">
        <f t="shared" si="81"/>
        <v>1</v>
      </c>
      <c r="L78">
        <v>1</v>
      </c>
      <c r="M78">
        <f t="shared" si="2"/>
        <v>0</v>
      </c>
      <c r="N78">
        <f t="shared" si="3"/>
        <v>0</v>
      </c>
      <c r="O78">
        <f t="shared" si="4"/>
        <v>1</v>
      </c>
      <c r="P78">
        <f t="shared" si="5"/>
        <v>0</v>
      </c>
      <c r="Q78">
        <f t="shared" si="6"/>
        <v>0</v>
      </c>
      <c r="R78" s="1" t="str">
        <f t="shared" si="7"/>
        <v>过热</v>
      </c>
      <c r="S78">
        <f t="shared" si="8"/>
        <v>1</v>
      </c>
      <c r="T78">
        <f t="shared" si="9"/>
        <v>0</v>
      </c>
      <c r="U78">
        <f t="shared" si="10"/>
        <v>0</v>
      </c>
      <c r="V78">
        <f t="shared" si="11"/>
        <v>0</v>
      </c>
      <c r="W78" s="1" t="str">
        <f t="shared" si="12"/>
        <v>复苏</v>
      </c>
      <c r="X78">
        <f t="shared" si="13"/>
        <v>0</v>
      </c>
      <c r="Y78">
        <f t="shared" si="14"/>
        <v>1</v>
      </c>
      <c r="Z78">
        <f t="shared" si="15"/>
        <v>0</v>
      </c>
      <c r="AA78">
        <f t="shared" si="16"/>
        <v>0</v>
      </c>
      <c r="AB78" s="1" t="str">
        <f t="shared" si="17"/>
        <v>过热</v>
      </c>
      <c r="AE78" s="19">
        <v>42551</v>
      </c>
      <c r="AF78" s="25">
        <v>6.8</v>
      </c>
      <c r="AG78" s="25">
        <v>0.58320000000000005</v>
      </c>
      <c r="AH78">
        <v>0</v>
      </c>
      <c r="AI78">
        <f t="shared" si="18"/>
        <v>1</v>
      </c>
      <c r="AJ78">
        <v>1</v>
      </c>
      <c r="AK78">
        <f t="shared" si="19"/>
        <v>0</v>
      </c>
      <c r="AL78">
        <f t="shared" si="20"/>
        <v>0</v>
      </c>
      <c r="AM78">
        <f t="shared" si="21"/>
        <v>0</v>
      </c>
      <c r="AN78">
        <f t="shared" si="22"/>
        <v>1</v>
      </c>
      <c r="AO78">
        <f t="shared" si="23"/>
        <v>0</v>
      </c>
      <c r="AP78" s="1" t="str">
        <f t="shared" si="24"/>
        <v>滞涨</v>
      </c>
    </row>
    <row r="79" spans="1:42" x14ac:dyDescent="0.35">
      <c r="A79" s="19">
        <v>39233</v>
      </c>
      <c r="B79" s="17">
        <v>18.100000000000001</v>
      </c>
      <c r="C79" s="17">
        <v>3.4</v>
      </c>
      <c r="D79" s="17">
        <v>2.8</v>
      </c>
      <c r="E79" s="17">
        <f t="shared" si="0"/>
        <v>3.16</v>
      </c>
      <c r="F79">
        <v>1</v>
      </c>
      <c r="G79">
        <f t="shared" ref="G79:K79" si="82">IF(F79=1,0,1)</f>
        <v>0</v>
      </c>
      <c r="H79">
        <v>1</v>
      </c>
      <c r="I79">
        <f t="shared" si="82"/>
        <v>0</v>
      </c>
      <c r="J79">
        <v>0</v>
      </c>
      <c r="K79">
        <f t="shared" si="82"/>
        <v>1</v>
      </c>
      <c r="L79">
        <v>1</v>
      </c>
      <c r="M79">
        <f t="shared" si="2"/>
        <v>0</v>
      </c>
      <c r="N79">
        <f t="shared" si="3"/>
        <v>0</v>
      </c>
      <c r="O79">
        <f t="shared" si="4"/>
        <v>1</v>
      </c>
      <c r="P79">
        <f t="shared" si="5"/>
        <v>0</v>
      </c>
      <c r="Q79">
        <f t="shared" si="6"/>
        <v>0</v>
      </c>
      <c r="R79" s="1" t="str">
        <f t="shared" si="7"/>
        <v>过热</v>
      </c>
      <c r="S79">
        <f t="shared" si="8"/>
        <v>1</v>
      </c>
      <c r="T79">
        <f t="shared" si="9"/>
        <v>0</v>
      </c>
      <c r="U79">
        <f t="shared" si="10"/>
        <v>0</v>
      </c>
      <c r="V79">
        <f t="shared" si="11"/>
        <v>0</v>
      </c>
      <c r="W79" s="1" t="str">
        <f t="shared" si="12"/>
        <v>复苏</v>
      </c>
      <c r="X79">
        <f t="shared" si="13"/>
        <v>0</v>
      </c>
      <c r="Y79">
        <f t="shared" si="14"/>
        <v>1</v>
      </c>
      <c r="Z79">
        <f t="shared" si="15"/>
        <v>0</v>
      </c>
      <c r="AA79">
        <f t="shared" si="16"/>
        <v>0</v>
      </c>
      <c r="AB79" s="1" t="str">
        <f t="shared" si="17"/>
        <v>过热</v>
      </c>
      <c r="AE79" s="19">
        <v>42643</v>
      </c>
      <c r="AF79" s="25">
        <v>6.8</v>
      </c>
      <c r="AG79" s="25">
        <v>1.0499000000000001</v>
      </c>
      <c r="AH79">
        <v>1</v>
      </c>
      <c r="AI79">
        <f t="shared" si="18"/>
        <v>0</v>
      </c>
      <c r="AJ79">
        <v>1</v>
      </c>
      <c r="AK79">
        <f t="shared" si="19"/>
        <v>0</v>
      </c>
      <c r="AL79">
        <f t="shared" si="20"/>
        <v>0</v>
      </c>
      <c r="AM79">
        <f t="shared" si="21"/>
        <v>1</v>
      </c>
      <c r="AN79">
        <f t="shared" si="22"/>
        <v>0</v>
      </c>
      <c r="AO79">
        <f t="shared" si="23"/>
        <v>0</v>
      </c>
      <c r="AP79" s="1" t="str">
        <f t="shared" si="24"/>
        <v>过热</v>
      </c>
    </row>
    <row r="80" spans="1:42" x14ac:dyDescent="0.35">
      <c r="A80" s="19">
        <v>39263</v>
      </c>
      <c r="B80" s="17">
        <v>19.399999999999999</v>
      </c>
      <c r="C80" s="17">
        <v>4.4000000000000004</v>
      </c>
      <c r="D80" s="17">
        <v>2.4900000000000002</v>
      </c>
      <c r="E80" s="17">
        <f t="shared" si="0"/>
        <v>3.6360000000000001</v>
      </c>
      <c r="F80">
        <v>1</v>
      </c>
      <c r="G80">
        <f t="shared" ref="G80:K80" si="83">IF(F80=1,0,1)</f>
        <v>0</v>
      </c>
      <c r="H80">
        <v>1</v>
      </c>
      <c r="I80">
        <f t="shared" si="83"/>
        <v>0</v>
      </c>
      <c r="J80">
        <v>0</v>
      </c>
      <c r="K80">
        <f t="shared" si="83"/>
        <v>1</v>
      </c>
      <c r="L80">
        <v>1</v>
      </c>
      <c r="M80">
        <f t="shared" si="2"/>
        <v>0</v>
      </c>
      <c r="N80">
        <f t="shared" si="3"/>
        <v>0</v>
      </c>
      <c r="O80">
        <f t="shared" si="4"/>
        <v>1</v>
      </c>
      <c r="P80">
        <f t="shared" si="5"/>
        <v>0</v>
      </c>
      <c r="Q80">
        <f t="shared" si="6"/>
        <v>0</v>
      </c>
      <c r="R80" s="1" t="str">
        <f t="shared" si="7"/>
        <v>过热</v>
      </c>
      <c r="S80">
        <f t="shared" si="8"/>
        <v>1</v>
      </c>
      <c r="T80">
        <f t="shared" si="9"/>
        <v>0</v>
      </c>
      <c r="U80">
        <f t="shared" si="10"/>
        <v>0</v>
      </c>
      <c r="V80">
        <f t="shared" si="11"/>
        <v>0</v>
      </c>
      <c r="W80" s="1" t="str">
        <f t="shared" si="12"/>
        <v>复苏</v>
      </c>
      <c r="X80">
        <f t="shared" si="13"/>
        <v>0</v>
      </c>
      <c r="Y80">
        <f t="shared" si="14"/>
        <v>1</v>
      </c>
      <c r="Z80">
        <f t="shared" si="15"/>
        <v>0</v>
      </c>
      <c r="AA80">
        <f t="shared" si="16"/>
        <v>0</v>
      </c>
      <c r="AB80" s="1" t="str">
        <f t="shared" si="17"/>
        <v>过热</v>
      </c>
      <c r="AE80" s="19">
        <v>42735</v>
      </c>
      <c r="AF80" s="25">
        <v>6.9</v>
      </c>
      <c r="AG80" s="25">
        <v>2.5808</v>
      </c>
      <c r="AH80">
        <v>1</v>
      </c>
      <c r="AI80">
        <f t="shared" si="18"/>
        <v>0</v>
      </c>
      <c r="AJ80">
        <v>1</v>
      </c>
      <c r="AK80">
        <f t="shared" si="19"/>
        <v>0</v>
      </c>
      <c r="AL80">
        <f t="shared" si="20"/>
        <v>0</v>
      </c>
      <c r="AM80">
        <f t="shared" si="21"/>
        <v>1</v>
      </c>
      <c r="AN80">
        <f t="shared" si="22"/>
        <v>0</v>
      </c>
      <c r="AO80">
        <f t="shared" si="23"/>
        <v>0</v>
      </c>
      <c r="AP80" s="1" t="str">
        <f t="shared" si="24"/>
        <v>过热</v>
      </c>
    </row>
    <row r="81" spans="1:42" x14ac:dyDescent="0.35">
      <c r="A81" s="19">
        <v>39294</v>
      </c>
      <c r="B81" s="17">
        <v>18</v>
      </c>
      <c r="C81" s="17">
        <v>5.6</v>
      </c>
      <c r="D81" s="17">
        <v>2.4</v>
      </c>
      <c r="E81" s="17">
        <f t="shared" si="0"/>
        <v>4.32</v>
      </c>
      <c r="F81">
        <v>0</v>
      </c>
      <c r="G81">
        <f t="shared" ref="G81:K81" si="84">IF(F81=1,0,1)</f>
        <v>1</v>
      </c>
      <c r="H81">
        <v>1</v>
      </c>
      <c r="I81">
        <f t="shared" si="84"/>
        <v>0</v>
      </c>
      <c r="J81">
        <v>0</v>
      </c>
      <c r="K81">
        <f t="shared" si="84"/>
        <v>1</v>
      </c>
      <c r="L81">
        <v>1</v>
      </c>
      <c r="M81">
        <f t="shared" si="2"/>
        <v>0</v>
      </c>
      <c r="N81">
        <f t="shared" si="3"/>
        <v>0</v>
      </c>
      <c r="O81">
        <f t="shared" si="4"/>
        <v>0</v>
      </c>
      <c r="P81">
        <f t="shared" si="5"/>
        <v>1</v>
      </c>
      <c r="Q81">
        <f t="shared" si="6"/>
        <v>0</v>
      </c>
      <c r="R81" s="1" t="str">
        <f t="shared" si="7"/>
        <v>滞涨</v>
      </c>
      <c r="S81">
        <f t="shared" si="8"/>
        <v>0</v>
      </c>
      <c r="T81">
        <f t="shared" si="9"/>
        <v>0</v>
      </c>
      <c r="U81">
        <f t="shared" si="10"/>
        <v>0</v>
      </c>
      <c r="V81">
        <f t="shared" si="11"/>
        <v>1</v>
      </c>
      <c r="W81" s="1" t="str">
        <f t="shared" si="12"/>
        <v>衰退</v>
      </c>
      <c r="X81">
        <f t="shared" si="13"/>
        <v>0</v>
      </c>
      <c r="Y81">
        <f t="shared" si="14"/>
        <v>0</v>
      </c>
      <c r="Z81">
        <f t="shared" si="15"/>
        <v>1</v>
      </c>
      <c r="AA81">
        <f t="shared" si="16"/>
        <v>0</v>
      </c>
      <c r="AB81" s="1" t="str">
        <f t="shared" si="17"/>
        <v>滞涨</v>
      </c>
      <c r="AE81" s="19">
        <v>42825</v>
      </c>
      <c r="AF81" s="25">
        <v>7</v>
      </c>
      <c r="AG81" s="25">
        <v>4.6096000000000004</v>
      </c>
      <c r="AH81">
        <v>1</v>
      </c>
      <c r="AI81">
        <f t="shared" si="18"/>
        <v>0</v>
      </c>
      <c r="AJ81">
        <v>1</v>
      </c>
      <c r="AK81">
        <f t="shared" si="19"/>
        <v>0</v>
      </c>
      <c r="AL81">
        <f t="shared" si="20"/>
        <v>0</v>
      </c>
      <c r="AM81">
        <f t="shared" si="21"/>
        <v>1</v>
      </c>
      <c r="AN81">
        <f t="shared" si="22"/>
        <v>0</v>
      </c>
      <c r="AO81">
        <f t="shared" si="23"/>
        <v>0</v>
      </c>
      <c r="AP81" s="1" t="str">
        <f t="shared" si="24"/>
        <v>过热</v>
      </c>
    </row>
    <row r="82" spans="1:42" x14ac:dyDescent="0.35">
      <c r="A82" s="19">
        <v>39325</v>
      </c>
      <c r="B82" s="17">
        <v>17.5</v>
      </c>
      <c r="C82" s="17">
        <v>6.5</v>
      </c>
      <c r="D82" s="17">
        <v>2.6</v>
      </c>
      <c r="E82" s="17">
        <f t="shared" si="0"/>
        <v>4.9399999999999995</v>
      </c>
      <c r="F82">
        <v>0</v>
      </c>
      <c r="G82">
        <f t="shared" ref="G82:K82" si="85">IF(F82=1,0,1)</f>
        <v>1</v>
      </c>
      <c r="H82">
        <v>1</v>
      </c>
      <c r="I82">
        <f t="shared" si="85"/>
        <v>0</v>
      </c>
      <c r="J82">
        <v>1</v>
      </c>
      <c r="K82">
        <f t="shared" si="85"/>
        <v>0</v>
      </c>
      <c r="L82">
        <v>1</v>
      </c>
      <c r="M82">
        <f t="shared" si="2"/>
        <v>0</v>
      </c>
      <c r="N82">
        <f t="shared" si="3"/>
        <v>0</v>
      </c>
      <c r="O82">
        <f t="shared" si="4"/>
        <v>0</v>
      </c>
      <c r="P82">
        <f t="shared" si="5"/>
        <v>1</v>
      </c>
      <c r="Q82">
        <f t="shared" si="6"/>
        <v>0</v>
      </c>
      <c r="R82" s="1" t="str">
        <f t="shared" si="7"/>
        <v>滞涨</v>
      </c>
      <c r="S82">
        <f t="shared" si="8"/>
        <v>0</v>
      </c>
      <c r="T82">
        <f t="shared" si="9"/>
        <v>0</v>
      </c>
      <c r="U82">
        <f t="shared" si="10"/>
        <v>1</v>
      </c>
      <c r="V82">
        <f t="shared" si="11"/>
        <v>0</v>
      </c>
      <c r="W82" s="1" t="str">
        <f t="shared" si="12"/>
        <v>滞涨</v>
      </c>
      <c r="X82">
        <f t="shared" si="13"/>
        <v>0</v>
      </c>
      <c r="Y82">
        <f t="shared" si="14"/>
        <v>0</v>
      </c>
      <c r="Z82">
        <f t="shared" si="15"/>
        <v>1</v>
      </c>
      <c r="AA82">
        <f t="shared" si="16"/>
        <v>0</v>
      </c>
      <c r="AB82" s="1" t="str">
        <f t="shared" si="17"/>
        <v>滞涨</v>
      </c>
      <c r="AE82" s="19">
        <v>42916</v>
      </c>
      <c r="AF82" s="25">
        <v>7</v>
      </c>
      <c r="AG82" s="25">
        <v>3.9293</v>
      </c>
      <c r="AH82">
        <v>0</v>
      </c>
      <c r="AI82">
        <f t="shared" si="18"/>
        <v>1</v>
      </c>
      <c r="AJ82">
        <v>0</v>
      </c>
      <c r="AK82">
        <f t="shared" si="19"/>
        <v>1</v>
      </c>
      <c r="AL82">
        <f t="shared" si="20"/>
        <v>0</v>
      </c>
      <c r="AM82">
        <f t="shared" si="21"/>
        <v>0</v>
      </c>
      <c r="AN82">
        <f t="shared" si="22"/>
        <v>0</v>
      </c>
      <c r="AO82">
        <f t="shared" si="23"/>
        <v>1</v>
      </c>
      <c r="AP82" s="1" t="str">
        <f t="shared" si="24"/>
        <v>衰退</v>
      </c>
    </row>
    <row r="83" spans="1:42" x14ac:dyDescent="0.35">
      <c r="A83" s="19">
        <v>39355</v>
      </c>
      <c r="B83" s="17">
        <v>18.899999999999999</v>
      </c>
      <c r="C83" s="17">
        <v>6.2</v>
      </c>
      <c r="D83" s="17">
        <v>2.7</v>
      </c>
      <c r="E83" s="17">
        <f t="shared" si="0"/>
        <v>4.8</v>
      </c>
      <c r="F83">
        <v>0</v>
      </c>
      <c r="G83">
        <f t="shared" ref="G83:K83" si="86">IF(F83=1,0,1)</f>
        <v>1</v>
      </c>
      <c r="H83">
        <v>1</v>
      </c>
      <c r="I83">
        <f t="shared" si="86"/>
        <v>0</v>
      </c>
      <c r="J83">
        <v>1</v>
      </c>
      <c r="K83">
        <f t="shared" si="86"/>
        <v>0</v>
      </c>
      <c r="L83">
        <v>1</v>
      </c>
      <c r="M83">
        <f t="shared" si="2"/>
        <v>0</v>
      </c>
      <c r="N83">
        <f t="shared" si="3"/>
        <v>0</v>
      </c>
      <c r="O83">
        <f t="shared" si="4"/>
        <v>0</v>
      </c>
      <c r="P83">
        <f t="shared" si="5"/>
        <v>1</v>
      </c>
      <c r="Q83">
        <f t="shared" si="6"/>
        <v>0</v>
      </c>
      <c r="R83" s="1" t="str">
        <f t="shared" si="7"/>
        <v>滞涨</v>
      </c>
      <c r="S83">
        <f t="shared" si="8"/>
        <v>0</v>
      </c>
      <c r="T83">
        <f t="shared" si="9"/>
        <v>0</v>
      </c>
      <c r="U83">
        <f t="shared" si="10"/>
        <v>1</v>
      </c>
      <c r="V83">
        <f t="shared" si="11"/>
        <v>0</v>
      </c>
      <c r="W83" s="1" t="str">
        <f t="shared" si="12"/>
        <v>滞涨</v>
      </c>
      <c r="X83">
        <f t="shared" si="13"/>
        <v>0</v>
      </c>
      <c r="Y83">
        <f t="shared" si="14"/>
        <v>0</v>
      </c>
      <c r="Z83">
        <f t="shared" si="15"/>
        <v>1</v>
      </c>
      <c r="AA83">
        <f t="shared" si="16"/>
        <v>0</v>
      </c>
      <c r="AB83" s="1" t="str">
        <f t="shared" si="17"/>
        <v>滞涨</v>
      </c>
      <c r="AE83" s="19">
        <v>43008</v>
      </c>
      <c r="AF83" s="25">
        <v>6.9</v>
      </c>
      <c r="AG83" s="25">
        <v>4.0850999999999997</v>
      </c>
      <c r="AH83">
        <v>0</v>
      </c>
      <c r="AI83">
        <f t="shared" si="18"/>
        <v>1</v>
      </c>
      <c r="AJ83">
        <v>0</v>
      </c>
      <c r="AK83">
        <f t="shared" si="19"/>
        <v>1</v>
      </c>
      <c r="AL83">
        <f t="shared" si="20"/>
        <v>0</v>
      </c>
      <c r="AM83">
        <f t="shared" si="21"/>
        <v>0</v>
      </c>
      <c r="AN83">
        <f t="shared" si="22"/>
        <v>0</v>
      </c>
      <c r="AO83">
        <f t="shared" si="23"/>
        <v>1</v>
      </c>
      <c r="AP83" s="1" t="str">
        <f t="shared" si="24"/>
        <v>衰退</v>
      </c>
    </row>
    <row r="84" spans="1:42" x14ac:dyDescent="0.35">
      <c r="A84" s="19">
        <v>39386</v>
      </c>
      <c r="B84" s="17">
        <v>17.899999999999999</v>
      </c>
      <c r="C84" s="17">
        <v>6.5</v>
      </c>
      <c r="D84" s="17">
        <v>3.2</v>
      </c>
      <c r="E84" s="17">
        <f t="shared" si="0"/>
        <v>5.18</v>
      </c>
      <c r="F84">
        <v>0</v>
      </c>
      <c r="G84">
        <f t="shared" ref="G84:K84" si="87">IF(F84=1,0,1)</f>
        <v>1</v>
      </c>
      <c r="H84">
        <v>1</v>
      </c>
      <c r="I84">
        <f t="shared" si="87"/>
        <v>0</v>
      </c>
      <c r="J84">
        <v>1</v>
      </c>
      <c r="K84">
        <f t="shared" si="87"/>
        <v>0</v>
      </c>
      <c r="L84">
        <v>1</v>
      </c>
      <c r="M84">
        <f t="shared" si="2"/>
        <v>0</v>
      </c>
      <c r="N84">
        <f t="shared" si="3"/>
        <v>0</v>
      </c>
      <c r="O84">
        <f t="shared" si="4"/>
        <v>0</v>
      </c>
      <c r="P84">
        <f t="shared" si="5"/>
        <v>1</v>
      </c>
      <c r="Q84">
        <f t="shared" si="6"/>
        <v>0</v>
      </c>
      <c r="R84" s="1" t="str">
        <f t="shared" si="7"/>
        <v>滞涨</v>
      </c>
      <c r="S84">
        <f t="shared" si="8"/>
        <v>0</v>
      </c>
      <c r="T84">
        <f t="shared" si="9"/>
        <v>0</v>
      </c>
      <c r="U84">
        <f t="shared" si="10"/>
        <v>1</v>
      </c>
      <c r="V84">
        <f t="shared" si="11"/>
        <v>0</v>
      </c>
      <c r="W84" s="1" t="str">
        <f t="shared" si="12"/>
        <v>滞涨</v>
      </c>
      <c r="X84">
        <f t="shared" si="13"/>
        <v>0</v>
      </c>
      <c r="Y84">
        <f t="shared" si="14"/>
        <v>0</v>
      </c>
      <c r="Z84">
        <f t="shared" si="15"/>
        <v>1</v>
      </c>
      <c r="AA84">
        <f t="shared" si="16"/>
        <v>0</v>
      </c>
      <c r="AB84" s="1" t="str">
        <f t="shared" si="17"/>
        <v>滞涨</v>
      </c>
      <c r="AE84" s="19">
        <v>43100</v>
      </c>
      <c r="AF84" s="25">
        <v>6.8</v>
      </c>
      <c r="AG84" s="25">
        <v>3.9590999999999998</v>
      </c>
      <c r="AH84">
        <v>0</v>
      </c>
      <c r="AI84">
        <f t="shared" si="18"/>
        <v>1</v>
      </c>
      <c r="AJ84">
        <v>0</v>
      </c>
      <c r="AK84">
        <f t="shared" si="19"/>
        <v>1</v>
      </c>
      <c r="AL84">
        <f t="shared" si="20"/>
        <v>0</v>
      </c>
      <c r="AM84">
        <f t="shared" si="21"/>
        <v>0</v>
      </c>
      <c r="AN84">
        <f t="shared" si="22"/>
        <v>0</v>
      </c>
      <c r="AO84">
        <f t="shared" si="23"/>
        <v>1</v>
      </c>
      <c r="AP84" s="1" t="str">
        <f t="shared" si="24"/>
        <v>衰退</v>
      </c>
    </row>
    <row r="85" spans="1:42" x14ac:dyDescent="0.35">
      <c r="A85" s="19">
        <v>39416</v>
      </c>
      <c r="B85" s="17">
        <v>17.3</v>
      </c>
      <c r="C85" s="17">
        <v>6.9</v>
      </c>
      <c r="D85" s="17">
        <v>4.55</v>
      </c>
      <c r="E85" s="17">
        <f t="shared" ref="E85:E148" si="88">0.6*C85+0.4*D85</f>
        <v>5.96</v>
      </c>
      <c r="F85">
        <v>0</v>
      </c>
      <c r="G85">
        <f t="shared" ref="G85:K85" si="89">IF(F85=1,0,1)</f>
        <v>1</v>
      </c>
      <c r="H85">
        <v>1</v>
      </c>
      <c r="I85">
        <f t="shared" si="89"/>
        <v>0</v>
      </c>
      <c r="J85">
        <v>1</v>
      </c>
      <c r="K85">
        <f t="shared" si="89"/>
        <v>0</v>
      </c>
      <c r="L85">
        <v>1</v>
      </c>
      <c r="M85">
        <f t="shared" ref="M85:M148" si="90">IF(L85=1,0,1)</f>
        <v>0</v>
      </c>
      <c r="N85">
        <f t="shared" ref="N85:N148" si="91">IF(F85=1,IF(H85=0,1,0),0)</f>
        <v>0</v>
      </c>
      <c r="O85">
        <f t="shared" ref="O85:O148" si="92">IF(F85=1,IF(H85=1,1,0),0)</f>
        <v>0</v>
      </c>
      <c r="P85">
        <f t="shared" ref="P85:P148" si="93">IF(F85=0,IF(H85=1,1,0),0)</f>
        <v>1</v>
      </c>
      <c r="Q85">
        <f t="shared" ref="Q85:Q148" si="94">IF(F85=0,IF(H85=0,1,0),0)</f>
        <v>0</v>
      </c>
      <c r="R85" s="1" t="str">
        <f t="shared" ref="R85:R148" si="95">INDEX($N$20:$Q$20,1,MATCH(1,N85:Q85,0))</f>
        <v>滞涨</v>
      </c>
      <c r="S85">
        <f t="shared" ref="S85:S148" si="96">IF(F85=1,IF(J85=0,1,0),0)</f>
        <v>0</v>
      </c>
      <c r="T85">
        <f t="shared" ref="T85:T148" si="97">IF(F85=1,IF(J85=1,1,0),0)</f>
        <v>0</v>
      </c>
      <c r="U85">
        <f t="shared" ref="U85:U148" si="98">IF(F85=0,IF(J85=1,1,0),0)</f>
        <v>1</v>
      </c>
      <c r="V85">
        <f t="shared" ref="V85:V148" si="99">IF(F85=0,IF(J85=0,1,0),0)</f>
        <v>0</v>
      </c>
      <c r="W85" s="1" t="str">
        <f t="shared" ref="W85:W148" si="100">INDEX($S$20:$V$20,1,MATCH(1,S85:V85,0))</f>
        <v>滞涨</v>
      </c>
      <c r="X85">
        <f t="shared" ref="X85:X148" si="101">IF(F85=1,IF(L85=0,1,0),0)</f>
        <v>0</v>
      </c>
      <c r="Y85">
        <f t="shared" ref="Y85:Y148" si="102">IF(F85=1,IF(L85=1,1,0),0)</f>
        <v>0</v>
      </c>
      <c r="Z85">
        <f t="shared" ref="Z85:Z148" si="103">IF(F85=0,IF(L85=1,1,0),0)</f>
        <v>1</v>
      </c>
      <c r="AA85">
        <f t="shared" ref="AA85:AA148" si="104">IF(F85=0,IF(L85=0,1,0),0)</f>
        <v>0</v>
      </c>
      <c r="AB85" s="1" t="str">
        <f t="shared" ref="AB85:AB148" si="105">INDEX($X$20:$AA$20,1,MATCH(1,X85:AA85,0))</f>
        <v>滞涨</v>
      </c>
      <c r="AE85" s="19">
        <v>43190</v>
      </c>
      <c r="AF85" s="25">
        <v>6.9</v>
      </c>
      <c r="AG85" s="25">
        <v>3.0129000000000001</v>
      </c>
      <c r="AH85">
        <v>0</v>
      </c>
      <c r="AI85">
        <f t="shared" ref="AI85:AI109" si="106">IF(AH85=1,0,1)</f>
        <v>1</v>
      </c>
      <c r="AJ85">
        <v>0</v>
      </c>
      <c r="AK85">
        <f t="shared" ref="AK85:AK109" si="107">IF(AJ85=1,0,1)</f>
        <v>1</v>
      </c>
      <c r="AL85">
        <f t="shared" ref="AL85:AL109" si="108">IF(AH85=1,IF(AJ85=0,1,0),0)</f>
        <v>0</v>
      </c>
      <c r="AM85">
        <f t="shared" ref="AM85:AM109" si="109">IF(AH85=1,IF(AJ85=1,1,0),0)</f>
        <v>0</v>
      </c>
      <c r="AN85">
        <f t="shared" ref="AN85:AN109" si="110">IF(AH85=0,IF(AJ85=1,1,0),0)</f>
        <v>0</v>
      </c>
      <c r="AO85">
        <f t="shared" ref="AO85:AO109" si="111">IF(AH85=0,IF(AJ85=0,1,0),0)</f>
        <v>1</v>
      </c>
      <c r="AP85" s="1" t="str">
        <f t="shared" ref="AP85:AP109" si="112">INDEX($AL$20:$AO$20,1,MATCH(1,AL85:AO85,0))</f>
        <v>衰退</v>
      </c>
    </row>
    <row r="86" spans="1:42" x14ac:dyDescent="0.35">
      <c r="A86" s="19">
        <v>39447</v>
      </c>
      <c r="B86" s="17">
        <v>17.399999999999999</v>
      </c>
      <c r="C86" s="17">
        <v>6.5</v>
      </c>
      <c r="D86" s="17">
        <v>5.43</v>
      </c>
      <c r="E86" s="17">
        <f t="shared" si="88"/>
        <v>6.0720000000000001</v>
      </c>
      <c r="F86">
        <v>0</v>
      </c>
      <c r="G86">
        <f t="shared" ref="G86:K86" si="113">IF(F86=1,0,1)</f>
        <v>1</v>
      </c>
      <c r="H86">
        <v>1</v>
      </c>
      <c r="I86">
        <f t="shared" si="113"/>
        <v>0</v>
      </c>
      <c r="J86">
        <v>1</v>
      </c>
      <c r="K86">
        <f t="shared" si="113"/>
        <v>0</v>
      </c>
      <c r="L86">
        <v>1</v>
      </c>
      <c r="M86">
        <f t="shared" si="90"/>
        <v>0</v>
      </c>
      <c r="N86">
        <f t="shared" si="91"/>
        <v>0</v>
      </c>
      <c r="O86">
        <f t="shared" si="92"/>
        <v>0</v>
      </c>
      <c r="P86">
        <f t="shared" si="93"/>
        <v>1</v>
      </c>
      <c r="Q86">
        <f t="shared" si="94"/>
        <v>0</v>
      </c>
      <c r="R86" s="1" t="str">
        <f t="shared" si="95"/>
        <v>滞涨</v>
      </c>
      <c r="S86">
        <f t="shared" si="96"/>
        <v>0</v>
      </c>
      <c r="T86">
        <f t="shared" si="97"/>
        <v>0</v>
      </c>
      <c r="U86">
        <f t="shared" si="98"/>
        <v>1</v>
      </c>
      <c r="V86">
        <f t="shared" si="99"/>
        <v>0</v>
      </c>
      <c r="W86" s="1" t="str">
        <f t="shared" si="100"/>
        <v>滞涨</v>
      </c>
      <c r="X86">
        <f t="shared" si="101"/>
        <v>0</v>
      </c>
      <c r="Y86">
        <f t="shared" si="102"/>
        <v>0</v>
      </c>
      <c r="Z86">
        <f t="shared" si="103"/>
        <v>1</v>
      </c>
      <c r="AA86">
        <f t="shared" si="104"/>
        <v>0</v>
      </c>
      <c r="AB86" s="1" t="str">
        <f t="shared" si="105"/>
        <v>滞涨</v>
      </c>
      <c r="AE86" s="19">
        <v>43281</v>
      </c>
      <c r="AF86" s="25">
        <v>6.9</v>
      </c>
      <c r="AG86" s="25">
        <v>2.7614000000000001</v>
      </c>
      <c r="AH86">
        <v>0</v>
      </c>
      <c r="AI86">
        <f t="shared" si="106"/>
        <v>1</v>
      </c>
      <c r="AJ86">
        <v>0</v>
      </c>
      <c r="AK86">
        <f t="shared" si="107"/>
        <v>1</v>
      </c>
      <c r="AL86">
        <f t="shared" si="108"/>
        <v>0</v>
      </c>
      <c r="AM86">
        <f t="shared" si="109"/>
        <v>0</v>
      </c>
      <c r="AN86">
        <f t="shared" si="110"/>
        <v>0</v>
      </c>
      <c r="AO86">
        <f t="shared" si="111"/>
        <v>1</v>
      </c>
      <c r="AP86" s="1" t="str">
        <f t="shared" si="112"/>
        <v>衰退</v>
      </c>
    </row>
    <row r="87" spans="1:42" x14ac:dyDescent="0.35">
      <c r="A87" s="19">
        <v>39507</v>
      </c>
      <c r="B87" s="17">
        <v>15.4</v>
      </c>
      <c r="C87" s="17">
        <v>7.9</v>
      </c>
      <c r="D87" s="17">
        <v>6.4</v>
      </c>
      <c r="E87" s="17">
        <f t="shared" si="88"/>
        <v>7.3000000000000007</v>
      </c>
      <c r="F87">
        <v>0</v>
      </c>
      <c r="G87">
        <f t="shared" ref="G87:K87" si="114">IF(F87=1,0,1)</f>
        <v>1</v>
      </c>
      <c r="H87">
        <v>1</v>
      </c>
      <c r="I87">
        <f t="shared" si="114"/>
        <v>0</v>
      </c>
      <c r="J87">
        <v>1</v>
      </c>
      <c r="K87">
        <f t="shared" si="114"/>
        <v>0</v>
      </c>
      <c r="L87">
        <v>1</v>
      </c>
      <c r="M87">
        <f t="shared" si="90"/>
        <v>0</v>
      </c>
      <c r="N87">
        <f t="shared" si="91"/>
        <v>0</v>
      </c>
      <c r="O87">
        <f t="shared" si="92"/>
        <v>0</v>
      </c>
      <c r="P87">
        <f t="shared" si="93"/>
        <v>1</v>
      </c>
      <c r="Q87">
        <f t="shared" si="94"/>
        <v>0</v>
      </c>
      <c r="R87" s="1" t="str">
        <f t="shared" si="95"/>
        <v>滞涨</v>
      </c>
      <c r="S87">
        <f t="shared" si="96"/>
        <v>0</v>
      </c>
      <c r="T87">
        <f t="shared" si="97"/>
        <v>0</v>
      </c>
      <c r="U87">
        <f t="shared" si="98"/>
        <v>1</v>
      </c>
      <c r="V87">
        <f t="shared" si="99"/>
        <v>0</v>
      </c>
      <c r="W87" s="1" t="str">
        <f t="shared" si="100"/>
        <v>滞涨</v>
      </c>
      <c r="X87">
        <f t="shared" si="101"/>
        <v>0</v>
      </c>
      <c r="Y87">
        <f t="shared" si="102"/>
        <v>0</v>
      </c>
      <c r="Z87">
        <f t="shared" si="103"/>
        <v>1</v>
      </c>
      <c r="AA87">
        <f t="shared" si="104"/>
        <v>0</v>
      </c>
      <c r="AB87" s="1" t="str">
        <f t="shared" si="105"/>
        <v>滞涨</v>
      </c>
      <c r="AE87" s="19">
        <v>43373</v>
      </c>
      <c r="AF87" s="25">
        <v>6.7</v>
      </c>
      <c r="AG87" s="25">
        <v>2.8254000000000001</v>
      </c>
      <c r="AH87">
        <v>0</v>
      </c>
      <c r="AI87">
        <f t="shared" si="106"/>
        <v>1</v>
      </c>
      <c r="AJ87">
        <v>0</v>
      </c>
      <c r="AK87">
        <f t="shared" si="107"/>
        <v>1</v>
      </c>
      <c r="AL87">
        <f t="shared" si="108"/>
        <v>0</v>
      </c>
      <c r="AM87">
        <f t="shared" si="109"/>
        <v>0</v>
      </c>
      <c r="AN87">
        <f t="shared" si="110"/>
        <v>0</v>
      </c>
      <c r="AO87">
        <f t="shared" si="111"/>
        <v>1</v>
      </c>
      <c r="AP87" s="1" t="str">
        <f t="shared" si="112"/>
        <v>衰退</v>
      </c>
    </row>
    <row r="88" spans="1:42" x14ac:dyDescent="0.35">
      <c r="A88" s="19">
        <v>39538</v>
      </c>
      <c r="B88" s="17">
        <v>17.8</v>
      </c>
      <c r="C88" s="17">
        <v>8.3000000000000007</v>
      </c>
      <c r="D88" s="17">
        <v>7.95</v>
      </c>
      <c r="E88" s="17">
        <f t="shared" si="88"/>
        <v>8.16</v>
      </c>
      <c r="F88">
        <v>0</v>
      </c>
      <c r="G88">
        <f t="shared" ref="G88:K88" si="115">IF(F88=1,0,1)</f>
        <v>1</v>
      </c>
      <c r="H88">
        <v>1</v>
      </c>
      <c r="I88">
        <f t="shared" si="115"/>
        <v>0</v>
      </c>
      <c r="J88">
        <v>1</v>
      </c>
      <c r="K88">
        <f t="shared" si="115"/>
        <v>0</v>
      </c>
      <c r="L88">
        <v>1</v>
      </c>
      <c r="M88">
        <f t="shared" si="90"/>
        <v>0</v>
      </c>
      <c r="N88">
        <f t="shared" si="91"/>
        <v>0</v>
      </c>
      <c r="O88">
        <f t="shared" si="92"/>
        <v>0</v>
      </c>
      <c r="P88">
        <f t="shared" si="93"/>
        <v>1</v>
      </c>
      <c r="Q88">
        <f t="shared" si="94"/>
        <v>0</v>
      </c>
      <c r="R88" s="1" t="str">
        <f t="shared" si="95"/>
        <v>滞涨</v>
      </c>
      <c r="S88">
        <f t="shared" si="96"/>
        <v>0</v>
      </c>
      <c r="T88">
        <f t="shared" si="97"/>
        <v>0</v>
      </c>
      <c r="U88">
        <f t="shared" si="98"/>
        <v>1</v>
      </c>
      <c r="V88">
        <f t="shared" si="99"/>
        <v>0</v>
      </c>
      <c r="W88" s="1" t="str">
        <f t="shared" si="100"/>
        <v>滞涨</v>
      </c>
      <c r="X88">
        <f t="shared" si="101"/>
        <v>0</v>
      </c>
      <c r="Y88">
        <f t="shared" si="102"/>
        <v>0</v>
      </c>
      <c r="Z88">
        <f t="shared" si="103"/>
        <v>1</v>
      </c>
      <c r="AA88">
        <f t="shared" si="104"/>
        <v>0</v>
      </c>
      <c r="AB88" s="1" t="str">
        <f t="shared" si="105"/>
        <v>滞涨</v>
      </c>
      <c r="AE88" s="19">
        <v>43465</v>
      </c>
      <c r="AF88" s="25">
        <v>6.5</v>
      </c>
      <c r="AG88" s="25">
        <v>1.6041000000000001</v>
      </c>
      <c r="AH88">
        <v>0</v>
      </c>
      <c r="AI88">
        <f t="shared" si="106"/>
        <v>1</v>
      </c>
      <c r="AJ88">
        <v>0</v>
      </c>
      <c r="AK88">
        <f t="shared" si="107"/>
        <v>1</v>
      </c>
      <c r="AL88">
        <f t="shared" si="108"/>
        <v>0</v>
      </c>
      <c r="AM88">
        <f t="shared" si="109"/>
        <v>0</v>
      </c>
      <c r="AN88">
        <f t="shared" si="110"/>
        <v>0</v>
      </c>
      <c r="AO88">
        <f t="shared" si="111"/>
        <v>1</v>
      </c>
      <c r="AP88" s="1" t="str">
        <f t="shared" si="112"/>
        <v>衰退</v>
      </c>
    </row>
    <row r="89" spans="1:42" x14ac:dyDescent="0.35">
      <c r="A89" s="19">
        <v>39568</v>
      </c>
      <c r="B89" s="17">
        <v>15.7</v>
      </c>
      <c r="C89" s="17">
        <v>8.5</v>
      </c>
      <c r="D89" s="17">
        <v>8.1199999999999992</v>
      </c>
      <c r="E89" s="17">
        <f t="shared" si="88"/>
        <v>8.347999999999999</v>
      </c>
      <c r="F89">
        <v>0</v>
      </c>
      <c r="G89">
        <f t="shared" ref="G89:K89" si="116">IF(F89=1,0,1)</f>
        <v>1</v>
      </c>
      <c r="H89">
        <v>1</v>
      </c>
      <c r="I89">
        <f t="shared" si="116"/>
        <v>0</v>
      </c>
      <c r="J89">
        <v>1</v>
      </c>
      <c r="K89">
        <f t="shared" si="116"/>
        <v>0</v>
      </c>
      <c r="L89">
        <v>1</v>
      </c>
      <c r="M89">
        <f t="shared" si="90"/>
        <v>0</v>
      </c>
      <c r="N89">
        <f t="shared" si="91"/>
        <v>0</v>
      </c>
      <c r="O89">
        <f t="shared" si="92"/>
        <v>0</v>
      </c>
      <c r="P89">
        <f t="shared" si="93"/>
        <v>1</v>
      </c>
      <c r="Q89">
        <f t="shared" si="94"/>
        <v>0</v>
      </c>
      <c r="R89" s="1" t="str">
        <f t="shared" si="95"/>
        <v>滞涨</v>
      </c>
      <c r="S89">
        <f t="shared" si="96"/>
        <v>0</v>
      </c>
      <c r="T89">
        <f t="shared" si="97"/>
        <v>0</v>
      </c>
      <c r="U89">
        <f t="shared" si="98"/>
        <v>1</v>
      </c>
      <c r="V89">
        <f t="shared" si="99"/>
        <v>0</v>
      </c>
      <c r="W89" s="1" t="str">
        <f t="shared" si="100"/>
        <v>滞涨</v>
      </c>
      <c r="X89">
        <f t="shared" si="101"/>
        <v>0</v>
      </c>
      <c r="Y89">
        <f t="shared" si="102"/>
        <v>0</v>
      </c>
      <c r="Z89">
        <f t="shared" si="103"/>
        <v>1</v>
      </c>
      <c r="AA89">
        <f t="shared" si="104"/>
        <v>0</v>
      </c>
      <c r="AB89" s="1" t="str">
        <f t="shared" si="105"/>
        <v>滞涨</v>
      </c>
      <c r="AE89" s="19">
        <v>43555</v>
      </c>
      <c r="AF89" s="25">
        <v>6.3</v>
      </c>
      <c r="AG89" s="25">
        <v>0.91149999999999998</v>
      </c>
      <c r="AH89">
        <v>0</v>
      </c>
      <c r="AI89">
        <f t="shared" si="106"/>
        <v>1</v>
      </c>
      <c r="AJ89">
        <v>0</v>
      </c>
      <c r="AK89">
        <f t="shared" si="107"/>
        <v>1</v>
      </c>
      <c r="AL89">
        <f t="shared" si="108"/>
        <v>0</v>
      </c>
      <c r="AM89">
        <f t="shared" si="109"/>
        <v>0</v>
      </c>
      <c r="AN89">
        <f t="shared" si="110"/>
        <v>0</v>
      </c>
      <c r="AO89">
        <f t="shared" si="111"/>
        <v>1</v>
      </c>
      <c r="AP89" s="1" t="str">
        <f t="shared" si="112"/>
        <v>衰退</v>
      </c>
    </row>
    <row r="90" spans="1:42" x14ac:dyDescent="0.35">
      <c r="A90" s="19">
        <v>39599</v>
      </c>
      <c r="B90" s="17">
        <v>16</v>
      </c>
      <c r="C90" s="17">
        <v>7.7</v>
      </c>
      <c r="D90" s="17">
        <v>8.2200000000000006</v>
      </c>
      <c r="E90" s="17">
        <f t="shared" si="88"/>
        <v>7.9080000000000004</v>
      </c>
      <c r="F90">
        <v>0</v>
      </c>
      <c r="G90">
        <f t="shared" ref="G90:K90" si="117">IF(F90=1,0,1)</f>
        <v>1</v>
      </c>
      <c r="H90">
        <v>0</v>
      </c>
      <c r="I90">
        <f t="shared" si="117"/>
        <v>1</v>
      </c>
      <c r="J90">
        <v>1</v>
      </c>
      <c r="K90">
        <f t="shared" si="117"/>
        <v>0</v>
      </c>
      <c r="L90">
        <v>0</v>
      </c>
      <c r="M90">
        <f t="shared" si="90"/>
        <v>1</v>
      </c>
      <c r="N90">
        <f t="shared" si="91"/>
        <v>0</v>
      </c>
      <c r="O90">
        <f t="shared" si="92"/>
        <v>0</v>
      </c>
      <c r="P90">
        <f t="shared" si="93"/>
        <v>0</v>
      </c>
      <c r="Q90">
        <f t="shared" si="94"/>
        <v>1</v>
      </c>
      <c r="R90" s="1" t="str">
        <f t="shared" si="95"/>
        <v>衰退</v>
      </c>
      <c r="S90">
        <f t="shared" si="96"/>
        <v>0</v>
      </c>
      <c r="T90">
        <f t="shared" si="97"/>
        <v>0</v>
      </c>
      <c r="U90">
        <f t="shared" si="98"/>
        <v>1</v>
      </c>
      <c r="V90">
        <f t="shared" si="99"/>
        <v>0</v>
      </c>
      <c r="W90" s="1" t="str">
        <f t="shared" si="100"/>
        <v>滞涨</v>
      </c>
      <c r="X90">
        <f t="shared" si="101"/>
        <v>0</v>
      </c>
      <c r="Y90">
        <f t="shared" si="102"/>
        <v>0</v>
      </c>
      <c r="Z90">
        <f t="shared" si="103"/>
        <v>0</v>
      </c>
      <c r="AA90">
        <f t="shared" si="104"/>
        <v>1</v>
      </c>
      <c r="AB90" s="1" t="str">
        <f t="shared" si="105"/>
        <v>衰退</v>
      </c>
      <c r="AE90" s="19">
        <v>43646</v>
      </c>
      <c r="AF90" s="25">
        <v>6</v>
      </c>
      <c r="AG90" s="25">
        <v>1.5699000000000001</v>
      </c>
      <c r="AH90">
        <v>0</v>
      </c>
      <c r="AI90">
        <f t="shared" si="106"/>
        <v>1</v>
      </c>
      <c r="AJ90">
        <v>0</v>
      </c>
      <c r="AK90">
        <f t="shared" si="107"/>
        <v>1</v>
      </c>
      <c r="AL90">
        <f t="shared" si="108"/>
        <v>0</v>
      </c>
      <c r="AM90">
        <f t="shared" si="109"/>
        <v>0</v>
      </c>
      <c r="AN90">
        <f t="shared" si="110"/>
        <v>0</v>
      </c>
      <c r="AO90">
        <f t="shared" si="111"/>
        <v>1</v>
      </c>
      <c r="AP90" s="1" t="str">
        <f t="shared" si="112"/>
        <v>衰退</v>
      </c>
    </row>
    <row r="91" spans="1:42" x14ac:dyDescent="0.35">
      <c r="A91" s="19">
        <v>39629</v>
      </c>
      <c r="B91" s="17">
        <v>16</v>
      </c>
      <c r="C91" s="17">
        <v>7.1</v>
      </c>
      <c r="D91" s="17">
        <v>8.84</v>
      </c>
      <c r="E91" s="17">
        <f t="shared" si="88"/>
        <v>7.7959999999999994</v>
      </c>
      <c r="F91">
        <v>0</v>
      </c>
      <c r="G91">
        <f t="shared" ref="G91:K91" si="118">IF(F91=1,0,1)</f>
        <v>1</v>
      </c>
      <c r="H91">
        <v>0</v>
      </c>
      <c r="I91">
        <f t="shared" si="118"/>
        <v>1</v>
      </c>
      <c r="J91">
        <v>1</v>
      </c>
      <c r="K91">
        <f t="shared" si="118"/>
        <v>0</v>
      </c>
      <c r="L91">
        <v>0</v>
      </c>
      <c r="M91">
        <f t="shared" si="90"/>
        <v>1</v>
      </c>
      <c r="N91">
        <f t="shared" si="91"/>
        <v>0</v>
      </c>
      <c r="O91">
        <f t="shared" si="92"/>
        <v>0</v>
      </c>
      <c r="P91">
        <f t="shared" si="93"/>
        <v>0</v>
      </c>
      <c r="Q91">
        <f t="shared" si="94"/>
        <v>1</v>
      </c>
      <c r="R91" s="1" t="str">
        <f t="shared" si="95"/>
        <v>衰退</v>
      </c>
      <c r="S91">
        <f t="shared" si="96"/>
        <v>0</v>
      </c>
      <c r="T91">
        <f t="shared" si="97"/>
        <v>0</v>
      </c>
      <c r="U91">
        <f t="shared" si="98"/>
        <v>1</v>
      </c>
      <c r="V91">
        <f t="shared" si="99"/>
        <v>0</v>
      </c>
      <c r="W91" s="1" t="str">
        <f t="shared" si="100"/>
        <v>滞涨</v>
      </c>
      <c r="X91">
        <f t="shared" si="101"/>
        <v>0</v>
      </c>
      <c r="Y91">
        <f t="shared" si="102"/>
        <v>0</v>
      </c>
      <c r="Z91">
        <f t="shared" si="103"/>
        <v>0</v>
      </c>
      <c r="AA91">
        <f t="shared" si="104"/>
        <v>1</v>
      </c>
      <c r="AB91" s="1" t="str">
        <f t="shared" si="105"/>
        <v>衰退</v>
      </c>
      <c r="AE91" s="19">
        <v>43738</v>
      </c>
      <c r="AF91" s="25">
        <v>5.9</v>
      </c>
      <c r="AG91" s="25">
        <v>0.41110000000000002</v>
      </c>
      <c r="AH91">
        <v>0</v>
      </c>
      <c r="AI91">
        <f t="shared" si="106"/>
        <v>1</v>
      </c>
      <c r="AJ91">
        <v>0</v>
      </c>
      <c r="AK91">
        <f t="shared" si="107"/>
        <v>1</v>
      </c>
      <c r="AL91">
        <f t="shared" si="108"/>
        <v>0</v>
      </c>
      <c r="AM91">
        <f t="shared" si="109"/>
        <v>0</v>
      </c>
      <c r="AN91">
        <f t="shared" si="110"/>
        <v>0</v>
      </c>
      <c r="AO91">
        <f t="shared" si="111"/>
        <v>1</v>
      </c>
      <c r="AP91" s="1" t="str">
        <f t="shared" si="112"/>
        <v>衰退</v>
      </c>
    </row>
    <row r="92" spans="1:42" x14ac:dyDescent="0.35">
      <c r="A92" s="19">
        <v>39660</v>
      </c>
      <c r="B92" s="17">
        <v>14.7</v>
      </c>
      <c r="C92" s="17">
        <v>6.3</v>
      </c>
      <c r="D92" s="17">
        <v>10.029999999999999</v>
      </c>
      <c r="E92" s="17">
        <f t="shared" si="88"/>
        <v>7.7919999999999998</v>
      </c>
      <c r="F92">
        <v>0</v>
      </c>
      <c r="G92">
        <f t="shared" ref="G92:K92" si="119">IF(F92=1,0,1)</f>
        <v>1</v>
      </c>
      <c r="H92">
        <v>0</v>
      </c>
      <c r="I92">
        <f t="shared" si="119"/>
        <v>1</v>
      </c>
      <c r="J92">
        <v>1</v>
      </c>
      <c r="K92">
        <f t="shared" si="119"/>
        <v>0</v>
      </c>
      <c r="L92">
        <v>0</v>
      </c>
      <c r="M92">
        <f t="shared" si="90"/>
        <v>1</v>
      </c>
      <c r="N92">
        <f t="shared" si="91"/>
        <v>0</v>
      </c>
      <c r="O92">
        <f t="shared" si="92"/>
        <v>0</v>
      </c>
      <c r="P92">
        <f t="shared" si="93"/>
        <v>0</v>
      </c>
      <c r="Q92">
        <f t="shared" si="94"/>
        <v>1</v>
      </c>
      <c r="R92" s="1" t="str">
        <f t="shared" si="95"/>
        <v>衰退</v>
      </c>
      <c r="S92">
        <f t="shared" si="96"/>
        <v>0</v>
      </c>
      <c r="T92">
        <f t="shared" si="97"/>
        <v>0</v>
      </c>
      <c r="U92">
        <f t="shared" si="98"/>
        <v>1</v>
      </c>
      <c r="V92">
        <f t="shared" si="99"/>
        <v>0</v>
      </c>
      <c r="W92" s="1" t="str">
        <f t="shared" si="100"/>
        <v>滞涨</v>
      </c>
      <c r="X92">
        <f t="shared" si="101"/>
        <v>0</v>
      </c>
      <c r="Y92">
        <f t="shared" si="102"/>
        <v>0</v>
      </c>
      <c r="Z92">
        <f t="shared" si="103"/>
        <v>0</v>
      </c>
      <c r="AA92">
        <f t="shared" si="104"/>
        <v>1</v>
      </c>
      <c r="AB92" s="1" t="str">
        <f t="shared" si="105"/>
        <v>衰退</v>
      </c>
      <c r="AE92" s="19">
        <v>43830</v>
      </c>
      <c r="AF92" s="25">
        <v>5.8</v>
      </c>
      <c r="AG92" s="25">
        <v>3.4243000000000001</v>
      </c>
      <c r="AH92">
        <v>0</v>
      </c>
      <c r="AI92">
        <f t="shared" si="106"/>
        <v>1</v>
      </c>
      <c r="AJ92">
        <v>0</v>
      </c>
      <c r="AK92">
        <f t="shared" si="107"/>
        <v>1</v>
      </c>
      <c r="AL92">
        <f t="shared" si="108"/>
        <v>0</v>
      </c>
      <c r="AM92">
        <f t="shared" si="109"/>
        <v>0</v>
      </c>
      <c r="AN92">
        <f t="shared" si="110"/>
        <v>0</v>
      </c>
      <c r="AO92">
        <f t="shared" si="111"/>
        <v>1</v>
      </c>
      <c r="AP92" s="1" t="str">
        <f t="shared" si="112"/>
        <v>衰退</v>
      </c>
    </row>
    <row r="93" spans="1:42" x14ac:dyDescent="0.35">
      <c r="A93" s="19">
        <v>39691</v>
      </c>
      <c r="B93" s="17">
        <v>12.8</v>
      </c>
      <c r="C93" s="17">
        <v>4.9000000000000004</v>
      </c>
      <c r="D93" s="17">
        <v>10.06</v>
      </c>
      <c r="E93" s="17">
        <f t="shared" si="88"/>
        <v>6.9640000000000004</v>
      </c>
      <c r="F93">
        <v>0</v>
      </c>
      <c r="G93">
        <f t="shared" ref="G93:K93" si="120">IF(F93=1,0,1)</f>
        <v>1</v>
      </c>
      <c r="H93">
        <v>0</v>
      </c>
      <c r="I93">
        <f t="shared" si="120"/>
        <v>1</v>
      </c>
      <c r="J93">
        <v>1</v>
      </c>
      <c r="K93">
        <f t="shared" si="120"/>
        <v>0</v>
      </c>
      <c r="L93">
        <v>0</v>
      </c>
      <c r="M93">
        <f t="shared" si="90"/>
        <v>1</v>
      </c>
      <c r="N93">
        <f t="shared" si="91"/>
        <v>0</v>
      </c>
      <c r="O93">
        <f t="shared" si="92"/>
        <v>0</v>
      </c>
      <c r="P93">
        <f t="shared" si="93"/>
        <v>0</v>
      </c>
      <c r="Q93">
        <f t="shared" si="94"/>
        <v>1</v>
      </c>
      <c r="R93" s="1" t="str">
        <f t="shared" si="95"/>
        <v>衰退</v>
      </c>
      <c r="S93">
        <f t="shared" si="96"/>
        <v>0</v>
      </c>
      <c r="T93">
        <f t="shared" si="97"/>
        <v>0</v>
      </c>
      <c r="U93">
        <f t="shared" si="98"/>
        <v>1</v>
      </c>
      <c r="V93">
        <f t="shared" si="99"/>
        <v>0</v>
      </c>
      <c r="W93" s="1" t="str">
        <f t="shared" si="100"/>
        <v>滞涨</v>
      </c>
      <c r="X93">
        <f t="shared" si="101"/>
        <v>0</v>
      </c>
      <c r="Y93">
        <f t="shared" si="102"/>
        <v>0</v>
      </c>
      <c r="Z93">
        <f t="shared" si="103"/>
        <v>0</v>
      </c>
      <c r="AA93">
        <f t="shared" si="104"/>
        <v>1</v>
      </c>
      <c r="AB93" s="1" t="str">
        <f t="shared" si="105"/>
        <v>衰退</v>
      </c>
      <c r="AE93" s="19">
        <v>43921</v>
      </c>
      <c r="AF93" s="25">
        <v>-6.9</v>
      </c>
      <c r="AG93" s="25">
        <v>3.8128000000000002</v>
      </c>
      <c r="AH93">
        <v>0</v>
      </c>
      <c r="AI93">
        <f t="shared" si="106"/>
        <v>1</v>
      </c>
      <c r="AJ93">
        <v>0</v>
      </c>
      <c r="AK93">
        <f t="shared" si="107"/>
        <v>1</v>
      </c>
      <c r="AL93">
        <f t="shared" si="108"/>
        <v>0</v>
      </c>
      <c r="AM93">
        <f t="shared" si="109"/>
        <v>0</v>
      </c>
      <c r="AN93">
        <f t="shared" si="110"/>
        <v>0</v>
      </c>
      <c r="AO93">
        <f t="shared" si="111"/>
        <v>1</v>
      </c>
      <c r="AP93" s="1" t="str">
        <f t="shared" si="112"/>
        <v>衰退</v>
      </c>
    </row>
    <row r="94" spans="1:42" x14ac:dyDescent="0.35">
      <c r="A94" s="19">
        <v>39721</v>
      </c>
      <c r="B94" s="17">
        <v>11.4</v>
      </c>
      <c r="C94" s="17">
        <v>4.5999999999999996</v>
      </c>
      <c r="D94" s="17">
        <v>9.1300000000000008</v>
      </c>
      <c r="E94" s="17">
        <f t="shared" si="88"/>
        <v>6.4120000000000008</v>
      </c>
      <c r="F94">
        <v>0</v>
      </c>
      <c r="G94">
        <f t="shared" ref="G94:K94" si="121">IF(F94=1,0,1)</f>
        <v>1</v>
      </c>
      <c r="H94">
        <v>0</v>
      </c>
      <c r="I94">
        <f t="shared" si="121"/>
        <v>1</v>
      </c>
      <c r="J94">
        <v>0</v>
      </c>
      <c r="K94">
        <f t="shared" si="121"/>
        <v>1</v>
      </c>
      <c r="L94">
        <v>0</v>
      </c>
      <c r="M94">
        <f t="shared" si="90"/>
        <v>1</v>
      </c>
      <c r="N94">
        <f t="shared" si="91"/>
        <v>0</v>
      </c>
      <c r="O94">
        <f t="shared" si="92"/>
        <v>0</v>
      </c>
      <c r="P94">
        <f t="shared" si="93"/>
        <v>0</v>
      </c>
      <c r="Q94">
        <f t="shared" si="94"/>
        <v>1</v>
      </c>
      <c r="R94" s="1" t="str">
        <f t="shared" si="95"/>
        <v>衰退</v>
      </c>
      <c r="S94">
        <f t="shared" si="96"/>
        <v>0</v>
      </c>
      <c r="T94">
        <f t="shared" si="97"/>
        <v>0</v>
      </c>
      <c r="U94">
        <f t="shared" si="98"/>
        <v>0</v>
      </c>
      <c r="V94">
        <f t="shared" si="99"/>
        <v>1</v>
      </c>
      <c r="W94" s="1" t="str">
        <f t="shared" si="100"/>
        <v>衰退</v>
      </c>
      <c r="X94">
        <f t="shared" si="101"/>
        <v>0</v>
      </c>
      <c r="Y94">
        <f t="shared" si="102"/>
        <v>0</v>
      </c>
      <c r="Z94">
        <f t="shared" si="103"/>
        <v>0</v>
      </c>
      <c r="AA94">
        <f t="shared" si="104"/>
        <v>1</v>
      </c>
      <c r="AB94" s="1" t="str">
        <f t="shared" si="105"/>
        <v>衰退</v>
      </c>
      <c r="AE94" s="19">
        <v>44012</v>
      </c>
      <c r="AF94" s="25">
        <v>3.1</v>
      </c>
      <c r="AG94" s="25">
        <v>2.0440999999999998</v>
      </c>
      <c r="AH94">
        <v>1</v>
      </c>
      <c r="AI94">
        <f t="shared" si="106"/>
        <v>0</v>
      </c>
      <c r="AJ94">
        <v>0</v>
      </c>
      <c r="AK94">
        <f t="shared" si="107"/>
        <v>1</v>
      </c>
      <c r="AL94">
        <f t="shared" si="108"/>
        <v>1</v>
      </c>
      <c r="AM94">
        <f t="shared" si="109"/>
        <v>0</v>
      </c>
      <c r="AN94">
        <f t="shared" si="110"/>
        <v>0</v>
      </c>
      <c r="AO94">
        <f t="shared" si="111"/>
        <v>0</v>
      </c>
      <c r="AP94" s="1" t="str">
        <f t="shared" si="112"/>
        <v>复苏</v>
      </c>
    </row>
    <row r="95" spans="1:42" x14ac:dyDescent="0.35">
      <c r="A95" s="19">
        <v>39752</v>
      </c>
      <c r="B95" s="17">
        <v>8.1999999999999993</v>
      </c>
      <c r="C95" s="17">
        <v>4</v>
      </c>
      <c r="D95" s="17">
        <v>6.59</v>
      </c>
      <c r="E95" s="17">
        <f t="shared" si="88"/>
        <v>5.0359999999999996</v>
      </c>
      <c r="F95">
        <v>0</v>
      </c>
      <c r="G95">
        <f t="shared" ref="G95:K95" si="122">IF(F95=1,0,1)</f>
        <v>1</v>
      </c>
      <c r="H95">
        <v>0</v>
      </c>
      <c r="I95">
        <f t="shared" si="122"/>
        <v>1</v>
      </c>
      <c r="J95">
        <v>0</v>
      </c>
      <c r="K95">
        <f t="shared" si="122"/>
        <v>1</v>
      </c>
      <c r="L95">
        <v>0</v>
      </c>
      <c r="M95">
        <f t="shared" si="90"/>
        <v>1</v>
      </c>
      <c r="N95">
        <f t="shared" si="91"/>
        <v>0</v>
      </c>
      <c r="O95">
        <f t="shared" si="92"/>
        <v>0</v>
      </c>
      <c r="P95">
        <f t="shared" si="93"/>
        <v>0</v>
      </c>
      <c r="Q95">
        <f t="shared" si="94"/>
        <v>1</v>
      </c>
      <c r="R95" s="1" t="str">
        <f t="shared" si="95"/>
        <v>衰退</v>
      </c>
      <c r="S95">
        <f t="shared" si="96"/>
        <v>0</v>
      </c>
      <c r="T95">
        <f t="shared" si="97"/>
        <v>0</v>
      </c>
      <c r="U95">
        <f t="shared" si="98"/>
        <v>0</v>
      </c>
      <c r="V95">
        <f t="shared" si="99"/>
        <v>1</v>
      </c>
      <c r="W95" s="1" t="str">
        <f t="shared" si="100"/>
        <v>衰退</v>
      </c>
      <c r="X95">
        <f t="shared" si="101"/>
        <v>0</v>
      </c>
      <c r="Y95">
        <f t="shared" si="102"/>
        <v>0</v>
      </c>
      <c r="Z95">
        <f t="shared" si="103"/>
        <v>0</v>
      </c>
      <c r="AA95">
        <f t="shared" si="104"/>
        <v>1</v>
      </c>
      <c r="AB95" s="1" t="str">
        <f t="shared" si="105"/>
        <v>衰退</v>
      </c>
      <c r="AE95" s="19">
        <v>44104</v>
      </c>
      <c r="AF95" s="25">
        <v>4.8</v>
      </c>
      <c r="AG95" s="25">
        <v>2.7844000000000002</v>
      </c>
      <c r="AH95">
        <v>1</v>
      </c>
      <c r="AI95">
        <f t="shared" si="106"/>
        <v>0</v>
      </c>
      <c r="AJ95">
        <v>0</v>
      </c>
      <c r="AK95">
        <f t="shared" si="107"/>
        <v>1</v>
      </c>
      <c r="AL95">
        <f t="shared" si="108"/>
        <v>1</v>
      </c>
      <c r="AM95">
        <f t="shared" si="109"/>
        <v>0</v>
      </c>
      <c r="AN95">
        <f t="shared" si="110"/>
        <v>0</v>
      </c>
      <c r="AO95">
        <f t="shared" si="111"/>
        <v>0</v>
      </c>
      <c r="AP95" s="1" t="str">
        <f t="shared" si="112"/>
        <v>复苏</v>
      </c>
    </row>
    <row r="96" spans="1:42" x14ac:dyDescent="0.35">
      <c r="A96" s="19">
        <v>39782</v>
      </c>
      <c r="B96" s="17">
        <v>5.4</v>
      </c>
      <c r="C96" s="17">
        <v>2.4</v>
      </c>
      <c r="D96" s="17">
        <v>1.99</v>
      </c>
      <c r="E96" s="17">
        <f t="shared" si="88"/>
        <v>2.2359999999999998</v>
      </c>
      <c r="F96">
        <v>0</v>
      </c>
      <c r="G96">
        <f t="shared" ref="G96:K96" si="123">IF(F96=1,0,1)</f>
        <v>1</v>
      </c>
      <c r="H96">
        <v>0</v>
      </c>
      <c r="I96">
        <f t="shared" si="123"/>
        <v>1</v>
      </c>
      <c r="J96">
        <v>0</v>
      </c>
      <c r="K96">
        <f t="shared" si="123"/>
        <v>1</v>
      </c>
      <c r="L96">
        <v>0</v>
      </c>
      <c r="M96">
        <f t="shared" si="90"/>
        <v>1</v>
      </c>
      <c r="N96">
        <f t="shared" si="91"/>
        <v>0</v>
      </c>
      <c r="O96">
        <f t="shared" si="92"/>
        <v>0</v>
      </c>
      <c r="P96">
        <f t="shared" si="93"/>
        <v>0</v>
      </c>
      <c r="Q96">
        <f t="shared" si="94"/>
        <v>1</v>
      </c>
      <c r="R96" s="1" t="str">
        <f t="shared" si="95"/>
        <v>衰退</v>
      </c>
      <c r="S96">
        <f t="shared" si="96"/>
        <v>0</v>
      </c>
      <c r="T96">
        <f t="shared" si="97"/>
        <v>0</v>
      </c>
      <c r="U96">
        <f t="shared" si="98"/>
        <v>0</v>
      </c>
      <c r="V96">
        <f t="shared" si="99"/>
        <v>1</v>
      </c>
      <c r="W96" s="1" t="str">
        <f t="shared" si="100"/>
        <v>衰退</v>
      </c>
      <c r="X96">
        <f t="shared" si="101"/>
        <v>0</v>
      </c>
      <c r="Y96">
        <f t="shared" si="102"/>
        <v>0</v>
      </c>
      <c r="Z96">
        <f t="shared" si="103"/>
        <v>0</v>
      </c>
      <c r="AA96">
        <f t="shared" si="104"/>
        <v>1</v>
      </c>
      <c r="AB96" s="1" t="str">
        <f t="shared" si="105"/>
        <v>衰退</v>
      </c>
      <c r="AE96" s="19">
        <v>44196</v>
      </c>
      <c r="AF96" s="25">
        <v>6.4</v>
      </c>
      <c r="AG96" s="25">
        <v>6.9800000000000001E-2</v>
      </c>
      <c r="AH96">
        <v>1</v>
      </c>
      <c r="AI96">
        <f t="shared" si="106"/>
        <v>0</v>
      </c>
      <c r="AJ96">
        <v>0</v>
      </c>
      <c r="AK96">
        <f t="shared" si="107"/>
        <v>1</v>
      </c>
      <c r="AL96">
        <f t="shared" si="108"/>
        <v>1</v>
      </c>
      <c r="AM96">
        <f t="shared" si="109"/>
        <v>0</v>
      </c>
      <c r="AN96">
        <f t="shared" si="110"/>
        <v>0</v>
      </c>
      <c r="AO96">
        <f t="shared" si="111"/>
        <v>0</v>
      </c>
      <c r="AP96" s="1" t="str">
        <f t="shared" si="112"/>
        <v>复苏</v>
      </c>
    </row>
    <row r="97" spans="1:42" x14ac:dyDescent="0.35">
      <c r="A97" s="19">
        <v>39813</v>
      </c>
      <c r="B97" s="17">
        <v>5.7</v>
      </c>
      <c r="C97" s="17">
        <v>1.2</v>
      </c>
      <c r="D97" s="17">
        <v>-1.1399999999999999</v>
      </c>
      <c r="E97" s="17">
        <f t="shared" si="88"/>
        <v>0.26400000000000001</v>
      </c>
      <c r="F97">
        <v>0</v>
      </c>
      <c r="G97">
        <f t="shared" ref="G97:K97" si="124">IF(F97=1,0,1)</f>
        <v>1</v>
      </c>
      <c r="H97">
        <v>0</v>
      </c>
      <c r="I97">
        <f t="shared" si="124"/>
        <v>1</v>
      </c>
      <c r="J97">
        <v>0</v>
      </c>
      <c r="K97">
        <f t="shared" si="124"/>
        <v>1</v>
      </c>
      <c r="L97">
        <v>0</v>
      </c>
      <c r="M97">
        <f t="shared" si="90"/>
        <v>1</v>
      </c>
      <c r="N97">
        <f t="shared" si="91"/>
        <v>0</v>
      </c>
      <c r="O97">
        <f t="shared" si="92"/>
        <v>0</v>
      </c>
      <c r="P97">
        <f t="shared" si="93"/>
        <v>0</v>
      </c>
      <c r="Q97">
        <f t="shared" si="94"/>
        <v>1</v>
      </c>
      <c r="R97" s="1" t="str">
        <f t="shared" si="95"/>
        <v>衰退</v>
      </c>
      <c r="S97">
        <f t="shared" si="96"/>
        <v>0</v>
      </c>
      <c r="T97">
        <f t="shared" si="97"/>
        <v>0</v>
      </c>
      <c r="U97">
        <f t="shared" si="98"/>
        <v>0</v>
      </c>
      <c r="V97">
        <f t="shared" si="99"/>
        <v>1</v>
      </c>
      <c r="W97" s="1" t="str">
        <f t="shared" si="100"/>
        <v>衰退</v>
      </c>
      <c r="X97">
        <f t="shared" si="101"/>
        <v>0</v>
      </c>
      <c r="Y97">
        <f t="shared" si="102"/>
        <v>0</v>
      </c>
      <c r="Z97">
        <f t="shared" si="103"/>
        <v>0</v>
      </c>
      <c r="AA97">
        <f t="shared" si="104"/>
        <v>1</v>
      </c>
      <c r="AB97" s="1" t="str">
        <f t="shared" si="105"/>
        <v>衰退</v>
      </c>
      <c r="AE97" s="19">
        <v>44286</v>
      </c>
      <c r="AF97" s="25">
        <v>18.7</v>
      </c>
      <c r="AG97" s="25">
        <v>2.0531999999999999</v>
      </c>
      <c r="AH97">
        <v>1</v>
      </c>
      <c r="AI97">
        <f t="shared" si="106"/>
        <v>0</v>
      </c>
      <c r="AJ97">
        <v>1</v>
      </c>
      <c r="AK97">
        <f t="shared" si="107"/>
        <v>0</v>
      </c>
      <c r="AL97">
        <f t="shared" si="108"/>
        <v>0</v>
      </c>
      <c r="AM97">
        <f t="shared" si="109"/>
        <v>1</v>
      </c>
      <c r="AN97">
        <f t="shared" si="110"/>
        <v>0</v>
      </c>
      <c r="AO97">
        <f t="shared" si="111"/>
        <v>0</v>
      </c>
      <c r="AP97" s="1" t="str">
        <f t="shared" si="112"/>
        <v>过热</v>
      </c>
    </row>
    <row r="98" spans="1:42" x14ac:dyDescent="0.35">
      <c r="A98" s="19">
        <v>39872</v>
      </c>
      <c r="B98" s="17">
        <v>3.8</v>
      </c>
      <c r="C98" s="17">
        <v>-0.3</v>
      </c>
      <c r="D98" s="17">
        <v>-3.9</v>
      </c>
      <c r="E98" s="17">
        <f t="shared" si="88"/>
        <v>-1.74</v>
      </c>
      <c r="F98">
        <v>0</v>
      </c>
      <c r="G98">
        <f t="shared" ref="G98:K98" si="125">IF(F98=1,0,1)</f>
        <v>1</v>
      </c>
      <c r="H98">
        <v>0</v>
      </c>
      <c r="I98">
        <f t="shared" si="125"/>
        <v>1</v>
      </c>
      <c r="J98">
        <v>0</v>
      </c>
      <c r="K98">
        <f t="shared" si="125"/>
        <v>1</v>
      </c>
      <c r="L98">
        <v>0</v>
      </c>
      <c r="M98">
        <f t="shared" si="90"/>
        <v>1</v>
      </c>
      <c r="N98">
        <f t="shared" si="91"/>
        <v>0</v>
      </c>
      <c r="O98">
        <f t="shared" si="92"/>
        <v>0</v>
      </c>
      <c r="P98">
        <f t="shared" si="93"/>
        <v>0</v>
      </c>
      <c r="Q98">
        <f t="shared" si="94"/>
        <v>1</v>
      </c>
      <c r="R98" s="1" t="str">
        <f t="shared" si="95"/>
        <v>衰退</v>
      </c>
      <c r="S98">
        <f t="shared" si="96"/>
        <v>0</v>
      </c>
      <c r="T98">
        <f t="shared" si="97"/>
        <v>0</v>
      </c>
      <c r="U98">
        <f t="shared" si="98"/>
        <v>0</v>
      </c>
      <c r="V98">
        <f t="shared" si="99"/>
        <v>1</v>
      </c>
      <c r="W98" s="1" t="str">
        <f t="shared" si="100"/>
        <v>衰退</v>
      </c>
      <c r="X98">
        <f t="shared" si="101"/>
        <v>0</v>
      </c>
      <c r="Y98">
        <f t="shared" si="102"/>
        <v>0</v>
      </c>
      <c r="Z98">
        <f t="shared" si="103"/>
        <v>0</v>
      </c>
      <c r="AA98">
        <f t="shared" si="104"/>
        <v>1</v>
      </c>
      <c r="AB98" s="1" t="str">
        <f t="shared" si="105"/>
        <v>衰退</v>
      </c>
      <c r="AE98" s="19">
        <v>44377</v>
      </c>
      <c r="AF98" s="25">
        <v>8.3000000000000007</v>
      </c>
      <c r="AG98" s="25">
        <v>4.8128000000000002</v>
      </c>
      <c r="AH98">
        <v>0</v>
      </c>
      <c r="AI98">
        <f t="shared" si="106"/>
        <v>1</v>
      </c>
      <c r="AJ98">
        <v>1</v>
      </c>
      <c r="AK98">
        <f t="shared" si="107"/>
        <v>0</v>
      </c>
      <c r="AL98">
        <f t="shared" si="108"/>
        <v>0</v>
      </c>
      <c r="AM98">
        <f t="shared" si="109"/>
        <v>0</v>
      </c>
      <c r="AN98">
        <f t="shared" si="110"/>
        <v>1</v>
      </c>
      <c r="AO98">
        <f t="shared" si="111"/>
        <v>0</v>
      </c>
      <c r="AP98" s="1" t="str">
        <f t="shared" si="112"/>
        <v>滞涨</v>
      </c>
    </row>
    <row r="99" spans="1:42" x14ac:dyDescent="0.35">
      <c r="A99" s="19">
        <v>39903</v>
      </c>
      <c r="B99" s="17">
        <v>8.3000000000000007</v>
      </c>
      <c r="C99" s="17">
        <v>-1.2</v>
      </c>
      <c r="D99" s="17">
        <v>-6</v>
      </c>
      <c r="E99" s="17">
        <f t="shared" si="88"/>
        <v>-3.12</v>
      </c>
      <c r="F99">
        <v>1</v>
      </c>
      <c r="G99">
        <f t="shared" ref="G99:K99" si="126">IF(F99=1,0,1)</f>
        <v>0</v>
      </c>
      <c r="H99">
        <v>0</v>
      </c>
      <c r="I99">
        <f t="shared" si="126"/>
        <v>1</v>
      </c>
      <c r="J99">
        <v>0</v>
      </c>
      <c r="K99">
        <f t="shared" si="126"/>
        <v>1</v>
      </c>
      <c r="L99">
        <v>0</v>
      </c>
      <c r="M99">
        <f t="shared" si="90"/>
        <v>1</v>
      </c>
      <c r="N99">
        <f t="shared" si="91"/>
        <v>1</v>
      </c>
      <c r="O99">
        <f t="shared" si="92"/>
        <v>0</v>
      </c>
      <c r="P99">
        <f t="shared" si="93"/>
        <v>0</v>
      </c>
      <c r="Q99">
        <f t="shared" si="94"/>
        <v>0</v>
      </c>
      <c r="R99" s="1" t="str">
        <f t="shared" si="95"/>
        <v>复苏</v>
      </c>
      <c r="S99">
        <f t="shared" si="96"/>
        <v>1</v>
      </c>
      <c r="T99">
        <f t="shared" si="97"/>
        <v>0</v>
      </c>
      <c r="U99">
        <f t="shared" si="98"/>
        <v>0</v>
      </c>
      <c r="V99">
        <f t="shared" si="99"/>
        <v>0</v>
      </c>
      <c r="W99" s="1" t="str">
        <f t="shared" si="100"/>
        <v>复苏</v>
      </c>
      <c r="X99">
        <f t="shared" si="101"/>
        <v>1</v>
      </c>
      <c r="Y99">
        <f t="shared" si="102"/>
        <v>0</v>
      </c>
      <c r="Z99">
        <f t="shared" si="103"/>
        <v>0</v>
      </c>
      <c r="AA99">
        <f t="shared" si="104"/>
        <v>0</v>
      </c>
      <c r="AB99" s="1" t="str">
        <f t="shared" si="105"/>
        <v>复苏</v>
      </c>
      <c r="AE99" s="19">
        <v>44469</v>
      </c>
      <c r="AF99" s="25">
        <v>5.2</v>
      </c>
      <c r="AG99" s="25">
        <v>4.2081</v>
      </c>
      <c r="AH99">
        <v>0</v>
      </c>
      <c r="AI99">
        <f t="shared" si="106"/>
        <v>1</v>
      </c>
      <c r="AJ99">
        <v>1</v>
      </c>
      <c r="AK99">
        <f t="shared" si="107"/>
        <v>0</v>
      </c>
      <c r="AL99">
        <f t="shared" si="108"/>
        <v>0</v>
      </c>
      <c r="AM99">
        <f t="shared" si="109"/>
        <v>0</v>
      </c>
      <c r="AN99">
        <f t="shared" si="110"/>
        <v>1</v>
      </c>
      <c r="AO99">
        <f t="shared" si="111"/>
        <v>0</v>
      </c>
      <c r="AP99" s="1" t="str">
        <f t="shared" si="112"/>
        <v>滞涨</v>
      </c>
    </row>
    <row r="100" spans="1:42" x14ac:dyDescent="0.35">
      <c r="A100" s="19">
        <v>39933</v>
      </c>
      <c r="B100" s="17">
        <v>7.3</v>
      </c>
      <c r="C100" s="17">
        <v>-1.5</v>
      </c>
      <c r="D100" s="17">
        <v>-6.6</v>
      </c>
      <c r="E100" s="17">
        <f t="shared" si="88"/>
        <v>-3.54</v>
      </c>
      <c r="F100">
        <v>1</v>
      </c>
      <c r="G100">
        <f t="shared" ref="G100:K100" si="127">IF(F100=1,0,1)</f>
        <v>0</v>
      </c>
      <c r="H100">
        <v>0</v>
      </c>
      <c r="I100">
        <f t="shared" si="127"/>
        <v>1</v>
      </c>
      <c r="J100">
        <v>0</v>
      </c>
      <c r="K100">
        <f t="shared" si="127"/>
        <v>1</v>
      </c>
      <c r="L100">
        <v>0</v>
      </c>
      <c r="M100">
        <f t="shared" si="90"/>
        <v>1</v>
      </c>
      <c r="N100">
        <f t="shared" si="91"/>
        <v>1</v>
      </c>
      <c r="O100">
        <f t="shared" si="92"/>
        <v>0</v>
      </c>
      <c r="P100">
        <f t="shared" si="93"/>
        <v>0</v>
      </c>
      <c r="Q100">
        <f t="shared" si="94"/>
        <v>0</v>
      </c>
      <c r="R100" s="1" t="str">
        <f t="shared" si="95"/>
        <v>复苏</v>
      </c>
      <c r="S100">
        <f t="shared" si="96"/>
        <v>1</v>
      </c>
      <c r="T100">
        <f t="shared" si="97"/>
        <v>0</v>
      </c>
      <c r="U100">
        <f t="shared" si="98"/>
        <v>0</v>
      </c>
      <c r="V100">
        <f t="shared" si="99"/>
        <v>0</v>
      </c>
      <c r="W100" s="1" t="str">
        <f t="shared" si="100"/>
        <v>复苏</v>
      </c>
      <c r="X100">
        <f t="shared" si="101"/>
        <v>1</v>
      </c>
      <c r="Y100">
        <f t="shared" si="102"/>
        <v>0</v>
      </c>
      <c r="Z100">
        <f t="shared" si="103"/>
        <v>0</v>
      </c>
      <c r="AA100">
        <f t="shared" si="104"/>
        <v>0</v>
      </c>
      <c r="AB100" s="1" t="str">
        <f t="shared" si="105"/>
        <v>复苏</v>
      </c>
      <c r="AE100" s="19">
        <v>44561</v>
      </c>
      <c r="AF100" s="25">
        <v>4.3</v>
      </c>
      <c r="AG100" s="25">
        <v>5.2205000000000004</v>
      </c>
      <c r="AH100">
        <v>0</v>
      </c>
      <c r="AI100">
        <f t="shared" si="106"/>
        <v>1</v>
      </c>
      <c r="AJ100">
        <v>1</v>
      </c>
      <c r="AK100">
        <f t="shared" si="107"/>
        <v>0</v>
      </c>
      <c r="AL100">
        <f t="shared" si="108"/>
        <v>0</v>
      </c>
      <c r="AM100">
        <f t="shared" si="109"/>
        <v>0</v>
      </c>
      <c r="AN100">
        <f t="shared" si="110"/>
        <v>1</v>
      </c>
      <c r="AO100">
        <f t="shared" si="111"/>
        <v>0</v>
      </c>
      <c r="AP100" s="1" t="str">
        <f t="shared" si="112"/>
        <v>滞涨</v>
      </c>
    </row>
    <row r="101" spans="1:42" x14ac:dyDescent="0.35">
      <c r="A101" s="19">
        <v>39964</v>
      </c>
      <c r="B101" s="17">
        <v>8.9</v>
      </c>
      <c r="C101" s="17">
        <v>-1.4</v>
      </c>
      <c r="D101" s="17">
        <v>-7.2</v>
      </c>
      <c r="E101" s="17">
        <f t="shared" si="88"/>
        <v>-3.72</v>
      </c>
      <c r="F101">
        <v>1</v>
      </c>
      <c r="G101">
        <f t="shared" ref="G101:K101" si="128">IF(F101=1,0,1)</f>
        <v>0</v>
      </c>
      <c r="H101">
        <v>0</v>
      </c>
      <c r="I101">
        <f t="shared" si="128"/>
        <v>1</v>
      </c>
      <c r="J101">
        <v>0</v>
      </c>
      <c r="K101">
        <f t="shared" si="128"/>
        <v>1</v>
      </c>
      <c r="L101">
        <v>0</v>
      </c>
      <c r="M101">
        <f t="shared" si="90"/>
        <v>1</v>
      </c>
      <c r="N101">
        <f t="shared" si="91"/>
        <v>1</v>
      </c>
      <c r="O101">
        <f t="shared" si="92"/>
        <v>0</v>
      </c>
      <c r="P101">
        <f t="shared" si="93"/>
        <v>0</v>
      </c>
      <c r="Q101">
        <f t="shared" si="94"/>
        <v>0</v>
      </c>
      <c r="R101" s="1" t="str">
        <f t="shared" si="95"/>
        <v>复苏</v>
      </c>
      <c r="S101">
        <f t="shared" si="96"/>
        <v>1</v>
      </c>
      <c r="T101">
        <f t="shared" si="97"/>
        <v>0</v>
      </c>
      <c r="U101">
        <f t="shared" si="98"/>
        <v>0</v>
      </c>
      <c r="V101">
        <f t="shared" si="99"/>
        <v>0</v>
      </c>
      <c r="W101" s="1" t="str">
        <f t="shared" si="100"/>
        <v>复苏</v>
      </c>
      <c r="X101">
        <f t="shared" si="101"/>
        <v>1</v>
      </c>
      <c r="Y101">
        <f t="shared" si="102"/>
        <v>0</v>
      </c>
      <c r="Z101">
        <f t="shared" si="103"/>
        <v>0</v>
      </c>
      <c r="AA101">
        <f t="shared" si="104"/>
        <v>0</v>
      </c>
      <c r="AB101" s="1" t="str">
        <f t="shared" si="105"/>
        <v>复苏</v>
      </c>
      <c r="AE101" s="19">
        <v>44651</v>
      </c>
      <c r="AF101" s="25">
        <v>4.8</v>
      </c>
      <c r="AG101" s="25">
        <v>3.4068000000000001</v>
      </c>
      <c r="AH101">
        <v>0</v>
      </c>
      <c r="AI101">
        <f t="shared" si="106"/>
        <v>1</v>
      </c>
      <c r="AJ101">
        <v>0</v>
      </c>
      <c r="AK101">
        <f t="shared" si="107"/>
        <v>1</v>
      </c>
      <c r="AL101">
        <f t="shared" si="108"/>
        <v>0</v>
      </c>
      <c r="AM101">
        <f t="shared" si="109"/>
        <v>0</v>
      </c>
      <c r="AN101">
        <f t="shared" si="110"/>
        <v>0</v>
      </c>
      <c r="AO101">
        <f t="shared" si="111"/>
        <v>1</v>
      </c>
      <c r="AP101" s="1" t="str">
        <f t="shared" si="112"/>
        <v>衰退</v>
      </c>
    </row>
    <row r="102" spans="1:42" x14ac:dyDescent="0.35">
      <c r="A102" s="19">
        <v>39994</v>
      </c>
      <c r="B102" s="17">
        <v>10.7</v>
      </c>
      <c r="C102" s="17">
        <v>-1.7</v>
      </c>
      <c r="D102" s="17">
        <v>-7.8</v>
      </c>
      <c r="E102" s="17">
        <f t="shared" si="88"/>
        <v>-4.1400000000000006</v>
      </c>
      <c r="F102">
        <v>1</v>
      </c>
      <c r="G102">
        <f t="shared" ref="G102:K102" si="129">IF(F102=1,0,1)</f>
        <v>0</v>
      </c>
      <c r="H102">
        <v>0</v>
      </c>
      <c r="I102">
        <f t="shared" si="129"/>
        <v>1</v>
      </c>
      <c r="J102">
        <v>0</v>
      </c>
      <c r="K102">
        <f t="shared" si="129"/>
        <v>1</v>
      </c>
      <c r="L102">
        <v>0</v>
      </c>
      <c r="M102">
        <f t="shared" si="90"/>
        <v>1</v>
      </c>
      <c r="N102">
        <f t="shared" si="91"/>
        <v>1</v>
      </c>
      <c r="O102">
        <f t="shared" si="92"/>
        <v>0</v>
      </c>
      <c r="P102">
        <f t="shared" si="93"/>
        <v>0</v>
      </c>
      <c r="Q102">
        <f t="shared" si="94"/>
        <v>0</v>
      </c>
      <c r="R102" s="1" t="str">
        <f t="shared" si="95"/>
        <v>复苏</v>
      </c>
      <c r="S102">
        <f t="shared" si="96"/>
        <v>1</v>
      </c>
      <c r="T102">
        <f t="shared" si="97"/>
        <v>0</v>
      </c>
      <c r="U102">
        <f t="shared" si="98"/>
        <v>0</v>
      </c>
      <c r="V102">
        <f t="shared" si="99"/>
        <v>0</v>
      </c>
      <c r="W102" s="1" t="str">
        <f t="shared" si="100"/>
        <v>复苏</v>
      </c>
      <c r="X102">
        <f t="shared" si="101"/>
        <v>1</v>
      </c>
      <c r="Y102">
        <f t="shared" si="102"/>
        <v>0</v>
      </c>
      <c r="Z102">
        <f t="shared" si="103"/>
        <v>0</v>
      </c>
      <c r="AA102">
        <f t="shared" si="104"/>
        <v>0</v>
      </c>
      <c r="AB102" s="1" t="str">
        <f t="shared" si="105"/>
        <v>复苏</v>
      </c>
      <c r="AE102" s="19">
        <v>44742</v>
      </c>
      <c r="AF102" s="25">
        <v>0.4</v>
      </c>
      <c r="AG102" s="25">
        <v>2.9845000000000002</v>
      </c>
      <c r="AH102">
        <v>0</v>
      </c>
      <c r="AI102">
        <f t="shared" si="106"/>
        <v>1</v>
      </c>
      <c r="AJ102">
        <v>0</v>
      </c>
      <c r="AK102">
        <f t="shared" si="107"/>
        <v>1</v>
      </c>
      <c r="AL102">
        <f t="shared" si="108"/>
        <v>0</v>
      </c>
      <c r="AM102">
        <f t="shared" si="109"/>
        <v>0</v>
      </c>
      <c r="AN102">
        <f t="shared" si="110"/>
        <v>0</v>
      </c>
      <c r="AO102">
        <f t="shared" si="111"/>
        <v>1</v>
      </c>
      <c r="AP102" s="1" t="str">
        <f t="shared" si="112"/>
        <v>衰退</v>
      </c>
    </row>
    <row r="103" spans="1:42" x14ac:dyDescent="0.35">
      <c r="A103" s="19">
        <v>40025</v>
      </c>
      <c r="B103" s="17">
        <v>10.8</v>
      </c>
      <c r="C103" s="17">
        <v>-1.8</v>
      </c>
      <c r="D103" s="17">
        <v>-8.1999999999999993</v>
      </c>
      <c r="E103" s="17">
        <f t="shared" si="88"/>
        <v>-4.3599999999999994</v>
      </c>
      <c r="F103">
        <v>1</v>
      </c>
      <c r="G103">
        <f t="shared" ref="G103:K103" si="130">IF(F103=1,0,1)</f>
        <v>0</v>
      </c>
      <c r="H103">
        <v>0</v>
      </c>
      <c r="I103">
        <f t="shared" si="130"/>
        <v>1</v>
      </c>
      <c r="J103">
        <v>0</v>
      </c>
      <c r="K103">
        <f t="shared" si="130"/>
        <v>1</v>
      </c>
      <c r="L103">
        <v>0</v>
      </c>
      <c r="M103">
        <f t="shared" si="90"/>
        <v>1</v>
      </c>
      <c r="N103">
        <f t="shared" si="91"/>
        <v>1</v>
      </c>
      <c r="O103">
        <f t="shared" si="92"/>
        <v>0</v>
      </c>
      <c r="P103">
        <f t="shared" si="93"/>
        <v>0</v>
      </c>
      <c r="Q103">
        <f t="shared" si="94"/>
        <v>0</v>
      </c>
      <c r="R103" s="1" t="str">
        <f t="shared" si="95"/>
        <v>复苏</v>
      </c>
      <c r="S103">
        <f t="shared" si="96"/>
        <v>1</v>
      </c>
      <c r="T103">
        <f t="shared" si="97"/>
        <v>0</v>
      </c>
      <c r="U103">
        <f t="shared" si="98"/>
        <v>0</v>
      </c>
      <c r="V103">
        <f t="shared" si="99"/>
        <v>0</v>
      </c>
      <c r="W103" s="1" t="str">
        <f t="shared" si="100"/>
        <v>复苏</v>
      </c>
      <c r="X103">
        <f t="shared" si="101"/>
        <v>1</v>
      </c>
      <c r="Y103">
        <f t="shared" si="102"/>
        <v>0</v>
      </c>
      <c r="Z103">
        <f t="shared" si="103"/>
        <v>0</v>
      </c>
      <c r="AA103">
        <f t="shared" si="104"/>
        <v>0</v>
      </c>
      <c r="AB103" s="1" t="str">
        <f t="shared" si="105"/>
        <v>复苏</v>
      </c>
      <c r="AE103" s="19">
        <v>44834</v>
      </c>
      <c r="AF103" s="25">
        <v>3.9</v>
      </c>
      <c r="AG103" s="25">
        <v>1.7583</v>
      </c>
      <c r="AH103">
        <v>1</v>
      </c>
      <c r="AI103">
        <f t="shared" si="106"/>
        <v>0</v>
      </c>
      <c r="AJ103">
        <v>0</v>
      </c>
      <c r="AK103">
        <f t="shared" si="107"/>
        <v>1</v>
      </c>
      <c r="AL103">
        <f t="shared" si="108"/>
        <v>1</v>
      </c>
      <c r="AM103">
        <f t="shared" si="109"/>
        <v>0</v>
      </c>
      <c r="AN103">
        <f t="shared" si="110"/>
        <v>0</v>
      </c>
      <c r="AO103">
        <f t="shared" si="111"/>
        <v>0</v>
      </c>
      <c r="AP103" s="1" t="str">
        <f t="shared" si="112"/>
        <v>复苏</v>
      </c>
    </row>
    <row r="104" spans="1:42" x14ac:dyDescent="0.35">
      <c r="A104" s="19">
        <v>40056</v>
      </c>
      <c r="B104" s="17">
        <v>12.3</v>
      </c>
      <c r="C104" s="17">
        <v>-1.2</v>
      </c>
      <c r="D104" s="17">
        <v>-7.86</v>
      </c>
      <c r="E104" s="17">
        <f t="shared" si="88"/>
        <v>-3.8639999999999999</v>
      </c>
      <c r="F104">
        <v>1</v>
      </c>
      <c r="G104">
        <f t="shared" ref="G104:K104" si="131">IF(F104=1,0,1)</f>
        <v>0</v>
      </c>
      <c r="H104">
        <v>1</v>
      </c>
      <c r="I104">
        <f t="shared" si="131"/>
        <v>0</v>
      </c>
      <c r="J104">
        <v>1</v>
      </c>
      <c r="K104">
        <f t="shared" si="131"/>
        <v>0</v>
      </c>
      <c r="L104">
        <v>1</v>
      </c>
      <c r="M104">
        <f t="shared" si="90"/>
        <v>0</v>
      </c>
      <c r="N104">
        <f t="shared" si="91"/>
        <v>0</v>
      </c>
      <c r="O104">
        <f t="shared" si="92"/>
        <v>1</v>
      </c>
      <c r="P104">
        <f t="shared" si="93"/>
        <v>0</v>
      </c>
      <c r="Q104">
        <f t="shared" si="94"/>
        <v>0</v>
      </c>
      <c r="R104" s="1" t="str">
        <f t="shared" si="95"/>
        <v>过热</v>
      </c>
      <c r="S104">
        <f t="shared" si="96"/>
        <v>0</v>
      </c>
      <c r="T104">
        <f t="shared" si="97"/>
        <v>1</v>
      </c>
      <c r="U104">
        <f t="shared" si="98"/>
        <v>0</v>
      </c>
      <c r="V104">
        <f t="shared" si="99"/>
        <v>0</v>
      </c>
      <c r="W104" s="1" t="str">
        <f t="shared" si="100"/>
        <v>过热</v>
      </c>
      <c r="X104">
        <f t="shared" si="101"/>
        <v>0</v>
      </c>
      <c r="Y104">
        <f t="shared" si="102"/>
        <v>1</v>
      </c>
      <c r="Z104">
        <f t="shared" si="103"/>
        <v>0</v>
      </c>
      <c r="AA104">
        <f t="shared" si="104"/>
        <v>0</v>
      </c>
      <c r="AB104" s="1" t="str">
        <f t="shared" si="105"/>
        <v>过热</v>
      </c>
      <c r="AE104" s="19">
        <v>44926</v>
      </c>
      <c r="AF104" s="25">
        <v>2.9</v>
      </c>
      <c r="AG104" s="25">
        <v>0.55989999999999995</v>
      </c>
      <c r="AH104">
        <v>1</v>
      </c>
      <c r="AI104">
        <f t="shared" si="106"/>
        <v>0</v>
      </c>
      <c r="AJ104">
        <v>0</v>
      </c>
      <c r="AK104">
        <f t="shared" si="107"/>
        <v>1</v>
      </c>
      <c r="AL104">
        <f t="shared" si="108"/>
        <v>1</v>
      </c>
      <c r="AM104">
        <f t="shared" si="109"/>
        <v>0</v>
      </c>
      <c r="AN104">
        <f t="shared" si="110"/>
        <v>0</v>
      </c>
      <c r="AO104">
        <f t="shared" si="111"/>
        <v>0</v>
      </c>
      <c r="AP104" s="1" t="str">
        <f t="shared" si="112"/>
        <v>复苏</v>
      </c>
    </row>
    <row r="105" spans="1:42" x14ac:dyDescent="0.35">
      <c r="A105" s="19">
        <v>40086</v>
      </c>
      <c r="B105" s="17">
        <v>13.9</v>
      </c>
      <c r="C105" s="17">
        <v>-0.8</v>
      </c>
      <c r="D105" s="17">
        <v>-6.99</v>
      </c>
      <c r="E105" s="17">
        <f t="shared" si="88"/>
        <v>-3.2760000000000002</v>
      </c>
      <c r="F105">
        <v>1</v>
      </c>
      <c r="G105">
        <f t="shared" ref="G105:K105" si="132">IF(F105=1,0,1)</f>
        <v>0</v>
      </c>
      <c r="H105">
        <v>1</v>
      </c>
      <c r="I105">
        <f t="shared" si="132"/>
        <v>0</v>
      </c>
      <c r="J105">
        <v>1</v>
      </c>
      <c r="K105">
        <f t="shared" si="132"/>
        <v>0</v>
      </c>
      <c r="L105">
        <v>1</v>
      </c>
      <c r="M105">
        <f t="shared" si="90"/>
        <v>0</v>
      </c>
      <c r="N105">
        <f t="shared" si="91"/>
        <v>0</v>
      </c>
      <c r="O105">
        <f t="shared" si="92"/>
        <v>1</v>
      </c>
      <c r="P105">
        <f t="shared" si="93"/>
        <v>0</v>
      </c>
      <c r="Q105">
        <f t="shared" si="94"/>
        <v>0</v>
      </c>
      <c r="R105" s="1" t="str">
        <f t="shared" si="95"/>
        <v>过热</v>
      </c>
      <c r="S105">
        <f t="shared" si="96"/>
        <v>0</v>
      </c>
      <c r="T105">
        <f t="shared" si="97"/>
        <v>1</v>
      </c>
      <c r="U105">
        <f t="shared" si="98"/>
        <v>0</v>
      </c>
      <c r="V105">
        <f t="shared" si="99"/>
        <v>0</v>
      </c>
      <c r="W105" s="1" t="str">
        <f t="shared" si="100"/>
        <v>过热</v>
      </c>
      <c r="X105">
        <f t="shared" si="101"/>
        <v>0</v>
      </c>
      <c r="Y105">
        <f t="shared" si="102"/>
        <v>1</v>
      </c>
      <c r="Z105">
        <f t="shared" si="103"/>
        <v>0</v>
      </c>
      <c r="AA105">
        <f t="shared" si="104"/>
        <v>0</v>
      </c>
      <c r="AB105" s="1" t="str">
        <f t="shared" si="105"/>
        <v>过热</v>
      </c>
      <c r="AE105" s="19">
        <v>45016</v>
      </c>
      <c r="AF105" s="25">
        <v>4.5</v>
      </c>
      <c r="AG105" s="25">
        <v>0.9425</v>
      </c>
      <c r="AH105">
        <v>1</v>
      </c>
      <c r="AI105">
        <f t="shared" si="106"/>
        <v>0</v>
      </c>
      <c r="AJ105">
        <v>0</v>
      </c>
      <c r="AK105">
        <f t="shared" si="107"/>
        <v>1</v>
      </c>
      <c r="AL105">
        <f t="shared" si="108"/>
        <v>1</v>
      </c>
      <c r="AM105">
        <f t="shared" si="109"/>
        <v>0</v>
      </c>
      <c r="AN105">
        <f t="shared" si="110"/>
        <v>0</v>
      </c>
      <c r="AO105">
        <f t="shared" si="111"/>
        <v>0</v>
      </c>
      <c r="AP105" s="1" t="str">
        <f t="shared" si="112"/>
        <v>复苏</v>
      </c>
    </row>
    <row r="106" spans="1:42" x14ac:dyDescent="0.35">
      <c r="A106" s="19">
        <v>40117</v>
      </c>
      <c r="B106" s="17">
        <v>16.100000000000001</v>
      </c>
      <c r="C106" s="17">
        <v>-0.5</v>
      </c>
      <c r="D106" s="17">
        <v>-5.85</v>
      </c>
      <c r="E106" s="17">
        <f t="shared" si="88"/>
        <v>-2.6399999999999997</v>
      </c>
      <c r="F106">
        <v>1</v>
      </c>
      <c r="G106">
        <f t="shared" ref="G106:K106" si="133">IF(F106=1,0,1)</f>
        <v>0</v>
      </c>
      <c r="H106">
        <v>1</v>
      </c>
      <c r="I106">
        <f t="shared" si="133"/>
        <v>0</v>
      </c>
      <c r="J106">
        <v>1</v>
      </c>
      <c r="K106">
        <f t="shared" si="133"/>
        <v>0</v>
      </c>
      <c r="L106">
        <v>1</v>
      </c>
      <c r="M106">
        <f t="shared" si="90"/>
        <v>0</v>
      </c>
      <c r="N106">
        <f t="shared" si="91"/>
        <v>0</v>
      </c>
      <c r="O106">
        <f t="shared" si="92"/>
        <v>1</v>
      </c>
      <c r="P106">
        <f t="shared" si="93"/>
        <v>0</v>
      </c>
      <c r="Q106">
        <f t="shared" si="94"/>
        <v>0</v>
      </c>
      <c r="R106" s="1" t="str">
        <f t="shared" si="95"/>
        <v>过热</v>
      </c>
      <c r="S106">
        <f t="shared" si="96"/>
        <v>0</v>
      </c>
      <c r="T106">
        <f t="shared" si="97"/>
        <v>1</v>
      </c>
      <c r="U106">
        <f t="shared" si="98"/>
        <v>0</v>
      </c>
      <c r="V106">
        <f t="shared" si="99"/>
        <v>0</v>
      </c>
      <c r="W106" s="1" t="str">
        <f t="shared" si="100"/>
        <v>过热</v>
      </c>
      <c r="X106">
        <f t="shared" si="101"/>
        <v>0</v>
      </c>
      <c r="Y106">
        <f t="shared" si="102"/>
        <v>1</v>
      </c>
      <c r="Z106">
        <f t="shared" si="103"/>
        <v>0</v>
      </c>
      <c r="AA106">
        <f t="shared" si="104"/>
        <v>0</v>
      </c>
      <c r="AB106" s="1" t="str">
        <f t="shared" si="105"/>
        <v>过热</v>
      </c>
      <c r="AE106" s="19">
        <v>45107</v>
      </c>
      <c r="AF106" s="25">
        <v>6.3</v>
      </c>
      <c r="AG106" s="25">
        <v>-0.91710000000000003</v>
      </c>
      <c r="AH106">
        <v>1</v>
      </c>
      <c r="AI106">
        <f t="shared" si="106"/>
        <v>0</v>
      </c>
      <c r="AJ106">
        <v>0</v>
      </c>
      <c r="AK106">
        <f t="shared" si="107"/>
        <v>1</v>
      </c>
      <c r="AL106">
        <f t="shared" si="108"/>
        <v>1</v>
      </c>
      <c r="AM106">
        <f t="shared" si="109"/>
        <v>0</v>
      </c>
      <c r="AN106">
        <f t="shared" si="110"/>
        <v>0</v>
      </c>
      <c r="AO106">
        <f t="shared" si="111"/>
        <v>0</v>
      </c>
      <c r="AP106" s="1" t="str">
        <f t="shared" si="112"/>
        <v>复苏</v>
      </c>
    </row>
    <row r="107" spans="1:42" x14ac:dyDescent="0.35">
      <c r="A107" s="19">
        <v>40147</v>
      </c>
      <c r="B107" s="17">
        <v>19.2</v>
      </c>
      <c r="C107" s="17">
        <v>0.6</v>
      </c>
      <c r="D107" s="17">
        <v>-2.08</v>
      </c>
      <c r="E107" s="17">
        <f t="shared" si="88"/>
        <v>-0.47200000000000009</v>
      </c>
      <c r="F107">
        <v>1</v>
      </c>
      <c r="G107">
        <f t="shared" ref="G107:K107" si="134">IF(F107=1,0,1)</f>
        <v>0</v>
      </c>
      <c r="H107">
        <v>1</v>
      </c>
      <c r="I107">
        <f t="shared" si="134"/>
        <v>0</v>
      </c>
      <c r="J107">
        <v>1</v>
      </c>
      <c r="K107">
        <f t="shared" si="134"/>
        <v>0</v>
      </c>
      <c r="L107">
        <v>1</v>
      </c>
      <c r="M107">
        <f t="shared" si="90"/>
        <v>0</v>
      </c>
      <c r="N107">
        <f t="shared" si="91"/>
        <v>0</v>
      </c>
      <c r="O107">
        <f t="shared" si="92"/>
        <v>1</v>
      </c>
      <c r="P107">
        <f t="shared" si="93"/>
        <v>0</v>
      </c>
      <c r="Q107">
        <f t="shared" si="94"/>
        <v>0</v>
      </c>
      <c r="R107" s="1" t="str">
        <f t="shared" si="95"/>
        <v>过热</v>
      </c>
      <c r="S107">
        <f t="shared" si="96"/>
        <v>0</v>
      </c>
      <c r="T107">
        <f t="shared" si="97"/>
        <v>1</v>
      </c>
      <c r="U107">
        <f t="shared" si="98"/>
        <v>0</v>
      </c>
      <c r="V107">
        <f t="shared" si="99"/>
        <v>0</v>
      </c>
      <c r="W107" s="1" t="str">
        <f t="shared" si="100"/>
        <v>过热</v>
      </c>
      <c r="X107">
        <f t="shared" si="101"/>
        <v>0</v>
      </c>
      <c r="Y107">
        <f t="shared" si="102"/>
        <v>1</v>
      </c>
      <c r="Z107">
        <f t="shared" si="103"/>
        <v>0</v>
      </c>
      <c r="AA107">
        <f t="shared" si="104"/>
        <v>0</v>
      </c>
      <c r="AB107" s="1" t="str">
        <f t="shared" si="105"/>
        <v>过热</v>
      </c>
      <c r="AE107" s="19">
        <v>45199</v>
      </c>
      <c r="AF107" s="25">
        <v>4.9000000000000004</v>
      </c>
      <c r="AG107" s="25">
        <v>-0.83940000000000003</v>
      </c>
      <c r="AH107">
        <v>1</v>
      </c>
      <c r="AI107">
        <f t="shared" si="106"/>
        <v>0</v>
      </c>
      <c r="AJ107">
        <v>0</v>
      </c>
      <c r="AK107">
        <f t="shared" si="107"/>
        <v>1</v>
      </c>
      <c r="AL107">
        <f t="shared" si="108"/>
        <v>1</v>
      </c>
      <c r="AM107">
        <f t="shared" si="109"/>
        <v>0</v>
      </c>
      <c r="AN107">
        <f t="shared" si="110"/>
        <v>0</v>
      </c>
      <c r="AO107">
        <f t="shared" si="111"/>
        <v>0</v>
      </c>
      <c r="AP107" s="1" t="str">
        <f t="shared" si="112"/>
        <v>复苏</v>
      </c>
    </row>
    <row r="108" spans="1:42" x14ac:dyDescent="0.35">
      <c r="A108" s="19">
        <v>40178</v>
      </c>
      <c r="B108" s="17">
        <v>18.5</v>
      </c>
      <c r="C108" s="17">
        <v>1.9</v>
      </c>
      <c r="D108" s="17">
        <v>1.7</v>
      </c>
      <c r="E108" s="17">
        <f t="shared" si="88"/>
        <v>1.8199999999999998</v>
      </c>
      <c r="F108">
        <v>1</v>
      </c>
      <c r="G108">
        <f t="shared" ref="G108:K108" si="135">IF(F108=1,0,1)</f>
        <v>0</v>
      </c>
      <c r="H108">
        <v>1</v>
      </c>
      <c r="I108">
        <f t="shared" si="135"/>
        <v>0</v>
      </c>
      <c r="J108">
        <v>1</v>
      </c>
      <c r="K108">
        <f t="shared" si="135"/>
        <v>0</v>
      </c>
      <c r="L108">
        <v>1</v>
      </c>
      <c r="M108">
        <f t="shared" si="90"/>
        <v>0</v>
      </c>
      <c r="N108">
        <f t="shared" si="91"/>
        <v>0</v>
      </c>
      <c r="O108">
        <f t="shared" si="92"/>
        <v>1</v>
      </c>
      <c r="P108">
        <f t="shared" si="93"/>
        <v>0</v>
      </c>
      <c r="Q108">
        <f t="shared" si="94"/>
        <v>0</v>
      </c>
      <c r="R108" s="1" t="str">
        <f t="shared" si="95"/>
        <v>过热</v>
      </c>
      <c r="S108">
        <f t="shared" si="96"/>
        <v>0</v>
      </c>
      <c r="T108">
        <f t="shared" si="97"/>
        <v>1</v>
      </c>
      <c r="U108">
        <f t="shared" si="98"/>
        <v>0</v>
      </c>
      <c r="V108">
        <f t="shared" si="99"/>
        <v>0</v>
      </c>
      <c r="W108" s="1" t="str">
        <f t="shared" si="100"/>
        <v>过热</v>
      </c>
      <c r="X108">
        <f t="shared" si="101"/>
        <v>0</v>
      </c>
      <c r="Y108">
        <f t="shared" si="102"/>
        <v>1</v>
      </c>
      <c r="Z108">
        <f t="shared" si="103"/>
        <v>0</v>
      </c>
      <c r="AA108">
        <f t="shared" si="104"/>
        <v>0</v>
      </c>
      <c r="AB108" s="1" t="str">
        <f t="shared" si="105"/>
        <v>过热</v>
      </c>
      <c r="AE108" s="19">
        <v>45291</v>
      </c>
      <c r="AF108" s="25">
        <v>5.2</v>
      </c>
      <c r="AG108" s="25">
        <v>-1.4349000000000001</v>
      </c>
      <c r="AH108">
        <v>1</v>
      </c>
      <c r="AI108">
        <f t="shared" si="106"/>
        <v>0</v>
      </c>
      <c r="AJ108">
        <v>0</v>
      </c>
      <c r="AK108">
        <f t="shared" si="107"/>
        <v>1</v>
      </c>
      <c r="AL108">
        <f t="shared" si="108"/>
        <v>1</v>
      </c>
      <c r="AM108">
        <f t="shared" si="109"/>
        <v>0</v>
      </c>
      <c r="AN108">
        <f t="shared" si="110"/>
        <v>0</v>
      </c>
      <c r="AO108">
        <f t="shared" si="111"/>
        <v>0</v>
      </c>
      <c r="AP108" s="1" t="str">
        <f t="shared" si="112"/>
        <v>复苏</v>
      </c>
    </row>
    <row r="109" spans="1:42" x14ac:dyDescent="0.35">
      <c r="A109" s="19">
        <v>40237</v>
      </c>
      <c r="B109" s="17">
        <v>20.7</v>
      </c>
      <c r="C109" s="17">
        <v>2.1</v>
      </c>
      <c r="D109" s="17">
        <v>4.9000000000000004</v>
      </c>
      <c r="E109" s="17">
        <f t="shared" si="88"/>
        <v>3.22</v>
      </c>
      <c r="F109">
        <v>1</v>
      </c>
      <c r="G109">
        <f t="shared" ref="G109:K109" si="136">IF(F109=1,0,1)</f>
        <v>0</v>
      </c>
      <c r="H109">
        <v>1</v>
      </c>
      <c r="I109">
        <f t="shared" si="136"/>
        <v>0</v>
      </c>
      <c r="J109">
        <v>1</v>
      </c>
      <c r="K109">
        <f t="shared" si="136"/>
        <v>0</v>
      </c>
      <c r="L109">
        <v>1</v>
      </c>
      <c r="M109">
        <f t="shared" si="90"/>
        <v>0</v>
      </c>
      <c r="N109">
        <f t="shared" si="91"/>
        <v>0</v>
      </c>
      <c r="O109">
        <f t="shared" si="92"/>
        <v>1</v>
      </c>
      <c r="P109">
        <f t="shared" si="93"/>
        <v>0</v>
      </c>
      <c r="Q109">
        <f t="shared" si="94"/>
        <v>0</v>
      </c>
      <c r="R109" s="1" t="str">
        <f t="shared" si="95"/>
        <v>过热</v>
      </c>
      <c r="S109">
        <f t="shared" si="96"/>
        <v>0</v>
      </c>
      <c r="T109">
        <f t="shared" si="97"/>
        <v>1</v>
      </c>
      <c r="U109">
        <f t="shared" si="98"/>
        <v>0</v>
      </c>
      <c r="V109">
        <f t="shared" si="99"/>
        <v>0</v>
      </c>
      <c r="W109" s="1" t="str">
        <f t="shared" si="100"/>
        <v>过热</v>
      </c>
      <c r="X109">
        <f t="shared" si="101"/>
        <v>0</v>
      </c>
      <c r="Y109">
        <f t="shared" si="102"/>
        <v>1</v>
      </c>
      <c r="Z109">
        <f t="shared" si="103"/>
        <v>0</v>
      </c>
      <c r="AA109">
        <f t="shared" si="104"/>
        <v>0</v>
      </c>
      <c r="AB109" s="1" t="str">
        <f t="shared" si="105"/>
        <v>过热</v>
      </c>
      <c r="AE109" s="19">
        <v>45382</v>
      </c>
      <c r="AF109" s="25">
        <v>5.3</v>
      </c>
      <c r="AG109" s="25">
        <v>-1.2672000000000001</v>
      </c>
      <c r="AH109">
        <v>1</v>
      </c>
      <c r="AI109">
        <f t="shared" si="106"/>
        <v>0</v>
      </c>
      <c r="AJ109">
        <v>1</v>
      </c>
      <c r="AK109">
        <f t="shared" si="107"/>
        <v>0</v>
      </c>
      <c r="AL109">
        <f t="shared" si="108"/>
        <v>0</v>
      </c>
      <c r="AM109">
        <f t="shared" si="109"/>
        <v>1</v>
      </c>
      <c r="AN109">
        <f t="shared" si="110"/>
        <v>0</v>
      </c>
      <c r="AO109">
        <f t="shared" si="111"/>
        <v>0</v>
      </c>
      <c r="AP109" s="1" t="str">
        <f t="shared" si="112"/>
        <v>过热</v>
      </c>
    </row>
    <row r="110" spans="1:42" x14ac:dyDescent="0.35">
      <c r="A110" s="19">
        <v>40268</v>
      </c>
      <c r="B110" s="17">
        <v>18.100000000000001</v>
      </c>
      <c r="C110" s="17">
        <v>2.4</v>
      </c>
      <c r="D110" s="17">
        <v>5.91</v>
      </c>
      <c r="E110" s="17">
        <f t="shared" si="88"/>
        <v>3.8040000000000003</v>
      </c>
      <c r="F110">
        <v>0</v>
      </c>
      <c r="G110">
        <f t="shared" ref="G110:K110" si="137">IF(F110=1,0,1)</f>
        <v>1</v>
      </c>
      <c r="H110">
        <v>1</v>
      </c>
      <c r="I110">
        <f t="shared" si="137"/>
        <v>0</v>
      </c>
      <c r="J110">
        <v>1</v>
      </c>
      <c r="K110">
        <f t="shared" si="137"/>
        <v>0</v>
      </c>
      <c r="L110">
        <v>1</v>
      </c>
      <c r="M110">
        <f t="shared" si="90"/>
        <v>0</v>
      </c>
      <c r="N110">
        <f t="shared" si="91"/>
        <v>0</v>
      </c>
      <c r="O110">
        <f t="shared" si="92"/>
        <v>0</v>
      </c>
      <c r="P110">
        <f t="shared" si="93"/>
        <v>1</v>
      </c>
      <c r="Q110">
        <f t="shared" si="94"/>
        <v>0</v>
      </c>
      <c r="R110" s="1" t="str">
        <f t="shared" si="95"/>
        <v>滞涨</v>
      </c>
      <c r="S110">
        <f t="shared" si="96"/>
        <v>0</v>
      </c>
      <c r="T110">
        <f t="shared" si="97"/>
        <v>0</v>
      </c>
      <c r="U110">
        <f t="shared" si="98"/>
        <v>1</v>
      </c>
      <c r="V110">
        <f t="shared" si="99"/>
        <v>0</v>
      </c>
      <c r="W110" s="1" t="str">
        <f t="shared" si="100"/>
        <v>滞涨</v>
      </c>
      <c r="X110">
        <f t="shared" si="101"/>
        <v>0</v>
      </c>
      <c r="Y110">
        <f t="shared" si="102"/>
        <v>0</v>
      </c>
      <c r="Z110">
        <f t="shared" si="103"/>
        <v>1</v>
      </c>
      <c r="AA110">
        <f t="shared" si="104"/>
        <v>0</v>
      </c>
      <c r="AB110" s="1" t="str">
        <f t="shared" si="105"/>
        <v>滞涨</v>
      </c>
    </row>
    <row r="111" spans="1:42" x14ac:dyDescent="0.35">
      <c r="A111" s="19">
        <v>40298</v>
      </c>
      <c r="B111" s="17">
        <v>17.8</v>
      </c>
      <c r="C111" s="17">
        <v>2.8</v>
      </c>
      <c r="D111" s="17">
        <v>6.81</v>
      </c>
      <c r="E111" s="17">
        <f t="shared" si="88"/>
        <v>4.4039999999999999</v>
      </c>
      <c r="F111">
        <v>0</v>
      </c>
      <c r="G111">
        <f t="shared" ref="G111:K111" si="138">IF(F111=1,0,1)</f>
        <v>1</v>
      </c>
      <c r="H111">
        <v>1</v>
      </c>
      <c r="I111">
        <f t="shared" si="138"/>
        <v>0</v>
      </c>
      <c r="J111">
        <v>1</v>
      </c>
      <c r="K111">
        <f t="shared" si="138"/>
        <v>0</v>
      </c>
      <c r="L111">
        <v>1</v>
      </c>
      <c r="M111">
        <f t="shared" si="90"/>
        <v>0</v>
      </c>
      <c r="N111">
        <f t="shared" si="91"/>
        <v>0</v>
      </c>
      <c r="O111">
        <f t="shared" si="92"/>
        <v>0</v>
      </c>
      <c r="P111">
        <f t="shared" si="93"/>
        <v>1</v>
      </c>
      <c r="Q111">
        <f t="shared" si="94"/>
        <v>0</v>
      </c>
      <c r="R111" s="1" t="str">
        <f t="shared" si="95"/>
        <v>滞涨</v>
      </c>
      <c r="S111">
        <f t="shared" si="96"/>
        <v>0</v>
      </c>
      <c r="T111">
        <f t="shared" si="97"/>
        <v>0</v>
      </c>
      <c r="U111">
        <f t="shared" si="98"/>
        <v>1</v>
      </c>
      <c r="V111">
        <f t="shared" si="99"/>
        <v>0</v>
      </c>
      <c r="W111" s="1" t="str">
        <f t="shared" si="100"/>
        <v>滞涨</v>
      </c>
      <c r="X111">
        <f t="shared" si="101"/>
        <v>0</v>
      </c>
      <c r="Y111">
        <f t="shared" si="102"/>
        <v>0</v>
      </c>
      <c r="Z111">
        <f t="shared" si="103"/>
        <v>1</v>
      </c>
      <c r="AA111">
        <f t="shared" si="104"/>
        <v>0</v>
      </c>
      <c r="AB111" s="1" t="str">
        <f t="shared" si="105"/>
        <v>滞涨</v>
      </c>
    </row>
    <row r="112" spans="1:42" x14ac:dyDescent="0.35">
      <c r="A112" s="19">
        <v>40329</v>
      </c>
      <c r="B112" s="17">
        <v>16.5</v>
      </c>
      <c r="C112" s="17">
        <v>3.1</v>
      </c>
      <c r="D112" s="17">
        <v>7.13</v>
      </c>
      <c r="E112" s="17">
        <f t="shared" si="88"/>
        <v>4.7119999999999997</v>
      </c>
      <c r="F112">
        <v>0</v>
      </c>
      <c r="G112">
        <f t="shared" ref="G112:K112" si="139">IF(F112=1,0,1)</f>
        <v>1</v>
      </c>
      <c r="H112">
        <v>1</v>
      </c>
      <c r="I112">
        <f t="shared" si="139"/>
        <v>0</v>
      </c>
      <c r="J112">
        <v>1</v>
      </c>
      <c r="K112">
        <f t="shared" si="139"/>
        <v>0</v>
      </c>
      <c r="L112">
        <v>1</v>
      </c>
      <c r="M112">
        <f t="shared" si="90"/>
        <v>0</v>
      </c>
      <c r="N112">
        <f t="shared" si="91"/>
        <v>0</v>
      </c>
      <c r="O112">
        <f t="shared" si="92"/>
        <v>0</v>
      </c>
      <c r="P112">
        <f t="shared" si="93"/>
        <v>1</v>
      </c>
      <c r="Q112">
        <f t="shared" si="94"/>
        <v>0</v>
      </c>
      <c r="R112" s="1" t="str">
        <f t="shared" si="95"/>
        <v>滞涨</v>
      </c>
      <c r="S112">
        <f t="shared" si="96"/>
        <v>0</v>
      </c>
      <c r="T112">
        <f t="shared" si="97"/>
        <v>0</v>
      </c>
      <c r="U112">
        <f t="shared" si="98"/>
        <v>1</v>
      </c>
      <c r="V112">
        <f t="shared" si="99"/>
        <v>0</v>
      </c>
      <c r="W112" s="1" t="str">
        <f t="shared" si="100"/>
        <v>滞涨</v>
      </c>
      <c r="X112">
        <f t="shared" si="101"/>
        <v>0</v>
      </c>
      <c r="Y112">
        <f t="shared" si="102"/>
        <v>0</v>
      </c>
      <c r="Z112">
        <f t="shared" si="103"/>
        <v>1</v>
      </c>
      <c r="AA112">
        <f t="shared" si="104"/>
        <v>0</v>
      </c>
      <c r="AB112" s="1" t="str">
        <f t="shared" si="105"/>
        <v>滞涨</v>
      </c>
    </row>
    <row r="113" spans="1:28" x14ac:dyDescent="0.35">
      <c r="A113" s="19">
        <v>40359</v>
      </c>
      <c r="B113" s="17">
        <v>13.7</v>
      </c>
      <c r="C113" s="17">
        <v>2.9</v>
      </c>
      <c r="D113" s="17">
        <v>6.41</v>
      </c>
      <c r="E113" s="17">
        <f t="shared" si="88"/>
        <v>4.3040000000000003</v>
      </c>
      <c r="F113">
        <v>0</v>
      </c>
      <c r="G113">
        <f t="shared" ref="G113:K113" si="140">IF(F113=1,0,1)</f>
        <v>1</v>
      </c>
      <c r="H113">
        <v>1</v>
      </c>
      <c r="I113">
        <f t="shared" si="140"/>
        <v>0</v>
      </c>
      <c r="J113">
        <v>0</v>
      </c>
      <c r="K113">
        <f t="shared" si="140"/>
        <v>1</v>
      </c>
      <c r="L113">
        <v>0</v>
      </c>
      <c r="M113">
        <f t="shared" si="90"/>
        <v>1</v>
      </c>
      <c r="N113">
        <f t="shared" si="91"/>
        <v>0</v>
      </c>
      <c r="O113">
        <f t="shared" si="92"/>
        <v>0</v>
      </c>
      <c r="P113">
        <f t="shared" si="93"/>
        <v>1</v>
      </c>
      <c r="Q113">
        <f t="shared" si="94"/>
        <v>0</v>
      </c>
      <c r="R113" s="1" t="str">
        <f t="shared" si="95"/>
        <v>滞涨</v>
      </c>
      <c r="S113">
        <f t="shared" si="96"/>
        <v>0</v>
      </c>
      <c r="T113">
        <f t="shared" si="97"/>
        <v>0</v>
      </c>
      <c r="U113">
        <f t="shared" si="98"/>
        <v>0</v>
      </c>
      <c r="V113">
        <f t="shared" si="99"/>
        <v>1</v>
      </c>
      <c r="W113" s="1" t="str">
        <f t="shared" si="100"/>
        <v>衰退</v>
      </c>
      <c r="X113">
        <f t="shared" si="101"/>
        <v>0</v>
      </c>
      <c r="Y113">
        <f t="shared" si="102"/>
        <v>0</v>
      </c>
      <c r="Z113">
        <f t="shared" si="103"/>
        <v>0</v>
      </c>
      <c r="AA113">
        <f t="shared" si="104"/>
        <v>1</v>
      </c>
      <c r="AB113" s="1" t="str">
        <f t="shared" si="105"/>
        <v>衰退</v>
      </c>
    </row>
    <row r="114" spans="1:28" x14ac:dyDescent="0.35">
      <c r="A114" s="19">
        <v>40390</v>
      </c>
      <c r="B114" s="17">
        <v>13.4</v>
      </c>
      <c r="C114" s="17">
        <v>3.3</v>
      </c>
      <c r="D114" s="17">
        <v>4.84</v>
      </c>
      <c r="E114" s="17">
        <f t="shared" si="88"/>
        <v>3.9159999999999995</v>
      </c>
      <c r="F114">
        <v>0</v>
      </c>
      <c r="G114">
        <f t="shared" ref="G114:K114" si="141">IF(F114=1,0,1)</f>
        <v>1</v>
      </c>
      <c r="H114">
        <v>1</v>
      </c>
      <c r="I114">
        <f t="shared" si="141"/>
        <v>0</v>
      </c>
      <c r="J114">
        <v>0</v>
      </c>
      <c r="K114">
        <f t="shared" si="141"/>
        <v>1</v>
      </c>
      <c r="L114">
        <v>0</v>
      </c>
      <c r="M114">
        <f t="shared" si="90"/>
        <v>1</v>
      </c>
      <c r="N114">
        <f t="shared" si="91"/>
        <v>0</v>
      </c>
      <c r="O114">
        <f t="shared" si="92"/>
        <v>0</v>
      </c>
      <c r="P114">
        <f t="shared" si="93"/>
        <v>1</v>
      </c>
      <c r="Q114">
        <f t="shared" si="94"/>
        <v>0</v>
      </c>
      <c r="R114" s="1" t="str">
        <f t="shared" si="95"/>
        <v>滞涨</v>
      </c>
      <c r="S114">
        <f t="shared" si="96"/>
        <v>0</v>
      </c>
      <c r="T114">
        <f t="shared" si="97"/>
        <v>0</v>
      </c>
      <c r="U114">
        <f t="shared" si="98"/>
        <v>0</v>
      </c>
      <c r="V114">
        <f t="shared" si="99"/>
        <v>1</v>
      </c>
      <c r="W114" s="1" t="str">
        <f t="shared" si="100"/>
        <v>衰退</v>
      </c>
      <c r="X114">
        <f t="shared" si="101"/>
        <v>0</v>
      </c>
      <c r="Y114">
        <f t="shared" si="102"/>
        <v>0</v>
      </c>
      <c r="Z114">
        <f t="shared" si="103"/>
        <v>0</v>
      </c>
      <c r="AA114">
        <f t="shared" si="104"/>
        <v>1</v>
      </c>
      <c r="AB114" s="1" t="str">
        <f t="shared" si="105"/>
        <v>衰退</v>
      </c>
    </row>
    <row r="115" spans="1:28" x14ac:dyDescent="0.35">
      <c r="A115" s="19">
        <v>40421</v>
      </c>
      <c r="B115" s="17">
        <v>13.9</v>
      </c>
      <c r="C115" s="17">
        <v>3.5</v>
      </c>
      <c r="D115" s="17">
        <v>4.32</v>
      </c>
      <c r="E115" s="17">
        <f t="shared" si="88"/>
        <v>3.8280000000000003</v>
      </c>
      <c r="F115">
        <v>0</v>
      </c>
      <c r="G115">
        <f t="shared" ref="G115:K115" si="142">IF(F115=1,0,1)</f>
        <v>1</v>
      </c>
      <c r="H115">
        <v>1</v>
      </c>
      <c r="I115">
        <f t="shared" si="142"/>
        <v>0</v>
      </c>
      <c r="J115">
        <v>0</v>
      </c>
      <c r="K115">
        <f t="shared" si="142"/>
        <v>1</v>
      </c>
      <c r="L115">
        <v>0</v>
      </c>
      <c r="M115">
        <f t="shared" si="90"/>
        <v>1</v>
      </c>
      <c r="N115">
        <f t="shared" si="91"/>
        <v>0</v>
      </c>
      <c r="O115">
        <f t="shared" si="92"/>
        <v>0</v>
      </c>
      <c r="P115">
        <f t="shared" si="93"/>
        <v>1</v>
      </c>
      <c r="Q115">
        <f t="shared" si="94"/>
        <v>0</v>
      </c>
      <c r="R115" s="1" t="str">
        <f t="shared" si="95"/>
        <v>滞涨</v>
      </c>
      <c r="S115">
        <f t="shared" si="96"/>
        <v>0</v>
      </c>
      <c r="T115">
        <f t="shared" si="97"/>
        <v>0</v>
      </c>
      <c r="U115">
        <f t="shared" si="98"/>
        <v>0</v>
      </c>
      <c r="V115">
        <f t="shared" si="99"/>
        <v>1</v>
      </c>
      <c r="W115" s="1" t="str">
        <f t="shared" si="100"/>
        <v>衰退</v>
      </c>
      <c r="X115">
        <f t="shared" si="101"/>
        <v>0</v>
      </c>
      <c r="Y115">
        <f t="shared" si="102"/>
        <v>0</v>
      </c>
      <c r="Z115">
        <f t="shared" si="103"/>
        <v>0</v>
      </c>
      <c r="AA115">
        <f t="shared" si="104"/>
        <v>1</v>
      </c>
      <c r="AB115" s="1" t="str">
        <f t="shared" si="105"/>
        <v>衰退</v>
      </c>
    </row>
    <row r="116" spans="1:28" x14ac:dyDescent="0.35">
      <c r="A116" s="19">
        <v>40451</v>
      </c>
      <c r="B116" s="17">
        <v>13.3</v>
      </c>
      <c r="C116" s="17">
        <v>3.6</v>
      </c>
      <c r="D116" s="17">
        <v>4.33</v>
      </c>
      <c r="E116" s="17">
        <f t="shared" si="88"/>
        <v>3.8920000000000003</v>
      </c>
      <c r="F116">
        <v>0</v>
      </c>
      <c r="G116">
        <f t="shared" ref="G116:K116" si="143">IF(F116=1,0,1)</f>
        <v>1</v>
      </c>
      <c r="H116">
        <v>1</v>
      </c>
      <c r="I116">
        <f t="shared" si="143"/>
        <v>0</v>
      </c>
      <c r="J116">
        <v>1</v>
      </c>
      <c r="K116">
        <f t="shared" si="143"/>
        <v>0</v>
      </c>
      <c r="L116">
        <v>1</v>
      </c>
      <c r="M116">
        <f t="shared" si="90"/>
        <v>0</v>
      </c>
      <c r="N116">
        <f t="shared" si="91"/>
        <v>0</v>
      </c>
      <c r="O116">
        <f t="shared" si="92"/>
        <v>0</v>
      </c>
      <c r="P116">
        <f t="shared" si="93"/>
        <v>1</v>
      </c>
      <c r="Q116">
        <f t="shared" si="94"/>
        <v>0</v>
      </c>
      <c r="R116" s="1" t="str">
        <f t="shared" si="95"/>
        <v>滞涨</v>
      </c>
      <c r="S116">
        <f t="shared" si="96"/>
        <v>0</v>
      </c>
      <c r="T116">
        <f t="shared" si="97"/>
        <v>0</v>
      </c>
      <c r="U116">
        <f t="shared" si="98"/>
        <v>1</v>
      </c>
      <c r="V116">
        <f t="shared" si="99"/>
        <v>0</v>
      </c>
      <c r="W116" s="1" t="str">
        <f t="shared" si="100"/>
        <v>滞涨</v>
      </c>
      <c r="X116">
        <f t="shared" si="101"/>
        <v>0</v>
      </c>
      <c r="Y116">
        <f t="shared" si="102"/>
        <v>0</v>
      </c>
      <c r="Z116">
        <f t="shared" si="103"/>
        <v>1</v>
      </c>
      <c r="AA116">
        <f t="shared" si="104"/>
        <v>0</v>
      </c>
      <c r="AB116" s="1" t="str">
        <f t="shared" si="105"/>
        <v>滞涨</v>
      </c>
    </row>
    <row r="117" spans="1:28" x14ac:dyDescent="0.35">
      <c r="A117" s="19">
        <v>40482</v>
      </c>
      <c r="B117" s="17">
        <v>13.1</v>
      </c>
      <c r="C117" s="17">
        <v>4.4000000000000004</v>
      </c>
      <c r="D117" s="17">
        <v>5.04</v>
      </c>
      <c r="E117" s="17">
        <f t="shared" si="88"/>
        <v>4.6560000000000006</v>
      </c>
      <c r="F117">
        <v>0</v>
      </c>
      <c r="G117">
        <f t="shared" ref="G117:K117" si="144">IF(F117=1,0,1)</f>
        <v>1</v>
      </c>
      <c r="H117">
        <v>1</v>
      </c>
      <c r="I117">
        <f t="shared" si="144"/>
        <v>0</v>
      </c>
      <c r="J117">
        <v>1</v>
      </c>
      <c r="K117">
        <f t="shared" si="144"/>
        <v>0</v>
      </c>
      <c r="L117">
        <v>1</v>
      </c>
      <c r="M117">
        <f t="shared" si="90"/>
        <v>0</v>
      </c>
      <c r="N117">
        <f t="shared" si="91"/>
        <v>0</v>
      </c>
      <c r="O117">
        <f t="shared" si="92"/>
        <v>0</v>
      </c>
      <c r="P117">
        <f t="shared" si="93"/>
        <v>1</v>
      </c>
      <c r="Q117">
        <f t="shared" si="94"/>
        <v>0</v>
      </c>
      <c r="R117" s="1" t="str">
        <f t="shared" si="95"/>
        <v>滞涨</v>
      </c>
      <c r="S117">
        <f t="shared" si="96"/>
        <v>0</v>
      </c>
      <c r="T117">
        <f t="shared" si="97"/>
        <v>0</v>
      </c>
      <c r="U117">
        <f t="shared" si="98"/>
        <v>1</v>
      </c>
      <c r="V117">
        <f t="shared" si="99"/>
        <v>0</v>
      </c>
      <c r="W117" s="1" t="str">
        <f t="shared" si="100"/>
        <v>滞涨</v>
      </c>
      <c r="X117">
        <f t="shared" si="101"/>
        <v>0</v>
      </c>
      <c r="Y117">
        <f t="shared" si="102"/>
        <v>0</v>
      </c>
      <c r="Z117">
        <f t="shared" si="103"/>
        <v>1</v>
      </c>
      <c r="AA117">
        <f t="shared" si="104"/>
        <v>0</v>
      </c>
      <c r="AB117" s="1" t="str">
        <f t="shared" si="105"/>
        <v>滞涨</v>
      </c>
    </row>
    <row r="118" spans="1:28" x14ac:dyDescent="0.35">
      <c r="A118" s="19">
        <v>40512</v>
      </c>
      <c r="B118" s="17">
        <v>13.3</v>
      </c>
      <c r="C118" s="17">
        <v>5.0999999999999996</v>
      </c>
      <c r="D118" s="17">
        <v>6.06</v>
      </c>
      <c r="E118" s="17">
        <f t="shared" si="88"/>
        <v>5.484</v>
      </c>
      <c r="F118">
        <v>1</v>
      </c>
      <c r="G118">
        <f t="shared" ref="G118:K118" si="145">IF(F118=1,0,1)</f>
        <v>0</v>
      </c>
      <c r="H118">
        <v>1</v>
      </c>
      <c r="I118">
        <f t="shared" si="145"/>
        <v>0</v>
      </c>
      <c r="J118">
        <v>1</v>
      </c>
      <c r="K118">
        <f t="shared" si="145"/>
        <v>0</v>
      </c>
      <c r="L118">
        <v>1</v>
      </c>
      <c r="M118">
        <f t="shared" si="90"/>
        <v>0</v>
      </c>
      <c r="N118">
        <f t="shared" si="91"/>
        <v>0</v>
      </c>
      <c r="O118">
        <f t="shared" si="92"/>
        <v>1</v>
      </c>
      <c r="P118">
        <f t="shared" si="93"/>
        <v>0</v>
      </c>
      <c r="Q118">
        <f t="shared" si="94"/>
        <v>0</v>
      </c>
      <c r="R118" s="1" t="str">
        <f t="shared" si="95"/>
        <v>过热</v>
      </c>
      <c r="S118">
        <f t="shared" si="96"/>
        <v>0</v>
      </c>
      <c r="T118">
        <f t="shared" si="97"/>
        <v>1</v>
      </c>
      <c r="U118">
        <f t="shared" si="98"/>
        <v>0</v>
      </c>
      <c r="V118">
        <f t="shared" si="99"/>
        <v>0</v>
      </c>
      <c r="W118" s="1" t="str">
        <f t="shared" si="100"/>
        <v>过热</v>
      </c>
      <c r="X118">
        <f t="shared" si="101"/>
        <v>0</v>
      </c>
      <c r="Y118">
        <f t="shared" si="102"/>
        <v>1</v>
      </c>
      <c r="Z118">
        <f t="shared" si="103"/>
        <v>0</v>
      </c>
      <c r="AA118">
        <f t="shared" si="104"/>
        <v>0</v>
      </c>
      <c r="AB118" s="1" t="str">
        <f t="shared" si="105"/>
        <v>过热</v>
      </c>
    </row>
    <row r="119" spans="1:28" x14ac:dyDescent="0.35">
      <c r="A119" s="19">
        <v>40543</v>
      </c>
      <c r="B119" s="17">
        <v>13.5</v>
      </c>
      <c r="C119" s="17">
        <v>4.5999999999999996</v>
      </c>
      <c r="D119" s="17">
        <v>5.93</v>
      </c>
      <c r="E119" s="17">
        <f t="shared" si="88"/>
        <v>5.1319999999999997</v>
      </c>
      <c r="F119">
        <v>1</v>
      </c>
      <c r="G119">
        <f t="shared" ref="G119:K119" si="146">IF(F119=1,0,1)</f>
        <v>0</v>
      </c>
      <c r="H119">
        <v>1</v>
      </c>
      <c r="I119">
        <f t="shared" si="146"/>
        <v>0</v>
      </c>
      <c r="J119">
        <v>1</v>
      </c>
      <c r="K119">
        <f t="shared" si="146"/>
        <v>0</v>
      </c>
      <c r="L119">
        <v>1</v>
      </c>
      <c r="M119">
        <f t="shared" si="90"/>
        <v>0</v>
      </c>
      <c r="N119">
        <f t="shared" si="91"/>
        <v>0</v>
      </c>
      <c r="O119">
        <f t="shared" si="92"/>
        <v>1</v>
      </c>
      <c r="P119">
        <f t="shared" si="93"/>
        <v>0</v>
      </c>
      <c r="Q119">
        <f t="shared" si="94"/>
        <v>0</v>
      </c>
      <c r="R119" s="1" t="str">
        <f t="shared" si="95"/>
        <v>过热</v>
      </c>
      <c r="S119">
        <f t="shared" si="96"/>
        <v>0</v>
      </c>
      <c r="T119">
        <f t="shared" si="97"/>
        <v>1</v>
      </c>
      <c r="U119">
        <f t="shared" si="98"/>
        <v>0</v>
      </c>
      <c r="V119">
        <f t="shared" si="99"/>
        <v>0</v>
      </c>
      <c r="W119" s="1" t="str">
        <f t="shared" si="100"/>
        <v>过热</v>
      </c>
      <c r="X119">
        <f t="shared" si="101"/>
        <v>0</v>
      </c>
      <c r="Y119">
        <f t="shared" si="102"/>
        <v>1</v>
      </c>
      <c r="Z119">
        <f t="shared" si="103"/>
        <v>0</v>
      </c>
      <c r="AA119">
        <f t="shared" si="104"/>
        <v>0</v>
      </c>
      <c r="AB119" s="1" t="str">
        <f t="shared" si="105"/>
        <v>过热</v>
      </c>
    </row>
    <row r="120" spans="1:28" x14ac:dyDescent="0.35">
      <c r="A120" s="19">
        <v>40602</v>
      </c>
      <c r="B120" s="17">
        <v>14.1</v>
      </c>
      <c r="C120" s="17">
        <v>4.9000000000000004</v>
      </c>
      <c r="D120" s="17">
        <v>6.94</v>
      </c>
      <c r="E120" s="17">
        <f t="shared" si="88"/>
        <v>5.7160000000000002</v>
      </c>
      <c r="F120">
        <v>1</v>
      </c>
      <c r="G120">
        <f t="shared" ref="G120:K120" si="147">IF(F120=1,0,1)</f>
        <v>0</v>
      </c>
      <c r="H120">
        <v>1</v>
      </c>
      <c r="I120">
        <f t="shared" si="147"/>
        <v>0</v>
      </c>
      <c r="J120">
        <v>1</v>
      </c>
      <c r="K120">
        <f t="shared" si="147"/>
        <v>0</v>
      </c>
      <c r="L120">
        <v>1</v>
      </c>
      <c r="M120">
        <f t="shared" si="90"/>
        <v>0</v>
      </c>
      <c r="N120">
        <f t="shared" si="91"/>
        <v>0</v>
      </c>
      <c r="O120">
        <f t="shared" si="92"/>
        <v>1</v>
      </c>
      <c r="P120">
        <f t="shared" si="93"/>
        <v>0</v>
      </c>
      <c r="Q120">
        <f t="shared" si="94"/>
        <v>0</v>
      </c>
      <c r="R120" s="1" t="str">
        <f t="shared" si="95"/>
        <v>过热</v>
      </c>
      <c r="S120">
        <f t="shared" si="96"/>
        <v>0</v>
      </c>
      <c r="T120">
        <f t="shared" si="97"/>
        <v>1</v>
      </c>
      <c r="U120">
        <f t="shared" si="98"/>
        <v>0</v>
      </c>
      <c r="V120">
        <f t="shared" si="99"/>
        <v>0</v>
      </c>
      <c r="W120" s="1" t="str">
        <f t="shared" si="100"/>
        <v>过热</v>
      </c>
      <c r="X120">
        <f t="shared" si="101"/>
        <v>0</v>
      </c>
      <c r="Y120">
        <f t="shared" si="102"/>
        <v>1</v>
      </c>
      <c r="Z120">
        <f t="shared" si="103"/>
        <v>0</v>
      </c>
      <c r="AA120">
        <f t="shared" si="104"/>
        <v>0</v>
      </c>
      <c r="AB120" s="1" t="str">
        <f t="shared" si="105"/>
        <v>过热</v>
      </c>
    </row>
    <row r="121" spans="1:28" x14ac:dyDescent="0.35">
      <c r="A121" s="19">
        <v>40633</v>
      </c>
      <c r="B121" s="17">
        <v>14.8</v>
      </c>
      <c r="C121" s="17">
        <v>5.383</v>
      </c>
      <c r="D121" s="17">
        <v>7.31</v>
      </c>
      <c r="E121" s="17">
        <f t="shared" si="88"/>
        <v>6.1538000000000004</v>
      </c>
      <c r="F121">
        <v>1</v>
      </c>
      <c r="G121">
        <f t="shared" ref="G121:K121" si="148">IF(F121=1,0,1)</f>
        <v>0</v>
      </c>
      <c r="H121">
        <v>1</v>
      </c>
      <c r="I121">
        <f t="shared" si="148"/>
        <v>0</v>
      </c>
      <c r="J121">
        <v>1</v>
      </c>
      <c r="K121">
        <f t="shared" si="148"/>
        <v>0</v>
      </c>
      <c r="L121">
        <v>1</v>
      </c>
      <c r="M121">
        <f t="shared" si="90"/>
        <v>0</v>
      </c>
      <c r="N121">
        <f t="shared" si="91"/>
        <v>0</v>
      </c>
      <c r="O121">
        <f t="shared" si="92"/>
        <v>1</v>
      </c>
      <c r="P121">
        <f t="shared" si="93"/>
        <v>0</v>
      </c>
      <c r="Q121">
        <f t="shared" si="94"/>
        <v>0</v>
      </c>
      <c r="R121" s="1" t="str">
        <f t="shared" si="95"/>
        <v>过热</v>
      </c>
      <c r="S121">
        <f t="shared" si="96"/>
        <v>0</v>
      </c>
      <c r="T121">
        <f t="shared" si="97"/>
        <v>1</v>
      </c>
      <c r="U121">
        <f t="shared" si="98"/>
        <v>0</v>
      </c>
      <c r="V121">
        <f t="shared" si="99"/>
        <v>0</v>
      </c>
      <c r="W121" s="1" t="str">
        <f t="shared" si="100"/>
        <v>过热</v>
      </c>
      <c r="X121">
        <f t="shared" si="101"/>
        <v>0</v>
      </c>
      <c r="Y121">
        <f t="shared" si="102"/>
        <v>1</v>
      </c>
      <c r="Z121">
        <f t="shared" si="103"/>
        <v>0</v>
      </c>
      <c r="AA121">
        <f t="shared" si="104"/>
        <v>0</v>
      </c>
      <c r="AB121" s="1" t="str">
        <f t="shared" si="105"/>
        <v>过热</v>
      </c>
    </row>
    <row r="122" spans="1:28" x14ac:dyDescent="0.35">
      <c r="A122" s="19">
        <v>40663</v>
      </c>
      <c r="B122" s="17">
        <v>13.4</v>
      </c>
      <c r="C122" s="17">
        <v>5.3440000000000003</v>
      </c>
      <c r="D122" s="17">
        <v>6.82</v>
      </c>
      <c r="E122" s="17">
        <f t="shared" si="88"/>
        <v>5.9344000000000001</v>
      </c>
      <c r="F122">
        <v>1</v>
      </c>
      <c r="G122">
        <f t="shared" ref="G122:K122" si="149">IF(F122=1,0,1)</f>
        <v>0</v>
      </c>
      <c r="H122">
        <v>1</v>
      </c>
      <c r="I122">
        <f t="shared" si="149"/>
        <v>0</v>
      </c>
      <c r="J122">
        <v>1</v>
      </c>
      <c r="K122">
        <f t="shared" si="149"/>
        <v>0</v>
      </c>
      <c r="L122">
        <v>1</v>
      </c>
      <c r="M122">
        <f t="shared" si="90"/>
        <v>0</v>
      </c>
      <c r="N122">
        <f t="shared" si="91"/>
        <v>0</v>
      </c>
      <c r="O122">
        <f t="shared" si="92"/>
        <v>1</v>
      </c>
      <c r="P122">
        <f t="shared" si="93"/>
        <v>0</v>
      </c>
      <c r="Q122">
        <f t="shared" si="94"/>
        <v>0</v>
      </c>
      <c r="R122" s="1" t="str">
        <f t="shared" si="95"/>
        <v>过热</v>
      </c>
      <c r="S122">
        <f t="shared" si="96"/>
        <v>0</v>
      </c>
      <c r="T122">
        <f t="shared" si="97"/>
        <v>1</v>
      </c>
      <c r="U122">
        <f t="shared" si="98"/>
        <v>0</v>
      </c>
      <c r="V122">
        <f t="shared" si="99"/>
        <v>0</v>
      </c>
      <c r="W122" s="1" t="str">
        <f t="shared" si="100"/>
        <v>过热</v>
      </c>
      <c r="X122">
        <f t="shared" si="101"/>
        <v>0</v>
      </c>
      <c r="Y122">
        <f t="shared" si="102"/>
        <v>1</v>
      </c>
      <c r="Z122">
        <f t="shared" si="103"/>
        <v>0</v>
      </c>
      <c r="AA122">
        <f t="shared" si="104"/>
        <v>0</v>
      </c>
      <c r="AB122" s="1" t="str">
        <f t="shared" si="105"/>
        <v>过热</v>
      </c>
    </row>
    <row r="123" spans="1:28" x14ac:dyDescent="0.35">
      <c r="A123" s="19">
        <v>40694</v>
      </c>
      <c r="B123" s="17">
        <v>13.3</v>
      </c>
      <c r="C123" s="17">
        <v>5.5149999999999997</v>
      </c>
      <c r="D123" s="17">
        <v>6.79</v>
      </c>
      <c r="E123" s="17">
        <f t="shared" si="88"/>
        <v>6.0250000000000004</v>
      </c>
      <c r="F123">
        <v>1</v>
      </c>
      <c r="G123">
        <f t="shared" ref="G123:K123" si="150">IF(F123=1,0,1)</f>
        <v>0</v>
      </c>
      <c r="H123">
        <v>1</v>
      </c>
      <c r="I123">
        <f t="shared" si="150"/>
        <v>0</v>
      </c>
      <c r="J123">
        <v>1</v>
      </c>
      <c r="K123">
        <f t="shared" si="150"/>
        <v>0</v>
      </c>
      <c r="L123">
        <v>1</v>
      </c>
      <c r="M123">
        <f t="shared" si="90"/>
        <v>0</v>
      </c>
      <c r="N123">
        <f t="shared" si="91"/>
        <v>0</v>
      </c>
      <c r="O123">
        <f t="shared" si="92"/>
        <v>1</v>
      </c>
      <c r="P123">
        <f t="shared" si="93"/>
        <v>0</v>
      </c>
      <c r="Q123">
        <f t="shared" si="94"/>
        <v>0</v>
      </c>
      <c r="R123" s="1" t="str">
        <f t="shared" si="95"/>
        <v>过热</v>
      </c>
      <c r="S123">
        <f t="shared" si="96"/>
        <v>0</v>
      </c>
      <c r="T123">
        <f t="shared" si="97"/>
        <v>1</v>
      </c>
      <c r="U123">
        <f t="shared" si="98"/>
        <v>0</v>
      </c>
      <c r="V123">
        <f t="shared" si="99"/>
        <v>0</v>
      </c>
      <c r="W123" s="1" t="str">
        <f t="shared" si="100"/>
        <v>过热</v>
      </c>
      <c r="X123">
        <f t="shared" si="101"/>
        <v>0</v>
      </c>
      <c r="Y123">
        <f t="shared" si="102"/>
        <v>1</v>
      </c>
      <c r="Z123">
        <f t="shared" si="103"/>
        <v>0</v>
      </c>
      <c r="AA123">
        <f t="shared" si="104"/>
        <v>0</v>
      </c>
      <c r="AB123" s="1" t="str">
        <f t="shared" si="105"/>
        <v>过热</v>
      </c>
    </row>
    <row r="124" spans="1:28" x14ac:dyDescent="0.35">
      <c r="A124" s="19">
        <v>40724</v>
      </c>
      <c r="B124" s="17">
        <v>15.1</v>
      </c>
      <c r="C124" s="17">
        <v>6.3550000000000004</v>
      </c>
      <c r="D124" s="17">
        <v>7.12</v>
      </c>
      <c r="E124" s="17">
        <f t="shared" si="88"/>
        <v>6.6610000000000005</v>
      </c>
      <c r="F124">
        <v>1</v>
      </c>
      <c r="G124">
        <f t="shared" ref="G124:K124" si="151">IF(F124=1,0,1)</f>
        <v>0</v>
      </c>
      <c r="H124">
        <v>1</v>
      </c>
      <c r="I124">
        <f t="shared" si="151"/>
        <v>0</v>
      </c>
      <c r="J124">
        <v>1</v>
      </c>
      <c r="K124">
        <f t="shared" si="151"/>
        <v>0</v>
      </c>
      <c r="L124">
        <v>1</v>
      </c>
      <c r="M124">
        <f t="shared" si="90"/>
        <v>0</v>
      </c>
      <c r="N124">
        <f t="shared" si="91"/>
        <v>0</v>
      </c>
      <c r="O124">
        <f t="shared" si="92"/>
        <v>1</v>
      </c>
      <c r="P124">
        <f t="shared" si="93"/>
        <v>0</v>
      </c>
      <c r="Q124">
        <f t="shared" si="94"/>
        <v>0</v>
      </c>
      <c r="R124" s="1" t="str">
        <f t="shared" si="95"/>
        <v>过热</v>
      </c>
      <c r="S124">
        <f t="shared" si="96"/>
        <v>0</v>
      </c>
      <c r="T124">
        <f t="shared" si="97"/>
        <v>1</v>
      </c>
      <c r="U124">
        <f t="shared" si="98"/>
        <v>0</v>
      </c>
      <c r="V124">
        <f t="shared" si="99"/>
        <v>0</v>
      </c>
      <c r="W124" s="1" t="str">
        <f t="shared" si="100"/>
        <v>过热</v>
      </c>
      <c r="X124">
        <f t="shared" si="101"/>
        <v>0</v>
      </c>
      <c r="Y124">
        <f t="shared" si="102"/>
        <v>1</v>
      </c>
      <c r="Z124">
        <f t="shared" si="103"/>
        <v>0</v>
      </c>
      <c r="AA124">
        <f t="shared" si="104"/>
        <v>0</v>
      </c>
      <c r="AB124" s="1" t="str">
        <f t="shared" si="105"/>
        <v>过热</v>
      </c>
    </row>
    <row r="125" spans="1:28" x14ac:dyDescent="0.35">
      <c r="A125" s="19">
        <v>40755</v>
      </c>
      <c r="B125" s="17">
        <v>14</v>
      </c>
      <c r="C125" s="17">
        <v>6.4509999999999996</v>
      </c>
      <c r="D125" s="17">
        <v>7.54</v>
      </c>
      <c r="E125" s="17">
        <f t="shared" si="88"/>
        <v>6.8865999999999996</v>
      </c>
      <c r="F125">
        <v>0</v>
      </c>
      <c r="G125">
        <f t="shared" ref="G125:K125" si="152">IF(F125=1,0,1)</f>
        <v>1</v>
      </c>
      <c r="H125">
        <v>1</v>
      </c>
      <c r="I125">
        <f t="shared" si="152"/>
        <v>0</v>
      </c>
      <c r="J125">
        <v>1</v>
      </c>
      <c r="K125">
        <f t="shared" si="152"/>
        <v>0</v>
      </c>
      <c r="L125">
        <v>1</v>
      </c>
      <c r="M125">
        <f t="shared" si="90"/>
        <v>0</v>
      </c>
      <c r="N125">
        <f t="shared" si="91"/>
        <v>0</v>
      </c>
      <c r="O125">
        <f t="shared" si="92"/>
        <v>0</v>
      </c>
      <c r="P125">
        <f t="shared" si="93"/>
        <v>1</v>
      </c>
      <c r="Q125">
        <f t="shared" si="94"/>
        <v>0</v>
      </c>
      <c r="R125" s="1" t="str">
        <f t="shared" si="95"/>
        <v>滞涨</v>
      </c>
      <c r="S125">
        <f t="shared" si="96"/>
        <v>0</v>
      </c>
      <c r="T125">
        <f t="shared" si="97"/>
        <v>0</v>
      </c>
      <c r="U125">
        <f t="shared" si="98"/>
        <v>1</v>
      </c>
      <c r="V125">
        <f t="shared" si="99"/>
        <v>0</v>
      </c>
      <c r="W125" s="1" t="str">
        <f t="shared" si="100"/>
        <v>滞涨</v>
      </c>
      <c r="X125">
        <f t="shared" si="101"/>
        <v>0</v>
      </c>
      <c r="Y125">
        <f t="shared" si="102"/>
        <v>0</v>
      </c>
      <c r="Z125">
        <f t="shared" si="103"/>
        <v>1</v>
      </c>
      <c r="AA125">
        <f t="shared" si="104"/>
        <v>0</v>
      </c>
      <c r="AB125" s="1" t="str">
        <f t="shared" si="105"/>
        <v>滞涨</v>
      </c>
    </row>
    <row r="126" spans="1:28" x14ac:dyDescent="0.35">
      <c r="A126" s="19">
        <v>40786</v>
      </c>
      <c r="B126" s="17">
        <v>13.5</v>
      </c>
      <c r="C126" s="17">
        <v>6.1509999999999998</v>
      </c>
      <c r="D126" s="17">
        <v>7.25</v>
      </c>
      <c r="E126" s="17">
        <f t="shared" si="88"/>
        <v>6.5906000000000002</v>
      </c>
      <c r="F126">
        <v>0</v>
      </c>
      <c r="G126">
        <f t="shared" ref="G126:K126" si="153">IF(F126=1,0,1)</f>
        <v>1</v>
      </c>
      <c r="H126">
        <v>0</v>
      </c>
      <c r="I126">
        <f t="shared" si="153"/>
        <v>1</v>
      </c>
      <c r="J126">
        <v>0</v>
      </c>
      <c r="K126">
        <f t="shared" si="153"/>
        <v>1</v>
      </c>
      <c r="L126">
        <v>0</v>
      </c>
      <c r="M126">
        <f t="shared" si="90"/>
        <v>1</v>
      </c>
      <c r="N126">
        <f t="shared" si="91"/>
        <v>0</v>
      </c>
      <c r="O126">
        <f t="shared" si="92"/>
        <v>0</v>
      </c>
      <c r="P126">
        <f t="shared" si="93"/>
        <v>0</v>
      </c>
      <c r="Q126">
        <f t="shared" si="94"/>
        <v>1</v>
      </c>
      <c r="R126" s="1" t="str">
        <f t="shared" si="95"/>
        <v>衰退</v>
      </c>
      <c r="S126">
        <f t="shared" si="96"/>
        <v>0</v>
      </c>
      <c r="T126">
        <f t="shared" si="97"/>
        <v>0</v>
      </c>
      <c r="U126">
        <f t="shared" si="98"/>
        <v>0</v>
      </c>
      <c r="V126">
        <f t="shared" si="99"/>
        <v>1</v>
      </c>
      <c r="W126" s="1" t="str">
        <f t="shared" si="100"/>
        <v>衰退</v>
      </c>
      <c r="X126">
        <f t="shared" si="101"/>
        <v>0</v>
      </c>
      <c r="Y126">
        <f t="shared" si="102"/>
        <v>0</v>
      </c>
      <c r="Z126">
        <f t="shared" si="103"/>
        <v>0</v>
      </c>
      <c r="AA126">
        <f t="shared" si="104"/>
        <v>1</v>
      </c>
      <c r="AB126" s="1" t="str">
        <f t="shared" si="105"/>
        <v>衰退</v>
      </c>
    </row>
    <row r="127" spans="1:28" x14ac:dyDescent="0.35">
      <c r="A127" s="19">
        <v>40816</v>
      </c>
      <c r="B127" s="17">
        <v>13.8</v>
      </c>
      <c r="C127" s="17">
        <v>6.0670000000000002</v>
      </c>
      <c r="D127" s="17">
        <v>6.52</v>
      </c>
      <c r="E127" s="17">
        <f t="shared" si="88"/>
        <v>6.2482000000000006</v>
      </c>
      <c r="F127">
        <v>0</v>
      </c>
      <c r="G127">
        <f t="shared" ref="G127:K127" si="154">IF(F127=1,0,1)</f>
        <v>1</v>
      </c>
      <c r="H127">
        <v>0</v>
      </c>
      <c r="I127">
        <f t="shared" si="154"/>
        <v>1</v>
      </c>
      <c r="J127">
        <v>0</v>
      </c>
      <c r="K127">
        <f t="shared" si="154"/>
        <v>1</v>
      </c>
      <c r="L127">
        <v>0</v>
      </c>
      <c r="M127">
        <f t="shared" si="90"/>
        <v>1</v>
      </c>
      <c r="N127">
        <f t="shared" si="91"/>
        <v>0</v>
      </c>
      <c r="O127">
        <f t="shared" si="92"/>
        <v>0</v>
      </c>
      <c r="P127">
        <f t="shared" si="93"/>
        <v>0</v>
      </c>
      <c r="Q127">
        <f t="shared" si="94"/>
        <v>1</v>
      </c>
      <c r="R127" s="1" t="str">
        <f t="shared" si="95"/>
        <v>衰退</v>
      </c>
      <c r="S127">
        <f t="shared" si="96"/>
        <v>0</v>
      </c>
      <c r="T127">
        <f t="shared" si="97"/>
        <v>0</v>
      </c>
      <c r="U127">
        <f t="shared" si="98"/>
        <v>0</v>
      </c>
      <c r="V127">
        <f t="shared" si="99"/>
        <v>1</v>
      </c>
      <c r="W127" s="1" t="str">
        <f t="shared" si="100"/>
        <v>衰退</v>
      </c>
      <c r="X127">
        <f t="shared" si="101"/>
        <v>0</v>
      </c>
      <c r="Y127">
        <f t="shared" si="102"/>
        <v>0</v>
      </c>
      <c r="Z127">
        <f t="shared" si="103"/>
        <v>0</v>
      </c>
      <c r="AA127">
        <f t="shared" si="104"/>
        <v>1</v>
      </c>
      <c r="AB127" s="1" t="str">
        <f t="shared" si="105"/>
        <v>衰退</v>
      </c>
    </row>
    <row r="128" spans="1:28" x14ac:dyDescent="0.35">
      <c r="A128" s="19">
        <v>40847</v>
      </c>
      <c r="B128" s="17">
        <v>13.2</v>
      </c>
      <c r="C128" s="17">
        <v>5.4950000000000001</v>
      </c>
      <c r="D128" s="17">
        <v>5</v>
      </c>
      <c r="E128" s="17">
        <f t="shared" si="88"/>
        <v>5.2970000000000006</v>
      </c>
      <c r="F128">
        <v>0</v>
      </c>
      <c r="G128">
        <f t="shared" ref="G128:K128" si="155">IF(F128=1,0,1)</f>
        <v>1</v>
      </c>
      <c r="H128">
        <v>0</v>
      </c>
      <c r="I128">
        <f t="shared" si="155"/>
        <v>1</v>
      </c>
      <c r="J128">
        <v>0</v>
      </c>
      <c r="K128">
        <f t="shared" si="155"/>
        <v>1</v>
      </c>
      <c r="L128">
        <v>0</v>
      </c>
      <c r="M128">
        <f t="shared" si="90"/>
        <v>1</v>
      </c>
      <c r="N128">
        <f t="shared" si="91"/>
        <v>0</v>
      </c>
      <c r="O128">
        <f t="shared" si="92"/>
        <v>0</v>
      </c>
      <c r="P128">
        <f t="shared" si="93"/>
        <v>0</v>
      </c>
      <c r="Q128">
        <f t="shared" si="94"/>
        <v>1</v>
      </c>
      <c r="R128" s="1" t="str">
        <f t="shared" si="95"/>
        <v>衰退</v>
      </c>
      <c r="S128">
        <f t="shared" si="96"/>
        <v>0</v>
      </c>
      <c r="T128">
        <f t="shared" si="97"/>
        <v>0</v>
      </c>
      <c r="U128">
        <f t="shared" si="98"/>
        <v>0</v>
      </c>
      <c r="V128">
        <f t="shared" si="99"/>
        <v>1</v>
      </c>
      <c r="W128" s="1" t="str">
        <f t="shared" si="100"/>
        <v>衰退</v>
      </c>
      <c r="X128">
        <f t="shared" si="101"/>
        <v>0</v>
      </c>
      <c r="Y128">
        <f t="shared" si="102"/>
        <v>0</v>
      </c>
      <c r="Z128">
        <f t="shared" si="103"/>
        <v>0</v>
      </c>
      <c r="AA128">
        <f t="shared" si="104"/>
        <v>1</v>
      </c>
      <c r="AB128" s="1" t="str">
        <f t="shared" si="105"/>
        <v>衰退</v>
      </c>
    </row>
    <row r="129" spans="1:28" x14ac:dyDescent="0.35">
      <c r="A129" s="19">
        <v>40877</v>
      </c>
      <c r="B129" s="17">
        <v>12.4</v>
      </c>
      <c r="C129" s="17">
        <v>4.2249999999999996</v>
      </c>
      <c r="D129" s="17">
        <v>2.72</v>
      </c>
      <c r="E129" s="17">
        <f t="shared" si="88"/>
        <v>3.6229999999999998</v>
      </c>
      <c r="F129">
        <v>0</v>
      </c>
      <c r="G129">
        <f t="shared" ref="G129:K129" si="156">IF(F129=1,0,1)</f>
        <v>1</v>
      </c>
      <c r="H129">
        <v>0</v>
      </c>
      <c r="I129">
        <f t="shared" si="156"/>
        <v>1</v>
      </c>
      <c r="J129">
        <v>0</v>
      </c>
      <c r="K129">
        <f t="shared" si="156"/>
        <v>1</v>
      </c>
      <c r="L129">
        <v>0</v>
      </c>
      <c r="M129">
        <f t="shared" si="90"/>
        <v>1</v>
      </c>
      <c r="N129">
        <f t="shared" si="91"/>
        <v>0</v>
      </c>
      <c r="O129">
        <f t="shared" si="92"/>
        <v>0</v>
      </c>
      <c r="P129">
        <f t="shared" si="93"/>
        <v>0</v>
      </c>
      <c r="Q129">
        <f t="shared" si="94"/>
        <v>1</v>
      </c>
      <c r="R129" s="1" t="str">
        <f t="shared" si="95"/>
        <v>衰退</v>
      </c>
      <c r="S129">
        <f t="shared" si="96"/>
        <v>0</v>
      </c>
      <c r="T129">
        <f t="shared" si="97"/>
        <v>0</v>
      </c>
      <c r="U129">
        <f t="shared" si="98"/>
        <v>0</v>
      </c>
      <c r="V129">
        <f t="shared" si="99"/>
        <v>1</v>
      </c>
      <c r="W129" s="1" t="str">
        <f t="shared" si="100"/>
        <v>衰退</v>
      </c>
      <c r="X129">
        <f t="shared" si="101"/>
        <v>0</v>
      </c>
      <c r="Y129">
        <f t="shared" si="102"/>
        <v>0</v>
      </c>
      <c r="Z129">
        <f t="shared" si="103"/>
        <v>0</v>
      </c>
      <c r="AA129">
        <f t="shared" si="104"/>
        <v>1</v>
      </c>
      <c r="AB129" s="1" t="str">
        <f t="shared" si="105"/>
        <v>衰退</v>
      </c>
    </row>
    <row r="130" spans="1:28" x14ac:dyDescent="0.35">
      <c r="A130" s="19">
        <v>40908</v>
      </c>
      <c r="B130" s="17">
        <v>12.8</v>
      </c>
      <c r="C130" s="17">
        <v>4.07</v>
      </c>
      <c r="D130" s="17">
        <v>1.69</v>
      </c>
      <c r="E130" s="17">
        <f t="shared" si="88"/>
        <v>3.1180000000000003</v>
      </c>
      <c r="F130">
        <v>0</v>
      </c>
      <c r="G130">
        <f t="shared" ref="G130:K130" si="157">IF(F130=1,0,1)</f>
        <v>1</v>
      </c>
      <c r="H130">
        <v>0</v>
      </c>
      <c r="I130">
        <f t="shared" si="157"/>
        <v>1</v>
      </c>
      <c r="J130">
        <v>0</v>
      </c>
      <c r="K130">
        <f t="shared" si="157"/>
        <v>1</v>
      </c>
      <c r="L130">
        <v>0</v>
      </c>
      <c r="M130">
        <f t="shared" si="90"/>
        <v>1</v>
      </c>
      <c r="N130">
        <f t="shared" si="91"/>
        <v>0</v>
      </c>
      <c r="O130">
        <f t="shared" si="92"/>
        <v>0</v>
      </c>
      <c r="P130">
        <f t="shared" si="93"/>
        <v>0</v>
      </c>
      <c r="Q130">
        <f t="shared" si="94"/>
        <v>1</v>
      </c>
      <c r="R130" s="1" t="str">
        <f t="shared" si="95"/>
        <v>衰退</v>
      </c>
      <c r="S130">
        <f t="shared" si="96"/>
        <v>0</v>
      </c>
      <c r="T130">
        <f t="shared" si="97"/>
        <v>0</v>
      </c>
      <c r="U130">
        <f t="shared" si="98"/>
        <v>0</v>
      </c>
      <c r="V130">
        <f t="shared" si="99"/>
        <v>1</v>
      </c>
      <c r="W130" s="1" t="str">
        <f t="shared" si="100"/>
        <v>衰退</v>
      </c>
      <c r="X130">
        <f t="shared" si="101"/>
        <v>0</v>
      </c>
      <c r="Y130">
        <f t="shared" si="102"/>
        <v>0</v>
      </c>
      <c r="Z130">
        <f t="shared" si="103"/>
        <v>0</v>
      </c>
      <c r="AA130">
        <f t="shared" si="104"/>
        <v>1</v>
      </c>
      <c r="AB130" s="1" t="str">
        <f t="shared" si="105"/>
        <v>衰退</v>
      </c>
    </row>
    <row r="131" spans="1:28" x14ac:dyDescent="0.35">
      <c r="A131" s="19">
        <v>40968</v>
      </c>
      <c r="B131" s="17">
        <v>11.4</v>
      </c>
      <c r="C131" s="17">
        <v>3.9</v>
      </c>
      <c r="D131" s="17">
        <v>0.38</v>
      </c>
      <c r="E131" s="17">
        <f t="shared" si="88"/>
        <v>2.492</v>
      </c>
      <c r="F131">
        <v>0</v>
      </c>
      <c r="G131">
        <f t="shared" ref="G131:K131" si="158">IF(F131=1,0,1)</f>
        <v>1</v>
      </c>
      <c r="H131">
        <v>0</v>
      </c>
      <c r="I131">
        <f t="shared" si="158"/>
        <v>1</v>
      </c>
      <c r="J131">
        <v>0</v>
      </c>
      <c r="K131">
        <f t="shared" si="158"/>
        <v>1</v>
      </c>
      <c r="L131">
        <v>0</v>
      </c>
      <c r="M131">
        <f t="shared" si="90"/>
        <v>1</v>
      </c>
      <c r="N131">
        <f t="shared" si="91"/>
        <v>0</v>
      </c>
      <c r="O131">
        <f t="shared" si="92"/>
        <v>0</v>
      </c>
      <c r="P131">
        <f t="shared" si="93"/>
        <v>0</v>
      </c>
      <c r="Q131">
        <f t="shared" si="94"/>
        <v>1</v>
      </c>
      <c r="R131" s="1" t="str">
        <f t="shared" si="95"/>
        <v>衰退</v>
      </c>
      <c r="S131">
        <f t="shared" si="96"/>
        <v>0</v>
      </c>
      <c r="T131">
        <f t="shared" si="97"/>
        <v>0</v>
      </c>
      <c r="U131">
        <f t="shared" si="98"/>
        <v>0</v>
      </c>
      <c r="V131">
        <f t="shared" si="99"/>
        <v>1</v>
      </c>
      <c r="W131" s="1" t="str">
        <f t="shared" si="100"/>
        <v>衰退</v>
      </c>
      <c r="X131">
        <f t="shared" si="101"/>
        <v>0</v>
      </c>
      <c r="Y131">
        <f t="shared" si="102"/>
        <v>0</v>
      </c>
      <c r="Z131">
        <f t="shared" si="103"/>
        <v>0</v>
      </c>
      <c r="AA131">
        <f t="shared" si="104"/>
        <v>1</v>
      </c>
      <c r="AB131" s="1" t="str">
        <f t="shared" si="105"/>
        <v>衰退</v>
      </c>
    </row>
    <row r="132" spans="1:28" x14ac:dyDescent="0.35">
      <c r="A132" s="19">
        <v>40999</v>
      </c>
      <c r="B132" s="17">
        <v>11.9</v>
      </c>
      <c r="C132" s="17">
        <v>3.6</v>
      </c>
      <c r="D132" s="17">
        <v>-0.32</v>
      </c>
      <c r="E132" s="17">
        <f t="shared" si="88"/>
        <v>2.032</v>
      </c>
      <c r="F132">
        <v>0</v>
      </c>
      <c r="G132">
        <f t="shared" ref="G132:K132" si="159">IF(F132=1,0,1)</f>
        <v>1</v>
      </c>
      <c r="H132">
        <v>0</v>
      </c>
      <c r="I132">
        <f t="shared" si="159"/>
        <v>1</v>
      </c>
      <c r="J132">
        <v>0</v>
      </c>
      <c r="K132">
        <f t="shared" si="159"/>
        <v>1</v>
      </c>
      <c r="L132">
        <v>0</v>
      </c>
      <c r="M132">
        <f t="shared" si="90"/>
        <v>1</v>
      </c>
      <c r="N132">
        <f t="shared" si="91"/>
        <v>0</v>
      </c>
      <c r="O132">
        <f t="shared" si="92"/>
        <v>0</v>
      </c>
      <c r="P132">
        <f t="shared" si="93"/>
        <v>0</v>
      </c>
      <c r="Q132">
        <f t="shared" si="94"/>
        <v>1</v>
      </c>
      <c r="R132" s="1" t="str">
        <f t="shared" si="95"/>
        <v>衰退</v>
      </c>
      <c r="S132">
        <f t="shared" si="96"/>
        <v>0</v>
      </c>
      <c r="T132">
        <f t="shared" si="97"/>
        <v>0</v>
      </c>
      <c r="U132">
        <f t="shared" si="98"/>
        <v>0</v>
      </c>
      <c r="V132">
        <f t="shared" si="99"/>
        <v>1</v>
      </c>
      <c r="W132" s="1" t="str">
        <f t="shared" si="100"/>
        <v>衰退</v>
      </c>
      <c r="X132">
        <f t="shared" si="101"/>
        <v>0</v>
      </c>
      <c r="Y132">
        <f t="shared" si="102"/>
        <v>0</v>
      </c>
      <c r="Z132">
        <f t="shared" si="103"/>
        <v>0</v>
      </c>
      <c r="AA132">
        <f t="shared" si="104"/>
        <v>1</v>
      </c>
      <c r="AB132" s="1" t="str">
        <f t="shared" si="105"/>
        <v>衰退</v>
      </c>
    </row>
    <row r="133" spans="1:28" x14ac:dyDescent="0.35">
      <c r="A133" s="19">
        <v>41029</v>
      </c>
      <c r="B133" s="17">
        <v>9.3000000000000007</v>
      </c>
      <c r="C133" s="17">
        <v>3.4</v>
      </c>
      <c r="D133" s="17">
        <v>-0.7</v>
      </c>
      <c r="E133" s="17">
        <f t="shared" si="88"/>
        <v>1.76</v>
      </c>
      <c r="F133">
        <v>0</v>
      </c>
      <c r="G133">
        <f t="shared" ref="G133:K133" si="160">IF(F133=1,0,1)</f>
        <v>1</v>
      </c>
      <c r="H133">
        <v>0</v>
      </c>
      <c r="I133">
        <f t="shared" si="160"/>
        <v>1</v>
      </c>
      <c r="J133">
        <v>0</v>
      </c>
      <c r="K133">
        <f t="shared" si="160"/>
        <v>1</v>
      </c>
      <c r="L133">
        <v>0</v>
      </c>
      <c r="M133">
        <f t="shared" si="90"/>
        <v>1</v>
      </c>
      <c r="N133">
        <f t="shared" si="91"/>
        <v>0</v>
      </c>
      <c r="O133">
        <f t="shared" si="92"/>
        <v>0</v>
      </c>
      <c r="P133">
        <f t="shared" si="93"/>
        <v>0</v>
      </c>
      <c r="Q133">
        <f t="shared" si="94"/>
        <v>1</v>
      </c>
      <c r="R133" s="1" t="str">
        <f t="shared" si="95"/>
        <v>衰退</v>
      </c>
      <c r="S133">
        <f t="shared" si="96"/>
        <v>0</v>
      </c>
      <c r="T133">
        <f t="shared" si="97"/>
        <v>0</v>
      </c>
      <c r="U133">
        <f t="shared" si="98"/>
        <v>0</v>
      </c>
      <c r="V133">
        <f t="shared" si="99"/>
        <v>1</v>
      </c>
      <c r="W133" s="1" t="str">
        <f t="shared" si="100"/>
        <v>衰退</v>
      </c>
      <c r="X133">
        <f t="shared" si="101"/>
        <v>0</v>
      </c>
      <c r="Y133">
        <f t="shared" si="102"/>
        <v>0</v>
      </c>
      <c r="Z133">
        <f t="shared" si="103"/>
        <v>0</v>
      </c>
      <c r="AA133">
        <f t="shared" si="104"/>
        <v>1</v>
      </c>
      <c r="AB133" s="1" t="str">
        <f t="shared" si="105"/>
        <v>衰退</v>
      </c>
    </row>
    <row r="134" spans="1:28" x14ac:dyDescent="0.35">
      <c r="A134" s="19">
        <v>41060</v>
      </c>
      <c r="B134" s="17">
        <v>9.6</v>
      </c>
      <c r="C134" s="17">
        <v>3</v>
      </c>
      <c r="D134" s="17">
        <v>-1.4</v>
      </c>
      <c r="E134" s="17">
        <f t="shared" si="88"/>
        <v>1.2399999999999998</v>
      </c>
      <c r="F134">
        <v>0</v>
      </c>
      <c r="G134">
        <f t="shared" ref="G134:K134" si="161">IF(F134=1,0,1)</f>
        <v>1</v>
      </c>
      <c r="H134">
        <v>0</v>
      </c>
      <c r="I134">
        <f t="shared" si="161"/>
        <v>1</v>
      </c>
      <c r="J134">
        <v>0</v>
      </c>
      <c r="K134">
        <f t="shared" si="161"/>
        <v>1</v>
      </c>
      <c r="L134">
        <v>0</v>
      </c>
      <c r="M134">
        <f t="shared" si="90"/>
        <v>1</v>
      </c>
      <c r="N134">
        <f t="shared" si="91"/>
        <v>0</v>
      </c>
      <c r="O134">
        <f t="shared" si="92"/>
        <v>0</v>
      </c>
      <c r="P134">
        <f t="shared" si="93"/>
        <v>0</v>
      </c>
      <c r="Q134">
        <f t="shared" si="94"/>
        <v>1</v>
      </c>
      <c r="R134" s="1" t="str">
        <f t="shared" si="95"/>
        <v>衰退</v>
      </c>
      <c r="S134">
        <f t="shared" si="96"/>
        <v>0</v>
      </c>
      <c r="T134">
        <f t="shared" si="97"/>
        <v>0</v>
      </c>
      <c r="U134">
        <f t="shared" si="98"/>
        <v>0</v>
      </c>
      <c r="V134">
        <f t="shared" si="99"/>
        <v>1</v>
      </c>
      <c r="W134" s="1" t="str">
        <f t="shared" si="100"/>
        <v>衰退</v>
      </c>
      <c r="X134">
        <f t="shared" si="101"/>
        <v>0</v>
      </c>
      <c r="Y134">
        <f t="shared" si="102"/>
        <v>0</v>
      </c>
      <c r="Z134">
        <f t="shared" si="103"/>
        <v>0</v>
      </c>
      <c r="AA134">
        <f t="shared" si="104"/>
        <v>1</v>
      </c>
      <c r="AB134" s="1" t="str">
        <f t="shared" si="105"/>
        <v>衰退</v>
      </c>
    </row>
    <row r="135" spans="1:28" x14ac:dyDescent="0.35">
      <c r="A135" s="19">
        <v>41090</v>
      </c>
      <c r="B135" s="17">
        <v>9.5</v>
      </c>
      <c r="C135" s="17">
        <v>2.2000000000000002</v>
      </c>
      <c r="D135" s="17">
        <v>-2.08</v>
      </c>
      <c r="E135" s="17">
        <f t="shared" si="88"/>
        <v>0.48799999999999999</v>
      </c>
      <c r="F135">
        <v>0</v>
      </c>
      <c r="G135">
        <f t="shared" ref="G135:K135" si="162">IF(F135=1,0,1)</f>
        <v>1</v>
      </c>
      <c r="H135">
        <v>0</v>
      </c>
      <c r="I135">
        <f t="shared" si="162"/>
        <v>1</v>
      </c>
      <c r="J135">
        <v>0</v>
      </c>
      <c r="K135">
        <f t="shared" si="162"/>
        <v>1</v>
      </c>
      <c r="L135">
        <v>0</v>
      </c>
      <c r="M135">
        <f t="shared" si="90"/>
        <v>1</v>
      </c>
      <c r="N135">
        <f t="shared" si="91"/>
        <v>0</v>
      </c>
      <c r="O135">
        <f t="shared" si="92"/>
        <v>0</v>
      </c>
      <c r="P135">
        <f t="shared" si="93"/>
        <v>0</v>
      </c>
      <c r="Q135">
        <f t="shared" si="94"/>
        <v>1</v>
      </c>
      <c r="R135" s="1" t="str">
        <f t="shared" si="95"/>
        <v>衰退</v>
      </c>
      <c r="S135">
        <f t="shared" si="96"/>
        <v>0</v>
      </c>
      <c r="T135">
        <f t="shared" si="97"/>
        <v>0</v>
      </c>
      <c r="U135">
        <f t="shared" si="98"/>
        <v>0</v>
      </c>
      <c r="V135">
        <f t="shared" si="99"/>
        <v>1</v>
      </c>
      <c r="W135" s="1" t="str">
        <f t="shared" si="100"/>
        <v>衰退</v>
      </c>
      <c r="X135">
        <f t="shared" si="101"/>
        <v>0</v>
      </c>
      <c r="Y135">
        <f t="shared" si="102"/>
        <v>0</v>
      </c>
      <c r="Z135">
        <f t="shared" si="103"/>
        <v>0</v>
      </c>
      <c r="AA135">
        <f t="shared" si="104"/>
        <v>1</v>
      </c>
      <c r="AB135" s="1" t="str">
        <f t="shared" si="105"/>
        <v>衰退</v>
      </c>
    </row>
    <row r="136" spans="1:28" x14ac:dyDescent="0.35">
      <c r="A136" s="19">
        <v>41121</v>
      </c>
      <c r="B136" s="17">
        <v>9.1999999999999993</v>
      </c>
      <c r="C136" s="17">
        <v>1.8</v>
      </c>
      <c r="D136" s="17">
        <v>-2.87</v>
      </c>
      <c r="E136" s="17">
        <f t="shared" si="88"/>
        <v>-6.800000000000006E-2</v>
      </c>
      <c r="F136">
        <v>0</v>
      </c>
      <c r="G136">
        <f t="shared" ref="G136:K136" si="163">IF(F136=1,0,1)</f>
        <v>1</v>
      </c>
      <c r="H136">
        <v>0</v>
      </c>
      <c r="I136">
        <f t="shared" si="163"/>
        <v>1</v>
      </c>
      <c r="J136">
        <v>0</v>
      </c>
      <c r="K136">
        <f t="shared" si="163"/>
        <v>1</v>
      </c>
      <c r="L136">
        <v>0</v>
      </c>
      <c r="M136">
        <f t="shared" si="90"/>
        <v>1</v>
      </c>
      <c r="N136">
        <f t="shared" si="91"/>
        <v>0</v>
      </c>
      <c r="O136">
        <f t="shared" si="92"/>
        <v>0</v>
      </c>
      <c r="P136">
        <f t="shared" si="93"/>
        <v>0</v>
      </c>
      <c r="Q136">
        <f t="shared" si="94"/>
        <v>1</v>
      </c>
      <c r="R136" s="1" t="str">
        <f t="shared" si="95"/>
        <v>衰退</v>
      </c>
      <c r="S136">
        <f t="shared" si="96"/>
        <v>0</v>
      </c>
      <c r="T136">
        <f t="shared" si="97"/>
        <v>0</v>
      </c>
      <c r="U136">
        <f t="shared" si="98"/>
        <v>0</v>
      </c>
      <c r="V136">
        <f t="shared" si="99"/>
        <v>1</v>
      </c>
      <c r="W136" s="1" t="str">
        <f t="shared" si="100"/>
        <v>衰退</v>
      </c>
      <c r="X136">
        <f t="shared" si="101"/>
        <v>0</v>
      </c>
      <c r="Y136">
        <f t="shared" si="102"/>
        <v>0</v>
      </c>
      <c r="Z136">
        <f t="shared" si="103"/>
        <v>0</v>
      </c>
      <c r="AA136">
        <f t="shared" si="104"/>
        <v>1</v>
      </c>
      <c r="AB136" s="1" t="str">
        <f t="shared" si="105"/>
        <v>衰退</v>
      </c>
    </row>
    <row r="137" spans="1:28" x14ac:dyDescent="0.35">
      <c r="A137" s="19">
        <v>41152</v>
      </c>
      <c r="B137" s="17">
        <v>8.9</v>
      </c>
      <c r="C137" s="17">
        <v>2</v>
      </c>
      <c r="D137" s="17">
        <v>-3.48</v>
      </c>
      <c r="E137" s="17">
        <f t="shared" si="88"/>
        <v>-0.19200000000000017</v>
      </c>
      <c r="F137">
        <v>0</v>
      </c>
      <c r="G137">
        <f t="shared" ref="G137:K137" si="164">IF(F137=1,0,1)</f>
        <v>1</v>
      </c>
      <c r="H137">
        <v>0</v>
      </c>
      <c r="I137">
        <f t="shared" si="164"/>
        <v>1</v>
      </c>
      <c r="J137">
        <v>0</v>
      </c>
      <c r="K137">
        <f t="shared" si="164"/>
        <v>1</v>
      </c>
      <c r="L137">
        <v>0</v>
      </c>
      <c r="M137">
        <f t="shared" si="90"/>
        <v>1</v>
      </c>
      <c r="N137">
        <f t="shared" si="91"/>
        <v>0</v>
      </c>
      <c r="O137">
        <f t="shared" si="92"/>
        <v>0</v>
      </c>
      <c r="P137">
        <f t="shared" si="93"/>
        <v>0</v>
      </c>
      <c r="Q137">
        <f t="shared" si="94"/>
        <v>1</v>
      </c>
      <c r="R137" s="1" t="str">
        <f t="shared" si="95"/>
        <v>衰退</v>
      </c>
      <c r="S137">
        <f t="shared" si="96"/>
        <v>0</v>
      </c>
      <c r="T137">
        <f t="shared" si="97"/>
        <v>0</v>
      </c>
      <c r="U137">
        <f t="shared" si="98"/>
        <v>0</v>
      </c>
      <c r="V137">
        <f t="shared" si="99"/>
        <v>1</v>
      </c>
      <c r="W137" s="1" t="str">
        <f t="shared" si="100"/>
        <v>衰退</v>
      </c>
      <c r="X137">
        <f t="shared" si="101"/>
        <v>0</v>
      </c>
      <c r="Y137">
        <f t="shared" si="102"/>
        <v>0</v>
      </c>
      <c r="Z137">
        <f t="shared" si="103"/>
        <v>0</v>
      </c>
      <c r="AA137">
        <f t="shared" si="104"/>
        <v>1</v>
      </c>
      <c r="AB137" s="1" t="str">
        <f t="shared" si="105"/>
        <v>衰退</v>
      </c>
    </row>
    <row r="138" spans="1:28" x14ac:dyDescent="0.35">
      <c r="A138" s="19">
        <v>41182</v>
      </c>
      <c r="B138" s="17">
        <v>9.1999999999999993</v>
      </c>
      <c r="C138" s="17">
        <v>1.9</v>
      </c>
      <c r="D138" s="17">
        <v>-3.55</v>
      </c>
      <c r="E138" s="17">
        <f t="shared" si="88"/>
        <v>-0.28000000000000003</v>
      </c>
      <c r="F138">
        <v>1</v>
      </c>
      <c r="G138">
        <f t="shared" ref="G138:K138" si="165">IF(F138=1,0,1)</f>
        <v>0</v>
      </c>
      <c r="H138">
        <v>0</v>
      </c>
      <c r="I138">
        <f t="shared" si="165"/>
        <v>1</v>
      </c>
      <c r="J138">
        <v>0</v>
      </c>
      <c r="K138">
        <f t="shared" si="165"/>
        <v>1</v>
      </c>
      <c r="L138">
        <v>0</v>
      </c>
      <c r="M138">
        <f t="shared" si="90"/>
        <v>1</v>
      </c>
      <c r="N138">
        <f t="shared" si="91"/>
        <v>1</v>
      </c>
      <c r="O138">
        <f t="shared" si="92"/>
        <v>0</v>
      </c>
      <c r="P138">
        <f t="shared" si="93"/>
        <v>0</v>
      </c>
      <c r="Q138">
        <f t="shared" si="94"/>
        <v>0</v>
      </c>
      <c r="R138" s="1" t="str">
        <f t="shared" si="95"/>
        <v>复苏</v>
      </c>
      <c r="S138">
        <f t="shared" si="96"/>
        <v>1</v>
      </c>
      <c r="T138">
        <f t="shared" si="97"/>
        <v>0</v>
      </c>
      <c r="U138">
        <f t="shared" si="98"/>
        <v>0</v>
      </c>
      <c r="V138">
        <f t="shared" si="99"/>
        <v>0</v>
      </c>
      <c r="W138" s="1" t="str">
        <f t="shared" si="100"/>
        <v>复苏</v>
      </c>
      <c r="X138">
        <f t="shared" si="101"/>
        <v>1</v>
      </c>
      <c r="Y138">
        <f t="shared" si="102"/>
        <v>0</v>
      </c>
      <c r="Z138">
        <f t="shared" si="103"/>
        <v>0</v>
      </c>
      <c r="AA138">
        <f t="shared" si="104"/>
        <v>0</v>
      </c>
      <c r="AB138" s="1" t="str">
        <f t="shared" si="105"/>
        <v>复苏</v>
      </c>
    </row>
    <row r="139" spans="1:28" x14ac:dyDescent="0.35">
      <c r="A139" s="19">
        <v>41213</v>
      </c>
      <c r="B139" s="17">
        <v>9.6</v>
      </c>
      <c r="C139" s="17">
        <v>1.7</v>
      </c>
      <c r="D139" s="17">
        <v>-2.76</v>
      </c>
      <c r="E139" s="17">
        <f t="shared" si="88"/>
        <v>-8.3999999999999853E-2</v>
      </c>
      <c r="F139">
        <v>1</v>
      </c>
      <c r="G139">
        <f t="shared" ref="G139:K139" si="166">IF(F139=1,0,1)</f>
        <v>0</v>
      </c>
      <c r="H139">
        <v>0</v>
      </c>
      <c r="I139">
        <f t="shared" si="166"/>
        <v>1</v>
      </c>
      <c r="J139">
        <v>1</v>
      </c>
      <c r="K139">
        <f t="shared" si="166"/>
        <v>0</v>
      </c>
      <c r="L139">
        <v>1</v>
      </c>
      <c r="M139">
        <f t="shared" si="90"/>
        <v>0</v>
      </c>
      <c r="N139">
        <f t="shared" si="91"/>
        <v>1</v>
      </c>
      <c r="O139">
        <f t="shared" si="92"/>
        <v>0</v>
      </c>
      <c r="P139">
        <f t="shared" si="93"/>
        <v>0</v>
      </c>
      <c r="Q139">
        <f t="shared" si="94"/>
        <v>0</v>
      </c>
      <c r="R139" s="1" t="str">
        <f t="shared" si="95"/>
        <v>复苏</v>
      </c>
      <c r="S139">
        <f t="shared" si="96"/>
        <v>0</v>
      </c>
      <c r="T139">
        <f t="shared" si="97"/>
        <v>1</v>
      </c>
      <c r="U139">
        <f t="shared" si="98"/>
        <v>0</v>
      </c>
      <c r="V139">
        <f t="shared" si="99"/>
        <v>0</v>
      </c>
      <c r="W139" s="1" t="str">
        <f t="shared" si="100"/>
        <v>过热</v>
      </c>
      <c r="X139">
        <f t="shared" si="101"/>
        <v>0</v>
      </c>
      <c r="Y139">
        <f t="shared" si="102"/>
        <v>1</v>
      </c>
      <c r="Z139">
        <f t="shared" si="103"/>
        <v>0</v>
      </c>
      <c r="AA139">
        <f t="shared" si="104"/>
        <v>0</v>
      </c>
      <c r="AB139" s="1" t="str">
        <f t="shared" si="105"/>
        <v>过热</v>
      </c>
    </row>
    <row r="140" spans="1:28" x14ac:dyDescent="0.35">
      <c r="A140" s="19">
        <v>41243</v>
      </c>
      <c r="B140" s="17">
        <v>10.1</v>
      </c>
      <c r="C140" s="17">
        <v>2</v>
      </c>
      <c r="D140" s="17">
        <v>-2.2000000000000002</v>
      </c>
      <c r="E140" s="17">
        <f t="shared" si="88"/>
        <v>0.31999999999999984</v>
      </c>
      <c r="F140">
        <v>1</v>
      </c>
      <c r="G140">
        <f t="shared" ref="G140:K140" si="167">IF(F140=1,0,1)</f>
        <v>0</v>
      </c>
      <c r="H140">
        <v>1</v>
      </c>
      <c r="I140">
        <f t="shared" si="167"/>
        <v>0</v>
      </c>
      <c r="J140">
        <v>1</v>
      </c>
      <c r="K140">
        <f t="shared" si="167"/>
        <v>0</v>
      </c>
      <c r="L140">
        <v>1</v>
      </c>
      <c r="M140">
        <f t="shared" si="90"/>
        <v>0</v>
      </c>
      <c r="N140">
        <f t="shared" si="91"/>
        <v>0</v>
      </c>
      <c r="O140">
        <f t="shared" si="92"/>
        <v>1</v>
      </c>
      <c r="P140">
        <f t="shared" si="93"/>
        <v>0</v>
      </c>
      <c r="Q140">
        <f t="shared" si="94"/>
        <v>0</v>
      </c>
      <c r="R140" s="1" t="str">
        <f t="shared" si="95"/>
        <v>过热</v>
      </c>
      <c r="S140">
        <f t="shared" si="96"/>
        <v>0</v>
      </c>
      <c r="T140">
        <f t="shared" si="97"/>
        <v>1</v>
      </c>
      <c r="U140">
        <f t="shared" si="98"/>
        <v>0</v>
      </c>
      <c r="V140">
        <f t="shared" si="99"/>
        <v>0</v>
      </c>
      <c r="W140" s="1" t="str">
        <f t="shared" si="100"/>
        <v>过热</v>
      </c>
      <c r="X140">
        <f t="shared" si="101"/>
        <v>0</v>
      </c>
      <c r="Y140">
        <f t="shared" si="102"/>
        <v>1</v>
      </c>
      <c r="Z140">
        <f t="shared" si="103"/>
        <v>0</v>
      </c>
      <c r="AA140">
        <f t="shared" si="104"/>
        <v>0</v>
      </c>
      <c r="AB140" s="1" t="str">
        <f t="shared" si="105"/>
        <v>过热</v>
      </c>
    </row>
    <row r="141" spans="1:28" x14ac:dyDescent="0.35">
      <c r="A141" s="19">
        <v>41274</v>
      </c>
      <c r="B141" s="17">
        <v>10.3</v>
      </c>
      <c r="C141" s="17">
        <v>2.5</v>
      </c>
      <c r="D141" s="17">
        <v>-1.94</v>
      </c>
      <c r="E141" s="17">
        <f t="shared" si="88"/>
        <v>0.72399999999999998</v>
      </c>
      <c r="F141">
        <v>1</v>
      </c>
      <c r="G141">
        <f t="shared" ref="G141:K141" si="168">IF(F141=1,0,1)</f>
        <v>0</v>
      </c>
      <c r="H141">
        <v>1</v>
      </c>
      <c r="I141">
        <f t="shared" si="168"/>
        <v>0</v>
      </c>
      <c r="J141">
        <v>1</v>
      </c>
      <c r="K141">
        <f t="shared" si="168"/>
        <v>0</v>
      </c>
      <c r="L141">
        <v>1</v>
      </c>
      <c r="M141">
        <f t="shared" si="90"/>
        <v>0</v>
      </c>
      <c r="N141">
        <f t="shared" si="91"/>
        <v>0</v>
      </c>
      <c r="O141">
        <f t="shared" si="92"/>
        <v>1</v>
      </c>
      <c r="P141">
        <f t="shared" si="93"/>
        <v>0</v>
      </c>
      <c r="Q141">
        <f t="shared" si="94"/>
        <v>0</v>
      </c>
      <c r="R141" s="1" t="str">
        <f t="shared" si="95"/>
        <v>过热</v>
      </c>
      <c r="S141">
        <f t="shared" si="96"/>
        <v>0</v>
      </c>
      <c r="T141">
        <f t="shared" si="97"/>
        <v>1</v>
      </c>
      <c r="U141">
        <f t="shared" si="98"/>
        <v>0</v>
      </c>
      <c r="V141">
        <f t="shared" si="99"/>
        <v>0</v>
      </c>
      <c r="W141" s="1" t="str">
        <f t="shared" si="100"/>
        <v>过热</v>
      </c>
      <c r="X141">
        <f t="shared" si="101"/>
        <v>0</v>
      </c>
      <c r="Y141">
        <f t="shared" si="102"/>
        <v>1</v>
      </c>
      <c r="Z141">
        <f t="shared" si="103"/>
        <v>0</v>
      </c>
      <c r="AA141">
        <f t="shared" si="104"/>
        <v>0</v>
      </c>
      <c r="AB141" s="1" t="str">
        <f t="shared" si="105"/>
        <v>过热</v>
      </c>
    </row>
    <row r="142" spans="1:28" x14ac:dyDescent="0.35">
      <c r="A142" s="19">
        <v>41333</v>
      </c>
      <c r="B142" s="17">
        <v>9.9</v>
      </c>
      <c r="C142" s="17">
        <v>2.6248</v>
      </c>
      <c r="D142" s="17">
        <v>-1.63</v>
      </c>
      <c r="E142" s="17">
        <f t="shared" si="88"/>
        <v>0.92288000000000003</v>
      </c>
      <c r="F142">
        <v>1</v>
      </c>
      <c r="G142">
        <f t="shared" ref="G142:K142" si="169">IF(F142=1,0,1)</f>
        <v>0</v>
      </c>
      <c r="H142">
        <v>1</v>
      </c>
      <c r="I142">
        <f t="shared" si="169"/>
        <v>0</v>
      </c>
      <c r="J142">
        <v>1</v>
      </c>
      <c r="K142">
        <f t="shared" si="169"/>
        <v>0</v>
      </c>
      <c r="L142">
        <v>1</v>
      </c>
      <c r="M142">
        <f t="shared" si="90"/>
        <v>0</v>
      </c>
      <c r="N142">
        <f t="shared" si="91"/>
        <v>0</v>
      </c>
      <c r="O142">
        <f t="shared" si="92"/>
        <v>1</v>
      </c>
      <c r="P142">
        <f t="shared" si="93"/>
        <v>0</v>
      </c>
      <c r="Q142">
        <f t="shared" si="94"/>
        <v>0</v>
      </c>
      <c r="R142" s="1" t="str">
        <f t="shared" si="95"/>
        <v>过热</v>
      </c>
      <c r="S142">
        <f t="shared" si="96"/>
        <v>0</v>
      </c>
      <c r="T142">
        <f t="shared" si="97"/>
        <v>1</v>
      </c>
      <c r="U142">
        <f t="shared" si="98"/>
        <v>0</v>
      </c>
      <c r="V142">
        <f t="shared" si="99"/>
        <v>0</v>
      </c>
      <c r="W142" s="1" t="str">
        <f t="shared" si="100"/>
        <v>过热</v>
      </c>
      <c r="X142">
        <f t="shared" si="101"/>
        <v>0</v>
      </c>
      <c r="Y142">
        <f t="shared" si="102"/>
        <v>1</v>
      </c>
      <c r="Z142">
        <f t="shared" si="103"/>
        <v>0</v>
      </c>
      <c r="AA142">
        <f t="shared" si="104"/>
        <v>0</v>
      </c>
      <c r="AB142" s="1" t="str">
        <f t="shared" si="105"/>
        <v>过热</v>
      </c>
    </row>
    <row r="143" spans="1:28" x14ac:dyDescent="0.35">
      <c r="A143" s="19">
        <v>41364</v>
      </c>
      <c r="B143" s="17">
        <v>8.9</v>
      </c>
      <c r="C143" s="17">
        <v>2.0695999999999999</v>
      </c>
      <c r="D143" s="17">
        <v>-1.92</v>
      </c>
      <c r="E143" s="17">
        <f t="shared" si="88"/>
        <v>0.47375999999999996</v>
      </c>
      <c r="F143">
        <v>1</v>
      </c>
      <c r="G143">
        <f t="shared" ref="G143:K143" si="170">IF(F143=1,0,1)</f>
        <v>0</v>
      </c>
      <c r="H143">
        <v>1</v>
      </c>
      <c r="I143">
        <f t="shared" si="170"/>
        <v>0</v>
      </c>
      <c r="J143">
        <v>0</v>
      </c>
      <c r="K143">
        <f t="shared" si="170"/>
        <v>1</v>
      </c>
      <c r="L143">
        <v>0</v>
      </c>
      <c r="M143">
        <f t="shared" si="90"/>
        <v>1</v>
      </c>
      <c r="N143">
        <f t="shared" si="91"/>
        <v>0</v>
      </c>
      <c r="O143">
        <f t="shared" si="92"/>
        <v>1</v>
      </c>
      <c r="P143">
        <f t="shared" si="93"/>
        <v>0</v>
      </c>
      <c r="Q143">
        <f t="shared" si="94"/>
        <v>0</v>
      </c>
      <c r="R143" s="1" t="str">
        <f t="shared" si="95"/>
        <v>过热</v>
      </c>
      <c r="S143">
        <f t="shared" si="96"/>
        <v>1</v>
      </c>
      <c r="T143">
        <f t="shared" si="97"/>
        <v>0</v>
      </c>
      <c r="U143">
        <f t="shared" si="98"/>
        <v>0</v>
      </c>
      <c r="V143">
        <f t="shared" si="99"/>
        <v>0</v>
      </c>
      <c r="W143" s="1" t="str">
        <f t="shared" si="100"/>
        <v>复苏</v>
      </c>
      <c r="X143">
        <f t="shared" si="101"/>
        <v>1</v>
      </c>
      <c r="Y143">
        <f t="shared" si="102"/>
        <v>0</v>
      </c>
      <c r="Z143">
        <f t="shared" si="103"/>
        <v>0</v>
      </c>
      <c r="AA143">
        <f t="shared" si="104"/>
        <v>0</v>
      </c>
      <c r="AB143" s="1" t="str">
        <f t="shared" si="105"/>
        <v>复苏</v>
      </c>
    </row>
    <row r="144" spans="1:28" x14ac:dyDescent="0.35">
      <c r="A144" s="19">
        <v>41394</v>
      </c>
      <c r="B144" s="17">
        <v>9.3000000000000007</v>
      </c>
      <c r="C144" s="17">
        <v>2.3860999999999999</v>
      </c>
      <c r="D144" s="17">
        <v>-2.62</v>
      </c>
      <c r="E144" s="17">
        <f t="shared" si="88"/>
        <v>0.38365999999999989</v>
      </c>
      <c r="F144">
        <v>1</v>
      </c>
      <c r="G144">
        <f t="shared" ref="G144:K144" si="171">IF(F144=1,0,1)</f>
        <v>0</v>
      </c>
      <c r="H144">
        <v>1</v>
      </c>
      <c r="I144">
        <f t="shared" si="171"/>
        <v>0</v>
      </c>
      <c r="J144">
        <v>0</v>
      </c>
      <c r="K144">
        <f t="shared" si="171"/>
        <v>1</v>
      </c>
      <c r="L144">
        <v>0</v>
      </c>
      <c r="M144">
        <f t="shared" si="90"/>
        <v>1</v>
      </c>
      <c r="N144">
        <f t="shared" si="91"/>
        <v>0</v>
      </c>
      <c r="O144">
        <f t="shared" si="92"/>
        <v>1</v>
      </c>
      <c r="P144">
        <f t="shared" si="93"/>
        <v>0</v>
      </c>
      <c r="Q144">
        <f t="shared" si="94"/>
        <v>0</v>
      </c>
      <c r="R144" s="1" t="str">
        <f t="shared" si="95"/>
        <v>过热</v>
      </c>
      <c r="S144">
        <f t="shared" si="96"/>
        <v>1</v>
      </c>
      <c r="T144">
        <f t="shared" si="97"/>
        <v>0</v>
      </c>
      <c r="U144">
        <f t="shared" si="98"/>
        <v>0</v>
      </c>
      <c r="V144">
        <f t="shared" si="99"/>
        <v>0</v>
      </c>
      <c r="W144" s="1" t="str">
        <f t="shared" si="100"/>
        <v>复苏</v>
      </c>
      <c r="X144">
        <f t="shared" si="101"/>
        <v>1</v>
      </c>
      <c r="Y144">
        <f t="shared" si="102"/>
        <v>0</v>
      </c>
      <c r="Z144">
        <f t="shared" si="103"/>
        <v>0</v>
      </c>
      <c r="AA144">
        <f t="shared" si="104"/>
        <v>0</v>
      </c>
      <c r="AB144" s="1" t="str">
        <f t="shared" si="105"/>
        <v>复苏</v>
      </c>
    </row>
    <row r="145" spans="1:28" x14ac:dyDescent="0.35">
      <c r="A145" s="19">
        <v>41425</v>
      </c>
      <c r="B145" s="17">
        <v>9.1999999999999993</v>
      </c>
      <c r="C145" s="17">
        <v>2.0981000000000001</v>
      </c>
      <c r="D145" s="17">
        <v>-2.87</v>
      </c>
      <c r="E145" s="17">
        <f t="shared" si="88"/>
        <v>0.11085999999999996</v>
      </c>
      <c r="F145">
        <v>1</v>
      </c>
      <c r="G145">
        <f t="shared" ref="G145:K145" si="172">IF(F145=1,0,1)</f>
        <v>0</v>
      </c>
      <c r="H145">
        <v>1</v>
      </c>
      <c r="I145">
        <f t="shared" si="172"/>
        <v>0</v>
      </c>
      <c r="J145">
        <v>0</v>
      </c>
      <c r="K145">
        <f t="shared" si="172"/>
        <v>1</v>
      </c>
      <c r="L145">
        <v>0</v>
      </c>
      <c r="M145">
        <f t="shared" si="90"/>
        <v>1</v>
      </c>
      <c r="N145">
        <f t="shared" si="91"/>
        <v>0</v>
      </c>
      <c r="O145">
        <f t="shared" si="92"/>
        <v>1</v>
      </c>
      <c r="P145">
        <f t="shared" si="93"/>
        <v>0</v>
      </c>
      <c r="Q145">
        <f t="shared" si="94"/>
        <v>0</v>
      </c>
      <c r="R145" s="1" t="str">
        <f t="shared" si="95"/>
        <v>过热</v>
      </c>
      <c r="S145">
        <f t="shared" si="96"/>
        <v>1</v>
      </c>
      <c r="T145">
        <f t="shared" si="97"/>
        <v>0</v>
      </c>
      <c r="U145">
        <f t="shared" si="98"/>
        <v>0</v>
      </c>
      <c r="V145">
        <f t="shared" si="99"/>
        <v>0</v>
      </c>
      <c r="W145" s="1" t="str">
        <f t="shared" si="100"/>
        <v>复苏</v>
      </c>
      <c r="X145">
        <f t="shared" si="101"/>
        <v>1</v>
      </c>
      <c r="Y145">
        <f t="shared" si="102"/>
        <v>0</v>
      </c>
      <c r="Z145">
        <f t="shared" si="103"/>
        <v>0</v>
      </c>
      <c r="AA145">
        <f t="shared" si="104"/>
        <v>0</v>
      </c>
      <c r="AB145" s="1" t="str">
        <f t="shared" si="105"/>
        <v>复苏</v>
      </c>
    </row>
    <row r="146" spans="1:28" x14ac:dyDescent="0.35">
      <c r="A146" s="19">
        <v>41455</v>
      </c>
      <c r="B146" s="17">
        <v>8.9</v>
      </c>
      <c r="C146" s="17">
        <v>2.6684000000000001</v>
      </c>
      <c r="D146" s="17">
        <v>-2.7</v>
      </c>
      <c r="E146" s="17">
        <f t="shared" si="88"/>
        <v>0.52103999999999995</v>
      </c>
      <c r="F146">
        <v>1</v>
      </c>
      <c r="G146">
        <f t="shared" ref="G146:K146" si="173">IF(F146=1,0,1)</f>
        <v>0</v>
      </c>
      <c r="H146">
        <v>1</v>
      </c>
      <c r="I146">
        <f t="shared" si="173"/>
        <v>0</v>
      </c>
      <c r="J146">
        <v>1</v>
      </c>
      <c r="K146">
        <f t="shared" si="173"/>
        <v>0</v>
      </c>
      <c r="L146">
        <v>1</v>
      </c>
      <c r="M146">
        <f t="shared" si="90"/>
        <v>0</v>
      </c>
      <c r="N146">
        <f t="shared" si="91"/>
        <v>0</v>
      </c>
      <c r="O146">
        <f t="shared" si="92"/>
        <v>1</v>
      </c>
      <c r="P146">
        <f t="shared" si="93"/>
        <v>0</v>
      </c>
      <c r="Q146">
        <f t="shared" si="94"/>
        <v>0</v>
      </c>
      <c r="R146" s="1" t="str">
        <f t="shared" si="95"/>
        <v>过热</v>
      </c>
      <c r="S146">
        <f t="shared" si="96"/>
        <v>0</v>
      </c>
      <c r="T146">
        <f t="shared" si="97"/>
        <v>1</v>
      </c>
      <c r="U146">
        <f t="shared" si="98"/>
        <v>0</v>
      </c>
      <c r="V146">
        <f t="shared" si="99"/>
        <v>0</v>
      </c>
      <c r="W146" s="1" t="str">
        <f t="shared" si="100"/>
        <v>过热</v>
      </c>
      <c r="X146">
        <f t="shared" si="101"/>
        <v>0</v>
      </c>
      <c r="Y146">
        <f t="shared" si="102"/>
        <v>1</v>
      </c>
      <c r="Z146">
        <f t="shared" si="103"/>
        <v>0</v>
      </c>
      <c r="AA146">
        <f t="shared" si="104"/>
        <v>0</v>
      </c>
      <c r="AB146" s="1" t="str">
        <f t="shared" si="105"/>
        <v>过热</v>
      </c>
    </row>
    <row r="147" spans="1:28" x14ac:dyDescent="0.35">
      <c r="A147" s="19">
        <v>41486</v>
      </c>
      <c r="B147" s="17">
        <v>9.6999999999999993</v>
      </c>
      <c r="C147" s="17">
        <v>2.6741000000000001</v>
      </c>
      <c r="D147" s="17">
        <v>-2.27</v>
      </c>
      <c r="E147" s="17">
        <f t="shared" si="88"/>
        <v>0.69645999999999997</v>
      </c>
      <c r="F147">
        <v>1</v>
      </c>
      <c r="G147">
        <f t="shared" ref="G147:K147" si="174">IF(F147=1,0,1)</f>
        <v>0</v>
      </c>
      <c r="H147">
        <v>1</v>
      </c>
      <c r="I147">
        <f t="shared" si="174"/>
        <v>0</v>
      </c>
      <c r="J147">
        <v>1</v>
      </c>
      <c r="K147">
        <f t="shared" si="174"/>
        <v>0</v>
      </c>
      <c r="L147">
        <v>1</v>
      </c>
      <c r="M147">
        <f t="shared" si="90"/>
        <v>0</v>
      </c>
      <c r="N147">
        <f t="shared" si="91"/>
        <v>0</v>
      </c>
      <c r="O147">
        <f t="shared" si="92"/>
        <v>1</v>
      </c>
      <c r="P147">
        <f t="shared" si="93"/>
        <v>0</v>
      </c>
      <c r="Q147">
        <f t="shared" si="94"/>
        <v>0</v>
      </c>
      <c r="R147" s="1" t="str">
        <f t="shared" si="95"/>
        <v>过热</v>
      </c>
      <c r="S147">
        <f t="shared" si="96"/>
        <v>0</v>
      </c>
      <c r="T147">
        <f t="shared" si="97"/>
        <v>1</v>
      </c>
      <c r="U147">
        <f t="shared" si="98"/>
        <v>0</v>
      </c>
      <c r="V147">
        <f t="shared" si="99"/>
        <v>0</v>
      </c>
      <c r="W147" s="1" t="str">
        <f t="shared" si="100"/>
        <v>过热</v>
      </c>
      <c r="X147">
        <f t="shared" si="101"/>
        <v>0</v>
      </c>
      <c r="Y147">
        <f t="shared" si="102"/>
        <v>1</v>
      </c>
      <c r="Z147">
        <f t="shared" si="103"/>
        <v>0</v>
      </c>
      <c r="AA147">
        <f t="shared" si="104"/>
        <v>0</v>
      </c>
      <c r="AB147" s="1" t="str">
        <f t="shared" si="105"/>
        <v>过热</v>
      </c>
    </row>
    <row r="148" spans="1:28" x14ac:dyDescent="0.35">
      <c r="A148" s="19">
        <v>41517</v>
      </c>
      <c r="B148" s="17">
        <v>10.4</v>
      </c>
      <c r="C148" s="17">
        <v>2.5666000000000002</v>
      </c>
      <c r="D148" s="17">
        <v>-1.62</v>
      </c>
      <c r="E148" s="17">
        <f t="shared" si="88"/>
        <v>0.89195999999999986</v>
      </c>
      <c r="F148">
        <v>1</v>
      </c>
      <c r="G148">
        <f t="shared" ref="G148:K148" si="175">IF(F148=1,0,1)</f>
        <v>0</v>
      </c>
      <c r="H148">
        <v>1</v>
      </c>
      <c r="I148">
        <f t="shared" si="175"/>
        <v>0</v>
      </c>
      <c r="J148">
        <v>1</v>
      </c>
      <c r="K148">
        <f t="shared" si="175"/>
        <v>0</v>
      </c>
      <c r="L148">
        <v>1</v>
      </c>
      <c r="M148">
        <f t="shared" si="90"/>
        <v>0</v>
      </c>
      <c r="N148">
        <f t="shared" si="91"/>
        <v>0</v>
      </c>
      <c r="O148">
        <f t="shared" si="92"/>
        <v>1</v>
      </c>
      <c r="P148">
        <f t="shared" si="93"/>
        <v>0</v>
      </c>
      <c r="Q148">
        <f t="shared" si="94"/>
        <v>0</v>
      </c>
      <c r="R148" s="1" t="str">
        <f t="shared" si="95"/>
        <v>过热</v>
      </c>
      <c r="S148">
        <f t="shared" si="96"/>
        <v>0</v>
      </c>
      <c r="T148">
        <f t="shared" si="97"/>
        <v>1</v>
      </c>
      <c r="U148">
        <f t="shared" si="98"/>
        <v>0</v>
      </c>
      <c r="V148">
        <f t="shared" si="99"/>
        <v>0</v>
      </c>
      <c r="W148" s="1" t="str">
        <f t="shared" si="100"/>
        <v>过热</v>
      </c>
      <c r="X148">
        <f t="shared" si="101"/>
        <v>0</v>
      </c>
      <c r="Y148">
        <f t="shared" si="102"/>
        <v>1</v>
      </c>
      <c r="Z148">
        <f t="shared" si="103"/>
        <v>0</v>
      </c>
      <c r="AA148">
        <f t="shared" si="104"/>
        <v>0</v>
      </c>
      <c r="AB148" s="1" t="str">
        <f t="shared" si="105"/>
        <v>过热</v>
      </c>
    </row>
    <row r="149" spans="1:28" x14ac:dyDescent="0.35">
      <c r="A149" s="19">
        <v>41547</v>
      </c>
      <c r="B149" s="17">
        <v>10.199999999999999</v>
      </c>
      <c r="C149" s="17">
        <v>3.0518999999999998</v>
      </c>
      <c r="D149" s="17">
        <v>-1.34</v>
      </c>
      <c r="E149" s="17">
        <f t="shared" ref="E149:E212" si="176">0.6*C149+0.4*D149</f>
        <v>1.2951399999999997</v>
      </c>
      <c r="F149">
        <v>0</v>
      </c>
      <c r="G149">
        <f t="shared" ref="G149:K149" si="177">IF(F149=1,0,1)</f>
        <v>1</v>
      </c>
      <c r="H149">
        <v>1</v>
      </c>
      <c r="I149">
        <f t="shared" si="177"/>
        <v>0</v>
      </c>
      <c r="J149">
        <v>1</v>
      </c>
      <c r="K149">
        <f t="shared" si="177"/>
        <v>0</v>
      </c>
      <c r="L149">
        <v>1</v>
      </c>
      <c r="M149">
        <f t="shared" ref="M149:M212" si="178">IF(L149=1,0,1)</f>
        <v>0</v>
      </c>
      <c r="N149">
        <f t="shared" ref="N149:N212" si="179">IF(F149=1,IF(H149=0,1,0),0)</f>
        <v>0</v>
      </c>
      <c r="O149">
        <f t="shared" ref="O149:O212" si="180">IF(F149=1,IF(H149=1,1,0),0)</f>
        <v>0</v>
      </c>
      <c r="P149">
        <f t="shared" ref="P149:P212" si="181">IF(F149=0,IF(H149=1,1,0),0)</f>
        <v>1</v>
      </c>
      <c r="Q149">
        <f t="shared" ref="Q149:Q212" si="182">IF(F149=0,IF(H149=0,1,0),0)</f>
        <v>0</v>
      </c>
      <c r="R149" s="1" t="str">
        <f t="shared" ref="R149:R212" si="183">INDEX($N$20:$Q$20,1,MATCH(1,N149:Q149,0))</f>
        <v>滞涨</v>
      </c>
      <c r="S149">
        <f t="shared" ref="S149:S212" si="184">IF(F149=1,IF(J149=0,1,0),0)</f>
        <v>0</v>
      </c>
      <c r="T149">
        <f t="shared" ref="T149:T212" si="185">IF(F149=1,IF(J149=1,1,0),0)</f>
        <v>0</v>
      </c>
      <c r="U149">
        <f t="shared" ref="U149:U212" si="186">IF(F149=0,IF(J149=1,1,0),0)</f>
        <v>1</v>
      </c>
      <c r="V149">
        <f t="shared" ref="V149:V212" si="187">IF(F149=0,IF(J149=0,1,0),0)</f>
        <v>0</v>
      </c>
      <c r="W149" s="1" t="str">
        <f t="shared" ref="W149:W212" si="188">INDEX($S$20:$V$20,1,MATCH(1,S149:V149,0))</f>
        <v>滞涨</v>
      </c>
      <c r="X149">
        <f t="shared" ref="X149:X212" si="189">IF(F149=1,IF(L149=0,1,0),0)</f>
        <v>0</v>
      </c>
      <c r="Y149">
        <f t="shared" ref="Y149:Y212" si="190">IF(F149=1,IF(L149=1,1,0),0)</f>
        <v>0</v>
      </c>
      <c r="Z149">
        <f t="shared" ref="Z149:Z212" si="191">IF(F149=0,IF(L149=1,1,0),0)</f>
        <v>1</v>
      </c>
      <c r="AA149">
        <f t="shared" ref="AA149:AA212" si="192">IF(F149=0,IF(L149=0,1,0),0)</f>
        <v>0</v>
      </c>
      <c r="AB149" s="1" t="str">
        <f t="shared" ref="AB149:AB212" si="193">INDEX($X$20:$AA$20,1,MATCH(1,X149:AA149,0))</f>
        <v>滞涨</v>
      </c>
    </row>
    <row r="150" spans="1:28" x14ac:dyDescent="0.35">
      <c r="A150" s="19">
        <v>41578</v>
      </c>
      <c r="B150" s="17">
        <v>10.3</v>
      </c>
      <c r="C150" s="17">
        <v>3.2058</v>
      </c>
      <c r="D150" s="17">
        <v>-1.51</v>
      </c>
      <c r="E150" s="17">
        <f t="shared" si="176"/>
        <v>1.3194799999999998</v>
      </c>
      <c r="F150">
        <v>0</v>
      </c>
      <c r="G150">
        <f t="shared" ref="G150:K150" si="194">IF(F150=1,0,1)</f>
        <v>1</v>
      </c>
      <c r="H150">
        <v>1</v>
      </c>
      <c r="I150">
        <f t="shared" si="194"/>
        <v>0</v>
      </c>
      <c r="J150">
        <v>0</v>
      </c>
      <c r="K150">
        <f t="shared" si="194"/>
        <v>1</v>
      </c>
      <c r="L150">
        <v>0</v>
      </c>
      <c r="M150">
        <f t="shared" si="178"/>
        <v>1</v>
      </c>
      <c r="N150">
        <f t="shared" si="179"/>
        <v>0</v>
      </c>
      <c r="O150">
        <f t="shared" si="180"/>
        <v>0</v>
      </c>
      <c r="P150">
        <f t="shared" si="181"/>
        <v>1</v>
      </c>
      <c r="Q150">
        <f t="shared" si="182"/>
        <v>0</v>
      </c>
      <c r="R150" s="1" t="str">
        <f t="shared" si="183"/>
        <v>滞涨</v>
      </c>
      <c r="S150">
        <f t="shared" si="184"/>
        <v>0</v>
      </c>
      <c r="T150">
        <f t="shared" si="185"/>
        <v>0</v>
      </c>
      <c r="U150">
        <f t="shared" si="186"/>
        <v>0</v>
      </c>
      <c r="V150">
        <f t="shared" si="187"/>
        <v>1</v>
      </c>
      <c r="W150" s="1" t="str">
        <f t="shared" si="188"/>
        <v>衰退</v>
      </c>
      <c r="X150">
        <f t="shared" si="189"/>
        <v>0</v>
      </c>
      <c r="Y150">
        <f t="shared" si="190"/>
        <v>0</v>
      </c>
      <c r="Z150">
        <f t="shared" si="191"/>
        <v>0</v>
      </c>
      <c r="AA150">
        <f t="shared" si="192"/>
        <v>1</v>
      </c>
      <c r="AB150" s="1" t="str">
        <f t="shared" si="193"/>
        <v>衰退</v>
      </c>
    </row>
    <row r="151" spans="1:28" x14ac:dyDescent="0.35">
      <c r="A151" s="19">
        <v>41608</v>
      </c>
      <c r="B151" s="17">
        <v>10</v>
      </c>
      <c r="C151" s="17">
        <v>3.0179999999999998</v>
      </c>
      <c r="D151" s="17">
        <v>-1.42</v>
      </c>
      <c r="E151" s="17">
        <f t="shared" si="176"/>
        <v>1.2427999999999999</v>
      </c>
      <c r="F151">
        <v>0</v>
      </c>
      <c r="G151">
        <f t="shared" ref="G151:K151" si="195">IF(F151=1,0,1)</f>
        <v>1</v>
      </c>
      <c r="H151">
        <v>0</v>
      </c>
      <c r="I151">
        <f t="shared" si="195"/>
        <v>1</v>
      </c>
      <c r="J151">
        <v>0</v>
      </c>
      <c r="K151">
        <f t="shared" si="195"/>
        <v>1</v>
      </c>
      <c r="L151">
        <v>0</v>
      </c>
      <c r="M151">
        <f t="shared" si="178"/>
        <v>1</v>
      </c>
      <c r="N151">
        <f t="shared" si="179"/>
        <v>0</v>
      </c>
      <c r="O151">
        <f t="shared" si="180"/>
        <v>0</v>
      </c>
      <c r="P151">
        <f t="shared" si="181"/>
        <v>0</v>
      </c>
      <c r="Q151">
        <f t="shared" si="182"/>
        <v>1</v>
      </c>
      <c r="R151" s="1" t="str">
        <f t="shared" si="183"/>
        <v>衰退</v>
      </c>
      <c r="S151">
        <f t="shared" si="184"/>
        <v>0</v>
      </c>
      <c r="T151">
        <f t="shared" si="185"/>
        <v>0</v>
      </c>
      <c r="U151">
        <f t="shared" si="186"/>
        <v>0</v>
      </c>
      <c r="V151">
        <f t="shared" si="187"/>
        <v>1</v>
      </c>
      <c r="W151" s="1" t="str">
        <f t="shared" si="188"/>
        <v>衰退</v>
      </c>
      <c r="X151">
        <f t="shared" si="189"/>
        <v>0</v>
      </c>
      <c r="Y151">
        <f t="shared" si="190"/>
        <v>0</v>
      </c>
      <c r="Z151">
        <f t="shared" si="191"/>
        <v>0</v>
      </c>
      <c r="AA151">
        <f t="shared" si="192"/>
        <v>1</v>
      </c>
      <c r="AB151" s="1" t="str">
        <f t="shared" si="193"/>
        <v>衰退</v>
      </c>
    </row>
    <row r="152" spans="1:28" x14ac:dyDescent="0.35">
      <c r="A152" s="19">
        <v>41639</v>
      </c>
      <c r="B152" s="17">
        <v>9.6999999999999993</v>
      </c>
      <c r="C152" s="17">
        <v>2.4986999999999999</v>
      </c>
      <c r="D152" s="17">
        <v>-1.36</v>
      </c>
      <c r="E152" s="17">
        <f t="shared" si="176"/>
        <v>0.95521999999999996</v>
      </c>
      <c r="F152">
        <v>0</v>
      </c>
      <c r="G152">
        <f t="shared" ref="G152:K152" si="196">IF(F152=1,0,1)</f>
        <v>1</v>
      </c>
      <c r="H152">
        <v>0</v>
      </c>
      <c r="I152">
        <f t="shared" si="196"/>
        <v>1</v>
      </c>
      <c r="J152">
        <v>0</v>
      </c>
      <c r="K152">
        <f t="shared" si="196"/>
        <v>1</v>
      </c>
      <c r="L152">
        <v>0</v>
      </c>
      <c r="M152">
        <f t="shared" si="178"/>
        <v>1</v>
      </c>
      <c r="N152">
        <f t="shared" si="179"/>
        <v>0</v>
      </c>
      <c r="O152">
        <f t="shared" si="180"/>
        <v>0</v>
      </c>
      <c r="P152">
        <f t="shared" si="181"/>
        <v>0</v>
      </c>
      <c r="Q152">
        <f t="shared" si="182"/>
        <v>1</v>
      </c>
      <c r="R152" s="1" t="str">
        <f t="shared" si="183"/>
        <v>衰退</v>
      </c>
      <c r="S152">
        <f t="shared" si="184"/>
        <v>0</v>
      </c>
      <c r="T152">
        <f t="shared" si="185"/>
        <v>0</v>
      </c>
      <c r="U152">
        <f t="shared" si="186"/>
        <v>0</v>
      </c>
      <c r="V152">
        <f t="shared" si="187"/>
        <v>1</v>
      </c>
      <c r="W152" s="1" t="str">
        <f t="shared" si="188"/>
        <v>衰退</v>
      </c>
      <c r="X152">
        <f t="shared" si="189"/>
        <v>0</v>
      </c>
      <c r="Y152">
        <f t="shared" si="190"/>
        <v>0</v>
      </c>
      <c r="Z152">
        <f t="shared" si="191"/>
        <v>0</v>
      </c>
      <c r="AA152">
        <f t="shared" si="192"/>
        <v>1</v>
      </c>
      <c r="AB152" s="1" t="str">
        <f t="shared" si="193"/>
        <v>衰退</v>
      </c>
    </row>
    <row r="153" spans="1:28" x14ac:dyDescent="0.35">
      <c r="A153" s="19">
        <v>41698</v>
      </c>
      <c r="B153" s="17">
        <v>8.6</v>
      </c>
      <c r="C153" s="17">
        <v>2.2172000000000001</v>
      </c>
      <c r="D153" s="17">
        <v>-1.8</v>
      </c>
      <c r="E153" s="17">
        <f t="shared" si="176"/>
        <v>0.61031999999999986</v>
      </c>
      <c r="F153">
        <v>0</v>
      </c>
      <c r="G153">
        <f t="shared" ref="G153:K153" si="197">IF(F153=1,0,1)</f>
        <v>1</v>
      </c>
      <c r="H153">
        <v>0</v>
      </c>
      <c r="I153">
        <f t="shared" si="197"/>
        <v>1</v>
      </c>
      <c r="J153">
        <v>0</v>
      </c>
      <c r="K153">
        <f t="shared" si="197"/>
        <v>1</v>
      </c>
      <c r="L153">
        <v>0</v>
      </c>
      <c r="M153">
        <f t="shared" si="178"/>
        <v>1</v>
      </c>
      <c r="N153">
        <f t="shared" si="179"/>
        <v>0</v>
      </c>
      <c r="O153">
        <f t="shared" si="180"/>
        <v>0</v>
      </c>
      <c r="P153">
        <f t="shared" si="181"/>
        <v>0</v>
      </c>
      <c r="Q153">
        <f t="shared" si="182"/>
        <v>1</v>
      </c>
      <c r="R153" s="1" t="str">
        <f t="shared" si="183"/>
        <v>衰退</v>
      </c>
      <c r="S153">
        <f t="shared" si="184"/>
        <v>0</v>
      </c>
      <c r="T153">
        <f t="shared" si="185"/>
        <v>0</v>
      </c>
      <c r="U153">
        <f t="shared" si="186"/>
        <v>0</v>
      </c>
      <c r="V153">
        <f t="shared" si="187"/>
        <v>1</v>
      </c>
      <c r="W153" s="1" t="str">
        <f t="shared" si="188"/>
        <v>衰退</v>
      </c>
      <c r="X153">
        <f t="shared" si="189"/>
        <v>0</v>
      </c>
      <c r="Y153">
        <f t="shared" si="190"/>
        <v>0</v>
      </c>
      <c r="Z153">
        <f t="shared" si="191"/>
        <v>0</v>
      </c>
      <c r="AA153">
        <f t="shared" si="192"/>
        <v>1</v>
      </c>
      <c r="AB153" s="1" t="str">
        <f t="shared" si="193"/>
        <v>衰退</v>
      </c>
    </row>
    <row r="154" spans="1:28" x14ac:dyDescent="0.35">
      <c r="A154" s="19">
        <v>41729</v>
      </c>
      <c r="B154" s="17">
        <v>8.8000000000000007</v>
      </c>
      <c r="C154" s="17">
        <v>2.3847999999999998</v>
      </c>
      <c r="D154" s="17">
        <v>-2.3018999999999998</v>
      </c>
      <c r="E154" s="17">
        <f t="shared" si="176"/>
        <v>0.51011999999999991</v>
      </c>
      <c r="F154">
        <v>1</v>
      </c>
      <c r="G154">
        <f t="shared" ref="G154:K154" si="198">IF(F154=1,0,1)</f>
        <v>0</v>
      </c>
      <c r="H154">
        <v>0</v>
      </c>
      <c r="I154">
        <f t="shared" si="198"/>
        <v>1</v>
      </c>
      <c r="J154">
        <v>0</v>
      </c>
      <c r="K154">
        <f t="shared" si="198"/>
        <v>1</v>
      </c>
      <c r="L154">
        <v>0</v>
      </c>
      <c r="M154">
        <f t="shared" si="178"/>
        <v>1</v>
      </c>
      <c r="N154">
        <f t="shared" si="179"/>
        <v>1</v>
      </c>
      <c r="O154">
        <f t="shared" si="180"/>
        <v>0</v>
      </c>
      <c r="P154">
        <f t="shared" si="181"/>
        <v>0</v>
      </c>
      <c r="Q154">
        <f t="shared" si="182"/>
        <v>0</v>
      </c>
      <c r="R154" s="1" t="str">
        <f t="shared" si="183"/>
        <v>复苏</v>
      </c>
      <c r="S154">
        <f t="shared" si="184"/>
        <v>1</v>
      </c>
      <c r="T154">
        <f t="shared" si="185"/>
        <v>0</v>
      </c>
      <c r="U154">
        <f t="shared" si="186"/>
        <v>0</v>
      </c>
      <c r="V154">
        <f t="shared" si="187"/>
        <v>0</v>
      </c>
      <c r="W154" s="1" t="str">
        <f t="shared" si="188"/>
        <v>复苏</v>
      </c>
      <c r="X154">
        <f t="shared" si="189"/>
        <v>1</v>
      </c>
      <c r="Y154">
        <f t="shared" si="190"/>
        <v>0</v>
      </c>
      <c r="Z154">
        <f t="shared" si="191"/>
        <v>0</v>
      </c>
      <c r="AA154">
        <f t="shared" si="192"/>
        <v>0</v>
      </c>
      <c r="AB154" s="1" t="str">
        <f t="shared" si="193"/>
        <v>复苏</v>
      </c>
    </row>
    <row r="155" spans="1:28" x14ac:dyDescent="0.35">
      <c r="A155" s="19">
        <v>41759</v>
      </c>
      <c r="B155" s="17">
        <v>8.6999999999999993</v>
      </c>
      <c r="C155" s="17">
        <v>1.8013999999999999</v>
      </c>
      <c r="D155" s="17">
        <v>-2.0042</v>
      </c>
      <c r="E155" s="17">
        <f t="shared" si="176"/>
        <v>0.27915999999999974</v>
      </c>
      <c r="F155">
        <v>1</v>
      </c>
      <c r="G155">
        <f t="shared" ref="G155:K155" si="199">IF(F155=1,0,1)</f>
        <v>0</v>
      </c>
      <c r="H155">
        <v>0</v>
      </c>
      <c r="I155">
        <f t="shared" si="199"/>
        <v>1</v>
      </c>
      <c r="J155">
        <v>1</v>
      </c>
      <c r="K155">
        <f t="shared" si="199"/>
        <v>0</v>
      </c>
      <c r="L155">
        <v>0</v>
      </c>
      <c r="M155">
        <f t="shared" si="178"/>
        <v>1</v>
      </c>
      <c r="N155">
        <f t="shared" si="179"/>
        <v>1</v>
      </c>
      <c r="O155">
        <f t="shared" si="180"/>
        <v>0</v>
      </c>
      <c r="P155">
        <f t="shared" si="181"/>
        <v>0</v>
      </c>
      <c r="Q155">
        <f t="shared" si="182"/>
        <v>0</v>
      </c>
      <c r="R155" s="1" t="str">
        <f t="shared" si="183"/>
        <v>复苏</v>
      </c>
      <c r="S155">
        <f t="shared" si="184"/>
        <v>0</v>
      </c>
      <c r="T155">
        <f t="shared" si="185"/>
        <v>1</v>
      </c>
      <c r="U155">
        <f t="shared" si="186"/>
        <v>0</v>
      </c>
      <c r="V155">
        <f t="shared" si="187"/>
        <v>0</v>
      </c>
      <c r="W155" s="1" t="str">
        <f t="shared" si="188"/>
        <v>过热</v>
      </c>
      <c r="X155">
        <f t="shared" si="189"/>
        <v>1</v>
      </c>
      <c r="Y155">
        <f t="shared" si="190"/>
        <v>0</v>
      </c>
      <c r="Z155">
        <f t="shared" si="191"/>
        <v>0</v>
      </c>
      <c r="AA155">
        <f t="shared" si="192"/>
        <v>0</v>
      </c>
      <c r="AB155" s="1" t="str">
        <f t="shared" si="193"/>
        <v>复苏</v>
      </c>
    </row>
    <row r="156" spans="1:28" x14ac:dyDescent="0.35">
      <c r="A156" s="19">
        <v>41790</v>
      </c>
      <c r="B156" s="17">
        <v>8.8000000000000007</v>
      </c>
      <c r="C156" s="17">
        <v>2.4773000000000001</v>
      </c>
      <c r="D156" s="17">
        <v>-1.4463999999999999</v>
      </c>
      <c r="E156" s="17">
        <f t="shared" si="176"/>
        <v>0.90782000000000007</v>
      </c>
      <c r="F156">
        <v>1</v>
      </c>
      <c r="G156">
        <f t="shared" ref="G156:K156" si="200">IF(F156=1,0,1)</f>
        <v>0</v>
      </c>
      <c r="H156">
        <v>0</v>
      </c>
      <c r="I156">
        <f t="shared" si="200"/>
        <v>1</v>
      </c>
      <c r="J156">
        <v>1</v>
      </c>
      <c r="K156">
        <f t="shared" si="200"/>
        <v>0</v>
      </c>
      <c r="L156">
        <v>0</v>
      </c>
      <c r="M156">
        <f t="shared" si="178"/>
        <v>1</v>
      </c>
      <c r="N156">
        <f t="shared" si="179"/>
        <v>1</v>
      </c>
      <c r="O156">
        <f t="shared" si="180"/>
        <v>0</v>
      </c>
      <c r="P156">
        <f t="shared" si="181"/>
        <v>0</v>
      </c>
      <c r="Q156">
        <f t="shared" si="182"/>
        <v>0</v>
      </c>
      <c r="R156" s="1" t="str">
        <f t="shared" si="183"/>
        <v>复苏</v>
      </c>
      <c r="S156">
        <f t="shared" si="184"/>
        <v>0</v>
      </c>
      <c r="T156">
        <f t="shared" si="185"/>
        <v>1</v>
      </c>
      <c r="U156">
        <f t="shared" si="186"/>
        <v>0</v>
      </c>
      <c r="V156">
        <f t="shared" si="187"/>
        <v>0</v>
      </c>
      <c r="W156" s="1" t="str">
        <f t="shared" si="188"/>
        <v>过热</v>
      </c>
      <c r="X156">
        <f t="shared" si="189"/>
        <v>1</v>
      </c>
      <c r="Y156">
        <f t="shared" si="190"/>
        <v>0</v>
      </c>
      <c r="Z156">
        <f t="shared" si="191"/>
        <v>0</v>
      </c>
      <c r="AA156">
        <f t="shared" si="192"/>
        <v>0</v>
      </c>
      <c r="AB156" s="1" t="str">
        <f t="shared" si="193"/>
        <v>复苏</v>
      </c>
    </row>
    <row r="157" spans="1:28" x14ac:dyDescent="0.35">
      <c r="A157" s="19">
        <v>41820</v>
      </c>
      <c r="B157" s="17">
        <v>9.1999999999999993</v>
      </c>
      <c r="C157" s="17">
        <v>2.3361000000000001</v>
      </c>
      <c r="D157" s="17">
        <v>-1.1092</v>
      </c>
      <c r="E157" s="17">
        <f t="shared" si="176"/>
        <v>0.95797999999999983</v>
      </c>
      <c r="F157">
        <v>1</v>
      </c>
      <c r="G157">
        <f t="shared" ref="G157:K157" si="201">IF(F157=1,0,1)</f>
        <v>0</v>
      </c>
      <c r="H157">
        <v>0</v>
      </c>
      <c r="I157">
        <f t="shared" si="201"/>
        <v>1</v>
      </c>
      <c r="J157">
        <v>1</v>
      </c>
      <c r="K157">
        <f t="shared" si="201"/>
        <v>0</v>
      </c>
      <c r="L157">
        <v>0</v>
      </c>
      <c r="M157">
        <f t="shared" si="178"/>
        <v>1</v>
      </c>
      <c r="N157">
        <f t="shared" si="179"/>
        <v>1</v>
      </c>
      <c r="O157">
        <f t="shared" si="180"/>
        <v>0</v>
      </c>
      <c r="P157">
        <f t="shared" si="181"/>
        <v>0</v>
      </c>
      <c r="Q157">
        <f t="shared" si="182"/>
        <v>0</v>
      </c>
      <c r="R157" s="1" t="str">
        <f t="shared" si="183"/>
        <v>复苏</v>
      </c>
      <c r="S157">
        <f t="shared" si="184"/>
        <v>0</v>
      </c>
      <c r="T157">
        <f t="shared" si="185"/>
        <v>1</v>
      </c>
      <c r="U157">
        <f t="shared" si="186"/>
        <v>0</v>
      </c>
      <c r="V157">
        <f t="shared" si="187"/>
        <v>0</v>
      </c>
      <c r="W157" s="1" t="str">
        <f t="shared" si="188"/>
        <v>过热</v>
      </c>
      <c r="X157">
        <f t="shared" si="189"/>
        <v>1</v>
      </c>
      <c r="Y157">
        <f t="shared" si="190"/>
        <v>0</v>
      </c>
      <c r="Z157">
        <f t="shared" si="191"/>
        <v>0</v>
      </c>
      <c r="AA157">
        <f t="shared" si="192"/>
        <v>0</v>
      </c>
      <c r="AB157" s="1" t="str">
        <f t="shared" si="193"/>
        <v>复苏</v>
      </c>
    </row>
    <row r="158" spans="1:28" x14ac:dyDescent="0.35">
      <c r="A158" s="19">
        <v>41851</v>
      </c>
      <c r="B158" s="17">
        <v>9</v>
      </c>
      <c r="C158" s="17">
        <v>2.2852000000000001</v>
      </c>
      <c r="D158" s="17">
        <v>-0.86880000000000002</v>
      </c>
      <c r="E158" s="17">
        <f t="shared" si="176"/>
        <v>1.0236000000000001</v>
      </c>
      <c r="F158">
        <v>0</v>
      </c>
      <c r="G158">
        <f t="shared" ref="G158:K158" si="202">IF(F158=1,0,1)</f>
        <v>1</v>
      </c>
      <c r="H158">
        <v>0</v>
      </c>
      <c r="I158">
        <f t="shared" si="202"/>
        <v>1</v>
      </c>
      <c r="J158">
        <v>1</v>
      </c>
      <c r="K158">
        <f t="shared" si="202"/>
        <v>0</v>
      </c>
      <c r="L158">
        <v>0</v>
      </c>
      <c r="M158">
        <f t="shared" si="178"/>
        <v>1</v>
      </c>
      <c r="N158">
        <f t="shared" si="179"/>
        <v>0</v>
      </c>
      <c r="O158">
        <f t="shared" si="180"/>
        <v>0</v>
      </c>
      <c r="P158">
        <f t="shared" si="181"/>
        <v>0</v>
      </c>
      <c r="Q158">
        <f t="shared" si="182"/>
        <v>1</v>
      </c>
      <c r="R158" s="1" t="str">
        <f t="shared" si="183"/>
        <v>衰退</v>
      </c>
      <c r="S158">
        <f t="shared" si="184"/>
        <v>0</v>
      </c>
      <c r="T158">
        <f t="shared" si="185"/>
        <v>0</v>
      </c>
      <c r="U158">
        <f t="shared" si="186"/>
        <v>1</v>
      </c>
      <c r="V158">
        <f t="shared" si="187"/>
        <v>0</v>
      </c>
      <c r="W158" s="1" t="str">
        <f t="shared" si="188"/>
        <v>滞涨</v>
      </c>
      <c r="X158">
        <f t="shared" si="189"/>
        <v>0</v>
      </c>
      <c r="Y158">
        <f t="shared" si="190"/>
        <v>0</v>
      </c>
      <c r="Z158">
        <f t="shared" si="191"/>
        <v>0</v>
      </c>
      <c r="AA158">
        <f t="shared" si="192"/>
        <v>1</v>
      </c>
      <c r="AB158" s="1" t="str">
        <f t="shared" si="193"/>
        <v>衰退</v>
      </c>
    </row>
    <row r="159" spans="1:28" x14ac:dyDescent="0.35">
      <c r="A159" s="19">
        <v>41882</v>
      </c>
      <c r="B159" s="17">
        <v>6.9</v>
      </c>
      <c r="C159" s="17">
        <v>1.9908999999999999</v>
      </c>
      <c r="D159" s="17">
        <v>-1.2038</v>
      </c>
      <c r="E159" s="17">
        <f t="shared" si="176"/>
        <v>0.71301999999999999</v>
      </c>
      <c r="F159">
        <v>0</v>
      </c>
      <c r="G159">
        <f t="shared" ref="G159:K159" si="203">IF(F159=1,0,1)</f>
        <v>1</v>
      </c>
      <c r="H159">
        <v>0</v>
      </c>
      <c r="I159">
        <f t="shared" si="203"/>
        <v>1</v>
      </c>
      <c r="J159">
        <v>0</v>
      </c>
      <c r="K159">
        <f t="shared" si="203"/>
        <v>1</v>
      </c>
      <c r="L159">
        <v>0</v>
      </c>
      <c r="M159">
        <f t="shared" si="178"/>
        <v>1</v>
      </c>
      <c r="N159">
        <f t="shared" si="179"/>
        <v>0</v>
      </c>
      <c r="O159">
        <f t="shared" si="180"/>
        <v>0</v>
      </c>
      <c r="P159">
        <f t="shared" si="181"/>
        <v>0</v>
      </c>
      <c r="Q159">
        <f t="shared" si="182"/>
        <v>1</v>
      </c>
      <c r="R159" s="1" t="str">
        <f t="shared" si="183"/>
        <v>衰退</v>
      </c>
      <c r="S159">
        <f t="shared" si="184"/>
        <v>0</v>
      </c>
      <c r="T159">
        <f t="shared" si="185"/>
        <v>0</v>
      </c>
      <c r="U159">
        <f t="shared" si="186"/>
        <v>0</v>
      </c>
      <c r="V159">
        <f t="shared" si="187"/>
        <v>1</v>
      </c>
      <c r="W159" s="1" t="str">
        <f t="shared" si="188"/>
        <v>衰退</v>
      </c>
      <c r="X159">
        <f t="shared" si="189"/>
        <v>0</v>
      </c>
      <c r="Y159">
        <f t="shared" si="190"/>
        <v>0</v>
      </c>
      <c r="Z159">
        <f t="shared" si="191"/>
        <v>0</v>
      </c>
      <c r="AA159">
        <f t="shared" si="192"/>
        <v>1</v>
      </c>
      <c r="AB159" s="1" t="str">
        <f t="shared" si="193"/>
        <v>衰退</v>
      </c>
    </row>
    <row r="160" spans="1:28" x14ac:dyDescent="0.35">
      <c r="A160" s="19">
        <v>41912</v>
      </c>
      <c r="B160" s="17">
        <v>8</v>
      </c>
      <c r="C160" s="17">
        <v>1.6274999999999999</v>
      </c>
      <c r="D160" s="17">
        <v>-1.7996000000000001</v>
      </c>
      <c r="E160" s="17">
        <f t="shared" si="176"/>
        <v>0.25665999999999989</v>
      </c>
      <c r="F160">
        <v>0</v>
      </c>
      <c r="G160">
        <f t="shared" ref="G160:K160" si="204">IF(F160=1,0,1)</f>
        <v>1</v>
      </c>
      <c r="H160">
        <v>0</v>
      </c>
      <c r="I160">
        <f t="shared" si="204"/>
        <v>1</v>
      </c>
      <c r="J160">
        <v>0</v>
      </c>
      <c r="K160">
        <f t="shared" si="204"/>
        <v>1</v>
      </c>
      <c r="L160">
        <v>0</v>
      </c>
      <c r="M160">
        <f t="shared" si="178"/>
        <v>1</v>
      </c>
      <c r="N160">
        <f t="shared" si="179"/>
        <v>0</v>
      </c>
      <c r="O160">
        <f t="shared" si="180"/>
        <v>0</v>
      </c>
      <c r="P160">
        <f t="shared" si="181"/>
        <v>0</v>
      </c>
      <c r="Q160">
        <f t="shared" si="182"/>
        <v>1</v>
      </c>
      <c r="R160" s="1" t="str">
        <f t="shared" si="183"/>
        <v>衰退</v>
      </c>
      <c r="S160">
        <f t="shared" si="184"/>
        <v>0</v>
      </c>
      <c r="T160">
        <f t="shared" si="185"/>
        <v>0</v>
      </c>
      <c r="U160">
        <f t="shared" si="186"/>
        <v>0</v>
      </c>
      <c r="V160">
        <f t="shared" si="187"/>
        <v>1</v>
      </c>
      <c r="W160" s="1" t="str">
        <f t="shared" si="188"/>
        <v>衰退</v>
      </c>
      <c r="X160">
        <f t="shared" si="189"/>
        <v>0</v>
      </c>
      <c r="Y160">
        <f t="shared" si="190"/>
        <v>0</v>
      </c>
      <c r="Z160">
        <f t="shared" si="191"/>
        <v>0</v>
      </c>
      <c r="AA160">
        <f t="shared" si="192"/>
        <v>1</v>
      </c>
      <c r="AB160" s="1" t="str">
        <f t="shared" si="193"/>
        <v>衰退</v>
      </c>
    </row>
    <row r="161" spans="1:28" x14ac:dyDescent="0.35">
      <c r="A161" s="19">
        <v>41943</v>
      </c>
      <c r="B161" s="17">
        <v>7.7</v>
      </c>
      <c r="C161" s="17">
        <v>1.6011</v>
      </c>
      <c r="D161" s="17">
        <v>-2.2427999999999999</v>
      </c>
      <c r="E161" s="17">
        <f t="shared" si="176"/>
        <v>6.353999999999993E-2</v>
      </c>
      <c r="F161">
        <v>0</v>
      </c>
      <c r="G161">
        <f t="shared" ref="G161:K161" si="205">IF(F161=1,0,1)</f>
        <v>1</v>
      </c>
      <c r="H161">
        <v>0</v>
      </c>
      <c r="I161">
        <f t="shared" si="205"/>
        <v>1</v>
      </c>
      <c r="J161">
        <v>0</v>
      </c>
      <c r="K161">
        <f t="shared" si="205"/>
        <v>1</v>
      </c>
      <c r="L161">
        <v>0</v>
      </c>
      <c r="M161">
        <f t="shared" si="178"/>
        <v>1</v>
      </c>
      <c r="N161">
        <f t="shared" si="179"/>
        <v>0</v>
      </c>
      <c r="O161">
        <f t="shared" si="180"/>
        <v>0</v>
      </c>
      <c r="P161">
        <f t="shared" si="181"/>
        <v>0</v>
      </c>
      <c r="Q161">
        <f t="shared" si="182"/>
        <v>1</v>
      </c>
      <c r="R161" s="1" t="str">
        <f t="shared" si="183"/>
        <v>衰退</v>
      </c>
      <c r="S161">
        <f t="shared" si="184"/>
        <v>0</v>
      </c>
      <c r="T161">
        <f t="shared" si="185"/>
        <v>0</v>
      </c>
      <c r="U161">
        <f t="shared" si="186"/>
        <v>0</v>
      </c>
      <c r="V161">
        <f t="shared" si="187"/>
        <v>1</v>
      </c>
      <c r="W161" s="1" t="str">
        <f t="shared" si="188"/>
        <v>衰退</v>
      </c>
      <c r="X161">
        <f t="shared" si="189"/>
        <v>0</v>
      </c>
      <c r="Y161">
        <f t="shared" si="190"/>
        <v>0</v>
      </c>
      <c r="Z161">
        <f t="shared" si="191"/>
        <v>0</v>
      </c>
      <c r="AA161">
        <f t="shared" si="192"/>
        <v>1</v>
      </c>
      <c r="AB161" s="1" t="str">
        <f t="shared" si="193"/>
        <v>衰退</v>
      </c>
    </row>
    <row r="162" spans="1:28" x14ac:dyDescent="0.35">
      <c r="A162" s="19">
        <v>41973</v>
      </c>
      <c r="B162" s="17">
        <v>7.2</v>
      </c>
      <c r="C162" s="17">
        <v>1.4393</v>
      </c>
      <c r="D162" s="17">
        <v>-2.6928000000000001</v>
      </c>
      <c r="E162" s="17">
        <f t="shared" si="176"/>
        <v>-0.21354000000000006</v>
      </c>
      <c r="F162">
        <v>0</v>
      </c>
      <c r="G162">
        <f t="shared" ref="G162:K162" si="206">IF(F162=1,0,1)</f>
        <v>1</v>
      </c>
      <c r="H162">
        <v>0</v>
      </c>
      <c r="I162">
        <f t="shared" si="206"/>
        <v>1</v>
      </c>
      <c r="J162">
        <v>0</v>
      </c>
      <c r="K162">
        <f t="shared" si="206"/>
        <v>1</v>
      </c>
      <c r="L162">
        <v>0</v>
      </c>
      <c r="M162">
        <f t="shared" si="178"/>
        <v>1</v>
      </c>
      <c r="N162">
        <f t="shared" si="179"/>
        <v>0</v>
      </c>
      <c r="O162">
        <f t="shared" si="180"/>
        <v>0</v>
      </c>
      <c r="P162">
        <f t="shared" si="181"/>
        <v>0</v>
      </c>
      <c r="Q162">
        <f t="shared" si="182"/>
        <v>1</v>
      </c>
      <c r="R162" s="1" t="str">
        <f t="shared" si="183"/>
        <v>衰退</v>
      </c>
      <c r="S162">
        <f t="shared" si="184"/>
        <v>0</v>
      </c>
      <c r="T162">
        <f t="shared" si="185"/>
        <v>0</v>
      </c>
      <c r="U162">
        <f t="shared" si="186"/>
        <v>0</v>
      </c>
      <c r="V162">
        <f t="shared" si="187"/>
        <v>1</v>
      </c>
      <c r="W162" s="1" t="str">
        <f t="shared" si="188"/>
        <v>衰退</v>
      </c>
      <c r="X162">
        <f t="shared" si="189"/>
        <v>0</v>
      </c>
      <c r="Y162">
        <f t="shared" si="190"/>
        <v>0</v>
      </c>
      <c r="Z162">
        <f t="shared" si="191"/>
        <v>0</v>
      </c>
      <c r="AA162">
        <f t="shared" si="192"/>
        <v>1</v>
      </c>
      <c r="AB162" s="1" t="str">
        <f t="shared" si="193"/>
        <v>衰退</v>
      </c>
    </row>
    <row r="163" spans="1:28" x14ac:dyDescent="0.35">
      <c r="A163" s="19">
        <v>42004</v>
      </c>
      <c r="B163" s="17">
        <v>7.9</v>
      </c>
      <c r="C163" s="17">
        <v>1.5056</v>
      </c>
      <c r="D163" s="17">
        <v>-3.3151999999999999</v>
      </c>
      <c r="E163" s="17">
        <f t="shared" si="176"/>
        <v>-0.42272000000000021</v>
      </c>
      <c r="F163">
        <v>0</v>
      </c>
      <c r="G163">
        <f t="shared" ref="G163:K163" si="207">IF(F163=1,0,1)</f>
        <v>1</v>
      </c>
      <c r="H163">
        <v>0</v>
      </c>
      <c r="I163">
        <f t="shared" si="207"/>
        <v>1</v>
      </c>
      <c r="J163">
        <v>0</v>
      </c>
      <c r="K163">
        <f t="shared" si="207"/>
        <v>1</v>
      </c>
      <c r="L163">
        <v>0</v>
      </c>
      <c r="M163">
        <f t="shared" si="178"/>
        <v>1</v>
      </c>
      <c r="N163">
        <f t="shared" si="179"/>
        <v>0</v>
      </c>
      <c r="O163">
        <f t="shared" si="180"/>
        <v>0</v>
      </c>
      <c r="P163">
        <f t="shared" si="181"/>
        <v>0</v>
      </c>
      <c r="Q163">
        <f t="shared" si="182"/>
        <v>1</v>
      </c>
      <c r="R163" s="1" t="str">
        <f t="shared" si="183"/>
        <v>衰退</v>
      </c>
      <c r="S163">
        <f t="shared" si="184"/>
        <v>0</v>
      </c>
      <c r="T163">
        <f t="shared" si="185"/>
        <v>0</v>
      </c>
      <c r="U163">
        <f t="shared" si="186"/>
        <v>0</v>
      </c>
      <c r="V163">
        <f t="shared" si="187"/>
        <v>1</v>
      </c>
      <c r="W163" s="1" t="str">
        <f t="shared" si="188"/>
        <v>衰退</v>
      </c>
      <c r="X163">
        <f t="shared" si="189"/>
        <v>0</v>
      </c>
      <c r="Y163">
        <f t="shared" si="190"/>
        <v>0</v>
      </c>
      <c r="Z163">
        <f t="shared" si="191"/>
        <v>0</v>
      </c>
      <c r="AA163">
        <f t="shared" si="192"/>
        <v>1</v>
      </c>
      <c r="AB163" s="1" t="str">
        <f t="shared" si="193"/>
        <v>衰退</v>
      </c>
    </row>
    <row r="164" spans="1:28" x14ac:dyDescent="0.35">
      <c r="A164" s="19">
        <v>42063</v>
      </c>
      <c r="B164" s="17">
        <v>6.8</v>
      </c>
      <c r="C164" s="17">
        <v>1.0983000000000001</v>
      </c>
      <c r="D164" s="17">
        <v>-4.5586000000000002</v>
      </c>
      <c r="E164" s="17">
        <f t="shared" si="176"/>
        <v>-1.1644600000000001</v>
      </c>
      <c r="F164">
        <v>0</v>
      </c>
      <c r="G164">
        <f t="shared" ref="G164:K164" si="208">IF(F164=1,0,1)</f>
        <v>1</v>
      </c>
      <c r="H164">
        <v>0</v>
      </c>
      <c r="I164">
        <f t="shared" si="208"/>
        <v>1</v>
      </c>
      <c r="J164">
        <v>0</v>
      </c>
      <c r="K164">
        <f t="shared" si="208"/>
        <v>1</v>
      </c>
      <c r="L164">
        <v>0</v>
      </c>
      <c r="M164">
        <f t="shared" si="178"/>
        <v>1</v>
      </c>
      <c r="N164">
        <f t="shared" si="179"/>
        <v>0</v>
      </c>
      <c r="O164">
        <f t="shared" si="180"/>
        <v>0</v>
      </c>
      <c r="P164">
        <f t="shared" si="181"/>
        <v>0</v>
      </c>
      <c r="Q164">
        <f t="shared" si="182"/>
        <v>1</v>
      </c>
      <c r="R164" s="1" t="str">
        <f t="shared" si="183"/>
        <v>衰退</v>
      </c>
      <c r="S164">
        <f t="shared" si="184"/>
        <v>0</v>
      </c>
      <c r="T164">
        <f t="shared" si="185"/>
        <v>0</v>
      </c>
      <c r="U164">
        <f t="shared" si="186"/>
        <v>0</v>
      </c>
      <c r="V164">
        <f t="shared" si="187"/>
        <v>1</v>
      </c>
      <c r="W164" s="1" t="str">
        <f t="shared" si="188"/>
        <v>衰退</v>
      </c>
      <c r="X164">
        <f t="shared" si="189"/>
        <v>0</v>
      </c>
      <c r="Y164">
        <f t="shared" si="190"/>
        <v>0</v>
      </c>
      <c r="Z164">
        <f t="shared" si="191"/>
        <v>0</v>
      </c>
      <c r="AA164">
        <f t="shared" si="192"/>
        <v>1</v>
      </c>
      <c r="AB164" s="1" t="str">
        <f t="shared" si="193"/>
        <v>衰退</v>
      </c>
    </row>
    <row r="165" spans="1:28" x14ac:dyDescent="0.35">
      <c r="A165" s="19">
        <v>42094</v>
      </c>
      <c r="B165" s="17">
        <v>5.6</v>
      </c>
      <c r="C165" s="17">
        <v>1.3757999999999999</v>
      </c>
      <c r="D165" s="17">
        <v>-4.5602999999999998</v>
      </c>
      <c r="E165" s="17">
        <f t="shared" si="176"/>
        <v>-0.99864000000000008</v>
      </c>
      <c r="F165">
        <v>0</v>
      </c>
      <c r="G165">
        <f t="shared" ref="G165:K165" si="209">IF(F165=1,0,1)</f>
        <v>1</v>
      </c>
      <c r="H165">
        <v>1</v>
      </c>
      <c r="I165">
        <f t="shared" si="209"/>
        <v>0</v>
      </c>
      <c r="J165">
        <v>0</v>
      </c>
      <c r="K165">
        <f t="shared" si="209"/>
        <v>1</v>
      </c>
      <c r="L165">
        <v>0</v>
      </c>
      <c r="M165">
        <f t="shared" si="178"/>
        <v>1</v>
      </c>
      <c r="N165">
        <f t="shared" si="179"/>
        <v>0</v>
      </c>
      <c r="O165">
        <f t="shared" si="180"/>
        <v>0</v>
      </c>
      <c r="P165">
        <f t="shared" si="181"/>
        <v>1</v>
      </c>
      <c r="Q165">
        <f t="shared" si="182"/>
        <v>0</v>
      </c>
      <c r="R165" s="1" t="str">
        <f t="shared" si="183"/>
        <v>滞涨</v>
      </c>
      <c r="S165">
        <f t="shared" si="184"/>
        <v>0</v>
      </c>
      <c r="T165">
        <f t="shared" si="185"/>
        <v>0</v>
      </c>
      <c r="U165">
        <f t="shared" si="186"/>
        <v>0</v>
      </c>
      <c r="V165">
        <f t="shared" si="187"/>
        <v>1</v>
      </c>
      <c r="W165" s="1" t="str">
        <f t="shared" si="188"/>
        <v>衰退</v>
      </c>
      <c r="X165">
        <f t="shared" si="189"/>
        <v>0</v>
      </c>
      <c r="Y165">
        <f t="shared" si="190"/>
        <v>0</v>
      </c>
      <c r="Z165">
        <f t="shared" si="191"/>
        <v>0</v>
      </c>
      <c r="AA165">
        <f t="shared" si="192"/>
        <v>1</v>
      </c>
      <c r="AB165" s="1" t="str">
        <f t="shared" si="193"/>
        <v>衰退</v>
      </c>
    </row>
    <row r="166" spans="1:28" x14ac:dyDescent="0.35">
      <c r="A166" s="19">
        <v>42124</v>
      </c>
      <c r="B166" s="17">
        <v>5.9</v>
      </c>
      <c r="C166" s="17">
        <v>1.5091000000000001</v>
      </c>
      <c r="D166" s="17">
        <v>-4.5724999999999998</v>
      </c>
      <c r="E166" s="17">
        <f t="shared" si="176"/>
        <v>-0.92353999999999992</v>
      </c>
      <c r="F166">
        <v>1</v>
      </c>
      <c r="G166">
        <f t="shared" ref="G166:K166" si="210">IF(F166=1,0,1)</f>
        <v>0</v>
      </c>
      <c r="H166">
        <v>1</v>
      </c>
      <c r="I166">
        <f t="shared" si="210"/>
        <v>0</v>
      </c>
      <c r="J166">
        <v>0</v>
      </c>
      <c r="K166">
        <f t="shared" si="210"/>
        <v>1</v>
      </c>
      <c r="L166">
        <v>0</v>
      </c>
      <c r="M166">
        <f t="shared" si="178"/>
        <v>1</v>
      </c>
      <c r="N166">
        <f t="shared" si="179"/>
        <v>0</v>
      </c>
      <c r="O166">
        <f t="shared" si="180"/>
        <v>1</v>
      </c>
      <c r="P166">
        <f t="shared" si="181"/>
        <v>0</v>
      </c>
      <c r="Q166">
        <f t="shared" si="182"/>
        <v>0</v>
      </c>
      <c r="R166" s="1" t="str">
        <f t="shared" si="183"/>
        <v>过热</v>
      </c>
      <c r="S166">
        <f t="shared" si="184"/>
        <v>1</v>
      </c>
      <c r="T166">
        <f t="shared" si="185"/>
        <v>0</v>
      </c>
      <c r="U166">
        <f t="shared" si="186"/>
        <v>0</v>
      </c>
      <c r="V166">
        <f t="shared" si="187"/>
        <v>0</v>
      </c>
      <c r="W166" s="1" t="str">
        <f t="shared" si="188"/>
        <v>复苏</v>
      </c>
      <c r="X166">
        <f t="shared" si="189"/>
        <v>1</v>
      </c>
      <c r="Y166">
        <f t="shared" si="190"/>
        <v>0</v>
      </c>
      <c r="Z166">
        <f t="shared" si="191"/>
        <v>0</v>
      </c>
      <c r="AA166">
        <f t="shared" si="192"/>
        <v>0</v>
      </c>
      <c r="AB166" s="1" t="str">
        <f t="shared" si="193"/>
        <v>复苏</v>
      </c>
    </row>
    <row r="167" spans="1:28" x14ac:dyDescent="0.35">
      <c r="A167" s="19">
        <v>42155</v>
      </c>
      <c r="B167" s="17">
        <v>6.1</v>
      </c>
      <c r="C167" s="17">
        <v>1.2307999999999999</v>
      </c>
      <c r="D167" s="17">
        <v>-4.6070000000000002</v>
      </c>
      <c r="E167" s="17">
        <f t="shared" si="176"/>
        <v>-1.1043200000000004</v>
      </c>
      <c r="F167">
        <v>1</v>
      </c>
      <c r="G167">
        <f t="shared" ref="G167:K167" si="211">IF(F167=1,0,1)</f>
        <v>0</v>
      </c>
      <c r="H167">
        <v>1</v>
      </c>
      <c r="I167">
        <f t="shared" si="211"/>
        <v>0</v>
      </c>
      <c r="J167">
        <v>0</v>
      </c>
      <c r="K167">
        <f t="shared" si="211"/>
        <v>1</v>
      </c>
      <c r="L167">
        <v>0</v>
      </c>
      <c r="M167">
        <f t="shared" si="178"/>
        <v>1</v>
      </c>
      <c r="N167">
        <f t="shared" si="179"/>
        <v>0</v>
      </c>
      <c r="O167">
        <f t="shared" si="180"/>
        <v>1</v>
      </c>
      <c r="P167">
        <f t="shared" si="181"/>
        <v>0</v>
      </c>
      <c r="Q167">
        <f t="shared" si="182"/>
        <v>0</v>
      </c>
      <c r="R167" s="1" t="str">
        <f t="shared" si="183"/>
        <v>过热</v>
      </c>
      <c r="S167">
        <f t="shared" si="184"/>
        <v>1</v>
      </c>
      <c r="T167">
        <f t="shared" si="185"/>
        <v>0</v>
      </c>
      <c r="U167">
        <f t="shared" si="186"/>
        <v>0</v>
      </c>
      <c r="V167">
        <f t="shared" si="187"/>
        <v>0</v>
      </c>
      <c r="W167" s="1" t="str">
        <f t="shared" si="188"/>
        <v>复苏</v>
      </c>
      <c r="X167">
        <f t="shared" si="189"/>
        <v>1</v>
      </c>
      <c r="Y167">
        <f t="shared" si="190"/>
        <v>0</v>
      </c>
      <c r="Z167">
        <f t="shared" si="191"/>
        <v>0</v>
      </c>
      <c r="AA167">
        <f t="shared" si="192"/>
        <v>0</v>
      </c>
      <c r="AB167" s="1" t="str">
        <f t="shared" si="193"/>
        <v>复苏</v>
      </c>
    </row>
    <row r="168" spans="1:28" x14ac:dyDescent="0.35">
      <c r="A168" s="19">
        <v>42185</v>
      </c>
      <c r="B168" s="17">
        <v>6.8</v>
      </c>
      <c r="C168" s="17">
        <v>1.3909</v>
      </c>
      <c r="D168" s="17">
        <v>-4.8135000000000003</v>
      </c>
      <c r="E168" s="17">
        <f t="shared" si="176"/>
        <v>-1.0908600000000002</v>
      </c>
      <c r="F168">
        <v>1</v>
      </c>
      <c r="G168">
        <f t="shared" ref="G168:K168" si="212">IF(F168=1,0,1)</f>
        <v>0</v>
      </c>
      <c r="H168">
        <v>1</v>
      </c>
      <c r="I168">
        <f t="shared" si="212"/>
        <v>0</v>
      </c>
      <c r="J168">
        <v>0</v>
      </c>
      <c r="K168">
        <f t="shared" si="212"/>
        <v>1</v>
      </c>
      <c r="L168">
        <v>0</v>
      </c>
      <c r="M168">
        <f t="shared" si="178"/>
        <v>1</v>
      </c>
      <c r="N168">
        <f t="shared" si="179"/>
        <v>0</v>
      </c>
      <c r="O168">
        <f t="shared" si="180"/>
        <v>1</v>
      </c>
      <c r="P168">
        <f t="shared" si="181"/>
        <v>0</v>
      </c>
      <c r="Q168">
        <f t="shared" si="182"/>
        <v>0</v>
      </c>
      <c r="R168" s="1" t="str">
        <f t="shared" si="183"/>
        <v>过热</v>
      </c>
      <c r="S168">
        <f t="shared" si="184"/>
        <v>1</v>
      </c>
      <c r="T168">
        <f t="shared" si="185"/>
        <v>0</v>
      </c>
      <c r="U168">
        <f t="shared" si="186"/>
        <v>0</v>
      </c>
      <c r="V168">
        <f t="shared" si="187"/>
        <v>0</v>
      </c>
      <c r="W168" s="1" t="str">
        <f t="shared" si="188"/>
        <v>复苏</v>
      </c>
      <c r="X168">
        <f t="shared" si="189"/>
        <v>1</v>
      </c>
      <c r="Y168">
        <f t="shared" si="190"/>
        <v>0</v>
      </c>
      <c r="Z168">
        <f t="shared" si="191"/>
        <v>0</v>
      </c>
      <c r="AA168">
        <f t="shared" si="192"/>
        <v>0</v>
      </c>
      <c r="AB168" s="1" t="str">
        <f t="shared" si="193"/>
        <v>复苏</v>
      </c>
    </row>
    <row r="169" spans="1:28" x14ac:dyDescent="0.35">
      <c r="A169" s="19">
        <v>42216</v>
      </c>
      <c r="B169" s="17">
        <v>6</v>
      </c>
      <c r="C169" s="17">
        <v>1.6473</v>
      </c>
      <c r="D169" s="17">
        <v>-5.3692000000000002</v>
      </c>
      <c r="E169" s="17">
        <f t="shared" si="176"/>
        <v>-1.1593000000000004</v>
      </c>
      <c r="F169">
        <v>0</v>
      </c>
      <c r="G169">
        <f t="shared" ref="G169:K169" si="213">IF(F169=1,0,1)</f>
        <v>1</v>
      </c>
      <c r="H169">
        <v>1</v>
      </c>
      <c r="I169">
        <f t="shared" si="213"/>
        <v>0</v>
      </c>
      <c r="J169">
        <v>0</v>
      </c>
      <c r="K169">
        <f t="shared" si="213"/>
        <v>1</v>
      </c>
      <c r="L169">
        <v>0</v>
      </c>
      <c r="M169">
        <f t="shared" si="178"/>
        <v>1</v>
      </c>
      <c r="N169">
        <f t="shared" si="179"/>
        <v>0</v>
      </c>
      <c r="O169">
        <f t="shared" si="180"/>
        <v>0</v>
      </c>
      <c r="P169">
        <f t="shared" si="181"/>
        <v>1</v>
      </c>
      <c r="Q169">
        <f t="shared" si="182"/>
        <v>0</v>
      </c>
      <c r="R169" s="1" t="str">
        <f t="shared" si="183"/>
        <v>滞涨</v>
      </c>
      <c r="S169">
        <f t="shared" si="184"/>
        <v>0</v>
      </c>
      <c r="T169">
        <f t="shared" si="185"/>
        <v>0</v>
      </c>
      <c r="U169">
        <f t="shared" si="186"/>
        <v>0</v>
      </c>
      <c r="V169">
        <f t="shared" si="187"/>
        <v>1</v>
      </c>
      <c r="W169" s="1" t="str">
        <f t="shared" si="188"/>
        <v>衰退</v>
      </c>
      <c r="X169">
        <f t="shared" si="189"/>
        <v>0</v>
      </c>
      <c r="Y169">
        <f t="shared" si="190"/>
        <v>0</v>
      </c>
      <c r="Z169">
        <f t="shared" si="191"/>
        <v>0</v>
      </c>
      <c r="AA169">
        <f t="shared" si="192"/>
        <v>1</v>
      </c>
      <c r="AB169" s="1" t="str">
        <f t="shared" si="193"/>
        <v>衰退</v>
      </c>
    </row>
    <row r="170" spans="1:28" x14ac:dyDescent="0.35">
      <c r="A170" s="19">
        <v>42247</v>
      </c>
      <c r="B170" s="17">
        <v>6.1</v>
      </c>
      <c r="C170" s="17">
        <v>1.9554</v>
      </c>
      <c r="D170" s="17">
        <v>-5.9226999999999999</v>
      </c>
      <c r="E170" s="17">
        <f t="shared" si="176"/>
        <v>-1.1958399999999998</v>
      </c>
      <c r="F170">
        <v>0</v>
      </c>
      <c r="G170">
        <f t="shared" ref="G170:K170" si="214">IF(F170=1,0,1)</f>
        <v>1</v>
      </c>
      <c r="H170">
        <v>1</v>
      </c>
      <c r="I170">
        <f t="shared" si="214"/>
        <v>0</v>
      </c>
      <c r="J170">
        <v>0</v>
      </c>
      <c r="K170">
        <f t="shared" si="214"/>
        <v>1</v>
      </c>
      <c r="L170">
        <v>0</v>
      </c>
      <c r="M170">
        <f t="shared" si="178"/>
        <v>1</v>
      </c>
      <c r="N170">
        <f t="shared" si="179"/>
        <v>0</v>
      </c>
      <c r="O170">
        <f t="shared" si="180"/>
        <v>0</v>
      </c>
      <c r="P170">
        <f t="shared" si="181"/>
        <v>1</v>
      </c>
      <c r="Q170">
        <f t="shared" si="182"/>
        <v>0</v>
      </c>
      <c r="R170" s="1" t="str">
        <f t="shared" si="183"/>
        <v>滞涨</v>
      </c>
      <c r="S170">
        <f t="shared" si="184"/>
        <v>0</v>
      </c>
      <c r="T170">
        <f t="shared" si="185"/>
        <v>0</v>
      </c>
      <c r="U170">
        <f t="shared" si="186"/>
        <v>0</v>
      </c>
      <c r="V170">
        <f t="shared" si="187"/>
        <v>1</v>
      </c>
      <c r="W170" s="1" t="str">
        <f t="shared" si="188"/>
        <v>衰退</v>
      </c>
      <c r="X170">
        <f t="shared" si="189"/>
        <v>0</v>
      </c>
      <c r="Y170">
        <f t="shared" si="190"/>
        <v>0</v>
      </c>
      <c r="Z170">
        <f t="shared" si="191"/>
        <v>0</v>
      </c>
      <c r="AA170">
        <f t="shared" si="192"/>
        <v>1</v>
      </c>
      <c r="AB170" s="1" t="str">
        <f t="shared" si="193"/>
        <v>衰退</v>
      </c>
    </row>
    <row r="171" spans="1:28" x14ac:dyDescent="0.35">
      <c r="A171" s="19">
        <v>42277</v>
      </c>
      <c r="B171" s="17">
        <v>5.7</v>
      </c>
      <c r="C171" s="17">
        <v>1.5955999999999999</v>
      </c>
      <c r="D171" s="17">
        <v>-5.9450000000000003</v>
      </c>
      <c r="E171" s="17">
        <f t="shared" si="176"/>
        <v>-1.4206400000000001</v>
      </c>
      <c r="F171">
        <v>0</v>
      </c>
      <c r="G171">
        <f t="shared" ref="G171:K171" si="215">IF(F171=1,0,1)</f>
        <v>1</v>
      </c>
      <c r="H171">
        <v>1</v>
      </c>
      <c r="I171">
        <f t="shared" si="215"/>
        <v>0</v>
      </c>
      <c r="J171">
        <v>1</v>
      </c>
      <c r="K171">
        <f t="shared" si="215"/>
        <v>0</v>
      </c>
      <c r="L171">
        <v>0</v>
      </c>
      <c r="M171">
        <f t="shared" si="178"/>
        <v>1</v>
      </c>
      <c r="N171">
        <f t="shared" si="179"/>
        <v>0</v>
      </c>
      <c r="O171">
        <f t="shared" si="180"/>
        <v>0</v>
      </c>
      <c r="P171">
        <f t="shared" si="181"/>
        <v>1</v>
      </c>
      <c r="Q171">
        <f t="shared" si="182"/>
        <v>0</v>
      </c>
      <c r="R171" s="1" t="str">
        <f t="shared" si="183"/>
        <v>滞涨</v>
      </c>
      <c r="S171">
        <f t="shared" si="184"/>
        <v>0</v>
      </c>
      <c r="T171">
        <f t="shared" si="185"/>
        <v>0</v>
      </c>
      <c r="U171">
        <f t="shared" si="186"/>
        <v>1</v>
      </c>
      <c r="V171">
        <f t="shared" si="187"/>
        <v>0</v>
      </c>
      <c r="W171" s="1" t="str">
        <f t="shared" si="188"/>
        <v>滞涨</v>
      </c>
      <c r="X171">
        <f t="shared" si="189"/>
        <v>0</v>
      </c>
      <c r="Y171">
        <f t="shared" si="190"/>
        <v>0</v>
      </c>
      <c r="Z171">
        <f t="shared" si="191"/>
        <v>0</v>
      </c>
      <c r="AA171">
        <f t="shared" si="192"/>
        <v>1</v>
      </c>
      <c r="AB171" s="1" t="str">
        <f t="shared" si="193"/>
        <v>衰退</v>
      </c>
    </row>
    <row r="172" spans="1:28" x14ac:dyDescent="0.35">
      <c r="A172" s="19">
        <v>42308</v>
      </c>
      <c r="B172" s="17">
        <v>5.6</v>
      </c>
      <c r="C172" s="17">
        <v>1.2674000000000001</v>
      </c>
      <c r="D172" s="17">
        <v>-5.9</v>
      </c>
      <c r="E172" s="17">
        <f t="shared" si="176"/>
        <v>-1.5995600000000003</v>
      </c>
      <c r="F172">
        <v>0</v>
      </c>
      <c r="G172">
        <f t="shared" ref="G172:K172" si="216">IF(F172=1,0,1)</f>
        <v>1</v>
      </c>
      <c r="H172">
        <v>1</v>
      </c>
      <c r="I172">
        <f t="shared" si="216"/>
        <v>0</v>
      </c>
      <c r="J172">
        <v>1</v>
      </c>
      <c r="K172">
        <f t="shared" si="216"/>
        <v>0</v>
      </c>
      <c r="L172">
        <v>0</v>
      </c>
      <c r="M172">
        <f t="shared" si="178"/>
        <v>1</v>
      </c>
      <c r="N172">
        <f t="shared" si="179"/>
        <v>0</v>
      </c>
      <c r="O172">
        <f t="shared" si="180"/>
        <v>0</v>
      </c>
      <c r="P172">
        <f t="shared" si="181"/>
        <v>1</v>
      </c>
      <c r="Q172">
        <f t="shared" si="182"/>
        <v>0</v>
      </c>
      <c r="R172" s="1" t="str">
        <f t="shared" si="183"/>
        <v>滞涨</v>
      </c>
      <c r="S172">
        <f t="shared" si="184"/>
        <v>0</v>
      </c>
      <c r="T172">
        <f t="shared" si="185"/>
        <v>0</v>
      </c>
      <c r="U172">
        <f t="shared" si="186"/>
        <v>1</v>
      </c>
      <c r="V172">
        <f t="shared" si="187"/>
        <v>0</v>
      </c>
      <c r="W172" s="1" t="str">
        <f t="shared" si="188"/>
        <v>滞涨</v>
      </c>
      <c r="X172">
        <f t="shared" si="189"/>
        <v>0</v>
      </c>
      <c r="Y172">
        <f t="shared" si="190"/>
        <v>0</v>
      </c>
      <c r="Z172">
        <f t="shared" si="191"/>
        <v>0</v>
      </c>
      <c r="AA172">
        <f t="shared" si="192"/>
        <v>1</v>
      </c>
      <c r="AB172" s="1" t="str">
        <f t="shared" si="193"/>
        <v>衰退</v>
      </c>
    </row>
    <row r="173" spans="1:28" x14ac:dyDescent="0.35">
      <c r="A173" s="19">
        <v>42338</v>
      </c>
      <c r="B173" s="17">
        <v>6.2</v>
      </c>
      <c r="C173" s="17">
        <v>1.4856</v>
      </c>
      <c r="D173" s="17">
        <v>-5.9</v>
      </c>
      <c r="E173" s="17">
        <f t="shared" si="176"/>
        <v>-1.4686400000000002</v>
      </c>
      <c r="F173">
        <v>0</v>
      </c>
      <c r="G173">
        <f t="shared" ref="G173:K173" si="217">IF(F173=1,0,1)</f>
        <v>1</v>
      </c>
      <c r="H173">
        <v>1</v>
      </c>
      <c r="I173">
        <f t="shared" si="217"/>
        <v>0</v>
      </c>
      <c r="J173">
        <v>1</v>
      </c>
      <c r="K173">
        <f t="shared" si="217"/>
        <v>0</v>
      </c>
      <c r="L173">
        <v>1</v>
      </c>
      <c r="M173">
        <f t="shared" si="178"/>
        <v>0</v>
      </c>
      <c r="N173">
        <f t="shared" si="179"/>
        <v>0</v>
      </c>
      <c r="O173">
        <f t="shared" si="180"/>
        <v>0</v>
      </c>
      <c r="P173">
        <f t="shared" si="181"/>
        <v>1</v>
      </c>
      <c r="Q173">
        <f t="shared" si="182"/>
        <v>0</v>
      </c>
      <c r="R173" s="1" t="str">
        <f t="shared" si="183"/>
        <v>滞涨</v>
      </c>
      <c r="S173">
        <f t="shared" si="184"/>
        <v>0</v>
      </c>
      <c r="T173">
        <f t="shared" si="185"/>
        <v>0</v>
      </c>
      <c r="U173">
        <f t="shared" si="186"/>
        <v>1</v>
      </c>
      <c r="V173">
        <f t="shared" si="187"/>
        <v>0</v>
      </c>
      <c r="W173" s="1" t="str">
        <f t="shared" si="188"/>
        <v>滞涨</v>
      </c>
      <c r="X173">
        <f t="shared" si="189"/>
        <v>0</v>
      </c>
      <c r="Y173">
        <f t="shared" si="190"/>
        <v>0</v>
      </c>
      <c r="Z173">
        <f t="shared" si="191"/>
        <v>1</v>
      </c>
      <c r="AA173">
        <f t="shared" si="192"/>
        <v>0</v>
      </c>
      <c r="AB173" s="1" t="str">
        <f t="shared" si="193"/>
        <v>滞涨</v>
      </c>
    </row>
    <row r="174" spans="1:28" x14ac:dyDescent="0.35">
      <c r="A174" s="19">
        <v>42369</v>
      </c>
      <c r="B174" s="17">
        <v>5.9</v>
      </c>
      <c r="C174" s="17">
        <v>1.6</v>
      </c>
      <c r="D174" s="17">
        <v>-5.9</v>
      </c>
      <c r="E174" s="17">
        <f t="shared" si="176"/>
        <v>-1.4000000000000004</v>
      </c>
      <c r="F174">
        <v>0</v>
      </c>
      <c r="G174">
        <f t="shared" ref="G174:K174" si="218">IF(F174=1,0,1)</f>
        <v>1</v>
      </c>
      <c r="H174">
        <v>1</v>
      </c>
      <c r="I174">
        <f t="shared" si="218"/>
        <v>0</v>
      </c>
      <c r="J174">
        <v>1</v>
      </c>
      <c r="K174">
        <f t="shared" si="218"/>
        <v>0</v>
      </c>
      <c r="L174">
        <v>1</v>
      </c>
      <c r="M174">
        <f t="shared" si="178"/>
        <v>0</v>
      </c>
      <c r="N174">
        <f t="shared" si="179"/>
        <v>0</v>
      </c>
      <c r="O174">
        <f t="shared" si="180"/>
        <v>0</v>
      </c>
      <c r="P174">
        <f t="shared" si="181"/>
        <v>1</v>
      </c>
      <c r="Q174">
        <f t="shared" si="182"/>
        <v>0</v>
      </c>
      <c r="R174" s="1" t="str">
        <f t="shared" si="183"/>
        <v>滞涨</v>
      </c>
      <c r="S174">
        <f t="shared" si="184"/>
        <v>0</v>
      </c>
      <c r="T174">
        <f t="shared" si="185"/>
        <v>0</v>
      </c>
      <c r="U174">
        <f t="shared" si="186"/>
        <v>1</v>
      </c>
      <c r="V174">
        <f t="shared" si="187"/>
        <v>0</v>
      </c>
      <c r="W174" s="1" t="str">
        <f t="shared" si="188"/>
        <v>滞涨</v>
      </c>
      <c r="X174">
        <f t="shared" si="189"/>
        <v>0</v>
      </c>
      <c r="Y174">
        <f t="shared" si="190"/>
        <v>0</v>
      </c>
      <c r="Z174">
        <f t="shared" si="191"/>
        <v>1</v>
      </c>
      <c r="AA174">
        <f t="shared" si="192"/>
        <v>0</v>
      </c>
      <c r="AB174" s="1" t="str">
        <f t="shared" si="193"/>
        <v>滞涨</v>
      </c>
    </row>
    <row r="175" spans="1:28" x14ac:dyDescent="0.35">
      <c r="A175" s="19">
        <v>42429</v>
      </c>
      <c r="B175" s="17">
        <v>5.4</v>
      </c>
      <c r="C175" s="17">
        <v>2</v>
      </c>
      <c r="D175" s="17">
        <v>-5.0999999999999996</v>
      </c>
      <c r="E175" s="17">
        <f t="shared" si="176"/>
        <v>-0.84000000000000008</v>
      </c>
      <c r="F175">
        <v>0</v>
      </c>
      <c r="G175">
        <f t="shared" ref="G175:K175" si="219">IF(F175=1,0,1)</f>
        <v>1</v>
      </c>
      <c r="H175">
        <v>1</v>
      </c>
      <c r="I175">
        <f t="shared" si="219"/>
        <v>0</v>
      </c>
      <c r="J175">
        <v>1</v>
      </c>
      <c r="K175">
        <f t="shared" si="219"/>
        <v>0</v>
      </c>
      <c r="L175">
        <v>1</v>
      </c>
      <c r="M175">
        <f t="shared" si="178"/>
        <v>0</v>
      </c>
      <c r="N175">
        <f t="shared" si="179"/>
        <v>0</v>
      </c>
      <c r="O175">
        <f t="shared" si="180"/>
        <v>0</v>
      </c>
      <c r="P175">
        <f t="shared" si="181"/>
        <v>1</v>
      </c>
      <c r="Q175">
        <f t="shared" si="182"/>
        <v>0</v>
      </c>
      <c r="R175" s="1" t="str">
        <f t="shared" si="183"/>
        <v>滞涨</v>
      </c>
      <c r="S175">
        <f t="shared" si="184"/>
        <v>0</v>
      </c>
      <c r="T175">
        <f t="shared" si="185"/>
        <v>0</v>
      </c>
      <c r="U175">
        <f t="shared" si="186"/>
        <v>1</v>
      </c>
      <c r="V175">
        <f t="shared" si="187"/>
        <v>0</v>
      </c>
      <c r="W175" s="1" t="str">
        <f t="shared" si="188"/>
        <v>滞涨</v>
      </c>
      <c r="X175">
        <f t="shared" si="189"/>
        <v>0</v>
      </c>
      <c r="Y175">
        <f t="shared" si="190"/>
        <v>0</v>
      </c>
      <c r="Z175">
        <f t="shared" si="191"/>
        <v>1</v>
      </c>
      <c r="AA175">
        <f t="shared" si="192"/>
        <v>0</v>
      </c>
      <c r="AB175" s="1" t="str">
        <f t="shared" si="193"/>
        <v>滞涨</v>
      </c>
    </row>
    <row r="176" spans="1:28" x14ac:dyDescent="0.35">
      <c r="A176" s="19">
        <v>42460</v>
      </c>
      <c r="B176" s="17">
        <v>6.8</v>
      </c>
      <c r="C176" s="17">
        <v>2.3013910000000002</v>
      </c>
      <c r="D176" s="17">
        <v>-4.3</v>
      </c>
      <c r="E176" s="17">
        <f t="shared" si="176"/>
        <v>-0.33916539999999995</v>
      </c>
      <c r="F176">
        <v>1</v>
      </c>
      <c r="G176">
        <f t="shared" ref="G176:K176" si="220">IF(F176=1,0,1)</f>
        <v>0</v>
      </c>
      <c r="H176">
        <v>1</v>
      </c>
      <c r="I176">
        <f t="shared" si="220"/>
        <v>0</v>
      </c>
      <c r="J176">
        <v>1</v>
      </c>
      <c r="K176">
        <f t="shared" si="220"/>
        <v>0</v>
      </c>
      <c r="L176">
        <v>1</v>
      </c>
      <c r="M176">
        <f t="shared" si="178"/>
        <v>0</v>
      </c>
      <c r="N176">
        <f t="shared" si="179"/>
        <v>0</v>
      </c>
      <c r="O176">
        <f t="shared" si="180"/>
        <v>1</v>
      </c>
      <c r="P176">
        <f t="shared" si="181"/>
        <v>0</v>
      </c>
      <c r="Q176">
        <f t="shared" si="182"/>
        <v>0</v>
      </c>
      <c r="R176" s="1" t="str">
        <f t="shared" si="183"/>
        <v>过热</v>
      </c>
      <c r="S176">
        <f t="shared" si="184"/>
        <v>0</v>
      </c>
      <c r="T176">
        <f t="shared" si="185"/>
        <v>1</v>
      </c>
      <c r="U176">
        <f t="shared" si="186"/>
        <v>0</v>
      </c>
      <c r="V176">
        <f t="shared" si="187"/>
        <v>0</v>
      </c>
      <c r="W176" s="1" t="str">
        <f t="shared" si="188"/>
        <v>过热</v>
      </c>
      <c r="X176">
        <f t="shared" si="189"/>
        <v>0</v>
      </c>
      <c r="Y176">
        <f t="shared" si="190"/>
        <v>1</v>
      </c>
      <c r="Z176">
        <f t="shared" si="191"/>
        <v>0</v>
      </c>
      <c r="AA176">
        <f t="shared" si="192"/>
        <v>0</v>
      </c>
      <c r="AB176" s="1" t="str">
        <f t="shared" si="193"/>
        <v>过热</v>
      </c>
    </row>
    <row r="177" spans="1:28" x14ac:dyDescent="0.35">
      <c r="A177" s="19">
        <v>42490</v>
      </c>
      <c r="B177" s="17">
        <v>6</v>
      </c>
      <c r="C177" s="17">
        <v>2.3278650000000001</v>
      </c>
      <c r="D177" s="17">
        <v>-3.4</v>
      </c>
      <c r="E177" s="17">
        <f t="shared" si="176"/>
        <v>3.6718999999999946E-2</v>
      </c>
      <c r="F177">
        <v>1</v>
      </c>
      <c r="G177">
        <f t="shared" ref="G177:K177" si="221">IF(F177=1,0,1)</f>
        <v>0</v>
      </c>
      <c r="H177">
        <v>0</v>
      </c>
      <c r="I177">
        <f t="shared" si="221"/>
        <v>1</v>
      </c>
      <c r="J177">
        <v>1</v>
      </c>
      <c r="K177">
        <f t="shared" si="221"/>
        <v>0</v>
      </c>
      <c r="L177">
        <v>1</v>
      </c>
      <c r="M177">
        <f t="shared" si="178"/>
        <v>0</v>
      </c>
      <c r="N177">
        <f t="shared" si="179"/>
        <v>1</v>
      </c>
      <c r="O177">
        <f t="shared" si="180"/>
        <v>0</v>
      </c>
      <c r="P177">
        <f t="shared" si="181"/>
        <v>0</v>
      </c>
      <c r="Q177">
        <f t="shared" si="182"/>
        <v>0</v>
      </c>
      <c r="R177" s="1" t="str">
        <f t="shared" si="183"/>
        <v>复苏</v>
      </c>
      <c r="S177">
        <f t="shared" si="184"/>
        <v>0</v>
      </c>
      <c r="T177">
        <f t="shared" si="185"/>
        <v>1</v>
      </c>
      <c r="U177">
        <f t="shared" si="186"/>
        <v>0</v>
      </c>
      <c r="V177">
        <f t="shared" si="187"/>
        <v>0</v>
      </c>
      <c r="W177" s="1" t="str">
        <f t="shared" si="188"/>
        <v>过热</v>
      </c>
      <c r="X177">
        <f t="shared" si="189"/>
        <v>0</v>
      </c>
      <c r="Y177">
        <f t="shared" si="190"/>
        <v>1</v>
      </c>
      <c r="Z177">
        <f t="shared" si="191"/>
        <v>0</v>
      </c>
      <c r="AA177">
        <f t="shared" si="192"/>
        <v>0</v>
      </c>
      <c r="AB177" s="1" t="str">
        <f t="shared" si="193"/>
        <v>过热</v>
      </c>
    </row>
    <row r="178" spans="1:28" x14ac:dyDescent="0.35">
      <c r="A178" s="19">
        <v>42521</v>
      </c>
      <c r="B178" s="17">
        <v>6</v>
      </c>
      <c r="C178" s="17">
        <v>2.038999</v>
      </c>
      <c r="D178" s="17">
        <v>-2.8</v>
      </c>
      <c r="E178" s="17">
        <f t="shared" si="176"/>
        <v>0.10339940000000003</v>
      </c>
      <c r="F178">
        <v>1</v>
      </c>
      <c r="G178">
        <f t="shared" ref="G178:K178" si="222">IF(F178=1,0,1)</f>
        <v>0</v>
      </c>
      <c r="H178">
        <v>0</v>
      </c>
      <c r="I178">
        <f t="shared" si="222"/>
        <v>1</v>
      </c>
      <c r="J178">
        <v>1</v>
      </c>
      <c r="K178">
        <f t="shared" si="222"/>
        <v>0</v>
      </c>
      <c r="L178">
        <v>1</v>
      </c>
      <c r="M178">
        <f t="shared" si="178"/>
        <v>0</v>
      </c>
      <c r="N178">
        <f t="shared" si="179"/>
        <v>1</v>
      </c>
      <c r="O178">
        <f t="shared" si="180"/>
        <v>0</v>
      </c>
      <c r="P178">
        <f t="shared" si="181"/>
        <v>0</v>
      </c>
      <c r="Q178">
        <f t="shared" si="182"/>
        <v>0</v>
      </c>
      <c r="R178" s="1" t="str">
        <f t="shared" si="183"/>
        <v>复苏</v>
      </c>
      <c r="S178">
        <f t="shared" si="184"/>
        <v>0</v>
      </c>
      <c r="T178">
        <f t="shared" si="185"/>
        <v>1</v>
      </c>
      <c r="U178">
        <f t="shared" si="186"/>
        <v>0</v>
      </c>
      <c r="V178">
        <f t="shared" si="187"/>
        <v>0</v>
      </c>
      <c r="W178" s="1" t="str">
        <f t="shared" si="188"/>
        <v>过热</v>
      </c>
      <c r="X178">
        <f t="shared" si="189"/>
        <v>0</v>
      </c>
      <c r="Y178">
        <f t="shared" si="190"/>
        <v>1</v>
      </c>
      <c r="Z178">
        <f t="shared" si="191"/>
        <v>0</v>
      </c>
      <c r="AA178">
        <f t="shared" si="192"/>
        <v>0</v>
      </c>
      <c r="AB178" s="1" t="str">
        <f t="shared" si="193"/>
        <v>过热</v>
      </c>
    </row>
    <row r="179" spans="1:28" x14ac:dyDescent="0.35">
      <c r="A179" s="19">
        <v>42551</v>
      </c>
      <c r="B179" s="17">
        <v>6.2</v>
      </c>
      <c r="C179" s="17">
        <v>1.8795029999999999</v>
      </c>
      <c r="D179" s="17">
        <v>-2.6</v>
      </c>
      <c r="E179" s="17">
        <f t="shared" si="176"/>
        <v>8.770179999999983E-2</v>
      </c>
      <c r="F179">
        <v>1</v>
      </c>
      <c r="G179">
        <f t="shared" ref="G179:K179" si="223">IF(F179=1,0,1)</f>
        <v>0</v>
      </c>
      <c r="H179">
        <v>0</v>
      </c>
      <c r="I179">
        <f t="shared" si="223"/>
        <v>1</v>
      </c>
      <c r="J179">
        <v>1</v>
      </c>
      <c r="K179">
        <f t="shared" si="223"/>
        <v>0</v>
      </c>
      <c r="L179">
        <v>1</v>
      </c>
      <c r="M179">
        <f t="shared" si="178"/>
        <v>0</v>
      </c>
      <c r="N179">
        <f t="shared" si="179"/>
        <v>1</v>
      </c>
      <c r="O179">
        <f t="shared" si="180"/>
        <v>0</v>
      </c>
      <c r="P179">
        <f t="shared" si="181"/>
        <v>0</v>
      </c>
      <c r="Q179">
        <f t="shared" si="182"/>
        <v>0</v>
      </c>
      <c r="R179" s="1" t="str">
        <f t="shared" si="183"/>
        <v>复苏</v>
      </c>
      <c r="S179">
        <f t="shared" si="184"/>
        <v>0</v>
      </c>
      <c r="T179">
        <f t="shared" si="185"/>
        <v>1</v>
      </c>
      <c r="U179">
        <f t="shared" si="186"/>
        <v>0</v>
      </c>
      <c r="V179">
        <f t="shared" si="187"/>
        <v>0</v>
      </c>
      <c r="W179" s="1" t="str">
        <f t="shared" si="188"/>
        <v>过热</v>
      </c>
      <c r="X179">
        <f t="shared" si="189"/>
        <v>0</v>
      </c>
      <c r="Y179">
        <f t="shared" si="190"/>
        <v>1</v>
      </c>
      <c r="Z179">
        <f t="shared" si="191"/>
        <v>0</v>
      </c>
      <c r="AA179">
        <f t="shared" si="192"/>
        <v>0</v>
      </c>
      <c r="AB179" s="1" t="str">
        <f t="shared" si="193"/>
        <v>过热</v>
      </c>
    </row>
    <row r="180" spans="1:28" x14ac:dyDescent="0.35">
      <c r="A180" s="19">
        <v>42582</v>
      </c>
      <c r="B180" s="17">
        <v>6</v>
      </c>
      <c r="C180" s="17">
        <v>1.7651129999999999</v>
      </c>
      <c r="D180" s="17">
        <v>-1.7</v>
      </c>
      <c r="E180" s="17">
        <f t="shared" si="176"/>
        <v>0.37906779999999995</v>
      </c>
      <c r="F180">
        <v>1</v>
      </c>
      <c r="G180">
        <f t="shared" ref="G180:K180" si="224">IF(F180=1,0,1)</f>
        <v>0</v>
      </c>
      <c r="H180">
        <v>0</v>
      </c>
      <c r="I180">
        <f t="shared" si="224"/>
        <v>1</v>
      </c>
      <c r="J180">
        <v>1</v>
      </c>
      <c r="K180">
        <f t="shared" si="224"/>
        <v>0</v>
      </c>
      <c r="L180">
        <v>1</v>
      </c>
      <c r="M180">
        <f t="shared" si="178"/>
        <v>0</v>
      </c>
      <c r="N180">
        <f t="shared" si="179"/>
        <v>1</v>
      </c>
      <c r="O180">
        <f t="shared" si="180"/>
        <v>0</v>
      </c>
      <c r="P180">
        <f t="shared" si="181"/>
        <v>0</v>
      </c>
      <c r="Q180">
        <f t="shared" si="182"/>
        <v>0</v>
      </c>
      <c r="R180" s="1" t="str">
        <f t="shared" si="183"/>
        <v>复苏</v>
      </c>
      <c r="S180">
        <f t="shared" si="184"/>
        <v>0</v>
      </c>
      <c r="T180">
        <f t="shared" si="185"/>
        <v>1</v>
      </c>
      <c r="U180">
        <f t="shared" si="186"/>
        <v>0</v>
      </c>
      <c r="V180">
        <f t="shared" si="187"/>
        <v>0</v>
      </c>
      <c r="W180" s="1" t="str">
        <f t="shared" si="188"/>
        <v>过热</v>
      </c>
      <c r="X180">
        <f t="shared" si="189"/>
        <v>0</v>
      </c>
      <c r="Y180">
        <f t="shared" si="190"/>
        <v>1</v>
      </c>
      <c r="Z180">
        <f t="shared" si="191"/>
        <v>0</v>
      </c>
      <c r="AA180">
        <f t="shared" si="192"/>
        <v>0</v>
      </c>
      <c r="AB180" s="1" t="str">
        <f t="shared" si="193"/>
        <v>过热</v>
      </c>
    </row>
    <row r="181" spans="1:28" x14ac:dyDescent="0.35">
      <c r="A181" s="19">
        <v>42613</v>
      </c>
      <c r="B181" s="17">
        <v>6.3</v>
      </c>
      <c r="C181" s="17">
        <v>1.3397730000000001</v>
      </c>
      <c r="D181" s="17">
        <v>-0.8</v>
      </c>
      <c r="E181" s="17">
        <f t="shared" si="176"/>
        <v>0.48386379999999996</v>
      </c>
      <c r="F181">
        <v>1</v>
      </c>
      <c r="G181">
        <f t="shared" ref="G181:K181" si="225">IF(F181=1,0,1)</f>
        <v>0</v>
      </c>
      <c r="H181">
        <v>0</v>
      </c>
      <c r="I181">
        <f t="shared" si="225"/>
        <v>1</v>
      </c>
      <c r="J181">
        <v>1</v>
      </c>
      <c r="K181">
        <f t="shared" si="225"/>
        <v>0</v>
      </c>
      <c r="L181">
        <v>1</v>
      </c>
      <c r="M181">
        <f t="shared" si="178"/>
        <v>0</v>
      </c>
      <c r="N181">
        <f t="shared" si="179"/>
        <v>1</v>
      </c>
      <c r="O181">
        <f t="shared" si="180"/>
        <v>0</v>
      </c>
      <c r="P181">
        <f t="shared" si="181"/>
        <v>0</v>
      </c>
      <c r="Q181">
        <f t="shared" si="182"/>
        <v>0</v>
      </c>
      <c r="R181" s="1" t="str">
        <f t="shared" si="183"/>
        <v>复苏</v>
      </c>
      <c r="S181">
        <f t="shared" si="184"/>
        <v>0</v>
      </c>
      <c r="T181">
        <f t="shared" si="185"/>
        <v>1</v>
      </c>
      <c r="U181">
        <f t="shared" si="186"/>
        <v>0</v>
      </c>
      <c r="V181">
        <f t="shared" si="187"/>
        <v>0</v>
      </c>
      <c r="W181" s="1" t="str">
        <f t="shared" si="188"/>
        <v>过热</v>
      </c>
      <c r="X181">
        <f t="shared" si="189"/>
        <v>0</v>
      </c>
      <c r="Y181">
        <f t="shared" si="190"/>
        <v>1</v>
      </c>
      <c r="Z181">
        <f t="shared" si="191"/>
        <v>0</v>
      </c>
      <c r="AA181">
        <f t="shared" si="192"/>
        <v>0</v>
      </c>
      <c r="AB181" s="1" t="str">
        <f t="shared" si="193"/>
        <v>过热</v>
      </c>
    </row>
    <row r="182" spans="1:28" x14ac:dyDescent="0.35">
      <c r="A182" s="19">
        <v>42643</v>
      </c>
      <c r="B182" s="17">
        <v>6.1</v>
      </c>
      <c r="C182" s="17">
        <v>1.920226</v>
      </c>
      <c r="D182" s="17">
        <v>0.1</v>
      </c>
      <c r="E182" s="17">
        <f t="shared" si="176"/>
        <v>1.1921356000000001</v>
      </c>
      <c r="F182">
        <v>1</v>
      </c>
      <c r="G182">
        <f t="shared" ref="G182:K182" si="226">IF(F182=1,0,1)</f>
        <v>0</v>
      </c>
      <c r="H182">
        <v>1</v>
      </c>
      <c r="I182">
        <f t="shared" si="226"/>
        <v>0</v>
      </c>
      <c r="J182">
        <v>1</v>
      </c>
      <c r="K182">
        <f t="shared" si="226"/>
        <v>0</v>
      </c>
      <c r="L182">
        <v>1</v>
      </c>
      <c r="M182">
        <f t="shared" si="178"/>
        <v>0</v>
      </c>
      <c r="N182">
        <f t="shared" si="179"/>
        <v>0</v>
      </c>
      <c r="O182">
        <f t="shared" si="180"/>
        <v>1</v>
      </c>
      <c r="P182">
        <f t="shared" si="181"/>
        <v>0</v>
      </c>
      <c r="Q182">
        <f t="shared" si="182"/>
        <v>0</v>
      </c>
      <c r="R182" s="1" t="str">
        <f t="shared" si="183"/>
        <v>过热</v>
      </c>
      <c r="S182">
        <f t="shared" si="184"/>
        <v>0</v>
      </c>
      <c r="T182">
        <f t="shared" si="185"/>
        <v>1</v>
      </c>
      <c r="U182">
        <f t="shared" si="186"/>
        <v>0</v>
      </c>
      <c r="V182">
        <f t="shared" si="187"/>
        <v>0</v>
      </c>
      <c r="W182" s="1" t="str">
        <f t="shared" si="188"/>
        <v>过热</v>
      </c>
      <c r="X182">
        <f t="shared" si="189"/>
        <v>0</v>
      </c>
      <c r="Y182">
        <f t="shared" si="190"/>
        <v>1</v>
      </c>
      <c r="Z182">
        <f t="shared" si="191"/>
        <v>0</v>
      </c>
      <c r="AA182">
        <f t="shared" si="192"/>
        <v>0</v>
      </c>
      <c r="AB182" s="1" t="str">
        <f t="shared" si="193"/>
        <v>过热</v>
      </c>
    </row>
    <row r="183" spans="1:28" x14ac:dyDescent="0.35">
      <c r="A183" s="19">
        <v>42674</v>
      </c>
      <c r="B183" s="17">
        <v>6.1</v>
      </c>
      <c r="C183" s="17">
        <v>2.0959469999999998</v>
      </c>
      <c r="D183" s="17">
        <v>1.2</v>
      </c>
      <c r="E183" s="17">
        <f t="shared" si="176"/>
        <v>1.7375681999999999</v>
      </c>
      <c r="F183">
        <v>1</v>
      </c>
      <c r="G183">
        <f t="shared" ref="G183:K183" si="227">IF(F183=1,0,1)</f>
        <v>0</v>
      </c>
      <c r="H183">
        <v>1</v>
      </c>
      <c r="I183">
        <f t="shared" si="227"/>
        <v>0</v>
      </c>
      <c r="J183">
        <v>1</v>
      </c>
      <c r="K183">
        <f t="shared" si="227"/>
        <v>0</v>
      </c>
      <c r="L183">
        <v>1</v>
      </c>
      <c r="M183">
        <f t="shared" si="178"/>
        <v>0</v>
      </c>
      <c r="N183">
        <f t="shared" si="179"/>
        <v>0</v>
      </c>
      <c r="O183">
        <f t="shared" si="180"/>
        <v>1</v>
      </c>
      <c r="P183">
        <f t="shared" si="181"/>
        <v>0</v>
      </c>
      <c r="Q183">
        <f t="shared" si="182"/>
        <v>0</v>
      </c>
      <c r="R183" s="1" t="str">
        <f t="shared" si="183"/>
        <v>过热</v>
      </c>
      <c r="S183">
        <f t="shared" si="184"/>
        <v>0</v>
      </c>
      <c r="T183">
        <f t="shared" si="185"/>
        <v>1</v>
      </c>
      <c r="U183">
        <f t="shared" si="186"/>
        <v>0</v>
      </c>
      <c r="V183">
        <f t="shared" si="187"/>
        <v>0</v>
      </c>
      <c r="W183" s="1" t="str">
        <f t="shared" si="188"/>
        <v>过热</v>
      </c>
      <c r="X183">
        <f t="shared" si="189"/>
        <v>0</v>
      </c>
      <c r="Y183">
        <f t="shared" si="190"/>
        <v>1</v>
      </c>
      <c r="Z183">
        <f t="shared" si="191"/>
        <v>0</v>
      </c>
      <c r="AA183">
        <f t="shared" si="192"/>
        <v>0</v>
      </c>
      <c r="AB183" s="1" t="str">
        <f t="shared" si="193"/>
        <v>过热</v>
      </c>
    </row>
    <row r="184" spans="1:28" x14ac:dyDescent="0.35">
      <c r="A184" s="19">
        <v>42704</v>
      </c>
      <c r="B184" s="17">
        <v>6.2</v>
      </c>
      <c r="C184" s="17">
        <v>2.2522579999999999</v>
      </c>
      <c r="D184" s="17">
        <v>3.3</v>
      </c>
      <c r="E184" s="17">
        <f t="shared" si="176"/>
        <v>2.6713548</v>
      </c>
      <c r="F184">
        <v>1</v>
      </c>
      <c r="G184">
        <f t="shared" ref="G184:K184" si="228">IF(F184=1,0,1)</f>
        <v>0</v>
      </c>
      <c r="H184">
        <v>1</v>
      </c>
      <c r="I184">
        <f t="shared" si="228"/>
        <v>0</v>
      </c>
      <c r="J184">
        <v>1</v>
      </c>
      <c r="K184">
        <f t="shared" si="228"/>
        <v>0</v>
      </c>
      <c r="L184">
        <v>1</v>
      </c>
      <c r="M184">
        <f t="shared" si="178"/>
        <v>0</v>
      </c>
      <c r="N184">
        <f t="shared" si="179"/>
        <v>0</v>
      </c>
      <c r="O184">
        <f t="shared" si="180"/>
        <v>1</v>
      </c>
      <c r="P184">
        <f t="shared" si="181"/>
        <v>0</v>
      </c>
      <c r="Q184">
        <f t="shared" si="182"/>
        <v>0</v>
      </c>
      <c r="R184" s="1" t="str">
        <f t="shared" si="183"/>
        <v>过热</v>
      </c>
      <c r="S184">
        <f t="shared" si="184"/>
        <v>0</v>
      </c>
      <c r="T184">
        <f t="shared" si="185"/>
        <v>1</v>
      </c>
      <c r="U184">
        <f t="shared" si="186"/>
        <v>0</v>
      </c>
      <c r="V184">
        <f t="shared" si="187"/>
        <v>0</v>
      </c>
      <c r="W184" s="1" t="str">
        <f t="shared" si="188"/>
        <v>过热</v>
      </c>
      <c r="X184">
        <f t="shared" si="189"/>
        <v>0</v>
      </c>
      <c r="Y184">
        <f t="shared" si="190"/>
        <v>1</v>
      </c>
      <c r="Z184">
        <f t="shared" si="191"/>
        <v>0</v>
      </c>
      <c r="AA184">
        <f t="shared" si="192"/>
        <v>0</v>
      </c>
      <c r="AB184" s="1" t="str">
        <f t="shared" si="193"/>
        <v>过热</v>
      </c>
    </row>
    <row r="185" spans="1:28" x14ac:dyDescent="0.35">
      <c r="A185" s="19">
        <v>42735</v>
      </c>
      <c r="B185" s="17">
        <v>6</v>
      </c>
      <c r="C185" s="17">
        <v>2.0765449999999999</v>
      </c>
      <c r="D185" s="17">
        <v>5.5</v>
      </c>
      <c r="E185" s="17">
        <f t="shared" si="176"/>
        <v>3.4459270000000002</v>
      </c>
      <c r="F185">
        <v>1</v>
      </c>
      <c r="G185">
        <f t="shared" ref="G185:K185" si="229">IF(F185=1,0,1)</f>
        <v>0</v>
      </c>
      <c r="H185">
        <v>0</v>
      </c>
      <c r="I185">
        <f t="shared" si="229"/>
        <v>1</v>
      </c>
      <c r="J185">
        <v>1</v>
      </c>
      <c r="K185">
        <f t="shared" si="229"/>
        <v>0</v>
      </c>
      <c r="L185">
        <v>1</v>
      </c>
      <c r="M185">
        <f t="shared" si="178"/>
        <v>0</v>
      </c>
      <c r="N185">
        <f t="shared" si="179"/>
        <v>1</v>
      </c>
      <c r="O185">
        <f t="shared" si="180"/>
        <v>0</v>
      </c>
      <c r="P185">
        <f t="shared" si="181"/>
        <v>0</v>
      </c>
      <c r="Q185">
        <f t="shared" si="182"/>
        <v>0</v>
      </c>
      <c r="R185" s="1" t="str">
        <f t="shared" si="183"/>
        <v>复苏</v>
      </c>
      <c r="S185">
        <f t="shared" si="184"/>
        <v>0</v>
      </c>
      <c r="T185">
        <f t="shared" si="185"/>
        <v>1</v>
      </c>
      <c r="U185">
        <f t="shared" si="186"/>
        <v>0</v>
      </c>
      <c r="V185">
        <f t="shared" si="187"/>
        <v>0</v>
      </c>
      <c r="W185" s="1" t="str">
        <f t="shared" si="188"/>
        <v>过热</v>
      </c>
      <c r="X185">
        <f t="shared" si="189"/>
        <v>0</v>
      </c>
      <c r="Y185">
        <f t="shared" si="190"/>
        <v>1</v>
      </c>
      <c r="Z185">
        <f t="shared" si="191"/>
        <v>0</v>
      </c>
      <c r="AA185">
        <f t="shared" si="192"/>
        <v>0</v>
      </c>
      <c r="AB185" s="1" t="str">
        <f t="shared" si="193"/>
        <v>过热</v>
      </c>
    </row>
    <row r="186" spans="1:28" x14ac:dyDescent="0.35">
      <c r="A186" s="19">
        <v>42794</v>
      </c>
      <c r="B186" s="17">
        <v>6.3</v>
      </c>
      <c r="C186" s="17">
        <v>1.6688000000000001</v>
      </c>
      <c r="D186" s="17">
        <v>7.3</v>
      </c>
      <c r="E186" s="17">
        <f t="shared" si="176"/>
        <v>3.9212799999999999</v>
      </c>
      <c r="F186">
        <v>1</v>
      </c>
      <c r="G186">
        <f t="shared" ref="G186:K186" si="230">IF(F186=1,0,1)</f>
        <v>0</v>
      </c>
      <c r="H186">
        <v>0</v>
      </c>
      <c r="I186">
        <f t="shared" si="230"/>
        <v>1</v>
      </c>
      <c r="J186">
        <v>1</v>
      </c>
      <c r="K186">
        <f t="shared" si="230"/>
        <v>0</v>
      </c>
      <c r="L186">
        <v>1</v>
      </c>
      <c r="M186">
        <f t="shared" si="178"/>
        <v>0</v>
      </c>
      <c r="N186">
        <f t="shared" si="179"/>
        <v>1</v>
      </c>
      <c r="O186">
        <f t="shared" si="180"/>
        <v>0</v>
      </c>
      <c r="P186">
        <f t="shared" si="181"/>
        <v>0</v>
      </c>
      <c r="Q186">
        <f t="shared" si="182"/>
        <v>0</v>
      </c>
      <c r="R186" s="1" t="str">
        <f t="shared" si="183"/>
        <v>复苏</v>
      </c>
      <c r="S186">
        <f t="shared" si="184"/>
        <v>0</v>
      </c>
      <c r="T186">
        <f t="shared" si="185"/>
        <v>1</v>
      </c>
      <c r="U186">
        <f t="shared" si="186"/>
        <v>0</v>
      </c>
      <c r="V186">
        <f t="shared" si="187"/>
        <v>0</v>
      </c>
      <c r="W186" s="1" t="str">
        <f t="shared" si="188"/>
        <v>过热</v>
      </c>
      <c r="X186">
        <f t="shared" si="189"/>
        <v>0</v>
      </c>
      <c r="Y186">
        <f t="shared" si="190"/>
        <v>1</v>
      </c>
      <c r="Z186">
        <f t="shared" si="191"/>
        <v>0</v>
      </c>
      <c r="AA186">
        <f t="shared" si="192"/>
        <v>0</v>
      </c>
      <c r="AB186" s="1" t="str">
        <f t="shared" si="193"/>
        <v>过热</v>
      </c>
    </row>
    <row r="187" spans="1:28" x14ac:dyDescent="0.35">
      <c r="A187" s="19">
        <v>42825</v>
      </c>
      <c r="B187" s="17">
        <v>7.6</v>
      </c>
      <c r="C187" s="17">
        <v>0.9</v>
      </c>
      <c r="D187" s="17">
        <v>7.6</v>
      </c>
      <c r="E187" s="17">
        <f t="shared" si="176"/>
        <v>3.58</v>
      </c>
      <c r="F187">
        <v>1</v>
      </c>
      <c r="G187">
        <f t="shared" ref="G187:K187" si="231">IF(F187=1,0,1)</f>
        <v>0</v>
      </c>
      <c r="H187">
        <v>0</v>
      </c>
      <c r="I187">
        <f t="shared" si="231"/>
        <v>1</v>
      </c>
      <c r="J187">
        <v>1</v>
      </c>
      <c r="K187">
        <f t="shared" si="231"/>
        <v>0</v>
      </c>
      <c r="L187">
        <v>0</v>
      </c>
      <c r="M187">
        <f t="shared" si="178"/>
        <v>1</v>
      </c>
      <c r="N187">
        <f t="shared" si="179"/>
        <v>1</v>
      </c>
      <c r="O187">
        <f t="shared" si="180"/>
        <v>0</v>
      </c>
      <c r="P187">
        <f t="shared" si="181"/>
        <v>0</v>
      </c>
      <c r="Q187">
        <f t="shared" si="182"/>
        <v>0</v>
      </c>
      <c r="R187" s="1" t="str">
        <f t="shared" si="183"/>
        <v>复苏</v>
      </c>
      <c r="S187">
        <f t="shared" si="184"/>
        <v>0</v>
      </c>
      <c r="T187">
        <f t="shared" si="185"/>
        <v>1</v>
      </c>
      <c r="U187">
        <f t="shared" si="186"/>
        <v>0</v>
      </c>
      <c r="V187">
        <f t="shared" si="187"/>
        <v>0</v>
      </c>
      <c r="W187" s="1" t="str">
        <f t="shared" si="188"/>
        <v>过热</v>
      </c>
      <c r="X187">
        <f t="shared" si="189"/>
        <v>1</v>
      </c>
      <c r="Y187">
        <f t="shared" si="190"/>
        <v>0</v>
      </c>
      <c r="Z187">
        <f t="shared" si="191"/>
        <v>0</v>
      </c>
      <c r="AA187">
        <f t="shared" si="192"/>
        <v>0</v>
      </c>
      <c r="AB187" s="1" t="str">
        <f t="shared" si="193"/>
        <v>复苏</v>
      </c>
    </row>
    <row r="188" spans="1:28" x14ac:dyDescent="0.35">
      <c r="A188" s="19">
        <v>42855</v>
      </c>
      <c r="B188" s="17">
        <v>6.5</v>
      </c>
      <c r="C188" s="17">
        <v>1.2</v>
      </c>
      <c r="D188" s="17">
        <v>6.4</v>
      </c>
      <c r="E188" s="17">
        <f t="shared" si="176"/>
        <v>3.2800000000000002</v>
      </c>
      <c r="F188">
        <v>0</v>
      </c>
      <c r="G188">
        <f t="shared" ref="G188:K188" si="232">IF(F188=1,0,1)</f>
        <v>1</v>
      </c>
      <c r="H188">
        <v>1</v>
      </c>
      <c r="I188">
        <f t="shared" si="232"/>
        <v>0</v>
      </c>
      <c r="J188">
        <v>0</v>
      </c>
      <c r="K188">
        <f t="shared" si="232"/>
        <v>1</v>
      </c>
      <c r="L188">
        <v>0</v>
      </c>
      <c r="M188">
        <f t="shared" si="178"/>
        <v>1</v>
      </c>
      <c r="N188">
        <f t="shared" si="179"/>
        <v>0</v>
      </c>
      <c r="O188">
        <f t="shared" si="180"/>
        <v>0</v>
      </c>
      <c r="P188">
        <f t="shared" si="181"/>
        <v>1</v>
      </c>
      <c r="Q188">
        <f t="shared" si="182"/>
        <v>0</v>
      </c>
      <c r="R188" s="1" t="str">
        <f t="shared" si="183"/>
        <v>滞涨</v>
      </c>
      <c r="S188">
        <f t="shared" si="184"/>
        <v>0</v>
      </c>
      <c r="T188">
        <f t="shared" si="185"/>
        <v>0</v>
      </c>
      <c r="U188">
        <f t="shared" si="186"/>
        <v>0</v>
      </c>
      <c r="V188">
        <f t="shared" si="187"/>
        <v>1</v>
      </c>
      <c r="W188" s="1" t="str">
        <f t="shared" si="188"/>
        <v>衰退</v>
      </c>
      <c r="X188">
        <f t="shared" si="189"/>
        <v>0</v>
      </c>
      <c r="Y188">
        <f t="shared" si="190"/>
        <v>0</v>
      </c>
      <c r="Z188">
        <f t="shared" si="191"/>
        <v>0</v>
      </c>
      <c r="AA188">
        <f t="shared" si="192"/>
        <v>1</v>
      </c>
      <c r="AB188" s="1" t="str">
        <f t="shared" si="193"/>
        <v>衰退</v>
      </c>
    </row>
    <row r="189" spans="1:28" x14ac:dyDescent="0.35">
      <c r="A189" s="19">
        <v>42886</v>
      </c>
      <c r="B189" s="17">
        <v>6.5</v>
      </c>
      <c r="C189" s="17">
        <v>1.5</v>
      </c>
      <c r="D189" s="17">
        <v>5.5</v>
      </c>
      <c r="E189" s="17">
        <f t="shared" si="176"/>
        <v>3.1</v>
      </c>
      <c r="F189">
        <v>0</v>
      </c>
      <c r="G189">
        <f t="shared" ref="G189:K189" si="233">IF(F189=1,0,1)</f>
        <v>1</v>
      </c>
      <c r="H189">
        <v>1</v>
      </c>
      <c r="I189">
        <f t="shared" si="233"/>
        <v>0</v>
      </c>
      <c r="J189">
        <v>0</v>
      </c>
      <c r="K189">
        <f t="shared" si="233"/>
        <v>1</v>
      </c>
      <c r="L189">
        <v>0</v>
      </c>
      <c r="M189">
        <f t="shared" si="178"/>
        <v>1</v>
      </c>
      <c r="N189">
        <f t="shared" si="179"/>
        <v>0</v>
      </c>
      <c r="O189">
        <f t="shared" si="180"/>
        <v>0</v>
      </c>
      <c r="P189">
        <f t="shared" si="181"/>
        <v>1</v>
      </c>
      <c r="Q189">
        <f t="shared" si="182"/>
        <v>0</v>
      </c>
      <c r="R189" s="1" t="str">
        <f t="shared" si="183"/>
        <v>滞涨</v>
      </c>
      <c r="S189">
        <f t="shared" si="184"/>
        <v>0</v>
      </c>
      <c r="T189">
        <f t="shared" si="185"/>
        <v>0</v>
      </c>
      <c r="U189">
        <f t="shared" si="186"/>
        <v>0</v>
      </c>
      <c r="V189">
        <f t="shared" si="187"/>
        <v>1</v>
      </c>
      <c r="W189" s="1" t="str">
        <f t="shared" si="188"/>
        <v>衰退</v>
      </c>
      <c r="X189">
        <f t="shared" si="189"/>
        <v>0</v>
      </c>
      <c r="Y189">
        <f t="shared" si="190"/>
        <v>0</v>
      </c>
      <c r="Z189">
        <f t="shared" si="191"/>
        <v>0</v>
      </c>
      <c r="AA189">
        <f t="shared" si="192"/>
        <v>1</v>
      </c>
      <c r="AB189" s="1" t="str">
        <f t="shared" si="193"/>
        <v>衰退</v>
      </c>
    </row>
    <row r="190" spans="1:28" x14ac:dyDescent="0.35">
      <c r="A190" s="19">
        <v>42916</v>
      </c>
      <c r="B190" s="17">
        <v>7.6</v>
      </c>
      <c r="C190" s="17">
        <v>1.5</v>
      </c>
      <c r="D190" s="17">
        <v>5.5</v>
      </c>
      <c r="E190" s="17">
        <f t="shared" si="176"/>
        <v>3.1</v>
      </c>
      <c r="F190">
        <v>0</v>
      </c>
      <c r="G190">
        <f t="shared" ref="G190:K190" si="234">IF(F190=1,0,1)</f>
        <v>1</v>
      </c>
      <c r="H190">
        <v>1</v>
      </c>
      <c r="I190">
        <f t="shared" si="234"/>
        <v>0</v>
      </c>
      <c r="J190">
        <v>0</v>
      </c>
      <c r="K190">
        <f t="shared" si="234"/>
        <v>1</v>
      </c>
      <c r="L190">
        <v>0</v>
      </c>
      <c r="M190">
        <f t="shared" si="178"/>
        <v>1</v>
      </c>
      <c r="N190">
        <f t="shared" si="179"/>
        <v>0</v>
      </c>
      <c r="O190">
        <f t="shared" si="180"/>
        <v>0</v>
      </c>
      <c r="P190">
        <f t="shared" si="181"/>
        <v>1</v>
      </c>
      <c r="Q190">
        <f t="shared" si="182"/>
        <v>0</v>
      </c>
      <c r="R190" s="1" t="str">
        <f t="shared" si="183"/>
        <v>滞涨</v>
      </c>
      <c r="S190">
        <f t="shared" si="184"/>
        <v>0</v>
      </c>
      <c r="T190">
        <f t="shared" si="185"/>
        <v>0</v>
      </c>
      <c r="U190">
        <f t="shared" si="186"/>
        <v>0</v>
      </c>
      <c r="V190">
        <f t="shared" si="187"/>
        <v>1</v>
      </c>
      <c r="W190" s="1" t="str">
        <f t="shared" si="188"/>
        <v>衰退</v>
      </c>
      <c r="X190">
        <f t="shared" si="189"/>
        <v>0</v>
      </c>
      <c r="Y190">
        <f t="shared" si="190"/>
        <v>0</v>
      </c>
      <c r="Z190">
        <f t="shared" si="191"/>
        <v>0</v>
      </c>
      <c r="AA190">
        <f t="shared" si="192"/>
        <v>1</v>
      </c>
      <c r="AB190" s="1" t="str">
        <f t="shared" si="193"/>
        <v>衰退</v>
      </c>
    </row>
    <row r="191" spans="1:28" x14ac:dyDescent="0.35">
      <c r="A191" s="19">
        <v>42947</v>
      </c>
      <c r="B191" s="17">
        <v>6.4</v>
      </c>
      <c r="C191" s="17">
        <v>1.4</v>
      </c>
      <c r="D191" s="17">
        <v>5.5</v>
      </c>
      <c r="E191" s="17">
        <f t="shared" si="176"/>
        <v>3.04</v>
      </c>
      <c r="F191">
        <v>0</v>
      </c>
      <c r="G191">
        <f t="shared" ref="G191:K191" si="235">IF(F191=1,0,1)</f>
        <v>1</v>
      </c>
      <c r="H191">
        <v>1</v>
      </c>
      <c r="I191">
        <f t="shared" si="235"/>
        <v>0</v>
      </c>
      <c r="J191">
        <v>0</v>
      </c>
      <c r="K191">
        <f t="shared" si="235"/>
        <v>1</v>
      </c>
      <c r="L191">
        <v>0</v>
      </c>
      <c r="M191">
        <f t="shared" si="178"/>
        <v>1</v>
      </c>
      <c r="N191">
        <f t="shared" si="179"/>
        <v>0</v>
      </c>
      <c r="O191">
        <f t="shared" si="180"/>
        <v>0</v>
      </c>
      <c r="P191">
        <f t="shared" si="181"/>
        <v>1</v>
      </c>
      <c r="Q191">
        <f t="shared" si="182"/>
        <v>0</v>
      </c>
      <c r="R191" s="1" t="str">
        <f t="shared" si="183"/>
        <v>滞涨</v>
      </c>
      <c r="S191">
        <f t="shared" si="184"/>
        <v>0</v>
      </c>
      <c r="T191">
        <f t="shared" si="185"/>
        <v>0</v>
      </c>
      <c r="U191">
        <f t="shared" si="186"/>
        <v>0</v>
      </c>
      <c r="V191">
        <f t="shared" si="187"/>
        <v>1</v>
      </c>
      <c r="W191" s="1" t="str">
        <f t="shared" si="188"/>
        <v>衰退</v>
      </c>
      <c r="X191">
        <f t="shared" si="189"/>
        <v>0</v>
      </c>
      <c r="Y191">
        <f t="shared" si="190"/>
        <v>0</v>
      </c>
      <c r="Z191">
        <f t="shared" si="191"/>
        <v>0</v>
      </c>
      <c r="AA191">
        <f t="shared" si="192"/>
        <v>1</v>
      </c>
      <c r="AB191" s="1" t="str">
        <f t="shared" si="193"/>
        <v>衰退</v>
      </c>
    </row>
    <row r="192" spans="1:28" x14ac:dyDescent="0.35">
      <c r="A192" s="19">
        <v>42978</v>
      </c>
      <c r="B192" s="17">
        <v>6</v>
      </c>
      <c r="C192" s="17">
        <v>1.8</v>
      </c>
      <c r="D192" s="17">
        <v>6.3</v>
      </c>
      <c r="E192" s="17">
        <f t="shared" si="176"/>
        <v>3.6</v>
      </c>
      <c r="F192">
        <v>0</v>
      </c>
      <c r="G192">
        <f t="shared" ref="G192:K192" si="236">IF(F192=1,0,1)</f>
        <v>1</v>
      </c>
      <c r="H192">
        <v>1</v>
      </c>
      <c r="I192">
        <f t="shared" si="236"/>
        <v>0</v>
      </c>
      <c r="J192">
        <v>0</v>
      </c>
      <c r="K192">
        <f t="shared" si="236"/>
        <v>1</v>
      </c>
      <c r="L192">
        <v>1</v>
      </c>
      <c r="M192">
        <f t="shared" si="178"/>
        <v>0</v>
      </c>
      <c r="N192">
        <f t="shared" si="179"/>
        <v>0</v>
      </c>
      <c r="O192">
        <f t="shared" si="180"/>
        <v>0</v>
      </c>
      <c r="P192">
        <f t="shared" si="181"/>
        <v>1</v>
      </c>
      <c r="Q192">
        <f t="shared" si="182"/>
        <v>0</v>
      </c>
      <c r="R192" s="1" t="str">
        <f t="shared" si="183"/>
        <v>滞涨</v>
      </c>
      <c r="S192">
        <f t="shared" si="184"/>
        <v>0</v>
      </c>
      <c r="T192">
        <f t="shared" si="185"/>
        <v>0</v>
      </c>
      <c r="U192">
        <f t="shared" si="186"/>
        <v>0</v>
      </c>
      <c r="V192">
        <f t="shared" si="187"/>
        <v>1</v>
      </c>
      <c r="W192" s="1" t="str">
        <f t="shared" si="188"/>
        <v>衰退</v>
      </c>
      <c r="X192">
        <f t="shared" si="189"/>
        <v>0</v>
      </c>
      <c r="Y192">
        <f t="shared" si="190"/>
        <v>0</v>
      </c>
      <c r="Z192">
        <f t="shared" si="191"/>
        <v>1</v>
      </c>
      <c r="AA192">
        <f t="shared" si="192"/>
        <v>0</v>
      </c>
      <c r="AB192" s="1" t="str">
        <f t="shared" si="193"/>
        <v>滞涨</v>
      </c>
    </row>
    <row r="193" spans="1:28" x14ac:dyDescent="0.35">
      <c r="A193" s="19">
        <v>43008</v>
      </c>
      <c r="B193" s="17">
        <v>6.6</v>
      </c>
      <c r="C193" s="17">
        <v>1.6</v>
      </c>
      <c r="D193" s="17">
        <v>6.9</v>
      </c>
      <c r="E193" s="17">
        <f t="shared" si="176"/>
        <v>3.72</v>
      </c>
      <c r="F193">
        <v>1</v>
      </c>
      <c r="G193">
        <f t="shared" ref="G193:K193" si="237">IF(F193=1,0,1)</f>
        <v>0</v>
      </c>
      <c r="H193">
        <v>1</v>
      </c>
      <c r="I193">
        <f t="shared" si="237"/>
        <v>0</v>
      </c>
      <c r="J193">
        <v>0</v>
      </c>
      <c r="K193">
        <f t="shared" si="237"/>
        <v>1</v>
      </c>
      <c r="L193">
        <v>1</v>
      </c>
      <c r="M193">
        <f t="shared" si="178"/>
        <v>0</v>
      </c>
      <c r="N193">
        <f t="shared" si="179"/>
        <v>0</v>
      </c>
      <c r="O193">
        <f t="shared" si="180"/>
        <v>1</v>
      </c>
      <c r="P193">
        <f t="shared" si="181"/>
        <v>0</v>
      </c>
      <c r="Q193">
        <f t="shared" si="182"/>
        <v>0</v>
      </c>
      <c r="R193" s="1" t="str">
        <f t="shared" si="183"/>
        <v>过热</v>
      </c>
      <c r="S193">
        <f t="shared" si="184"/>
        <v>1</v>
      </c>
      <c r="T193">
        <f t="shared" si="185"/>
        <v>0</v>
      </c>
      <c r="U193">
        <f t="shared" si="186"/>
        <v>0</v>
      </c>
      <c r="V193">
        <f t="shared" si="187"/>
        <v>0</v>
      </c>
      <c r="W193" s="1" t="str">
        <f t="shared" si="188"/>
        <v>复苏</v>
      </c>
      <c r="X193">
        <f t="shared" si="189"/>
        <v>0</v>
      </c>
      <c r="Y193">
        <f t="shared" si="190"/>
        <v>1</v>
      </c>
      <c r="Z193">
        <f t="shared" si="191"/>
        <v>0</v>
      </c>
      <c r="AA193">
        <f t="shared" si="192"/>
        <v>0</v>
      </c>
      <c r="AB193" s="1" t="str">
        <f t="shared" si="193"/>
        <v>过热</v>
      </c>
    </row>
    <row r="194" spans="1:28" x14ac:dyDescent="0.35">
      <c r="A194" s="19">
        <v>43039</v>
      </c>
      <c r="B194" s="17">
        <v>6.2</v>
      </c>
      <c r="C194" s="17">
        <v>1.9</v>
      </c>
      <c r="D194" s="17">
        <v>6.9</v>
      </c>
      <c r="E194" s="17">
        <f t="shared" si="176"/>
        <v>3.9000000000000004</v>
      </c>
      <c r="F194">
        <v>1</v>
      </c>
      <c r="G194">
        <f t="shared" ref="G194:K194" si="238">IF(F194=1,0,1)</f>
        <v>0</v>
      </c>
      <c r="H194">
        <v>1</v>
      </c>
      <c r="I194">
        <f t="shared" si="238"/>
        <v>0</v>
      </c>
      <c r="J194">
        <v>0</v>
      </c>
      <c r="K194">
        <f t="shared" si="238"/>
        <v>1</v>
      </c>
      <c r="L194">
        <v>1</v>
      </c>
      <c r="M194">
        <f t="shared" si="178"/>
        <v>0</v>
      </c>
      <c r="N194">
        <f t="shared" si="179"/>
        <v>0</v>
      </c>
      <c r="O194">
        <f t="shared" si="180"/>
        <v>1</v>
      </c>
      <c r="P194">
        <f t="shared" si="181"/>
        <v>0</v>
      </c>
      <c r="Q194">
        <f t="shared" si="182"/>
        <v>0</v>
      </c>
      <c r="R194" s="1" t="str">
        <f t="shared" si="183"/>
        <v>过热</v>
      </c>
      <c r="S194">
        <f t="shared" si="184"/>
        <v>1</v>
      </c>
      <c r="T194">
        <f t="shared" si="185"/>
        <v>0</v>
      </c>
      <c r="U194">
        <f t="shared" si="186"/>
        <v>0</v>
      </c>
      <c r="V194">
        <f t="shared" si="187"/>
        <v>0</v>
      </c>
      <c r="W194" s="1" t="str">
        <f t="shared" si="188"/>
        <v>复苏</v>
      </c>
      <c r="X194">
        <f t="shared" si="189"/>
        <v>0</v>
      </c>
      <c r="Y194">
        <f t="shared" si="190"/>
        <v>1</v>
      </c>
      <c r="Z194">
        <f t="shared" si="191"/>
        <v>0</v>
      </c>
      <c r="AA194">
        <f t="shared" si="192"/>
        <v>0</v>
      </c>
      <c r="AB194" s="1" t="str">
        <f t="shared" si="193"/>
        <v>过热</v>
      </c>
    </row>
    <row r="195" spans="1:28" x14ac:dyDescent="0.35">
      <c r="A195" s="19">
        <v>43069</v>
      </c>
      <c r="B195" s="17">
        <v>6.1</v>
      </c>
      <c r="C195" s="17">
        <v>1.7</v>
      </c>
      <c r="D195" s="17">
        <v>5.8</v>
      </c>
      <c r="E195" s="17">
        <f t="shared" si="176"/>
        <v>3.34</v>
      </c>
      <c r="F195">
        <v>1</v>
      </c>
      <c r="G195">
        <f t="shared" ref="G195:K195" si="239">IF(F195=1,0,1)</f>
        <v>0</v>
      </c>
      <c r="H195">
        <v>1</v>
      </c>
      <c r="I195">
        <f t="shared" si="239"/>
        <v>0</v>
      </c>
      <c r="J195">
        <v>0</v>
      </c>
      <c r="K195">
        <f t="shared" si="239"/>
        <v>1</v>
      </c>
      <c r="L195">
        <v>0</v>
      </c>
      <c r="M195">
        <f t="shared" si="178"/>
        <v>1</v>
      </c>
      <c r="N195">
        <f t="shared" si="179"/>
        <v>0</v>
      </c>
      <c r="O195">
        <f t="shared" si="180"/>
        <v>1</v>
      </c>
      <c r="P195">
        <f t="shared" si="181"/>
        <v>0</v>
      </c>
      <c r="Q195">
        <f t="shared" si="182"/>
        <v>0</v>
      </c>
      <c r="R195" s="1" t="str">
        <f t="shared" si="183"/>
        <v>过热</v>
      </c>
      <c r="S195">
        <f t="shared" si="184"/>
        <v>1</v>
      </c>
      <c r="T195">
        <f t="shared" si="185"/>
        <v>0</v>
      </c>
      <c r="U195">
        <f t="shared" si="186"/>
        <v>0</v>
      </c>
      <c r="V195">
        <f t="shared" si="187"/>
        <v>0</v>
      </c>
      <c r="W195" s="1" t="str">
        <f t="shared" si="188"/>
        <v>复苏</v>
      </c>
      <c r="X195">
        <f t="shared" si="189"/>
        <v>1</v>
      </c>
      <c r="Y195">
        <f t="shared" si="190"/>
        <v>0</v>
      </c>
      <c r="Z195">
        <f t="shared" si="191"/>
        <v>0</v>
      </c>
      <c r="AA195">
        <f t="shared" si="192"/>
        <v>0</v>
      </c>
      <c r="AB195" s="1" t="str">
        <f t="shared" si="193"/>
        <v>复苏</v>
      </c>
    </row>
    <row r="196" spans="1:28" x14ac:dyDescent="0.35">
      <c r="A196" s="19">
        <v>43100</v>
      </c>
      <c r="B196" s="17">
        <v>6.2</v>
      </c>
      <c r="C196" s="17">
        <v>1.8</v>
      </c>
      <c r="D196" s="17">
        <v>4.9000000000000004</v>
      </c>
      <c r="E196" s="17">
        <f t="shared" si="176"/>
        <v>3.04</v>
      </c>
      <c r="F196">
        <v>1</v>
      </c>
      <c r="G196">
        <f t="shared" ref="G196:K196" si="240">IF(F196=1,0,1)</f>
        <v>0</v>
      </c>
      <c r="H196">
        <v>1</v>
      </c>
      <c r="I196">
        <f t="shared" si="240"/>
        <v>0</v>
      </c>
      <c r="J196">
        <v>0</v>
      </c>
      <c r="K196">
        <f t="shared" si="240"/>
        <v>1</v>
      </c>
      <c r="L196">
        <v>0</v>
      </c>
      <c r="M196">
        <f t="shared" si="178"/>
        <v>1</v>
      </c>
      <c r="N196">
        <f t="shared" si="179"/>
        <v>0</v>
      </c>
      <c r="O196">
        <f t="shared" si="180"/>
        <v>1</v>
      </c>
      <c r="P196">
        <f t="shared" si="181"/>
        <v>0</v>
      </c>
      <c r="Q196">
        <f t="shared" si="182"/>
        <v>0</v>
      </c>
      <c r="R196" s="1" t="str">
        <f t="shared" si="183"/>
        <v>过热</v>
      </c>
      <c r="S196">
        <f t="shared" si="184"/>
        <v>1</v>
      </c>
      <c r="T196">
        <f t="shared" si="185"/>
        <v>0</v>
      </c>
      <c r="U196">
        <f t="shared" si="186"/>
        <v>0</v>
      </c>
      <c r="V196">
        <f t="shared" si="187"/>
        <v>0</v>
      </c>
      <c r="W196" s="1" t="str">
        <f t="shared" si="188"/>
        <v>复苏</v>
      </c>
      <c r="X196">
        <f t="shared" si="189"/>
        <v>1</v>
      </c>
      <c r="Y196">
        <f t="shared" si="190"/>
        <v>0</v>
      </c>
      <c r="Z196">
        <f t="shared" si="191"/>
        <v>0</v>
      </c>
      <c r="AA196">
        <f t="shared" si="192"/>
        <v>0</v>
      </c>
      <c r="AB196" s="1" t="str">
        <f t="shared" si="193"/>
        <v>复苏</v>
      </c>
    </row>
    <row r="197" spans="1:28" x14ac:dyDescent="0.35">
      <c r="A197" s="19">
        <v>43159</v>
      </c>
      <c r="B197" s="17">
        <v>7.2</v>
      </c>
      <c r="C197" s="17">
        <v>2.2000000000000002</v>
      </c>
      <c r="D197" s="17">
        <v>4</v>
      </c>
      <c r="E197" s="17">
        <f t="shared" si="176"/>
        <v>2.92</v>
      </c>
      <c r="F197">
        <v>1</v>
      </c>
      <c r="G197">
        <f t="shared" ref="G197:K197" si="241">IF(F197=1,0,1)</f>
        <v>0</v>
      </c>
      <c r="H197">
        <v>1</v>
      </c>
      <c r="I197">
        <f t="shared" si="241"/>
        <v>0</v>
      </c>
      <c r="J197">
        <v>0</v>
      </c>
      <c r="K197">
        <f t="shared" si="241"/>
        <v>1</v>
      </c>
      <c r="L197">
        <v>0</v>
      </c>
      <c r="M197">
        <f t="shared" si="178"/>
        <v>1</v>
      </c>
      <c r="N197">
        <f t="shared" si="179"/>
        <v>0</v>
      </c>
      <c r="O197">
        <f t="shared" si="180"/>
        <v>1</v>
      </c>
      <c r="P197">
        <f t="shared" si="181"/>
        <v>0</v>
      </c>
      <c r="Q197">
        <f t="shared" si="182"/>
        <v>0</v>
      </c>
      <c r="R197" s="1" t="str">
        <f t="shared" si="183"/>
        <v>过热</v>
      </c>
      <c r="S197">
        <f t="shared" si="184"/>
        <v>1</v>
      </c>
      <c r="T197">
        <f t="shared" si="185"/>
        <v>0</v>
      </c>
      <c r="U197">
        <f t="shared" si="186"/>
        <v>0</v>
      </c>
      <c r="V197">
        <f t="shared" si="187"/>
        <v>0</v>
      </c>
      <c r="W197" s="1" t="str">
        <f t="shared" si="188"/>
        <v>复苏</v>
      </c>
      <c r="X197">
        <f t="shared" si="189"/>
        <v>1</v>
      </c>
      <c r="Y197">
        <f t="shared" si="190"/>
        <v>0</v>
      </c>
      <c r="Z197">
        <f t="shared" si="191"/>
        <v>0</v>
      </c>
      <c r="AA197">
        <f t="shared" si="192"/>
        <v>0</v>
      </c>
      <c r="AB197" s="1" t="str">
        <f t="shared" si="193"/>
        <v>复苏</v>
      </c>
    </row>
    <row r="198" spans="1:28" x14ac:dyDescent="0.35">
      <c r="A198" s="19">
        <v>43190</v>
      </c>
      <c r="B198" s="17">
        <v>6</v>
      </c>
      <c r="C198" s="17">
        <v>2.1</v>
      </c>
      <c r="D198" s="17">
        <v>3.1</v>
      </c>
      <c r="E198" s="17">
        <f t="shared" si="176"/>
        <v>2.5</v>
      </c>
      <c r="F198">
        <v>0</v>
      </c>
      <c r="G198">
        <f t="shared" ref="G198:K198" si="242">IF(F198=1,0,1)</f>
        <v>1</v>
      </c>
      <c r="H198">
        <v>1</v>
      </c>
      <c r="I198">
        <f t="shared" si="242"/>
        <v>0</v>
      </c>
      <c r="J198">
        <v>0</v>
      </c>
      <c r="K198">
        <f t="shared" si="242"/>
        <v>1</v>
      </c>
      <c r="L198">
        <v>0</v>
      </c>
      <c r="M198">
        <f t="shared" si="178"/>
        <v>1</v>
      </c>
      <c r="N198">
        <f t="shared" si="179"/>
        <v>0</v>
      </c>
      <c r="O198">
        <f t="shared" si="180"/>
        <v>0</v>
      </c>
      <c r="P198">
        <f t="shared" si="181"/>
        <v>1</v>
      </c>
      <c r="Q198">
        <f t="shared" si="182"/>
        <v>0</v>
      </c>
      <c r="R198" s="1" t="str">
        <f t="shared" si="183"/>
        <v>滞涨</v>
      </c>
      <c r="S198">
        <f t="shared" si="184"/>
        <v>0</v>
      </c>
      <c r="T198">
        <f t="shared" si="185"/>
        <v>0</v>
      </c>
      <c r="U198">
        <f t="shared" si="186"/>
        <v>0</v>
      </c>
      <c r="V198">
        <f t="shared" si="187"/>
        <v>1</v>
      </c>
      <c r="W198" s="1" t="str">
        <f t="shared" si="188"/>
        <v>衰退</v>
      </c>
      <c r="X198">
        <f t="shared" si="189"/>
        <v>0</v>
      </c>
      <c r="Y198">
        <f t="shared" si="190"/>
        <v>0</v>
      </c>
      <c r="Z198">
        <f t="shared" si="191"/>
        <v>0</v>
      </c>
      <c r="AA198">
        <f t="shared" si="192"/>
        <v>1</v>
      </c>
      <c r="AB198" s="1" t="str">
        <f t="shared" si="193"/>
        <v>衰退</v>
      </c>
    </row>
    <row r="199" spans="1:28" x14ac:dyDescent="0.35">
      <c r="A199" s="19">
        <v>43220</v>
      </c>
      <c r="B199" s="17">
        <v>7</v>
      </c>
      <c r="C199" s="17">
        <v>1.8</v>
      </c>
      <c r="D199" s="17">
        <v>3.4</v>
      </c>
      <c r="E199" s="17">
        <f t="shared" si="176"/>
        <v>2.4400000000000004</v>
      </c>
      <c r="F199">
        <v>0</v>
      </c>
      <c r="G199">
        <f t="shared" ref="G199:K199" si="243">IF(F199=1,0,1)</f>
        <v>1</v>
      </c>
      <c r="H199">
        <v>1</v>
      </c>
      <c r="I199">
        <f t="shared" si="243"/>
        <v>0</v>
      </c>
      <c r="J199">
        <v>1</v>
      </c>
      <c r="K199">
        <f t="shared" si="243"/>
        <v>0</v>
      </c>
      <c r="L199">
        <v>0</v>
      </c>
      <c r="M199">
        <f t="shared" si="178"/>
        <v>1</v>
      </c>
      <c r="N199">
        <f t="shared" si="179"/>
        <v>0</v>
      </c>
      <c r="O199">
        <f t="shared" si="180"/>
        <v>0</v>
      </c>
      <c r="P199">
        <f t="shared" si="181"/>
        <v>1</v>
      </c>
      <c r="Q199">
        <f t="shared" si="182"/>
        <v>0</v>
      </c>
      <c r="R199" s="1" t="str">
        <f t="shared" si="183"/>
        <v>滞涨</v>
      </c>
      <c r="S199">
        <f t="shared" si="184"/>
        <v>0</v>
      </c>
      <c r="T199">
        <f t="shared" si="185"/>
        <v>0</v>
      </c>
      <c r="U199">
        <f t="shared" si="186"/>
        <v>1</v>
      </c>
      <c r="V199">
        <f t="shared" si="187"/>
        <v>0</v>
      </c>
      <c r="W199" s="1" t="str">
        <f t="shared" si="188"/>
        <v>滞涨</v>
      </c>
      <c r="X199">
        <f t="shared" si="189"/>
        <v>0</v>
      </c>
      <c r="Y199">
        <f t="shared" si="190"/>
        <v>0</v>
      </c>
      <c r="Z199">
        <f t="shared" si="191"/>
        <v>0</v>
      </c>
      <c r="AA199">
        <f t="shared" si="192"/>
        <v>1</v>
      </c>
      <c r="AB199" s="1" t="str">
        <f t="shared" si="193"/>
        <v>衰退</v>
      </c>
    </row>
    <row r="200" spans="1:28" x14ac:dyDescent="0.35">
      <c r="A200" s="19">
        <v>43251</v>
      </c>
      <c r="B200" s="17">
        <v>6.8</v>
      </c>
      <c r="C200" s="17">
        <v>1.8</v>
      </c>
      <c r="D200" s="17">
        <v>4.0999999999999996</v>
      </c>
      <c r="E200" s="17">
        <f t="shared" si="176"/>
        <v>2.7199999999999998</v>
      </c>
      <c r="F200">
        <v>0</v>
      </c>
      <c r="G200">
        <f t="shared" ref="G200:K200" si="244">IF(F200=1,0,1)</f>
        <v>1</v>
      </c>
      <c r="H200">
        <v>1</v>
      </c>
      <c r="I200">
        <f t="shared" si="244"/>
        <v>0</v>
      </c>
      <c r="J200">
        <v>1</v>
      </c>
      <c r="K200">
        <f t="shared" si="244"/>
        <v>0</v>
      </c>
      <c r="L200">
        <v>1</v>
      </c>
      <c r="M200">
        <f t="shared" si="178"/>
        <v>0</v>
      </c>
      <c r="N200">
        <f t="shared" si="179"/>
        <v>0</v>
      </c>
      <c r="O200">
        <f t="shared" si="180"/>
        <v>0</v>
      </c>
      <c r="P200">
        <f t="shared" si="181"/>
        <v>1</v>
      </c>
      <c r="Q200">
        <f t="shared" si="182"/>
        <v>0</v>
      </c>
      <c r="R200" s="1" t="str">
        <f t="shared" si="183"/>
        <v>滞涨</v>
      </c>
      <c r="S200">
        <f t="shared" si="184"/>
        <v>0</v>
      </c>
      <c r="T200">
        <f t="shared" si="185"/>
        <v>0</v>
      </c>
      <c r="U200">
        <f t="shared" si="186"/>
        <v>1</v>
      </c>
      <c r="V200">
        <f t="shared" si="187"/>
        <v>0</v>
      </c>
      <c r="W200" s="1" t="str">
        <f t="shared" si="188"/>
        <v>滞涨</v>
      </c>
      <c r="X200">
        <f t="shared" si="189"/>
        <v>0</v>
      </c>
      <c r="Y200">
        <f t="shared" si="190"/>
        <v>0</v>
      </c>
      <c r="Z200">
        <f t="shared" si="191"/>
        <v>1</v>
      </c>
      <c r="AA200">
        <f t="shared" si="192"/>
        <v>0</v>
      </c>
      <c r="AB200" s="1" t="str">
        <f t="shared" si="193"/>
        <v>滞涨</v>
      </c>
    </row>
    <row r="201" spans="1:28" x14ac:dyDescent="0.35">
      <c r="A201" s="19">
        <v>43281</v>
      </c>
      <c r="B201" s="17">
        <v>6</v>
      </c>
      <c r="C201" s="17">
        <v>1.9</v>
      </c>
      <c r="D201" s="17">
        <v>4.7</v>
      </c>
      <c r="E201" s="17">
        <f t="shared" si="176"/>
        <v>3.02</v>
      </c>
      <c r="F201">
        <v>0</v>
      </c>
      <c r="G201">
        <f t="shared" ref="G201:K201" si="245">IF(F201=1,0,1)</f>
        <v>1</v>
      </c>
      <c r="H201">
        <v>1</v>
      </c>
      <c r="I201">
        <f t="shared" si="245"/>
        <v>0</v>
      </c>
      <c r="J201">
        <v>1</v>
      </c>
      <c r="K201">
        <f t="shared" si="245"/>
        <v>0</v>
      </c>
      <c r="L201">
        <v>1</v>
      </c>
      <c r="M201">
        <f t="shared" si="178"/>
        <v>0</v>
      </c>
      <c r="N201">
        <f t="shared" si="179"/>
        <v>0</v>
      </c>
      <c r="O201">
        <f t="shared" si="180"/>
        <v>0</v>
      </c>
      <c r="P201">
        <f t="shared" si="181"/>
        <v>1</v>
      </c>
      <c r="Q201">
        <f t="shared" si="182"/>
        <v>0</v>
      </c>
      <c r="R201" s="1" t="str">
        <f t="shared" si="183"/>
        <v>滞涨</v>
      </c>
      <c r="S201">
        <f t="shared" si="184"/>
        <v>0</v>
      </c>
      <c r="T201">
        <f t="shared" si="185"/>
        <v>0</v>
      </c>
      <c r="U201">
        <f t="shared" si="186"/>
        <v>1</v>
      </c>
      <c r="V201">
        <f t="shared" si="187"/>
        <v>0</v>
      </c>
      <c r="W201" s="1" t="str">
        <f t="shared" si="188"/>
        <v>滞涨</v>
      </c>
      <c r="X201">
        <f t="shared" si="189"/>
        <v>0</v>
      </c>
      <c r="Y201">
        <f t="shared" si="190"/>
        <v>0</v>
      </c>
      <c r="Z201">
        <f t="shared" si="191"/>
        <v>1</v>
      </c>
      <c r="AA201">
        <f t="shared" si="192"/>
        <v>0</v>
      </c>
      <c r="AB201" s="1" t="str">
        <f t="shared" si="193"/>
        <v>滞涨</v>
      </c>
    </row>
    <row r="202" spans="1:28" x14ac:dyDescent="0.35">
      <c r="A202" s="19">
        <v>43312</v>
      </c>
      <c r="B202" s="17">
        <v>6</v>
      </c>
      <c r="C202" s="17">
        <v>2.1</v>
      </c>
      <c r="D202" s="17">
        <v>4.5999999999999996</v>
      </c>
      <c r="E202" s="17">
        <f t="shared" si="176"/>
        <v>3.0999999999999996</v>
      </c>
      <c r="F202">
        <v>0</v>
      </c>
      <c r="G202">
        <f t="shared" ref="G202:K202" si="246">IF(F202=1,0,1)</f>
        <v>1</v>
      </c>
      <c r="H202">
        <v>1</v>
      </c>
      <c r="I202">
        <f t="shared" si="246"/>
        <v>0</v>
      </c>
      <c r="J202">
        <v>0</v>
      </c>
      <c r="K202">
        <f t="shared" si="246"/>
        <v>1</v>
      </c>
      <c r="L202">
        <v>1</v>
      </c>
      <c r="M202">
        <f t="shared" si="178"/>
        <v>0</v>
      </c>
      <c r="N202">
        <f t="shared" si="179"/>
        <v>0</v>
      </c>
      <c r="O202">
        <f t="shared" si="180"/>
        <v>0</v>
      </c>
      <c r="P202">
        <f t="shared" si="181"/>
        <v>1</v>
      </c>
      <c r="Q202">
        <f t="shared" si="182"/>
        <v>0</v>
      </c>
      <c r="R202" s="1" t="str">
        <f t="shared" si="183"/>
        <v>滞涨</v>
      </c>
      <c r="S202">
        <f t="shared" si="184"/>
        <v>0</v>
      </c>
      <c r="T202">
        <f t="shared" si="185"/>
        <v>0</v>
      </c>
      <c r="U202">
        <f t="shared" si="186"/>
        <v>0</v>
      </c>
      <c r="V202">
        <f t="shared" si="187"/>
        <v>1</v>
      </c>
      <c r="W202" s="1" t="str">
        <f t="shared" si="188"/>
        <v>衰退</v>
      </c>
      <c r="X202">
        <f t="shared" si="189"/>
        <v>0</v>
      </c>
      <c r="Y202">
        <f t="shared" si="190"/>
        <v>0</v>
      </c>
      <c r="Z202">
        <f t="shared" si="191"/>
        <v>1</v>
      </c>
      <c r="AA202">
        <f t="shared" si="192"/>
        <v>0</v>
      </c>
      <c r="AB202" s="1" t="str">
        <f t="shared" si="193"/>
        <v>滞涨</v>
      </c>
    </row>
    <row r="203" spans="1:28" x14ac:dyDescent="0.35">
      <c r="A203" s="19">
        <v>43343</v>
      </c>
      <c r="B203" s="17">
        <v>6.1</v>
      </c>
      <c r="C203" s="17">
        <v>2.2999999999999998</v>
      </c>
      <c r="D203" s="17">
        <v>4.0999999999999996</v>
      </c>
      <c r="E203" s="17">
        <f t="shared" si="176"/>
        <v>3.0199999999999996</v>
      </c>
      <c r="F203">
        <v>0</v>
      </c>
      <c r="G203">
        <f t="shared" ref="G203:K203" si="247">IF(F203=1,0,1)</f>
        <v>1</v>
      </c>
      <c r="H203">
        <v>1</v>
      </c>
      <c r="I203">
        <f t="shared" si="247"/>
        <v>0</v>
      </c>
      <c r="J203">
        <v>0</v>
      </c>
      <c r="K203">
        <f t="shared" si="247"/>
        <v>1</v>
      </c>
      <c r="L203">
        <v>0</v>
      </c>
      <c r="M203">
        <f t="shared" si="178"/>
        <v>1</v>
      </c>
      <c r="N203">
        <f t="shared" si="179"/>
        <v>0</v>
      </c>
      <c r="O203">
        <f t="shared" si="180"/>
        <v>0</v>
      </c>
      <c r="P203">
        <f t="shared" si="181"/>
        <v>1</v>
      </c>
      <c r="Q203">
        <f t="shared" si="182"/>
        <v>0</v>
      </c>
      <c r="R203" s="1" t="str">
        <f t="shared" si="183"/>
        <v>滞涨</v>
      </c>
      <c r="S203">
        <f t="shared" si="184"/>
        <v>0</v>
      </c>
      <c r="T203">
        <f t="shared" si="185"/>
        <v>0</v>
      </c>
      <c r="U203">
        <f t="shared" si="186"/>
        <v>0</v>
      </c>
      <c r="V203">
        <f t="shared" si="187"/>
        <v>1</v>
      </c>
      <c r="W203" s="1" t="str">
        <f t="shared" si="188"/>
        <v>衰退</v>
      </c>
      <c r="X203">
        <f t="shared" si="189"/>
        <v>0</v>
      </c>
      <c r="Y203">
        <f t="shared" si="190"/>
        <v>0</v>
      </c>
      <c r="Z203">
        <f t="shared" si="191"/>
        <v>0</v>
      </c>
      <c r="AA203">
        <f t="shared" si="192"/>
        <v>1</v>
      </c>
      <c r="AB203" s="1" t="str">
        <f t="shared" si="193"/>
        <v>衰退</v>
      </c>
    </row>
    <row r="204" spans="1:28" x14ac:dyDescent="0.35">
      <c r="A204" s="19">
        <v>43373</v>
      </c>
      <c r="B204" s="17">
        <v>5.8</v>
      </c>
      <c r="C204" s="17">
        <v>2.5</v>
      </c>
      <c r="D204" s="17">
        <v>3.6</v>
      </c>
      <c r="E204" s="17">
        <f t="shared" si="176"/>
        <v>2.9400000000000004</v>
      </c>
      <c r="F204">
        <v>0</v>
      </c>
      <c r="G204">
        <f t="shared" ref="G204:K204" si="248">IF(F204=1,0,1)</f>
        <v>1</v>
      </c>
      <c r="H204">
        <v>1</v>
      </c>
      <c r="I204">
        <f t="shared" si="248"/>
        <v>0</v>
      </c>
      <c r="J204">
        <v>0</v>
      </c>
      <c r="K204">
        <f t="shared" si="248"/>
        <v>1</v>
      </c>
      <c r="L204">
        <v>0</v>
      </c>
      <c r="M204">
        <f t="shared" si="178"/>
        <v>1</v>
      </c>
      <c r="N204">
        <f t="shared" si="179"/>
        <v>0</v>
      </c>
      <c r="O204">
        <f t="shared" si="180"/>
        <v>0</v>
      </c>
      <c r="P204">
        <f t="shared" si="181"/>
        <v>1</v>
      </c>
      <c r="Q204">
        <f t="shared" si="182"/>
        <v>0</v>
      </c>
      <c r="R204" s="1" t="str">
        <f t="shared" si="183"/>
        <v>滞涨</v>
      </c>
      <c r="S204">
        <f t="shared" si="184"/>
        <v>0</v>
      </c>
      <c r="T204">
        <f t="shared" si="185"/>
        <v>0</v>
      </c>
      <c r="U204">
        <f t="shared" si="186"/>
        <v>0</v>
      </c>
      <c r="V204">
        <f t="shared" si="187"/>
        <v>1</v>
      </c>
      <c r="W204" s="1" t="str">
        <f t="shared" si="188"/>
        <v>衰退</v>
      </c>
      <c r="X204">
        <f t="shared" si="189"/>
        <v>0</v>
      </c>
      <c r="Y204">
        <f t="shared" si="190"/>
        <v>0</v>
      </c>
      <c r="Z204">
        <f t="shared" si="191"/>
        <v>0</v>
      </c>
      <c r="AA204">
        <f t="shared" si="192"/>
        <v>1</v>
      </c>
      <c r="AB204" s="1" t="str">
        <f t="shared" si="193"/>
        <v>衰退</v>
      </c>
    </row>
    <row r="205" spans="1:28" x14ac:dyDescent="0.35">
      <c r="A205" s="19">
        <v>43404</v>
      </c>
      <c r="B205" s="17">
        <v>5.9</v>
      </c>
      <c r="C205" s="17">
        <v>2.5</v>
      </c>
      <c r="D205" s="17">
        <v>3.3</v>
      </c>
      <c r="E205" s="17">
        <f t="shared" si="176"/>
        <v>2.8200000000000003</v>
      </c>
      <c r="F205">
        <v>0</v>
      </c>
      <c r="G205">
        <f t="shared" ref="G205:K205" si="249">IF(F205=1,0,1)</f>
        <v>1</v>
      </c>
      <c r="H205">
        <v>0</v>
      </c>
      <c r="I205">
        <f t="shared" si="249"/>
        <v>1</v>
      </c>
      <c r="J205">
        <v>0</v>
      </c>
      <c r="K205">
        <f t="shared" si="249"/>
        <v>1</v>
      </c>
      <c r="L205">
        <v>0</v>
      </c>
      <c r="M205">
        <f t="shared" si="178"/>
        <v>1</v>
      </c>
      <c r="N205">
        <f t="shared" si="179"/>
        <v>0</v>
      </c>
      <c r="O205">
        <f t="shared" si="180"/>
        <v>0</v>
      </c>
      <c r="P205">
        <f t="shared" si="181"/>
        <v>0</v>
      </c>
      <c r="Q205">
        <f t="shared" si="182"/>
        <v>1</v>
      </c>
      <c r="R205" s="1" t="str">
        <f t="shared" si="183"/>
        <v>衰退</v>
      </c>
      <c r="S205">
        <f t="shared" si="184"/>
        <v>0</v>
      </c>
      <c r="T205">
        <f t="shared" si="185"/>
        <v>0</v>
      </c>
      <c r="U205">
        <f t="shared" si="186"/>
        <v>0</v>
      </c>
      <c r="V205">
        <f t="shared" si="187"/>
        <v>1</v>
      </c>
      <c r="W205" s="1" t="str">
        <f t="shared" si="188"/>
        <v>衰退</v>
      </c>
      <c r="X205">
        <f t="shared" si="189"/>
        <v>0</v>
      </c>
      <c r="Y205">
        <f t="shared" si="190"/>
        <v>0</v>
      </c>
      <c r="Z205">
        <f t="shared" si="191"/>
        <v>0</v>
      </c>
      <c r="AA205">
        <f t="shared" si="192"/>
        <v>1</v>
      </c>
      <c r="AB205" s="1" t="str">
        <f t="shared" si="193"/>
        <v>衰退</v>
      </c>
    </row>
    <row r="206" spans="1:28" x14ac:dyDescent="0.35">
      <c r="A206" s="19">
        <v>43434</v>
      </c>
      <c r="B206" s="17">
        <v>5.4</v>
      </c>
      <c r="C206" s="17">
        <v>2.2000000000000002</v>
      </c>
      <c r="D206" s="17">
        <v>2.7</v>
      </c>
      <c r="E206" s="17">
        <f t="shared" si="176"/>
        <v>2.4000000000000004</v>
      </c>
      <c r="F206">
        <v>0</v>
      </c>
      <c r="G206">
        <f t="shared" ref="G206:K206" si="250">IF(F206=1,0,1)</f>
        <v>1</v>
      </c>
      <c r="H206">
        <v>0</v>
      </c>
      <c r="I206">
        <f t="shared" si="250"/>
        <v>1</v>
      </c>
      <c r="J206">
        <v>0</v>
      </c>
      <c r="K206">
        <f t="shared" si="250"/>
        <v>1</v>
      </c>
      <c r="L206">
        <v>0</v>
      </c>
      <c r="M206">
        <f t="shared" si="178"/>
        <v>1</v>
      </c>
      <c r="N206">
        <f t="shared" si="179"/>
        <v>0</v>
      </c>
      <c r="O206">
        <f t="shared" si="180"/>
        <v>0</v>
      </c>
      <c r="P206">
        <f t="shared" si="181"/>
        <v>0</v>
      </c>
      <c r="Q206">
        <f t="shared" si="182"/>
        <v>1</v>
      </c>
      <c r="R206" s="1" t="str">
        <f t="shared" si="183"/>
        <v>衰退</v>
      </c>
      <c r="S206">
        <f t="shared" si="184"/>
        <v>0</v>
      </c>
      <c r="T206">
        <f t="shared" si="185"/>
        <v>0</v>
      </c>
      <c r="U206">
        <f t="shared" si="186"/>
        <v>0</v>
      </c>
      <c r="V206">
        <f t="shared" si="187"/>
        <v>1</v>
      </c>
      <c r="W206" s="1" t="str">
        <f t="shared" si="188"/>
        <v>衰退</v>
      </c>
      <c r="X206">
        <f t="shared" si="189"/>
        <v>0</v>
      </c>
      <c r="Y206">
        <f t="shared" si="190"/>
        <v>0</v>
      </c>
      <c r="Z206">
        <f t="shared" si="191"/>
        <v>0</v>
      </c>
      <c r="AA206">
        <f t="shared" si="192"/>
        <v>1</v>
      </c>
      <c r="AB206" s="1" t="str">
        <f t="shared" si="193"/>
        <v>衰退</v>
      </c>
    </row>
    <row r="207" spans="1:28" x14ac:dyDescent="0.35">
      <c r="A207" s="19">
        <v>43465</v>
      </c>
      <c r="B207" s="17">
        <v>5.7</v>
      </c>
      <c r="C207" s="17">
        <v>1.9</v>
      </c>
      <c r="D207" s="17">
        <v>0.9</v>
      </c>
      <c r="E207" s="17">
        <f t="shared" si="176"/>
        <v>1.5</v>
      </c>
      <c r="F207">
        <v>0</v>
      </c>
      <c r="G207">
        <f t="shared" ref="G207:K207" si="251">IF(F207=1,0,1)</f>
        <v>1</v>
      </c>
      <c r="H207">
        <v>0</v>
      </c>
      <c r="I207">
        <f t="shared" si="251"/>
        <v>1</v>
      </c>
      <c r="J207">
        <v>0</v>
      </c>
      <c r="K207">
        <f t="shared" si="251"/>
        <v>1</v>
      </c>
      <c r="L207">
        <v>0</v>
      </c>
      <c r="M207">
        <f t="shared" si="178"/>
        <v>1</v>
      </c>
      <c r="N207">
        <f t="shared" si="179"/>
        <v>0</v>
      </c>
      <c r="O207">
        <f t="shared" si="180"/>
        <v>0</v>
      </c>
      <c r="P207">
        <f t="shared" si="181"/>
        <v>0</v>
      </c>
      <c r="Q207">
        <f t="shared" si="182"/>
        <v>1</v>
      </c>
      <c r="R207" s="1" t="str">
        <f t="shared" si="183"/>
        <v>衰退</v>
      </c>
      <c r="S207">
        <f t="shared" si="184"/>
        <v>0</v>
      </c>
      <c r="T207">
        <f t="shared" si="185"/>
        <v>0</v>
      </c>
      <c r="U207">
        <f t="shared" si="186"/>
        <v>0</v>
      </c>
      <c r="V207">
        <f t="shared" si="187"/>
        <v>1</v>
      </c>
      <c r="W207" s="1" t="str">
        <f t="shared" si="188"/>
        <v>衰退</v>
      </c>
      <c r="X207">
        <f t="shared" si="189"/>
        <v>0</v>
      </c>
      <c r="Y207">
        <f t="shared" si="190"/>
        <v>0</v>
      </c>
      <c r="Z207">
        <f t="shared" si="191"/>
        <v>0</v>
      </c>
      <c r="AA207">
        <f t="shared" si="192"/>
        <v>1</v>
      </c>
      <c r="AB207" s="1" t="str">
        <f t="shared" si="193"/>
        <v>衰退</v>
      </c>
    </row>
    <row r="208" spans="1:28" x14ac:dyDescent="0.35">
      <c r="A208" s="19">
        <v>43524</v>
      </c>
      <c r="B208" s="17">
        <v>5.3</v>
      </c>
      <c r="C208" s="17">
        <v>1.6</v>
      </c>
      <c r="D208" s="17">
        <v>0.1</v>
      </c>
      <c r="E208" s="17">
        <f t="shared" si="176"/>
        <v>1</v>
      </c>
      <c r="F208">
        <v>0</v>
      </c>
      <c r="G208">
        <f t="shared" ref="G208:K208" si="252">IF(F208=1,0,1)</f>
        <v>1</v>
      </c>
      <c r="H208">
        <v>0</v>
      </c>
      <c r="I208">
        <f t="shared" si="252"/>
        <v>1</v>
      </c>
      <c r="J208">
        <v>0</v>
      </c>
      <c r="K208">
        <f t="shared" si="252"/>
        <v>1</v>
      </c>
      <c r="L208">
        <v>0</v>
      </c>
      <c r="M208">
        <f t="shared" si="178"/>
        <v>1</v>
      </c>
      <c r="N208">
        <f t="shared" si="179"/>
        <v>0</v>
      </c>
      <c r="O208">
        <f t="shared" si="180"/>
        <v>0</v>
      </c>
      <c r="P208">
        <f t="shared" si="181"/>
        <v>0</v>
      </c>
      <c r="Q208">
        <f t="shared" si="182"/>
        <v>1</v>
      </c>
      <c r="R208" s="1" t="str">
        <f t="shared" si="183"/>
        <v>衰退</v>
      </c>
      <c r="S208">
        <f t="shared" si="184"/>
        <v>0</v>
      </c>
      <c r="T208">
        <f t="shared" si="185"/>
        <v>0</v>
      </c>
      <c r="U208">
        <f t="shared" si="186"/>
        <v>0</v>
      </c>
      <c r="V208">
        <f t="shared" si="187"/>
        <v>1</v>
      </c>
      <c r="W208" s="1" t="str">
        <f t="shared" si="188"/>
        <v>衰退</v>
      </c>
      <c r="X208">
        <f t="shared" si="189"/>
        <v>0</v>
      </c>
      <c r="Y208">
        <f t="shared" si="190"/>
        <v>0</v>
      </c>
      <c r="Z208">
        <f t="shared" si="191"/>
        <v>0</v>
      </c>
      <c r="AA208">
        <f t="shared" si="192"/>
        <v>1</v>
      </c>
      <c r="AB208" s="1" t="str">
        <f t="shared" si="193"/>
        <v>衰退</v>
      </c>
    </row>
    <row r="209" spans="1:28" x14ac:dyDescent="0.35">
      <c r="A209" s="19">
        <v>43555</v>
      </c>
      <c r="B209" s="17">
        <v>8.5</v>
      </c>
      <c r="C209" s="17">
        <v>2.2999999999999998</v>
      </c>
      <c r="D209" s="17">
        <v>0.4</v>
      </c>
      <c r="E209" s="17">
        <f t="shared" si="176"/>
        <v>1.54</v>
      </c>
      <c r="F209">
        <v>0</v>
      </c>
      <c r="G209">
        <f t="shared" ref="G209:K209" si="253">IF(F209=1,0,1)</f>
        <v>1</v>
      </c>
      <c r="H209">
        <v>1</v>
      </c>
      <c r="I209">
        <f t="shared" si="253"/>
        <v>0</v>
      </c>
      <c r="J209">
        <v>0</v>
      </c>
      <c r="K209">
        <f t="shared" si="253"/>
        <v>1</v>
      </c>
      <c r="L209">
        <v>1</v>
      </c>
      <c r="M209">
        <f t="shared" si="178"/>
        <v>0</v>
      </c>
      <c r="N209">
        <f t="shared" si="179"/>
        <v>0</v>
      </c>
      <c r="O209">
        <f t="shared" si="180"/>
        <v>0</v>
      </c>
      <c r="P209">
        <f t="shared" si="181"/>
        <v>1</v>
      </c>
      <c r="Q209">
        <f t="shared" si="182"/>
        <v>0</v>
      </c>
      <c r="R209" s="1" t="str">
        <f t="shared" si="183"/>
        <v>滞涨</v>
      </c>
      <c r="S209">
        <f t="shared" si="184"/>
        <v>0</v>
      </c>
      <c r="T209">
        <f t="shared" si="185"/>
        <v>0</v>
      </c>
      <c r="U209">
        <f t="shared" si="186"/>
        <v>0</v>
      </c>
      <c r="V209">
        <f t="shared" si="187"/>
        <v>1</v>
      </c>
      <c r="W209" s="1" t="str">
        <f t="shared" si="188"/>
        <v>衰退</v>
      </c>
      <c r="X209">
        <f t="shared" si="189"/>
        <v>0</v>
      </c>
      <c r="Y209">
        <f t="shared" si="190"/>
        <v>0</v>
      </c>
      <c r="Z209">
        <f t="shared" si="191"/>
        <v>1</v>
      </c>
      <c r="AA209">
        <f t="shared" si="192"/>
        <v>0</v>
      </c>
      <c r="AB209" s="1" t="str">
        <f t="shared" si="193"/>
        <v>滞涨</v>
      </c>
    </row>
    <row r="210" spans="1:28" x14ac:dyDescent="0.35">
      <c r="A210" s="19">
        <v>43585</v>
      </c>
      <c r="B210" s="17">
        <v>5.4</v>
      </c>
      <c r="C210" s="17">
        <v>2.5</v>
      </c>
      <c r="D210" s="17">
        <v>0.9</v>
      </c>
      <c r="E210" s="17">
        <f t="shared" si="176"/>
        <v>1.86</v>
      </c>
      <c r="F210">
        <v>0</v>
      </c>
      <c r="G210">
        <f t="shared" ref="G210:K210" si="254">IF(F210=1,0,1)</f>
        <v>1</v>
      </c>
      <c r="H210">
        <v>1</v>
      </c>
      <c r="I210">
        <f t="shared" si="254"/>
        <v>0</v>
      </c>
      <c r="J210">
        <v>0</v>
      </c>
      <c r="K210">
        <f t="shared" si="254"/>
        <v>1</v>
      </c>
      <c r="L210">
        <v>1</v>
      </c>
      <c r="M210">
        <f t="shared" si="178"/>
        <v>0</v>
      </c>
      <c r="N210">
        <f t="shared" si="179"/>
        <v>0</v>
      </c>
      <c r="O210">
        <f t="shared" si="180"/>
        <v>0</v>
      </c>
      <c r="P210">
        <f t="shared" si="181"/>
        <v>1</v>
      </c>
      <c r="Q210">
        <f t="shared" si="182"/>
        <v>0</v>
      </c>
      <c r="R210" s="1" t="str">
        <f t="shared" si="183"/>
        <v>滞涨</v>
      </c>
      <c r="S210">
        <f t="shared" si="184"/>
        <v>0</v>
      </c>
      <c r="T210">
        <f t="shared" si="185"/>
        <v>0</v>
      </c>
      <c r="U210">
        <f t="shared" si="186"/>
        <v>0</v>
      </c>
      <c r="V210">
        <f t="shared" si="187"/>
        <v>1</v>
      </c>
      <c r="W210" s="1" t="str">
        <f t="shared" si="188"/>
        <v>衰退</v>
      </c>
      <c r="X210">
        <f t="shared" si="189"/>
        <v>0</v>
      </c>
      <c r="Y210">
        <f t="shared" si="190"/>
        <v>0</v>
      </c>
      <c r="Z210">
        <f t="shared" si="191"/>
        <v>1</v>
      </c>
      <c r="AA210">
        <f t="shared" si="192"/>
        <v>0</v>
      </c>
      <c r="AB210" s="1" t="str">
        <f t="shared" si="193"/>
        <v>滞涨</v>
      </c>
    </row>
    <row r="211" spans="1:28" x14ac:dyDescent="0.35">
      <c r="A211" s="19">
        <v>43616</v>
      </c>
      <c r="B211" s="17">
        <v>5</v>
      </c>
      <c r="C211" s="17">
        <v>2.7</v>
      </c>
      <c r="D211" s="17">
        <v>0.6</v>
      </c>
      <c r="E211" s="17">
        <f t="shared" si="176"/>
        <v>1.86</v>
      </c>
      <c r="F211">
        <v>0</v>
      </c>
      <c r="G211">
        <f t="shared" ref="G211:K211" si="255">IF(F211=1,0,1)</f>
        <v>1</v>
      </c>
      <c r="H211">
        <v>1</v>
      </c>
      <c r="I211">
        <f t="shared" si="255"/>
        <v>0</v>
      </c>
      <c r="J211">
        <v>0</v>
      </c>
      <c r="K211">
        <f t="shared" si="255"/>
        <v>1</v>
      </c>
      <c r="L211">
        <v>1</v>
      </c>
      <c r="M211">
        <f t="shared" si="178"/>
        <v>0</v>
      </c>
      <c r="N211">
        <f t="shared" si="179"/>
        <v>0</v>
      </c>
      <c r="O211">
        <f t="shared" si="180"/>
        <v>0</v>
      </c>
      <c r="P211">
        <f t="shared" si="181"/>
        <v>1</v>
      </c>
      <c r="Q211">
        <f t="shared" si="182"/>
        <v>0</v>
      </c>
      <c r="R211" s="1" t="str">
        <f t="shared" si="183"/>
        <v>滞涨</v>
      </c>
      <c r="S211">
        <f t="shared" si="184"/>
        <v>0</v>
      </c>
      <c r="T211">
        <f t="shared" si="185"/>
        <v>0</v>
      </c>
      <c r="U211">
        <f t="shared" si="186"/>
        <v>0</v>
      </c>
      <c r="V211">
        <f t="shared" si="187"/>
        <v>1</v>
      </c>
      <c r="W211" s="1" t="str">
        <f t="shared" si="188"/>
        <v>衰退</v>
      </c>
      <c r="X211">
        <f t="shared" si="189"/>
        <v>0</v>
      </c>
      <c r="Y211">
        <f t="shared" si="190"/>
        <v>0</v>
      </c>
      <c r="Z211">
        <f t="shared" si="191"/>
        <v>1</v>
      </c>
      <c r="AA211">
        <f t="shared" si="192"/>
        <v>0</v>
      </c>
      <c r="AB211" s="1" t="str">
        <f t="shared" si="193"/>
        <v>滞涨</v>
      </c>
    </row>
    <row r="212" spans="1:28" x14ac:dyDescent="0.35">
      <c r="A212" s="19">
        <v>43646</v>
      </c>
      <c r="B212" s="17">
        <v>6.3</v>
      </c>
      <c r="C212" s="17">
        <v>2.7</v>
      </c>
      <c r="D212" s="17">
        <v>0</v>
      </c>
      <c r="E212" s="17">
        <f t="shared" si="176"/>
        <v>1.62</v>
      </c>
      <c r="F212">
        <v>0</v>
      </c>
      <c r="G212">
        <f t="shared" ref="G212:K212" si="256">IF(F212=1,0,1)</f>
        <v>1</v>
      </c>
      <c r="H212">
        <v>1</v>
      </c>
      <c r="I212">
        <f t="shared" si="256"/>
        <v>0</v>
      </c>
      <c r="J212">
        <v>0</v>
      </c>
      <c r="K212">
        <f t="shared" si="256"/>
        <v>1</v>
      </c>
      <c r="L212">
        <v>1</v>
      </c>
      <c r="M212">
        <f t="shared" si="178"/>
        <v>0</v>
      </c>
      <c r="N212">
        <f t="shared" si="179"/>
        <v>0</v>
      </c>
      <c r="O212">
        <f t="shared" si="180"/>
        <v>0</v>
      </c>
      <c r="P212">
        <f t="shared" si="181"/>
        <v>1</v>
      </c>
      <c r="Q212">
        <f t="shared" si="182"/>
        <v>0</v>
      </c>
      <c r="R212" s="1" t="str">
        <f t="shared" si="183"/>
        <v>滞涨</v>
      </c>
      <c r="S212">
        <f t="shared" si="184"/>
        <v>0</v>
      </c>
      <c r="T212">
        <f t="shared" si="185"/>
        <v>0</v>
      </c>
      <c r="U212">
        <f t="shared" si="186"/>
        <v>0</v>
      </c>
      <c r="V212">
        <f t="shared" si="187"/>
        <v>1</v>
      </c>
      <c r="W212" s="1" t="str">
        <f t="shared" si="188"/>
        <v>衰退</v>
      </c>
      <c r="X212">
        <f t="shared" si="189"/>
        <v>0</v>
      </c>
      <c r="Y212">
        <f t="shared" si="190"/>
        <v>0</v>
      </c>
      <c r="Z212">
        <f t="shared" si="191"/>
        <v>1</v>
      </c>
      <c r="AA212">
        <f t="shared" si="192"/>
        <v>0</v>
      </c>
      <c r="AB212" s="1" t="str">
        <f t="shared" si="193"/>
        <v>滞涨</v>
      </c>
    </row>
    <row r="213" spans="1:28" x14ac:dyDescent="0.35">
      <c r="A213" s="19">
        <v>43677</v>
      </c>
      <c r="B213" s="17">
        <v>4.8</v>
      </c>
      <c r="C213" s="17">
        <v>2.8</v>
      </c>
      <c r="D213" s="17">
        <v>-0.3</v>
      </c>
      <c r="E213" s="17">
        <f t="shared" ref="E213:E276" si="257">0.6*C213+0.4*D213</f>
        <v>1.56</v>
      </c>
      <c r="F213">
        <v>0</v>
      </c>
      <c r="G213">
        <f t="shared" ref="G213:K213" si="258">IF(F213=1,0,1)</f>
        <v>1</v>
      </c>
      <c r="H213">
        <v>1</v>
      </c>
      <c r="I213">
        <f t="shared" si="258"/>
        <v>0</v>
      </c>
      <c r="J213">
        <v>0</v>
      </c>
      <c r="K213">
        <f t="shared" si="258"/>
        <v>1</v>
      </c>
      <c r="L213">
        <v>1</v>
      </c>
      <c r="M213">
        <f t="shared" ref="M213:M266" si="259">IF(L213=1,0,1)</f>
        <v>0</v>
      </c>
      <c r="N213">
        <f t="shared" ref="N213:N266" si="260">IF(F213=1,IF(H213=0,1,0),0)</f>
        <v>0</v>
      </c>
      <c r="O213">
        <f t="shared" ref="O213:O266" si="261">IF(F213=1,IF(H213=1,1,0),0)</f>
        <v>0</v>
      </c>
      <c r="P213">
        <f t="shared" ref="P213:P266" si="262">IF(F213=0,IF(H213=1,1,0),0)</f>
        <v>1</v>
      </c>
      <c r="Q213">
        <f t="shared" ref="Q213:Q266" si="263">IF(F213=0,IF(H213=0,1,0),0)</f>
        <v>0</v>
      </c>
      <c r="R213" s="1" t="str">
        <f t="shared" ref="R213:R273" si="264">INDEX($N$20:$Q$20,1,MATCH(1,N213:Q213,0))</f>
        <v>滞涨</v>
      </c>
      <c r="S213">
        <f t="shared" ref="S213:S266" si="265">IF(F213=1,IF(J213=0,1,0),0)</f>
        <v>0</v>
      </c>
      <c r="T213">
        <f t="shared" ref="T213:T266" si="266">IF(F213=1,IF(J213=1,1,0),0)</f>
        <v>0</v>
      </c>
      <c r="U213">
        <f t="shared" ref="U213:U266" si="267">IF(F213=0,IF(J213=1,1,0),0)</f>
        <v>0</v>
      </c>
      <c r="V213">
        <f t="shared" ref="V213:V266" si="268">IF(F213=0,IF(J213=0,1,0),0)</f>
        <v>1</v>
      </c>
      <c r="W213" s="1" t="str">
        <f t="shared" ref="W213:W266" si="269">INDEX($S$20:$V$20,1,MATCH(1,S213:V213,0))</f>
        <v>衰退</v>
      </c>
      <c r="X213">
        <f t="shared" ref="X213:X266" si="270">IF(F213=1,IF(L213=0,1,0),0)</f>
        <v>0</v>
      </c>
      <c r="Y213">
        <f t="shared" ref="Y213:Y266" si="271">IF(F213=1,IF(L213=1,1,0),0)</f>
        <v>0</v>
      </c>
      <c r="Z213">
        <f t="shared" ref="Z213:Z266" si="272">IF(F213=0,IF(L213=1,1,0),0)</f>
        <v>1</v>
      </c>
      <c r="AA213">
        <f t="shared" ref="AA213:AA266" si="273">IF(F213=0,IF(L213=0,1,0),0)</f>
        <v>0</v>
      </c>
      <c r="AB213" s="1" t="str">
        <f t="shared" ref="AB213:AB266" si="274">INDEX($X$20:$AA$20,1,MATCH(1,X213:AA213,0))</f>
        <v>滞涨</v>
      </c>
    </row>
    <row r="214" spans="1:28" x14ac:dyDescent="0.35">
      <c r="A214" s="19">
        <v>43708</v>
      </c>
      <c r="B214" s="17">
        <v>4.4000000000000004</v>
      </c>
      <c r="C214" s="17">
        <v>2.8</v>
      </c>
      <c r="D214" s="17">
        <v>-0.8</v>
      </c>
      <c r="E214" s="17">
        <f t="shared" si="257"/>
        <v>1.3599999999999999</v>
      </c>
      <c r="F214">
        <v>0</v>
      </c>
      <c r="G214">
        <f t="shared" ref="G214:K214" si="275">IF(F214=1,0,1)</f>
        <v>1</v>
      </c>
      <c r="H214">
        <v>1</v>
      </c>
      <c r="I214">
        <f t="shared" si="275"/>
        <v>0</v>
      </c>
      <c r="J214">
        <v>0</v>
      </c>
      <c r="K214">
        <f t="shared" si="275"/>
        <v>1</v>
      </c>
      <c r="L214">
        <v>1</v>
      </c>
      <c r="M214">
        <f t="shared" si="259"/>
        <v>0</v>
      </c>
      <c r="N214">
        <f t="shared" si="260"/>
        <v>0</v>
      </c>
      <c r="O214">
        <f t="shared" si="261"/>
        <v>0</v>
      </c>
      <c r="P214">
        <f t="shared" si="262"/>
        <v>1</v>
      </c>
      <c r="Q214">
        <f t="shared" si="263"/>
        <v>0</v>
      </c>
      <c r="R214" s="1" t="str">
        <f t="shared" si="264"/>
        <v>滞涨</v>
      </c>
      <c r="S214">
        <f t="shared" si="265"/>
        <v>0</v>
      </c>
      <c r="T214">
        <f t="shared" si="266"/>
        <v>0</v>
      </c>
      <c r="U214">
        <f t="shared" si="267"/>
        <v>0</v>
      </c>
      <c r="V214">
        <f t="shared" si="268"/>
        <v>1</v>
      </c>
      <c r="W214" s="1" t="str">
        <f t="shared" si="269"/>
        <v>衰退</v>
      </c>
      <c r="X214">
        <f t="shared" si="270"/>
        <v>0</v>
      </c>
      <c r="Y214">
        <f t="shared" si="271"/>
        <v>0</v>
      </c>
      <c r="Z214">
        <f t="shared" si="272"/>
        <v>1</v>
      </c>
      <c r="AA214">
        <f t="shared" si="273"/>
        <v>0</v>
      </c>
      <c r="AB214" s="1" t="str">
        <f t="shared" si="274"/>
        <v>滞涨</v>
      </c>
    </row>
    <row r="215" spans="1:28" x14ac:dyDescent="0.35">
      <c r="A215" s="19">
        <v>43738</v>
      </c>
      <c r="B215" s="17">
        <v>5.8</v>
      </c>
      <c r="C215" s="17">
        <v>3</v>
      </c>
      <c r="D215" s="17">
        <v>-1.2</v>
      </c>
      <c r="E215" s="17">
        <f t="shared" si="257"/>
        <v>1.3199999999999998</v>
      </c>
      <c r="F215">
        <v>1</v>
      </c>
      <c r="G215">
        <f t="shared" ref="G215:K215" si="276">IF(F215=1,0,1)</f>
        <v>0</v>
      </c>
      <c r="H215">
        <v>1</v>
      </c>
      <c r="I215">
        <f t="shared" si="276"/>
        <v>0</v>
      </c>
      <c r="J215">
        <v>0</v>
      </c>
      <c r="K215">
        <f t="shared" si="276"/>
        <v>1</v>
      </c>
      <c r="L215">
        <v>1</v>
      </c>
      <c r="M215">
        <f t="shared" si="259"/>
        <v>0</v>
      </c>
      <c r="N215">
        <f t="shared" si="260"/>
        <v>0</v>
      </c>
      <c r="O215">
        <f t="shared" si="261"/>
        <v>1</v>
      </c>
      <c r="P215">
        <f t="shared" si="262"/>
        <v>0</v>
      </c>
      <c r="Q215">
        <f t="shared" si="263"/>
        <v>0</v>
      </c>
      <c r="R215" s="1" t="str">
        <f t="shared" si="264"/>
        <v>过热</v>
      </c>
      <c r="S215">
        <f t="shared" si="265"/>
        <v>1</v>
      </c>
      <c r="T215">
        <f t="shared" si="266"/>
        <v>0</v>
      </c>
      <c r="U215">
        <f t="shared" si="267"/>
        <v>0</v>
      </c>
      <c r="V215">
        <f t="shared" si="268"/>
        <v>0</v>
      </c>
      <c r="W215" s="1" t="str">
        <f t="shared" si="269"/>
        <v>复苏</v>
      </c>
      <c r="X215">
        <f t="shared" si="270"/>
        <v>0</v>
      </c>
      <c r="Y215">
        <f t="shared" si="271"/>
        <v>1</v>
      </c>
      <c r="Z215">
        <f t="shared" si="272"/>
        <v>0</v>
      </c>
      <c r="AA215">
        <f t="shared" si="273"/>
        <v>0</v>
      </c>
      <c r="AB215" s="1" t="str">
        <f t="shared" si="274"/>
        <v>过热</v>
      </c>
    </row>
    <row r="216" spans="1:28" x14ac:dyDescent="0.35">
      <c r="A216" s="19">
        <v>43769</v>
      </c>
      <c r="B216" s="17">
        <v>4.7</v>
      </c>
      <c r="C216" s="17">
        <v>3.8</v>
      </c>
      <c r="D216" s="17">
        <v>-1.6</v>
      </c>
      <c r="E216" s="17">
        <f t="shared" si="257"/>
        <v>1.6399999999999997</v>
      </c>
      <c r="F216">
        <v>1</v>
      </c>
      <c r="G216">
        <f t="shared" ref="G216:K216" si="277">IF(F216=1,0,1)</f>
        <v>0</v>
      </c>
      <c r="H216">
        <v>1</v>
      </c>
      <c r="I216">
        <f t="shared" si="277"/>
        <v>0</v>
      </c>
      <c r="J216">
        <v>0</v>
      </c>
      <c r="K216">
        <f t="shared" si="277"/>
        <v>1</v>
      </c>
      <c r="L216">
        <v>1</v>
      </c>
      <c r="M216">
        <f t="shared" si="259"/>
        <v>0</v>
      </c>
      <c r="N216">
        <f t="shared" si="260"/>
        <v>0</v>
      </c>
      <c r="O216">
        <f t="shared" si="261"/>
        <v>1</v>
      </c>
      <c r="P216">
        <f t="shared" si="262"/>
        <v>0</v>
      </c>
      <c r="Q216">
        <f t="shared" si="263"/>
        <v>0</v>
      </c>
      <c r="R216" s="1" t="str">
        <f t="shared" si="264"/>
        <v>过热</v>
      </c>
      <c r="S216">
        <f t="shared" si="265"/>
        <v>1</v>
      </c>
      <c r="T216">
        <f t="shared" si="266"/>
        <v>0</v>
      </c>
      <c r="U216">
        <f t="shared" si="267"/>
        <v>0</v>
      </c>
      <c r="V216">
        <f t="shared" si="268"/>
        <v>0</v>
      </c>
      <c r="W216" s="1" t="str">
        <f t="shared" si="269"/>
        <v>复苏</v>
      </c>
      <c r="X216">
        <f t="shared" si="270"/>
        <v>0</v>
      </c>
      <c r="Y216">
        <f t="shared" si="271"/>
        <v>1</v>
      </c>
      <c r="Z216">
        <f t="shared" si="272"/>
        <v>0</v>
      </c>
      <c r="AA216">
        <f t="shared" si="273"/>
        <v>0</v>
      </c>
      <c r="AB216" s="1" t="str">
        <f t="shared" si="274"/>
        <v>过热</v>
      </c>
    </row>
    <row r="217" spans="1:28" x14ac:dyDescent="0.35">
      <c r="A217" s="19">
        <v>43799</v>
      </c>
      <c r="B217" s="17">
        <v>6.2</v>
      </c>
      <c r="C217" s="17">
        <v>4.5</v>
      </c>
      <c r="D217" s="17">
        <v>-1.4</v>
      </c>
      <c r="E217" s="17">
        <f t="shared" si="257"/>
        <v>2.1399999999999997</v>
      </c>
      <c r="F217">
        <v>1</v>
      </c>
      <c r="G217">
        <f t="shared" ref="G217:K217" si="278">IF(F217=1,0,1)</f>
        <v>0</v>
      </c>
      <c r="H217">
        <v>1</v>
      </c>
      <c r="I217">
        <f t="shared" si="278"/>
        <v>0</v>
      </c>
      <c r="J217">
        <v>1</v>
      </c>
      <c r="K217">
        <f t="shared" si="278"/>
        <v>0</v>
      </c>
      <c r="L217">
        <v>1</v>
      </c>
      <c r="M217">
        <f t="shared" si="259"/>
        <v>0</v>
      </c>
      <c r="N217">
        <f t="shared" si="260"/>
        <v>0</v>
      </c>
      <c r="O217">
        <f t="shared" si="261"/>
        <v>1</v>
      </c>
      <c r="P217">
        <f t="shared" si="262"/>
        <v>0</v>
      </c>
      <c r="Q217">
        <f t="shared" si="263"/>
        <v>0</v>
      </c>
      <c r="R217" s="1" t="str">
        <f t="shared" si="264"/>
        <v>过热</v>
      </c>
      <c r="S217">
        <f t="shared" si="265"/>
        <v>0</v>
      </c>
      <c r="T217">
        <f t="shared" si="266"/>
        <v>1</v>
      </c>
      <c r="U217">
        <f t="shared" si="267"/>
        <v>0</v>
      </c>
      <c r="V217">
        <f t="shared" si="268"/>
        <v>0</v>
      </c>
      <c r="W217" s="1" t="str">
        <f t="shared" si="269"/>
        <v>过热</v>
      </c>
      <c r="X217">
        <f t="shared" si="270"/>
        <v>0</v>
      </c>
      <c r="Y217">
        <f t="shared" si="271"/>
        <v>1</v>
      </c>
      <c r="Z217">
        <f t="shared" si="272"/>
        <v>0</v>
      </c>
      <c r="AA217">
        <f t="shared" si="273"/>
        <v>0</v>
      </c>
      <c r="AB217" s="1" t="str">
        <f t="shared" si="274"/>
        <v>过热</v>
      </c>
    </row>
    <row r="218" spans="1:28" x14ac:dyDescent="0.35">
      <c r="A218" s="19">
        <v>43830</v>
      </c>
      <c r="B218" s="17">
        <v>6.9</v>
      </c>
      <c r="C218" s="17">
        <v>4.5</v>
      </c>
      <c r="D218" s="17">
        <v>-0.5</v>
      </c>
      <c r="E218" s="17">
        <f t="shared" si="257"/>
        <v>2.4999999999999996</v>
      </c>
      <c r="F218">
        <v>1</v>
      </c>
      <c r="G218">
        <f t="shared" ref="G218:K218" si="279">IF(F218=1,0,1)</f>
        <v>0</v>
      </c>
      <c r="H218">
        <v>1</v>
      </c>
      <c r="I218">
        <f t="shared" si="279"/>
        <v>0</v>
      </c>
      <c r="J218">
        <v>1</v>
      </c>
      <c r="K218">
        <f t="shared" si="279"/>
        <v>0</v>
      </c>
      <c r="L218">
        <v>1</v>
      </c>
      <c r="M218">
        <f t="shared" si="259"/>
        <v>0</v>
      </c>
      <c r="N218">
        <f t="shared" si="260"/>
        <v>0</v>
      </c>
      <c r="O218">
        <f t="shared" si="261"/>
        <v>1</v>
      </c>
      <c r="P218">
        <f t="shared" si="262"/>
        <v>0</v>
      </c>
      <c r="Q218">
        <f t="shared" si="263"/>
        <v>0</v>
      </c>
      <c r="R218" s="1" t="str">
        <f t="shared" si="264"/>
        <v>过热</v>
      </c>
      <c r="S218">
        <f t="shared" si="265"/>
        <v>0</v>
      </c>
      <c r="T218">
        <f t="shared" si="266"/>
        <v>1</v>
      </c>
      <c r="U218">
        <f t="shared" si="267"/>
        <v>0</v>
      </c>
      <c r="V218">
        <f t="shared" si="268"/>
        <v>0</v>
      </c>
      <c r="W218" s="1" t="str">
        <f t="shared" si="269"/>
        <v>过热</v>
      </c>
      <c r="X218">
        <f t="shared" si="270"/>
        <v>0</v>
      </c>
      <c r="Y218">
        <f t="shared" si="271"/>
        <v>1</v>
      </c>
      <c r="Z218">
        <f t="shared" si="272"/>
        <v>0</v>
      </c>
      <c r="AA218">
        <f t="shared" si="273"/>
        <v>0</v>
      </c>
      <c r="AB218" s="1" t="str">
        <f t="shared" si="274"/>
        <v>过热</v>
      </c>
    </row>
    <row r="219" spans="1:28" x14ac:dyDescent="0.35">
      <c r="A219" s="19">
        <v>43890</v>
      </c>
      <c r="B219" s="17">
        <v>-13.5</v>
      </c>
      <c r="C219" s="17">
        <v>5.3</v>
      </c>
      <c r="D219" s="17">
        <v>-0.2</v>
      </c>
      <c r="E219" s="17">
        <f t="shared" si="257"/>
        <v>3.0999999999999996</v>
      </c>
      <c r="F219">
        <v>1</v>
      </c>
      <c r="G219">
        <f t="shared" ref="G219:K219" si="280">IF(F219=1,0,1)</f>
        <v>0</v>
      </c>
      <c r="H219">
        <v>1</v>
      </c>
      <c r="I219">
        <f t="shared" si="280"/>
        <v>0</v>
      </c>
      <c r="J219">
        <v>1</v>
      </c>
      <c r="K219">
        <f t="shared" si="280"/>
        <v>0</v>
      </c>
      <c r="L219">
        <v>1</v>
      </c>
      <c r="M219">
        <f t="shared" si="259"/>
        <v>0</v>
      </c>
      <c r="N219">
        <f t="shared" si="260"/>
        <v>0</v>
      </c>
      <c r="O219">
        <f t="shared" si="261"/>
        <v>1</v>
      </c>
      <c r="P219">
        <f t="shared" si="262"/>
        <v>0</v>
      </c>
      <c r="Q219">
        <f t="shared" si="263"/>
        <v>0</v>
      </c>
      <c r="R219" s="1" t="str">
        <f t="shared" si="264"/>
        <v>过热</v>
      </c>
      <c r="S219">
        <f t="shared" si="265"/>
        <v>0</v>
      </c>
      <c r="T219">
        <f t="shared" si="266"/>
        <v>1</v>
      </c>
      <c r="U219">
        <f t="shared" si="267"/>
        <v>0</v>
      </c>
      <c r="V219">
        <f t="shared" si="268"/>
        <v>0</v>
      </c>
      <c r="W219" s="1" t="str">
        <f t="shared" si="269"/>
        <v>过热</v>
      </c>
      <c r="X219">
        <f t="shared" si="270"/>
        <v>0</v>
      </c>
      <c r="Y219">
        <f t="shared" si="271"/>
        <v>1</v>
      </c>
      <c r="Z219">
        <f t="shared" si="272"/>
        <v>0</v>
      </c>
      <c r="AA219">
        <f t="shared" si="273"/>
        <v>0</v>
      </c>
      <c r="AB219" s="1" t="str">
        <f t="shared" si="274"/>
        <v>过热</v>
      </c>
    </row>
    <row r="220" spans="1:28" x14ac:dyDescent="0.35">
      <c r="A220" s="19">
        <v>43921</v>
      </c>
      <c r="B220" s="17">
        <v>-1.1000000000000001</v>
      </c>
      <c r="C220" s="17">
        <v>4.3</v>
      </c>
      <c r="D220" s="17">
        <v>-1.5</v>
      </c>
      <c r="E220" s="17">
        <f t="shared" si="257"/>
        <v>1.9799999999999995</v>
      </c>
      <c r="F220">
        <v>1</v>
      </c>
      <c r="G220">
        <f t="shared" ref="G220:K220" si="281">IF(F220=1,0,1)</f>
        <v>0</v>
      </c>
      <c r="H220">
        <v>0</v>
      </c>
      <c r="I220">
        <f t="shared" si="281"/>
        <v>1</v>
      </c>
      <c r="J220">
        <v>0</v>
      </c>
      <c r="K220">
        <f t="shared" si="281"/>
        <v>1</v>
      </c>
      <c r="L220">
        <v>0</v>
      </c>
      <c r="M220">
        <f t="shared" si="259"/>
        <v>1</v>
      </c>
      <c r="N220">
        <f t="shared" si="260"/>
        <v>1</v>
      </c>
      <c r="O220">
        <f t="shared" si="261"/>
        <v>0</v>
      </c>
      <c r="P220">
        <f t="shared" si="262"/>
        <v>0</v>
      </c>
      <c r="Q220">
        <f t="shared" si="263"/>
        <v>0</v>
      </c>
      <c r="R220" s="1" t="str">
        <f t="shared" si="264"/>
        <v>复苏</v>
      </c>
      <c r="S220">
        <f t="shared" si="265"/>
        <v>1</v>
      </c>
      <c r="T220">
        <f t="shared" si="266"/>
        <v>0</v>
      </c>
      <c r="U220">
        <f t="shared" si="267"/>
        <v>0</v>
      </c>
      <c r="V220">
        <f t="shared" si="268"/>
        <v>0</v>
      </c>
      <c r="W220" s="1" t="str">
        <f t="shared" si="269"/>
        <v>复苏</v>
      </c>
      <c r="X220">
        <f t="shared" si="270"/>
        <v>1</v>
      </c>
      <c r="Y220">
        <f t="shared" si="271"/>
        <v>0</v>
      </c>
      <c r="Z220">
        <f t="shared" si="272"/>
        <v>0</v>
      </c>
      <c r="AA220">
        <f t="shared" si="273"/>
        <v>0</v>
      </c>
      <c r="AB220" s="1" t="str">
        <f t="shared" si="274"/>
        <v>复苏</v>
      </c>
    </row>
    <row r="221" spans="1:28" x14ac:dyDescent="0.35">
      <c r="A221" s="19">
        <v>43951</v>
      </c>
      <c r="B221" s="17">
        <v>3.9</v>
      </c>
      <c r="C221" s="17">
        <v>3.3</v>
      </c>
      <c r="D221" s="17">
        <v>-3.1</v>
      </c>
      <c r="E221" s="17">
        <f t="shared" si="257"/>
        <v>0.73999999999999955</v>
      </c>
      <c r="F221">
        <v>1</v>
      </c>
      <c r="G221">
        <f t="shared" ref="G221:K221" si="282">IF(F221=1,0,1)</f>
        <v>0</v>
      </c>
      <c r="H221">
        <v>0</v>
      </c>
      <c r="I221">
        <f t="shared" si="282"/>
        <v>1</v>
      </c>
      <c r="J221">
        <v>0</v>
      </c>
      <c r="K221">
        <f t="shared" si="282"/>
        <v>1</v>
      </c>
      <c r="L221">
        <v>0</v>
      </c>
      <c r="M221">
        <f t="shared" si="259"/>
        <v>1</v>
      </c>
      <c r="N221">
        <f t="shared" si="260"/>
        <v>1</v>
      </c>
      <c r="O221">
        <f t="shared" si="261"/>
        <v>0</v>
      </c>
      <c r="P221">
        <f t="shared" si="262"/>
        <v>0</v>
      </c>
      <c r="Q221">
        <f t="shared" si="263"/>
        <v>0</v>
      </c>
      <c r="R221" s="1" t="str">
        <f t="shared" si="264"/>
        <v>复苏</v>
      </c>
      <c r="S221">
        <f t="shared" si="265"/>
        <v>1</v>
      </c>
      <c r="T221">
        <f t="shared" si="266"/>
        <v>0</v>
      </c>
      <c r="U221">
        <f t="shared" si="267"/>
        <v>0</v>
      </c>
      <c r="V221">
        <f t="shared" si="268"/>
        <v>0</v>
      </c>
      <c r="W221" s="1" t="str">
        <f t="shared" si="269"/>
        <v>复苏</v>
      </c>
      <c r="X221">
        <f t="shared" si="270"/>
        <v>1</v>
      </c>
      <c r="Y221">
        <f t="shared" si="271"/>
        <v>0</v>
      </c>
      <c r="Z221">
        <f t="shared" si="272"/>
        <v>0</v>
      </c>
      <c r="AA221">
        <f t="shared" si="273"/>
        <v>0</v>
      </c>
      <c r="AB221" s="1" t="str">
        <f t="shared" si="274"/>
        <v>复苏</v>
      </c>
    </row>
    <row r="222" spans="1:28" x14ac:dyDescent="0.35">
      <c r="A222" s="19">
        <v>43982</v>
      </c>
      <c r="B222" s="17">
        <v>4.4000000000000004</v>
      </c>
      <c r="C222" s="17">
        <v>2.4</v>
      </c>
      <c r="D222" s="17">
        <v>-3.7</v>
      </c>
      <c r="E222" s="17">
        <f t="shared" si="257"/>
        <v>-4.0000000000000258E-2</v>
      </c>
      <c r="F222">
        <v>1</v>
      </c>
      <c r="G222">
        <f t="shared" ref="G222:K222" si="283">IF(F222=1,0,1)</f>
        <v>0</v>
      </c>
      <c r="H222">
        <v>0</v>
      </c>
      <c r="I222">
        <f t="shared" si="283"/>
        <v>1</v>
      </c>
      <c r="J222">
        <v>0</v>
      </c>
      <c r="K222">
        <f t="shared" si="283"/>
        <v>1</v>
      </c>
      <c r="L222">
        <v>0</v>
      </c>
      <c r="M222">
        <f t="shared" si="259"/>
        <v>1</v>
      </c>
      <c r="N222">
        <f t="shared" si="260"/>
        <v>1</v>
      </c>
      <c r="O222">
        <f t="shared" si="261"/>
        <v>0</v>
      </c>
      <c r="P222">
        <f t="shared" si="262"/>
        <v>0</v>
      </c>
      <c r="Q222">
        <f t="shared" si="263"/>
        <v>0</v>
      </c>
      <c r="R222" s="1" t="str">
        <f t="shared" si="264"/>
        <v>复苏</v>
      </c>
      <c r="S222">
        <f t="shared" si="265"/>
        <v>1</v>
      </c>
      <c r="T222">
        <f t="shared" si="266"/>
        <v>0</v>
      </c>
      <c r="U222">
        <f t="shared" si="267"/>
        <v>0</v>
      </c>
      <c r="V222">
        <f t="shared" si="268"/>
        <v>0</v>
      </c>
      <c r="W222" s="1" t="str">
        <f t="shared" si="269"/>
        <v>复苏</v>
      </c>
      <c r="X222">
        <f t="shared" si="270"/>
        <v>1</v>
      </c>
      <c r="Y222">
        <f t="shared" si="271"/>
        <v>0</v>
      </c>
      <c r="Z222">
        <f t="shared" si="272"/>
        <v>0</v>
      </c>
      <c r="AA222">
        <f t="shared" si="273"/>
        <v>0</v>
      </c>
      <c r="AB222" s="1" t="str">
        <f t="shared" si="274"/>
        <v>复苏</v>
      </c>
    </row>
    <row r="223" spans="1:28" x14ac:dyDescent="0.35">
      <c r="A223" s="19">
        <v>44012</v>
      </c>
      <c r="B223" s="17">
        <v>4.8</v>
      </c>
      <c r="C223" s="17">
        <v>2.5</v>
      </c>
      <c r="D223" s="17">
        <v>-3</v>
      </c>
      <c r="E223" s="17">
        <f t="shared" si="257"/>
        <v>0.29999999999999982</v>
      </c>
      <c r="F223">
        <v>1</v>
      </c>
      <c r="G223">
        <f t="shared" ref="G223:K223" si="284">IF(F223=1,0,1)</f>
        <v>0</v>
      </c>
      <c r="H223">
        <v>0</v>
      </c>
      <c r="I223">
        <f t="shared" si="284"/>
        <v>1</v>
      </c>
      <c r="J223">
        <v>1</v>
      </c>
      <c r="K223">
        <f t="shared" si="284"/>
        <v>0</v>
      </c>
      <c r="L223">
        <v>0</v>
      </c>
      <c r="M223">
        <f t="shared" si="259"/>
        <v>1</v>
      </c>
      <c r="N223">
        <f t="shared" si="260"/>
        <v>1</v>
      </c>
      <c r="O223">
        <f t="shared" si="261"/>
        <v>0</v>
      </c>
      <c r="P223">
        <f t="shared" si="262"/>
        <v>0</v>
      </c>
      <c r="Q223">
        <f t="shared" si="263"/>
        <v>0</v>
      </c>
      <c r="R223" s="1" t="str">
        <f t="shared" si="264"/>
        <v>复苏</v>
      </c>
      <c r="S223">
        <f t="shared" si="265"/>
        <v>0</v>
      </c>
      <c r="T223">
        <f t="shared" si="266"/>
        <v>1</v>
      </c>
      <c r="U223">
        <f t="shared" si="267"/>
        <v>0</v>
      </c>
      <c r="V223">
        <f t="shared" si="268"/>
        <v>0</v>
      </c>
      <c r="W223" s="1" t="str">
        <f t="shared" si="269"/>
        <v>过热</v>
      </c>
      <c r="X223">
        <f t="shared" si="270"/>
        <v>1</v>
      </c>
      <c r="Y223">
        <f t="shared" si="271"/>
        <v>0</v>
      </c>
      <c r="Z223">
        <f t="shared" si="272"/>
        <v>0</v>
      </c>
      <c r="AA223">
        <f t="shared" si="273"/>
        <v>0</v>
      </c>
      <c r="AB223" s="1" t="str">
        <f t="shared" si="274"/>
        <v>复苏</v>
      </c>
    </row>
    <row r="224" spans="1:28" x14ac:dyDescent="0.35">
      <c r="A224" s="19">
        <v>44043</v>
      </c>
      <c r="B224" s="17">
        <v>4.8</v>
      </c>
      <c r="C224" s="17">
        <v>2.7</v>
      </c>
      <c r="D224" s="17">
        <v>-2.4</v>
      </c>
      <c r="E224" s="17">
        <f t="shared" si="257"/>
        <v>0.66000000000000014</v>
      </c>
      <c r="F224">
        <v>1</v>
      </c>
      <c r="G224">
        <f t="shared" ref="G224:K224" si="285">IF(F224=1,0,1)</f>
        <v>0</v>
      </c>
      <c r="H224">
        <v>0</v>
      </c>
      <c r="I224">
        <f t="shared" si="285"/>
        <v>1</v>
      </c>
      <c r="J224">
        <v>1</v>
      </c>
      <c r="K224">
        <f t="shared" si="285"/>
        <v>0</v>
      </c>
      <c r="L224">
        <v>0</v>
      </c>
      <c r="M224">
        <f t="shared" si="259"/>
        <v>1</v>
      </c>
      <c r="N224">
        <f t="shared" si="260"/>
        <v>1</v>
      </c>
      <c r="O224">
        <f t="shared" si="261"/>
        <v>0</v>
      </c>
      <c r="P224">
        <f t="shared" si="262"/>
        <v>0</v>
      </c>
      <c r="Q224">
        <f t="shared" si="263"/>
        <v>0</v>
      </c>
      <c r="R224" s="1" t="str">
        <f t="shared" si="264"/>
        <v>复苏</v>
      </c>
      <c r="S224">
        <f t="shared" si="265"/>
        <v>0</v>
      </c>
      <c r="T224">
        <f t="shared" si="266"/>
        <v>1</v>
      </c>
      <c r="U224">
        <f t="shared" si="267"/>
        <v>0</v>
      </c>
      <c r="V224">
        <f t="shared" si="268"/>
        <v>0</v>
      </c>
      <c r="W224" s="1" t="str">
        <f t="shared" si="269"/>
        <v>过热</v>
      </c>
      <c r="X224">
        <f t="shared" si="270"/>
        <v>1</v>
      </c>
      <c r="Y224">
        <f t="shared" si="271"/>
        <v>0</v>
      </c>
      <c r="Z224">
        <f t="shared" si="272"/>
        <v>0</v>
      </c>
      <c r="AA224">
        <f t="shared" si="273"/>
        <v>0</v>
      </c>
      <c r="AB224" s="1" t="str">
        <f t="shared" si="274"/>
        <v>复苏</v>
      </c>
    </row>
    <row r="225" spans="1:28" x14ac:dyDescent="0.35">
      <c r="A225" s="19">
        <v>44074</v>
      </c>
      <c r="B225" s="17">
        <v>5.6</v>
      </c>
      <c r="C225" s="17">
        <v>2.4</v>
      </c>
      <c r="D225" s="17">
        <v>-2</v>
      </c>
      <c r="E225" s="17">
        <f t="shared" si="257"/>
        <v>0.6399999999999999</v>
      </c>
      <c r="F225">
        <v>1</v>
      </c>
      <c r="G225">
        <f t="shared" ref="G225:K225" si="286">IF(F225=1,0,1)</f>
        <v>0</v>
      </c>
      <c r="H225">
        <v>0</v>
      </c>
      <c r="I225">
        <f t="shared" si="286"/>
        <v>1</v>
      </c>
      <c r="J225">
        <v>1</v>
      </c>
      <c r="K225">
        <f t="shared" si="286"/>
        <v>0</v>
      </c>
      <c r="L225">
        <v>0</v>
      </c>
      <c r="M225">
        <f t="shared" si="259"/>
        <v>1</v>
      </c>
      <c r="N225">
        <f t="shared" si="260"/>
        <v>1</v>
      </c>
      <c r="O225">
        <f t="shared" si="261"/>
        <v>0</v>
      </c>
      <c r="P225">
        <f t="shared" si="262"/>
        <v>0</v>
      </c>
      <c r="Q225">
        <f t="shared" si="263"/>
        <v>0</v>
      </c>
      <c r="R225" s="1" t="str">
        <f t="shared" si="264"/>
        <v>复苏</v>
      </c>
      <c r="S225">
        <f t="shared" si="265"/>
        <v>0</v>
      </c>
      <c r="T225">
        <f t="shared" si="266"/>
        <v>1</v>
      </c>
      <c r="U225">
        <f t="shared" si="267"/>
        <v>0</v>
      </c>
      <c r="V225">
        <f t="shared" si="268"/>
        <v>0</v>
      </c>
      <c r="W225" s="1" t="str">
        <f t="shared" si="269"/>
        <v>过热</v>
      </c>
      <c r="X225">
        <f t="shared" si="270"/>
        <v>1</v>
      </c>
      <c r="Y225">
        <f t="shared" si="271"/>
        <v>0</v>
      </c>
      <c r="Z225">
        <f t="shared" si="272"/>
        <v>0</v>
      </c>
      <c r="AA225">
        <f t="shared" si="273"/>
        <v>0</v>
      </c>
      <c r="AB225" s="1" t="str">
        <f t="shared" si="274"/>
        <v>复苏</v>
      </c>
    </row>
    <row r="226" spans="1:28" x14ac:dyDescent="0.35">
      <c r="A226" s="19">
        <v>44104</v>
      </c>
      <c r="B226" s="17">
        <v>6.9</v>
      </c>
      <c r="C226" s="17">
        <v>1.7</v>
      </c>
      <c r="D226" s="17">
        <v>-2.1</v>
      </c>
      <c r="E226" s="17">
        <f t="shared" si="257"/>
        <v>0.17999999999999994</v>
      </c>
      <c r="F226">
        <v>1</v>
      </c>
      <c r="G226">
        <f t="shared" ref="G226:K226" si="287">IF(F226=1,0,1)</f>
        <v>0</v>
      </c>
      <c r="H226">
        <v>0</v>
      </c>
      <c r="I226">
        <f t="shared" si="287"/>
        <v>1</v>
      </c>
      <c r="J226">
        <v>1</v>
      </c>
      <c r="K226">
        <f t="shared" si="287"/>
        <v>0</v>
      </c>
      <c r="L226">
        <v>0</v>
      </c>
      <c r="M226">
        <f t="shared" si="259"/>
        <v>1</v>
      </c>
      <c r="N226">
        <f t="shared" si="260"/>
        <v>1</v>
      </c>
      <c r="O226">
        <f t="shared" si="261"/>
        <v>0</v>
      </c>
      <c r="P226">
        <f t="shared" si="262"/>
        <v>0</v>
      </c>
      <c r="Q226">
        <f t="shared" si="263"/>
        <v>0</v>
      </c>
      <c r="R226" s="1" t="str">
        <f t="shared" si="264"/>
        <v>复苏</v>
      </c>
      <c r="S226">
        <f t="shared" si="265"/>
        <v>0</v>
      </c>
      <c r="T226">
        <f t="shared" si="266"/>
        <v>1</v>
      </c>
      <c r="U226">
        <f t="shared" si="267"/>
        <v>0</v>
      </c>
      <c r="V226">
        <f t="shared" si="268"/>
        <v>0</v>
      </c>
      <c r="W226" s="1" t="str">
        <f t="shared" si="269"/>
        <v>过热</v>
      </c>
      <c r="X226">
        <f t="shared" si="270"/>
        <v>1</v>
      </c>
      <c r="Y226">
        <f t="shared" si="271"/>
        <v>0</v>
      </c>
      <c r="Z226">
        <f t="shared" si="272"/>
        <v>0</v>
      </c>
      <c r="AA226">
        <f t="shared" si="273"/>
        <v>0</v>
      </c>
      <c r="AB226" s="1" t="str">
        <f t="shared" si="274"/>
        <v>复苏</v>
      </c>
    </row>
    <row r="227" spans="1:28" x14ac:dyDescent="0.35">
      <c r="A227" s="19">
        <v>44135</v>
      </c>
      <c r="B227" s="17">
        <v>6.9</v>
      </c>
      <c r="C227" s="17">
        <v>0.5</v>
      </c>
      <c r="D227" s="17">
        <v>-2.1</v>
      </c>
      <c r="E227" s="17">
        <f t="shared" si="257"/>
        <v>-0.54</v>
      </c>
      <c r="F227">
        <v>1</v>
      </c>
      <c r="G227">
        <f t="shared" ref="G227:K227" si="288">IF(F227=1,0,1)</f>
        <v>0</v>
      </c>
      <c r="H227">
        <v>0</v>
      </c>
      <c r="I227">
        <f t="shared" si="288"/>
        <v>1</v>
      </c>
      <c r="J227">
        <v>1</v>
      </c>
      <c r="K227">
        <f t="shared" si="288"/>
        <v>0</v>
      </c>
      <c r="L227">
        <v>0</v>
      </c>
      <c r="M227">
        <f t="shared" si="259"/>
        <v>1</v>
      </c>
      <c r="N227">
        <f t="shared" si="260"/>
        <v>1</v>
      </c>
      <c r="O227">
        <f t="shared" si="261"/>
        <v>0</v>
      </c>
      <c r="P227">
        <f t="shared" si="262"/>
        <v>0</v>
      </c>
      <c r="Q227">
        <f t="shared" si="263"/>
        <v>0</v>
      </c>
      <c r="R227" s="1" t="str">
        <f t="shared" si="264"/>
        <v>复苏</v>
      </c>
      <c r="S227">
        <f t="shared" si="265"/>
        <v>0</v>
      </c>
      <c r="T227">
        <f t="shared" si="266"/>
        <v>1</v>
      </c>
      <c r="U227">
        <f t="shared" si="267"/>
        <v>0</v>
      </c>
      <c r="V227">
        <f t="shared" si="268"/>
        <v>0</v>
      </c>
      <c r="W227" s="1" t="str">
        <f t="shared" si="269"/>
        <v>过热</v>
      </c>
      <c r="X227">
        <f t="shared" si="270"/>
        <v>1</v>
      </c>
      <c r="Y227">
        <f t="shared" si="271"/>
        <v>0</v>
      </c>
      <c r="Z227">
        <f t="shared" si="272"/>
        <v>0</v>
      </c>
      <c r="AA227">
        <f t="shared" si="273"/>
        <v>0</v>
      </c>
      <c r="AB227" s="1" t="str">
        <f t="shared" si="274"/>
        <v>复苏</v>
      </c>
    </row>
    <row r="228" spans="1:28" x14ac:dyDescent="0.35">
      <c r="A228" s="19">
        <v>44165</v>
      </c>
      <c r="B228" s="17">
        <v>7</v>
      </c>
      <c r="C228" s="17">
        <v>-0.5</v>
      </c>
      <c r="D228" s="17">
        <v>-1.5</v>
      </c>
      <c r="E228" s="17">
        <f t="shared" si="257"/>
        <v>-0.90000000000000013</v>
      </c>
      <c r="F228">
        <v>1</v>
      </c>
      <c r="G228">
        <f t="shared" ref="G228:K228" si="289">IF(F228=1,0,1)</f>
        <v>0</v>
      </c>
      <c r="H228">
        <v>0</v>
      </c>
      <c r="I228">
        <f t="shared" si="289"/>
        <v>1</v>
      </c>
      <c r="J228">
        <v>1</v>
      </c>
      <c r="K228">
        <f t="shared" si="289"/>
        <v>0</v>
      </c>
      <c r="L228">
        <v>0</v>
      </c>
      <c r="M228">
        <f t="shared" si="259"/>
        <v>1</v>
      </c>
      <c r="N228">
        <f t="shared" si="260"/>
        <v>1</v>
      </c>
      <c r="O228">
        <f t="shared" si="261"/>
        <v>0</v>
      </c>
      <c r="P228">
        <f t="shared" si="262"/>
        <v>0</v>
      </c>
      <c r="Q228">
        <f t="shared" si="263"/>
        <v>0</v>
      </c>
      <c r="R228" s="1" t="str">
        <f t="shared" si="264"/>
        <v>复苏</v>
      </c>
      <c r="S228">
        <f t="shared" si="265"/>
        <v>0</v>
      </c>
      <c r="T228">
        <f t="shared" si="266"/>
        <v>1</v>
      </c>
      <c r="U228">
        <f t="shared" si="267"/>
        <v>0</v>
      </c>
      <c r="V228">
        <f t="shared" si="268"/>
        <v>0</v>
      </c>
      <c r="W228" s="1" t="str">
        <f t="shared" si="269"/>
        <v>过热</v>
      </c>
      <c r="X228">
        <f t="shared" si="270"/>
        <v>1</v>
      </c>
      <c r="Y228">
        <f t="shared" si="271"/>
        <v>0</v>
      </c>
      <c r="Z228">
        <f t="shared" si="272"/>
        <v>0</v>
      </c>
      <c r="AA228">
        <f t="shared" si="273"/>
        <v>0</v>
      </c>
      <c r="AB228" s="1" t="str">
        <f t="shared" si="274"/>
        <v>复苏</v>
      </c>
    </row>
    <row r="229" spans="1:28" x14ac:dyDescent="0.35">
      <c r="A229" s="19">
        <v>44196</v>
      </c>
      <c r="B229" s="17">
        <v>7.3</v>
      </c>
      <c r="C229" s="17">
        <v>0.2</v>
      </c>
      <c r="D229" s="17">
        <v>-0.4</v>
      </c>
      <c r="E229" s="17">
        <f t="shared" si="257"/>
        <v>-4.0000000000000036E-2</v>
      </c>
      <c r="F229">
        <v>1</v>
      </c>
      <c r="G229">
        <f t="shared" ref="G229:K229" si="290">IF(F229=1,0,1)</f>
        <v>0</v>
      </c>
      <c r="H229">
        <v>1</v>
      </c>
      <c r="I229">
        <f t="shared" si="290"/>
        <v>0</v>
      </c>
      <c r="J229">
        <v>1</v>
      </c>
      <c r="K229">
        <f t="shared" si="290"/>
        <v>0</v>
      </c>
      <c r="L229">
        <v>1</v>
      </c>
      <c r="M229">
        <f t="shared" si="259"/>
        <v>0</v>
      </c>
      <c r="N229">
        <f t="shared" si="260"/>
        <v>0</v>
      </c>
      <c r="O229">
        <f t="shared" si="261"/>
        <v>1</v>
      </c>
      <c r="P229">
        <f t="shared" si="262"/>
        <v>0</v>
      </c>
      <c r="Q229">
        <f t="shared" si="263"/>
        <v>0</v>
      </c>
      <c r="R229" s="1" t="str">
        <f t="shared" si="264"/>
        <v>过热</v>
      </c>
      <c r="S229">
        <f t="shared" si="265"/>
        <v>0</v>
      </c>
      <c r="T229">
        <f t="shared" si="266"/>
        <v>1</v>
      </c>
      <c r="U229">
        <f t="shared" si="267"/>
        <v>0</v>
      </c>
      <c r="V229">
        <f t="shared" si="268"/>
        <v>0</v>
      </c>
      <c r="W229" s="1" t="str">
        <f t="shared" si="269"/>
        <v>过热</v>
      </c>
      <c r="X229">
        <f t="shared" si="270"/>
        <v>0</v>
      </c>
      <c r="Y229">
        <f t="shared" si="271"/>
        <v>1</v>
      </c>
      <c r="Z229">
        <f t="shared" si="272"/>
        <v>0</v>
      </c>
      <c r="AA229">
        <f t="shared" si="273"/>
        <v>0</v>
      </c>
      <c r="AB229" s="1" t="str">
        <f t="shared" si="274"/>
        <v>过热</v>
      </c>
    </row>
    <row r="230" spans="1:28" x14ac:dyDescent="0.35">
      <c r="A230" s="19">
        <v>44255</v>
      </c>
      <c r="B230" s="17">
        <v>35.1</v>
      </c>
      <c r="C230" s="17">
        <v>-0.3</v>
      </c>
      <c r="D230" s="17">
        <v>1</v>
      </c>
      <c r="E230" s="17">
        <f t="shared" si="257"/>
        <v>0.22000000000000003</v>
      </c>
      <c r="F230">
        <v>1</v>
      </c>
      <c r="G230">
        <f t="shared" ref="G230:K230" si="291">IF(F230=1,0,1)</f>
        <v>0</v>
      </c>
      <c r="H230">
        <v>1</v>
      </c>
      <c r="I230">
        <f t="shared" si="291"/>
        <v>0</v>
      </c>
      <c r="J230">
        <v>1</v>
      </c>
      <c r="K230">
        <f t="shared" si="291"/>
        <v>0</v>
      </c>
      <c r="L230">
        <v>1</v>
      </c>
      <c r="M230">
        <f t="shared" si="259"/>
        <v>0</v>
      </c>
      <c r="N230">
        <f t="shared" si="260"/>
        <v>0</v>
      </c>
      <c r="O230">
        <f t="shared" si="261"/>
        <v>1</v>
      </c>
      <c r="P230">
        <f t="shared" si="262"/>
        <v>0</v>
      </c>
      <c r="Q230">
        <f t="shared" si="263"/>
        <v>0</v>
      </c>
      <c r="R230" s="1" t="str">
        <f t="shared" si="264"/>
        <v>过热</v>
      </c>
      <c r="S230">
        <f t="shared" si="265"/>
        <v>0</v>
      </c>
      <c r="T230">
        <f t="shared" si="266"/>
        <v>1</v>
      </c>
      <c r="U230">
        <f t="shared" si="267"/>
        <v>0</v>
      </c>
      <c r="V230">
        <f t="shared" si="268"/>
        <v>0</v>
      </c>
      <c r="W230" s="1" t="str">
        <f t="shared" si="269"/>
        <v>过热</v>
      </c>
      <c r="X230">
        <f t="shared" si="270"/>
        <v>0</v>
      </c>
      <c r="Y230">
        <f t="shared" si="271"/>
        <v>1</v>
      </c>
      <c r="Z230">
        <f t="shared" si="272"/>
        <v>0</v>
      </c>
      <c r="AA230">
        <f t="shared" si="273"/>
        <v>0</v>
      </c>
      <c r="AB230" s="1" t="str">
        <f t="shared" si="274"/>
        <v>过热</v>
      </c>
    </row>
    <row r="231" spans="1:28" x14ac:dyDescent="0.35">
      <c r="A231" s="19">
        <v>44286</v>
      </c>
      <c r="B231" s="17">
        <v>14.1</v>
      </c>
      <c r="C231" s="17">
        <v>0.4</v>
      </c>
      <c r="D231" s="17">
        <v>4.4000000000000004</v>
      </c>
      <c r="E231" s="17">
        <f t="shared" si="257"/>
        <v>2</v>
      </c>
      <c r="F231">
        <v>0</v>
      </c>
      <c r="G231">
        <f t="shared" ref="G231:K231" si="292">IF(F231=1,0,1)</f>
        <v>1</v>
      </c>
      <c r="H231">
        <v>1</v>
      </c>
      <c r="I231">
        <f t="shared" si="292"/>
        <v>0</v>
      </c>
      <c r="J231">
        <v>1</v>
      </c>
      <c r="K231">
        <f t="shared" si="292"/>
        <v>0</v>
      </c>
      <c r="L231">
        <v>1</v>
      </c>
      <c r="M231">
        <f t="shared" si="259"/>
        <v>0</v>
      </c>
      <c r="N231">
        <f t="shared" si="260"/>
        <v>0</v>
      </c>
      <c r="O231">
        <f t="shared" si="261"/>
        <v>0</v>
      </c>
      <c r="P231">
        <f t="shared" si="262"/>
        <v>1</v>
      </c>
      <c r="Q231">
        <f t="shared" si="263"/>
        <v>0</v>
      </c>
      <c r="R231" s="1" t="str">
        <f t="shared" si="264"/>
        <v>滞涨</v>
      </c>
      <c r="S231">
        <f t="shared" si="265"/>
        <v>0</v>
      </c>
      <c r="T231">
        <f t="shared" si="266"/>
        <v>0</v>
      </c>
      <c r="U231">
        <f t="shared" si="267"/>
        <v>1</v>
      </c>
      <c r="V231">
        <f t="shared" si="268"/>
        <v>0</v>
      </c>
      <c r="W231" s="1" t="str">
        <f t="shared" si="269"/>
        <v>滞涨</v>
      </c>
      <c r="X231">
        <f t="shared" si="270"/>
        <v>0</v>
      </c>
      <c r="Y231">
        <f t="shared" si="271"/>
        <v>0</v>
      </c>
      <c r="Z231">
        <f t="shared" si="272"/>
        <v>1</v>
      </c>
      <c r="AA231">
        <f t="shared" si="273"/>
        <v>0</v>
      </c>
      <c r="AB231" s="1" t="str">
        <f t="shared" si="274"/>
        <v>滞涨</v>
      </c>
    </row>
    <row r="232" spans="1:28" x14ac:dyDescent="0.35">
      <c r="A232" s="19">
        <v>44316</v>
      </c>
      <c r="B232" s="17">
        <v>9.8000000000000007</v>
      </c>
      <c r="C232" s="17">
        <v>0.9</v>
      </c>
      <c r="D232" s="17">
        <v>6.8</v>
      </c>
      <c r="E232" s="17">
        <f t="shared" si="257"/>
        <v>3.2600000000000002</v>
      </c>
      <c r="F232">
        <v>0</v>
      </c>
      <c r="G232">
        <f t="shared" ref="G232:K232" si="293">IF(F232=1,0,1)</f>
        <v>1</v>
      </c>
      <c r="H232">
        <v>1</v>
      </c>
      <c r="I232">
        <f t="shared" si="293"/>
        <v>0</v>
      </c>
      <c r="J232">
        <v>1</v>
      </c>
      <c r="K232">
        <f t="shared" si="293"/>
        <v>0</v>
      </c>
      <c r="L232">
        <v>1</v>
      </c>
      <c r="M232">
        <f t="shared" si="259"/>
        <v>0</v>
      </c>
      <c r="N232">
        <f t="shared" si="260"/>
        <v>0</v>
      </c>
      <c r="O232">
        <f t="shared" si="261"/>
        <v>0</v>
      </c>
      <c r="P232">
        <f t="shared" si="262"/>
        <v>1</v>
      </c>
      <c r="Q232">
        <f t="shared" si="263"/>
        <v>0</v>
      </c>
      <c r="R232" s="1" t="str">
        <f t="shared" si="264"/>
        <v>滞涨</v>
      </c>
      <c r="S232">
        <f t="shared" si="265"/>
        <v>0</v>
      </c>
      <c r="T232">
        <f t="shared" si="266"/>
        <v>0</v>
      </c>
      <c r="U232">
        <f t="shared" si="267"/>
        <v>1</v>
      </c>
      <c r="V232">
        <f t="shared" si="268"/>
        <v>0</v>
      </c>
      <c r="W232" s="1" t="str">
        <f t="shared" si="269"/>
        <v>滞涨</v>
      </c>
      <c r="X232">
        <f t="shared" si="270"/>
        <v>0</v>
      </c>
      <c r="Y232">
        <f t="shared" si="271"/>
        <v>0</v>
      </c>
      <c r="Z232">
        <f t="shared" si="272"/>
        <v>1</v>
      </c>
      <c r="AA232">
        <f t="shared" si="273"/>
        <v>0</v>
      </c>
      <c r="AB232" s="1" t="str">
        <f t="shared" si="274"/>
        <v>滞涨</v>
      </c>
    </row>
    <row r="233" spans="1:28" x14ac:dyDescent="0.35">
      <c r="A233" s="19">
        <v>44347</v>
      </c>
      <c r="B233" s="17">
        <v>8.8000000000000007</v>
      </c>
      <c r="C233" s="17">
        <v>1.3</v>
      </c>
      <c r="D233" s="17">
        <v>9</v>
      </c>
      <c r="E233" s="17">
        <f t="shared" si="257"/>
        <v>4.38</v>
      </c>
      <c r="F233">
        <v>0</v>
      </c>
      <c r="G233">
        <f t="shared" ref="G233:K233" si="294">IF(F233=1,0,1)</f>
        <v>1</v>
      </c>
      <c r="H233">
        <v>1</v>
      </c>
      <c r="I233">
        <f t="shared" si="294"/>
        <v>0</v>
      </c>
      <c r="J233">
        <v>1</v>
      </c>
      <c r="K233">
        <f t="shared" si="294"/>
        <v>0</v>
      </c>
      <c r="L233">
        <v>1</v>
      </c>
      <c r="M233">
        <f t="shared" si="259"/>
        <v>0</v>
      </c>
      <c r="N233">
        <f t="shared" si="260"/>
        <v>0</v>
      </c>
      <c r="O233">
        <f t="shared" si="261"/>
        <v>0</v>
      </c>
      <c r="P233">
        <f t="shared" si="262"/>
        <v>1</v>
      </c>
      <c r="Q233">
        <f t="shared" si="263"/>
        <v>0</v>
      </c>
      <c r="R233" s="1" t="str">
        <f t="shared" si="264"/>
        <v>滞涨</v>
      </c>
      <c r="S233">
        <f t="shared" si="265"/>
        <v>0</v>
      </c>
      <c r="T233">
        <f t="shared" si="266"/>
        <v>0</v>
      </c>
      <c r="U233">
        <f t="shared" si="267"/>
        <v>1</v>
      </c>
      <c r="V233">
        <f t="shared" si="268"/>
        <v>0</v>
      </c>
      <c r="W233" s="1" t="str">
        <f t="shared" si="269"/>
        <v>滞涨</v>
      </c>
      <c r="X233">
        <f t="shared" si="270"/>
        <v>0</v>
      </c>
      <c r="Y233">
        <f t="shared" si="271"/>
        <v>0</v>
      </c>
      <c r="Z233">
        <f t="shared" si="272"/>
        <v>1</v>
      </c>
      <c r="AA233">
        <f t="shared" si="273"/>
        <v>0</v>
      </c>
      <c r="AB233" s="1" t="str">
        <f t="shared" si="274"/>
        <v>滞涨</v>
      </c>
    </row>
    <row r="234" spans="1:28" x14ac:dyDescent="0.35">
      <c r="A234" s="19">
        <v>44377</v>
      </c>
      <c r="B234" s="17">
        <v>8.3000000000000007</v>
      </c>
      <c r="C234" s="17">
        <v>1.1000000000000001</v>
      </c>
      <c r="D234" s="17">
        <v>8.8000000000000007</v>
      </c>
      <c r="E234" s="17">
        <f t="shared" si="257"/>
        <v>4.1800000000000006</v>
      </c>
      <c r="F234">
        <v>0</v>
      </c>
      <c r="G234">
        <f t="shared" ref="G234:K234" si="295">IF(F234=1,0,1)</f>
        <v>1</v>
      </c>
      <c r="H234">
        <v>0</v>
      </c>
      <c r="I234">
        <f t="shared" si="295"/>
        <v>1</v>
      </c>
      <c r="J234">
        <v>1</v>
      </c>
      <c r="K234">
        <f t="shared" si="295"/>
        <v>0</v>
      </c>
      <c r="L234">
        <v>1</v>
      </c>
      <c r="M234">
        <f t="shared" si="259"/>
        <v>0</v>
      </c>
      <c r="N234">
        <f t="shared" si="260"/>
        <v>0</v>
      </c>
      <c r="O234">
        <f t="shared" si="261"/>
        <v>0</v>
      </c>
      <c r="P234">
        <f t="shared" si="262"/>
        <v>0</v>
      </c>
      <c r="Q234">
        <f t="shared" si="263"/>
        <v>1</v>
      </c>
      <c r="R234" s="1" t="str">
        <f t="shared" si="264"/>
        <v>衰退</v>
      </c>
      <c r="S234">
        <f t="shared" si="265"/>
        <v>0</v>
      </c>
      <c r="T234">
        <f t="shared" si="266"/>
        <v>0</v>
      </c>
      <c r="U234">
        <f t="shared" si="267"/>
        <v>1</v>
      </c>
      <c r="V234">
        <f t="shared" si="268"/>
        <v>0</v>
      </c>
      <c r="W234" s="1" t="str">
        <f t="shared" si="269"/>
        <v>滞涨</v>
      </c>
      <c r="X234">
        <f t="shared" si="270"/>
        <v>0</v>
      </c>
      <c r="Y234">
        <f t="shared" si="271"/>
        <v>0</v>
      </c>
      <c r="Z234">
        <f t="shared" si="272"/>
        <v>1</v>
      </c>
      <c r="AA234">
        <f t="shared" si="273"/>
        <v>0</v>
      </c>
      <c r="AB234" s="1" t="str">
        <f t="shared" si="274"/>
        <v>滞涨</v>
      </c>
    </row>
    <row r="235" spans="1:28" x14ac:dyDescent="0.35">
      <c r="A235" s="19">
        <v>44408</v>
      </c>
      <c r="B235" s="17">
        <v>6.4</v>
      </c>
      <c r="C235" s="17">
        <v>1</v>
      </c>
      <c r="D235" s="17">
        <v>9</v>
      </c>
      <c r="E235" s="17">
        <f t="shared" si="257"/>
        <v>4.2</v>
      </c>
      <c r="F235">
        <v>0</v>
      </c>
      <c r="G235">
        <f t="shared" ref="G235:K235" si="296">IF(F235=1,0,1)</f>
        <v>1</v>
      </c>
      <c r="H235">
        <v>0</v>
      </c>
      <c r="I235">
        <f t="shared" si="296"/>
        <v>1</v>
      </c>
      <c r="J235">
        <v>1</v>
      </c>
      <c r="K235">
        <f t="shared" si="296"/>
        <v>0</v>
      </c>
      <c r="L235">
        <v>1</v>
      </c>
      <c r="M235">
        <f t="shared" si="259"/>
        <v>0</v>
      </c>
      <c r="N235">
        <f t="shared" si="260"/>
        <v>0</v>
      </c>
      <c r="O235">
        <f t="shared" si="261"/>
        <v>0</v>
      </c>
      <c r="P235">
        <f t="shared" si="262"/>
        <v>0</v>
      </c>
      <c r="Q235">
        <f t="shared" si="263"/>
        <v>1</v>
      </c>
      <c r="R235" s="1" t="str">
        <f t="shared" si="264"/>
        <v>衰退</v>
      </c>
      <c r="S235">
        <f t="shared" si="265"/>
        <v>0</v>
      </c>
      <c r="T235">
        <f t="shared" si="266"/>
        <v>0</v>
      </c>
      <c r="U235">
        <f t="shared" si="267"/>
        <v>1</v>
      </c>
      <c r="V235">
        <f t="shared" si="268"/>
        <v>0</v>
      </c>
      <c r="W235" s="1" t="str">
        <f t="shared" si="269"/>
        <v>滞涨</v>
      </c>
      <c r="X235">
        <f t="shared" si="270"/>
        <v>0</v>
      </c>
      <c r="Y235">
        <f t="shared" si="271"/>
        <v>0</v>
      </c>
      <c r="Z235">
        <f t="shared" si="272"/>
        <v>1</v>
      </c>
      <c r="AA235">
        <f t="shared" si="273"/>
        <v>0</v>
      </c>
      <c r="AB235" s="1" t="str">
        <f t="shared" si="274"/>
        <v>滞涨</v>
      </c>
    </row>
    <row r="236" spans="1:28" x14ac:dyDescent="0.35">
      <c r="A236" s="19">
        <v>44439</v>
      </c>
      <c r="B236" s="17">
        <v>5.3</v>
      </c>
      <c r="C236" s="17">
        <v>0.8</v>
      </c>
      <c r="D236" s="17">
        <v>9.5</v>
      </c>
      <c r="E236" s="17">
        <f t="shared" si="257"/>
        <v>4.28</v>
      </c>
      <c r="F236">
        <v>0</v>
      </c>
      <c r="G236">
        <f t="shared" ref="G236:K236" si="297">IF(F236=1,0,1)</f>
        <v>1</v>
      </c>
      <c r="H236">
        <v>0</v>
      </c>
      <c r="I236">
        <f t="shared" si="297"/>
        <v>1</v>
      </c>
      <c r="J236">
        <v>1</v>
      </c>
      <c r="K236">
        <f t="shared" si="297"/>
        <v>0</v>
      </c>
      <c r="L236">
        <v>1</v>
      </c>
      <c r="M236">
        <f t="shared" si="259"/>
        <v>0</v>
      </c>
      <c r="N236">
        <f t="shared" si="260"/>
        <v>0</v>
      </c>
      <c r="O236">
        <f t="shared" si="261"/>
        <v>0</v>
      </c>
      <c r="P236">
        <f t="shared" si="262"/>
        <v>0</v>
      </c>
      <c r="Q236">
        <f t="shared" si="263"/>
        <v>1</v>
      </c>
      <c r="R236" s="1" t="str">
        <f t="shared" si="264"/>
        <v>衰退</v>
      </c>
      <c r="S236">
        <f t="shared" si="265"/>
        <v>0</v>
      </c>
      <c r="T236">
        <f t="shared" si="266"/>
        <v>0</v>
      </c>
      <c r="U236">
        <f t="shared" si="267"/>
        <v>1</v>
      </c>
      <c r="V236">
        <f t="shared" si="268"/>
        <v>0</v>
      </c>
      <c r="W236" s="1" t="str">
        <f t="shared" si="269"/>
        <v>滞涨</v>
      </c>
      <c r="X236">
        <f t="shared" si="270"/>
        <v>0</v>
      </c>
      <c r="Y236">
        <f t="shared" si="271"/>
        <v>0</v>
      </c>
      <c r="Z236">
        <f t="shared" si="272"/>
        <v>1</v>
      </c>
      <c r="AA236">
        <f t="shared" si="273"/>
        <v>0</v>
      </c>
      <c r="AB236" s="1" t="str">
        <f t="shared" si="274"/>
        <v>滞涨</v>
      </c>
    </row>
    <row r="237" spans="1:28" x14ac:dyDescent="0.35">
      <c r="A237" s="19">
        <v>44469</v>
      </c>
      <c r="B237" s="17">
        <v>3.1</v>
      </c>
      <c r="C237" s="17">
        <v>0.7</v>
      </c>
      <c r="D237" s="17">
        <v>10.7</v>
      </c>
      <c r="E237" s="17">
        <f t="shared" si="257"/>
        <v>4.7</v>
      </c>
      <c r="F237">
        <v>0</v>
      </c>
      <c r="G237">
        <f t="shared" ref="G237:K237" si="298">IF(F237=1,0,1)</f>
        <v>1</v>
      </c>
      <c r="H237">
        <v>0</v>
      </c>
      <c r="I237">
        <f t="shared" si="298"/>
        <v>1</v>
      </c>
      <c r="J237">
        <v>1</v>
      </c>
      <c r="K237">
        <f t="shared" si="298"/>
        <v>0</v>
      </c>
      <c r="L237">
        <v>1</v>
      </c>
      <c r="M237">
        <f t="shared" si="259"/>
        <v>0</v>
      </c>
      <c r="N237">
        <f t="shared" si="260"/>
        <v>0</v>
      </c>
      <c r="O237">
        <f t="shared" si="261"/>
        <v>0</v>
      </c>
      <c r="P237">
        <f t="shared" si="262"/>
        <v>0</v>
      </c>
      <c r="Q237">
        <f t="shared" si="263"/>
        <v>1</v>
      </c>
      <c r="R237" s="1" t="str">
        <f t="shared" si="264"/>
        <v>衰退</v>
      </c>
      <c r="S237">
        <f t="shared" si="265"/>
        <v>0</v>
      </c>
      <c r="T237">
        <f t="shared" si="266"/>
        <v>0</v>
      </c>
      <c r="U237">
        <f t="shared" si="267"/>
        <v>1</v>
      </c>
      <c r="V237">
        <f t="shared" si="268"/>
        <v>0</v>
      </c>
      <c r="W237" s="1" t="str">
        <f t="shared" si="269"/>
        <v>滞涨</v>
      </c>
      <c r="X237">
        <f t="shared" si="270"/>
        <v>0</v>
      </c>
      <c r="Y237">
        <f t="shared" si="271"/>
        <v>0</v>
      </c>
      <c r="Z237">
        <f t="shared" si="272"/>
        <v>1</v>
      </c>
      <c r="AA237">
        <f t="shared" si="273"/>
        <v>0</v>
      </c>
      <c r="AB237" s="1" t="str">
        <f t="shared" si="274"/>
        <v>滞涨</v>
      </c>
    </row>
    <row r="238" spans="1:28" x14ac:dyDescent="0.35">
      <c r="A238" s="19">
        <v>44500</v>
      </c>
      <c r="B238" s="17">
        <v>3.5</v>
      </c>
      <c r="C238" s="17">
        <v>1.5</v>
      </c>
      <c r="D238" s="17">
        <v>13.5</v>
      </c>
      <c r="E238" s="17">
        <f t="shared" si="257"/>
        <v>6.3000000000000007</v>
      </c>
      <c r="F238">
        <v>1</v>
      </c>
      <c r="G238">
        <f t="shared" ref="G238:K238" si="299">IF(F238=1,0,1)</f>
        <v>0</v>
      </c>
      <c r="H238">
        <v>1</v>
      </c>
      <c r="I238">
        <f t="shared" si="299"/>
        <v>0</v>
      </c>
      <c r="J238">
        <v>1</v>
      </c>
      <c r="K238">
        <f t="shared" si="299"/>
        <v>0</v>
      </c>
      <c r="L238">
        <v>1</v>
      </c>
      <c r="M238">
        <f t="shared" si="259"/>
        <v>0</v>
      </c>
      <c r="N238">
        <f t="shared" si="260"/>
        <v>0</v>
      </c>
      <c r="O238">
        <f t="shared" si="261"/>
        <v>1</v>
      </c>
      <c r="P238">
        <f t="shared" si="262"/>
        <v>0</v>
      </c>
      <c r="Q238">
        <f t="shared" si="263"/>
        <v>0</v>
      </c>
      <c r="R238" s="1" t="str">
        <f t="shared" si="264"/>
        <v>过热</v>
      </c>
      <c r="S238">
        <f t="shared" si="265"/>
        <v>0</v>
      </c>
      <c r="T238">
        <f t="shared" si="266"/>
        <v>1</v>
      </c>
      <c r="U238">
        <f t="shared" si="267"/>
        <v>0</v>
      </c>
      <c r="V238">
        <f t="shared" si="268"/>
        <v>0</v>
      </c>
      <c r="W238" s="1" t="str">
        <f t="shared" si="269"/>
        <v>过热</v>
      </c>
      <c r="X238">
        <f t="shared" si="270"/>
        <v>0</v>
      </c>
      <c r="Y238">
        <f t="shared" si="271"/>
        <v>1</v>
      </c>
      <c r="Z238">
        <f t="shared" si="272"/>
        <v>0</v>
      </c>
      <c r="AA238">
        <f t="shared" si="273"/>
        <v>0</v>
      </c>
      <c r="AB238" s="1" t="str">
        <f t="shared" si="274"/>
        <v>过热</v>
      </c>
    </row>
    <row r="239" spans="1:28" x14ac:dyDescent="0.35">
      <c r="A239" s="19">
        <v>44530</v>
      </c>
      <c r="B239" s="17">
        <v>3.8</v>
      </c>
      <c r="C239" s="17">
        <v>2.2999999999999998</v>
      </c>
      <c r="D239" s="17">
        <v>12.9</v>
      </c>
      <c r="E239" s="17">
        <f t="shared" si="257"/>
        <v>6.54</v>
      </c>
      <c r="F239">
        <v>1</v>
      </c>
      <c r="G239">
        <f t="shared" ref="G239:K239" si="300">IF(F239=1,0,1)</f>
        <v>0</v>
      </c>
      <c r="H239">
        <v>1</v>
      </c>
      <c r="I239">
        <f t="shared" si="300"/>
        <v>0</v>
      </c>
      <c r="J239">
        <v>0</v>
      </c>
      <c r="K239">
        <f t="shared" si="300"/>
        <v>1</v>
      </c>
      <c r="L239">
        <v>1</v>
      </c>
      <c r="M239">
        <f t="shared" si="259"/>
        <v>0</v>
      </c>
      <c r="N239">
        <f t="shared" si="260"/>
        <v>0</v>
      </c>
      <c r="O239">
        <f t="shared" si="261"/>
        <v>1</v>
      </c>
      <c r="P239">
        <f t="shared" si="262"/>
        <v>0</v>
      </c>
      <c r="Q239">
        <f t="shared" si="263"/>
        <v>0</v>
      </c>
      <c r="R239" s="1" t="str">
        <f t="shared" si="264"/>
        <v>过热</v>
      </c>
      <c r="S239">
        <f t="shared" si="265"/>
        <v>1</v>
      </c>
      <c r="T239">
        <f t="shared" si="266"/>
        <v>0</v>
      </c>
      <c r="U239">
        <f t="shared" si="267"/>
        <v>0</v>
      </c>
      <c r="V239">
        <f t="shared" si="268"/>
        <v>0</v>
      </c>
      <c r="W239" s="1" t="str">
        <f t="shared" si="269"/>
        <v>复苏</v>
      </c>
      <c r="X239">
        <f t="shared" si="270"/>
        <v>0</v>
      </c>
      <c r="Y239">
        <f t="shared" si="271"/>
        <v>1</v>
      </c>
      <c r="Z239">
        <f t="shared" si="272"/>
        <v>0</v>
      </c>
      <c r="AA239">
        <f t="shared" si="273"/>
        <v>0</v>
      </c>
      <c r="AB239" s="1" t="str">
        <f t="shared" si="274"/>
        <v>过热</v>
      </c>
    </row>
    <row r="240" spans="1:28" x14ac:dyDescent="0.35">
      <c r="A240" s="19">
        <v>44561</v>
      </c>
      <c r="B240" s="17">
        <v>4.3</v>
      </c>
      <c r="C240" s="17">
        <v>1.5</v>
      </c>
      <c r="D240" s="17">
        <v>10.3</v>
      </c>
      <c r="E240" s="17">
        <f t="shared" si="257"/>
        <v>5.0199999999999996</v>
      </c>
      <c r="F240">
        <v>1</v>
      </c>
      <c r="G240">
        <f t="shared" ref="G240:K240" si="301">IF(F240=1,0,1)</f>
        <v>0</v>
      </c>
      <c r="H240">
        <v>1</v>
      </c>
      <c r="I240">
        <f t="shared" si="301"/>
        <v>0</v>
      </c>
      <c r="J240">
        <v>0</v>
      </c>
      <c r="K240">
        <f t="shared" si="301"/>
        <v>1</v>
      </c>
      <c r="L240">
        <v>0</v>
      </c>
      <c r="M240">
        <f t="shared" si="259"/>
        <v>1</v>
      </c>
      <c r="N240">
        <f t="shared" si="260"/>
        <v>0</v>
      </c>
      <c r="O240">
        <f t="shared" si="261"/>
        <v>1</v>
      </c>
      <c r="P240">
        <f t="shared" si="262"/>
        <v>0</v>
      </c>
      <c r="Q240">
        <f t="shared" si="263"/>
        <v>0</v>
      </c>
      <c r="R240" s="1" t="str">
        <f t="shared" si="264"/>
        <v>过热</v>
      </c>
      <c r="S240">
        <f t="shared" si="265"/>
        <v>1</v>
      </c>
      <c r="T240">
        <f t="shared" si="266"/>
        <v>0</v>
      </c>
      <c r="U240">
        <f t="shared" si="267"/>
        <v>0</v>
      </c>
      <c r="V240">
        <f t="shared" si="268"/>
        <v>0</v>
      </c>
      <c r="W240" s="1" t="str">
        <f t="shared" si="269"/>
        <v>复苏</v>
      </c>
      <c r="X240">
        <f t="shared" si="270"/>
        <v>1</v>
      </c>
      <c r="Y240">
        <f t="shared" si="271"/>
        <v>0</v>
      </c>
      <c r="Z240">
        <f t="shared" si="272"/>
        <v>0</v>
      </c>
      <c r="AA240">
        <f t="shared" si="273"/>
        <v>0</v>
      </c>
      <c r="AB240" s="1" t="str">
        <f t="shared" si="274"/>
        <v>复苏</v>
      </c>
    </row>
    <row r="241" spans="1:28" x14ac:dyDescent="0.35">
      <c r="A241" s="19">
        <v>44620</v>
      </c>
      <c r="B241" s="17">
        <v>7.5</v>
      </c>
      <c r="C241" s="17">
        <v>0.9</v>
      </c>
      <c r="D241" s="17">
        <v>8.9</v>
      </c>
      <c r="E241" s="17">
        <f t="shared" si="257"/>
        <v>4.1000000000000005</v>
      </c>
      <c r="F241">
        <v>1</v>
      </c>
      <c r="G241">
        <f t="shared" ref="G241:K241" si="302">IF(F241=1,0,1)</f>
        <v>0</v>
      </c>
      <c r="H241">
        <v>1</v>
      </c>
      <c r="I241">
        <f t="shared" si="302"/>
        <v>0</v>
      </c>
      <c r="J241">
        <v>0</v>
      </c>
      <c r="K241">
        <f t="shared" si="302"/>
        <v>1</v>
      </c>
      <c r="L241">
        <v>0</v>
      </c>
      <c r="M241">
        <f t="shared" si="259"/>
        <v>1</v>
      </c>
      <c r="N241">
        <f t="shared" si="260"/>
        <v>0</v>
      </c>
      <c r="O241">
        <f t="shared" si="261"/>
        <v>1</v>
      </c>
      <c r="P241">
        <f t="shared" si="262"/>
        <v>0</v>
      </c>
      <c r="Q241">
        <f t="shared" si="263"/>
        <v>0</v>
      </c>
      <c r="R241" s="1" t="str">
        <f t="shared" si="264"/>
        <v>过热</v>
      </c>
      <c r="S241">
        <f t="shared" si="265"/>
        <v>1</v>
      </c>
      <c r="T241">
        <f t="shared" si="266"/>
        <v>0</v>
      </c>
      <c r="U241">
        <f t="shared" si="267"/>
        <v>0</v>
      </c>
      <c r="V241">
        <f t="shared" si="268"/>
        <v>0</v>
      </c>
      <c r="W241" s="1" t="str">
        <f t="shared" si="269"/>
        <v>复苏</v>
      </c>
      <c r="X241">
        <f t="shared" si="270"/>
        <v>1</v>
      </c>
      <c r="Y241">
        <f t="shared" si="271"/>
        <v>0</v>
      </c>
      <c r="Z241">
        <f t="shared" si="272"/>
        <v>0</v>
      </c>
      <c r="AA241">
        <f t="shared" si="273"/>
        <v>0</v>
      </c>
      <c r="AB241" s="1" t="str">
        <f t="shared" si="274"/>
        <v>复苏</v>
      </c>
    </row>
    <row r="242" spans="1:28" x14ac:dyDescent="0.35">
      <c r="A242" s="19">
        <v>44651</v>
      </c>
      <c r="B242" s="17">
        <v>5</v>
      </c>
      <c r="C242" s="17">
        <v>1.5</v>
      </c>
      <c r="D242" s="17">
        <v>8.3000000000000007</v>
      </c>
      <c r="E242" s="17">
        <f t="shared" si="257"/>
        <v>4.2200000000000006</v>
      </c>
      <c r="F242">
        <v>0</v>
      </c>
      <c r="G242">
        <f t="shared" ref="G242:K242" si="303">IF(F242=1,0,1)</f>
        <v>1</v>
      </c>
      <c r="H242">
        <v>1</v>
      </c>
      <c r="I242">
        <f t="shared" si="303"/>
        <v>0</v>
      </c>
      <c r="J242">
        <v>0</v>
      </c>
      <c r="K242">
        <f t="shared" si="303"/>
        <v>1</v>
      </c>
      <c r="L242">
        <v>0</v>
      </c>
      <c r="M242">
        <f t="shared" si="259"/>
        <v>1</v>
      </c>
      <c r="N242">
        <f t="shared" si="260"/>
        <v>0</v>
      </c>
      <c r="O242">
        <f t="shared" si="261"/>
        <v>0</v>
      </c>
      <c r="P242">
        <f t="shared" si="262"/>
        <v>1</v>
      </c>
      <c r="Q242">
        <f t="shared" si="263"/>
        <v>0</v>
      </c>
      <c r="R242" s="1" t="str">
        <f t="shared" si="264"/>
        <v>滞涨</v>
      </c>
      <c r="S242">
        <f t="shared" si="265"/>
        <v>0</v>
      </c>
      <c r="T242">
        <f t="shared" si="266"/>
        <v>0</v>
      </c>
      <c r="U242">
        <f t="shared" si="267"/>
        <v>0</v>
      </c>
      <c r="V242">
        <f t="shared" si="268"/>
        <v>1</v>
      </c>
      <c r="W242" s="1" t="str">
        <f t="shared" si="269"/>
        <v>衰退</v>
      </c>
      <c r="X242">
        <f t="shared" si="270"/>
        <v>0</v>
      </c>
      <c r="Y242">
        <f t="shared" si="271"/>
        <v>0</v>
      </c>
      <c r="Z242">
        <f t="shared" si="272"/>
        <v>0</v>
      </c>
      <c r="AA242">
        <f t="shared" si="273"/>
        <v>1</v>
      </c>
      <c r="AB242" s="1" t="str">
        <f t="shared" si="274"/>
        <v>衰退</v>
      </c>
    </row>
    <row r="243" spans="1:28" x14ac:dyDescent="0.35">
      <c r="A243" s="19">
        <v>44681</v>
      </c>
      <c r="B243" s="17">
        <v>-2.9</v>
      </c>
      <c r="C243" s="17">
        <v>2.1</v>
      </c>
      <c r="D243" s="17">
        <v>8</v>
      </c>
      <c r="E243" s="17">
        <f t="shared" si="257"/>
        <v>4.46</v>
      </c>
      <c r="F243">
        <v>0</v>
      </c>
      <c r="G243">
        <f t="shared" ref="G243:K243" si="304">IF(F243=1,0,1)</f>
        <v>1</v>
      </c>
      <c r="H243">
        <v>1</v>
      </c>
      <c r="I243">
        <f t="shared" si="304"/>
        <v>0</v>
      </c>
      <c r="J243">
        <v>0</v>
      </c>
      <c r="K243">
        <f t="shared" si="304"/>
        <v>1</v>
      </c>
      <c r="L243">
        <v>0</v>
      </c>
      <c r="M243">
        <f t="shared" si="259"/>
        <v>1</v>
      </c>
      <c r="N243">
        <f t="shared" si="260"/>
        <v>0</v>
      </c>
      <c r="O243">
        <f t="shared" si="261"/>
        <v>0</v>
      </c>
      <c r="P243">
        <f t="shared" si="262"/>
        <v>1</v>
      </c>
      <c r="Q243">
        <f t="shared" si="263"/>
        <v>0</v>
      </c>
      <c r="R243" s="1" t="str">
        <f t="shared" si="264"/>
        <v>滞涨</v>
      </c>
      <c r="S243">
        <f t="shared" si="265"/>
        <v>0</v>
      </c>
      <c r="T243">
        <f t="shared" si="266"/>
        <v>0</v>
      </c>
      <c r="U243">
        <f t="shared" si="267"/>
        <v>0</v>
      </c>
      <c r="V243">
        <f t="shared" si="268"/>
        <v>1</v>
      </c>
      <c r="W243" s="1" t="str">
        <f t="shared" si="269"/>
        <v>衰退</v>
      </c>
      <c r="X243">
        <f t="shared" si="270"/>
        <v>0</v>
      </c>
      <c r="Y243">
        <f t="shared" si="271"/>
        <v>0</v>
      </c>
      <c r="Z243">
        <f t="shared" si="272"/>
        <v>0</v>
      </c>
      <c r="AA243">
        <f t="shared" si="273"/>
        <v>1</v>
      </c>
      <c r="AB243" s="1" t="str">
        <f t="shared" si="274"/>
        <v>衰退</v>
      </c>
    </row>
    <row r="244" spans="1:28" x14ac:dyDescent="0.35">
      <c r="A244" s="19">
        <v>44712</v>
      </c>
      <c r="B244" s="17">
        <v>0.7</v>
      </c>
      <c r="C244" s="17">
        <v>2.1</v>
      </c>
      <c r="D244" s="17">
        <v>6.4</v>
      </c>
      <c r="E244" s="17">
        <f t="shared" si="257"/>
        <v>3.8200000000000003</v>
      </c>
      <c r="F244">
        <v>0</v>
      </c>
      <c r="G244">
        <f t="shared" ref="G244:K244" si="305">IF(F244=1,0,1)</f>
        <v>1</v>
      </c>
      <c r="H244">
        <v>1</v>
      </c>
      <c r="I244">
        <f t="shared" si="305"/>
        <v>0</v>
      </c>
      <c r="J244">
        <v>0</v>
      </c>
      <c r="K244">
        <f t="shared" si="305"/>
        <v>1</v>
      </c>
      <c r="L244">
        <v>0</v>
      </c>
      <c r="M244">
        <f t="shared" si="259"/>
        <v>1</v>
      </c>
      <c r="N244">
        <f t="shared" si="260"/>
        <v>0</v>
      </c>
      <c r="O244">
        <f t="shared" si="261"/>
        <v>0</v>
      </c>
      <c r="P244">
        <f t="shared" si="262"/>
        <v>1</v>
      </c>
      <c r="Q244">
        <f t="shared" si="263"/>
        <v>0</v>
      </c>
      <c r="R244" s="1" t="str">
        <f t="shared" si="264"/>
        <v>滞涨</v>
      </c>
      <c r="S244">
        <f t="shared" si="265"/>
        <v>0</v>
      </c>
      <c r="T244">
        <f t="shared" si="266"/>
        <v>0</v>
      </c>
      <c r="U244">
        <f t="shared" si="267"/>
        <v>0</v>
      </c>
      <c r="V244">
        <f t="shared" si="268"/>
        <v>1</v>
      </c>
      <c r="W244" s="1" t="str">
        <f t="shared" si="269"/>
        <v>衰退</v>
      </c>
      <c r="X244">
        <f t="shared" si="270"/>
        <v>0</v>
      </c>
      <c r="Y244">
        <f t="shared" si="271"/>
        <v>0</v>
      </c>
      <c r="Z244">
        <f t="shared" si="272"/>
        <v>0</v>
      </c>
      <c r="AA244">
        <f t="shared" si="273"/>
        <v>1</v>
      </c>
      <c r="AB244" s="1" t="str">
        <f t="shared" si="274"/>
        <v>衰退</v>
      </c>
    </row>
    <row r="245" spans="1:28" x14ac:dyDescent="0.35">
      <c r="A245" s="19">
        <v>44742</v>
      </c>
      <c r="B245" s="17">
        <v>3.9</v>
      </c>
      <c r="C245" s="17">
        <v>2.5</v>
      </c>
      <c r="D245" s="17">
        <v>6.1</v>
      </c>
      <c r="E245" s="17">
        <f t="shared" si="257"/>
        <v>3.94</v>
      </c>
      <c r="F245">
        <v>1</v>
      </c>
      <c r="G245">
        <f t="shared" ref="G245:K245" si="306">IF(F245=1,0,1)</f>
        <v>0</v>
      </c>
      <c r="H245">
        <v>1</v>
      </c>
      <c r="I245">
        <f t="shared" si="306"/>
        <v>0</v>
      </c>
      <c r="J245">
        <v>0</v>
      </c>
      <c r="K245">
        <f t="shared" si="306"/>
        <v>1</v>
      </c>
      <c r="L245">
        <v>0</v>
      </c>
      <c r="M245">
        <f t="shared" si="259"/>
        <v>1</v>
      </c>
      <c r="N245">
        <f t="shared" si="260"/>
        <v>0</v>
      </c>
      <c r="O245">
        <f t="shared" si="261"/>
        <v>1</v>
      </c>
      <c r="P245">
        <f t="shared" si="262"/>
        <v>0</v>
      </c>
      <c r="Q245">
        <f t="shared" si="263"/>
        <v>0</v>
      </c>
      <c r="R245" s="1" t="str">
        <f t="shared" si="264"/>
        <v>过热</v>
      </c>
      <c r="S245">
        <f t="shared" si="265"/>
        <v>1</v>
      </c>
      <c r="T245">
        <f t="shared" si="266"/>
        <v>0</v>
      </c>
      <c r="U245">
        <f t="shared" si="267"/>
        <v>0</v>
      </c>
      <c r="V245">
        <f t="shared" si="268"/>
        <v>0</v>
      </c>
      <c r="W245" s="1" t="str">
        <f t="shared" si="269"/>
        <v>复苏</v>
      </c>
      <c r="X245">
        <f t="shared" si="270"/>
        <v>1</v>
      </c>
      <c r="Y245">
        <f t="shared" si="271"/>
        <v>0</v>
      </c>
      <c r="Z245">
        <f t="shared" si="272"/>
        <v>0</v>
      </c>
      <c r="AA245">
        <f t="shared" si="273"/>
        <v>0</v>
      </c>
      <c r="AB245" s="1" t="str">
        <f t="shared" si="274"/>
        <v>复苏</v>
      </c>
    </row>
    <row r="246" spans="1:28" x14ac:dyDescent="0.35">
      <c r="A246" s="19">
        <v>44773</v>
      </c>
      <c r="B246" s="17">
        <v>3.8</v>
      </c>
      <c r="C246" s="17">
        <v>2.7</v>
      </c>
      <c r="D246" s="17">
        <v>4.2</v>
      </c>
      <c r="E246" s="17">
        <f t="shared" si="257"/>
        <v>3.3000000000000003</v>
      </c>
      <c r="F246">
        <v>1</v>
      </c>
      <c r="G246">
        <f t="shared" ref="G246:K246" si="307">IF(F246=1,0,1)</f>
        <v>0</v>
      </c>
      <c r="H246">
        <v>1</v>
      </c>
      <c r="I246">
        <f t="shared" si="307"/>
        <v>0</v>
      </c>
      <c r="J246">
        <v>0</v>
      </c>
      <c r="K246">
        <f t="shared" si="307"/>
        <v>1</v>
      </c>
      <c r="L246">
        <v>0</v>
      </c>
      <c r="M246">
        <f t="shared" si="259"/>
        <v>1</v>
      </c>
      <c r="N246">
        <f t="shared" si="260"/>
        <v>0</v>
      </c>
      <c r="O246">
        <f t="shared" si="261"/>
        <v>1</v>
      </c>
      <c r="P246">
        <f t="shared" si="262"/>
        <v>0</v>
      </c>
      <c r="Q246">
        <f t="shared" si="263"/>
        <v>0</v>
      </c>
      <c r="R246" s="1" t="str">
        <f t="shared" si="264"/>
        <v>过热</v>
      </c>
      <c r="S246">
        <f t="shared" si="265"/>
        <v>1</v>
      </c>
      <c r="T246">
        <f t="shared" si="266"/>
        <v>0</v>
      </c>
      <c r="U246">
        <f t="shared" si="267"/>
        <v>0</v>
      </c>
      <c r="V246">
        <f t="shared" si="268"/>
        <v>0</v>
      </c>
      <c r="W246" s="1" t="str">
        <f t="shared" si="269"/>
        <v>复苏</v>
      </c>
      <c r="X246">
        <f t="shared" si="270"/>
        <v>1</v>
      </c>
      <c r="Y246">
        <f t="shared" si="271"/>
        <v>0</v>
      </c>
      <c r="Z246">
        <f t="shared" si="272"/>
        <v>0</v>
      </c>
      <c r="AA246">
        <f t="shared" si="273"/>
        <v>0</v>
      </c>
      <c r="AB246" s="1" t="str">
        <f t="shared" si="274"/>
        <v>复苏</v>
      </c>
    </row>
    <row r="247" spans="1:28" x14ac:dyDescent="0.35">
      <c r="A247" s="19">
        <v>44804</v>
      </c>
      <c r="B247" s="17">
        <v>4.2</v>
      </c>
      <c r="C247" s="17">
        <v>2.5</v>
      </c>
      <c r="D247" s="17">
        <v>2.2999999999999998</v>
      </c>
      <c r="E247" s="17">
        <f t="shared" si="257"/>
        <v>2.42</v>
      </c>
      <c r="F247">
        <v>1</v>
      </c>
      <c r="G247">
        <f t="shared" ref="G247:K247" si="308">IF(F247=1,0,1)</f>
        <v>0</v>
      </c>
      <c r="H247">
        <v>1</v>
      </c>
      <c r="I247">
        <f t="shared" si="308"/>
        <v>0</v>
      </c>
      <c r="J247">
        <v>0</v>
      </c>
      <c r="K247">
        <f t="shared" si="308"/>
        <v>1</v>
      </c>
      <c r="L247">
        <v>0</v>
      </c>
      <c r="M247">
        <f t="shared" si="259"/>
        <v>1</v>
      </c>
      <c r="N247">
        <f t="shared" si="260"/>
        <v>0</v>
      </c>
      <c r="O247">
        <f t="shared" si="261"/>
        <v>1</v>
      </c>
      <c r="P247">
        <f t="shared" si="262"/>
        <v>0</v>
      </c>
      <c r="Q247">
        <f t="shared" si="263"/>
        <v>0</v>
      </c>
      <c r="R247" s="1" t="str">
        <f t="shared" si="264"/>
        <v>过热</v>
      </c>
      <c r="S247">
        <f t="shared" si="265"/>
        <v>1</v>
      </c>
      <c r="T247">
        <f t="shared" si="266"/>
        <v>0</v>
      </c>
      <c r="U247">
        <f t="shared" si="267"/>
        <v>0</v>
      </c>
      <c r="V247">
        <f t="shared" si="268"/>
        <v>0</v>
      </c>
      <c r="W247" s="1" t="str">
        <f t="shared" si="269"/>
        <v>复苏</v>
      </c>
      <c r="X247">
        <f t="shared" si="270"/>
        <v>1</v>
      </c>
      <c r="Y247">
        <f t="shared" si="271"/>
        <v>0</v>
      </c>
      <c r="Z247">
        <f t="shared" si="272"/>
        <v>0</v>
      </c>
      <c r="AA247">
        <f t="shared" si="273"/>
        <v>0</v>
      </c>
      <c r="AB247" s="1" t="str">
        <f t="shared" si="274"/>
        <v>复苏</v>
      </c>
    </row>
    <row r="248" spans="1:28" x14ac:dyDescent="0.35">
      <c r="A248" s="19">
        <v>44834</v>
      </c>
      <c r="B248" s="17">
        <v>6.3</v>
      </c>
      <c r="C248" s="17">
        <v>2.8</v>
      </c>
      <c r="D248" s="17">
        <v>0.9</v>
      </c>
      <c r="E248" s="17">
        <f t="shared" si="257"/>
        <v>2.04</v>
      </c>
      <c r="F248">
        <v>1</v>
      </c>
      <c r="G248">
        <f t="shared" ref="G248:K248" si="309">IF(F248=1,0,1)</f>
        <v>0</v>
      </c>
      <c r="H248">
        <v>1</v>
      </c>
      <c r="I248">
        <f t="shared" si="309"/>
        <v>0</v>
      </c>
      <c r="J248">
        <v>0</v>
      </c>
      <c r="K248">
        <f t="shared" si="309"/>
        <v>1</v>
      </c>
      <c r="L248">
        <v>0</v>
      </c>
      <c r="M248">
        <f t="shared" si="259"/>
        <v>1</v>
      </c>
      <c r="N248">
        <f t="shared" si="260"/>
        <v>0</v>
      </c>
      <c r="O248">
        <f t="shared" si="261"/>
        <v>1</v>
      </c>
      <c r="P248">
        <f t="shared" si="262"/>
        <v>0</v>
      </c>
      <c r="Q248">
        <f t="shared" si="263"/>
        <v>0</v>
      </c>
      <c r="R248" s="1" t="str">
        <f t="shared" si="264"/>
        <v>过热</v>
      </c>
      <c r="S248">
        <f t="shared" si="265"/>
        <v>1</v>
      </c>
      <c r="T248">
        <f t="shared" si="266"/>
        <v>0</v>
      </c>
      <c r="U248">
        <f t="shared" si="267"/>
        <v>0</v>
      </c>
      <c r="V248">
        <f t="shared" si="268"/>
        <v>0</v>
      </c>
      <c r="W248" s="1" t="str">
        <f t="shared" si="269"/>
        <v>复苏</v>
      </c>
      <c r="X248">
        <f t="shared" si="270"/>
        <v>1</v>
      </c>
      <c r="Y248">
        <f t="shared" si="271"/>
        <v>0</v>
      </c>
      <c r="Z248">
        <f t="shared" si="272"/>
        <v>0</v>
      </c>
      <c r="AA248">
        <f t="shared" si="273"/>
        <v>0</v>
      </c>
      <c r="AB248" s="1" t="str">
        <f t="shared" si="274"/>
        <v>复苏</v>
      </c>
    </row>
    <row r="249" spans="1:28" x14ac:dyDescent="0.35">
      <c r="A249" s="19">
        <v>44865</v>
      </c>
      <c r="B249" s="17">
        <v>5</v>
      </c>
      <c r="C249" s="17">
        <v>2.1</v>
      </c>
      <c r="D249" s="17">
        <v>-1.3</v>
      </c>
      <c r="E249" s="17">
        <f t="shared" si="257"/>
        <v>0.74</v>
      </c>
      <c r="F249">
        <v>0</v>
      </c>
      <c r="G249">
        <f t="shared" ref="G249:K249" si="310">IF(F249=1,0,1)</f>
        <v>1</v>
      </c>
      <c r="H249">
        <v>0</v>
      </c>
      <c r="I249">
        <f t="shared" si="310"/>
        <v>1</v>
      </c>
      <c r="J249">
        <v>0</v>
      </c>
      <c r="K249">
        <f t="shared" si="310"/>
        <v>1</v>
      </c>
      <c r="L249">
        <v>0</v>
      </c>
      <c r="M249">
        <f t="shared" si="259"/>
        <v>1</v>
      </c>
      <c r="N249">
        <f t="shared" si="260"/>
        <v>0</v>
      </c>
      <c r="O249">
        <f t="shared" si="261"/>
        <v>0</v>
      </c>
      <c r="P249">
        <f t="shared" si="262"/>
        <v>0</v>
      </c>
      <c r="Q249">
        <f t="shared" si="263"/>
        <v>1</v>
      </c>
      <c r="R249" s="1" t="str">
        <f t="shared" si="264"/>
        <v>衰退</v>
      </c>
      <c r="S249">
        <f t="shared" si="265"/>
        <v>0</v>
      </c>
      <c r="T249">
        <f t="shared" si="266"/>
        <v>0</v>
      </c>
      <c r="U249">
        <f t="shared" si="267"/>
        <v>0</v>
      </c>
      <c r="V249">
        <f t="shared" si="268"/>
        <v>1</v>
      </c>
      <c r="W249" s="1" t="str">
        <f t="shared" si="269"/>
        <v>衰退</v>
      </c>
      <c r="X249">
        <f t="shared" si="270"/>
        <v>0</v>
      </c>
      <c r="Y249">
        <f t="shared" si="271"/>
        <v>0</v>
      </c>
      <c r="Z249">
        <f t="shared" si="272"/>
        <v>0</v>
      </c>
      <c r="AA249">
        <f t="shared" si="273"/>
        <v>1</v>
      </c>
      <c r="AB249" s="1" t="str">
        <f t="shared" si="274"/>
        <v>衰退</v>
      </c>
    </row>
    <row r="250" spans="1:28" x14ac:dyDescent="0.35">
      <c r="A250" s="19">
        <v>44895</v>
      </c>
      <c r="B250" s="17">
        <v>2.2000000000000002</v>
      </c>
      <c r="C250" s="17">
        <v>1.6</v>
      </c>
      <c r="D250" s="17">
        <v>-1.3</v>
      </c>
      <c r="E250" s="17">
        <f t="shared" si="257"/>
        <v>0.43999999999999995</v>
      </c>
      <c r="F250">
        <v>0</v>
      </c>
      <c r="G250">
        <f t="shared" ref="G250:K250" si="311">IF(F250=1,0,1)</f>
        <v>1</v>
      </c>
      <c r="H250">
        <v>0</v>
      </c>
      <c r="I250">
        <f t="shared" si="311"/>
        <v>1</v>
      </c>
      <c r="J250">
        <v>0</v>
      </c>
      <c r="K250">
        <f t="shared" si="311"/>
        <v>1</v>
      </c>
      <c r="L250">
        <v>0</v>
      </c>
      <c r="M250">
        <f t="shared" si="259"/>
        <v>1</v>
      </c>
      <c r="N250">
        <f t="shared" si="260"/>
        <v>0</v>
      </c>
      <c r="O250">
        <f t="shared" si="261"/>
        <v>0</v>
      </c>
      <c r="P250">
        <f t="shared" si="262"/>
        <v>0</v>
      </c>
      <c r="Q250">
        <f t="shared" si="263"/>
        <v>1</v>
      </c>
      <c r="R250" s="1" t="str">
        <f t="shared" si="264"/>
        <v>衰退</v>
      </c>
      <c r="S250">
        <f t="shared" si="265"/>
        <v>0</v>
      </c>
      <c r="T250">
        <f t="shared" si="266"/>
        <v>0</v>
      </c>
      <c r="U250">
        <f t="shared" si="267"/>
        <v>0</v>
      </c>
      <c r="V250">
        <f t="shared" si="268"/>
        <v>1</v>
      </c>
      <c r="W250" s="1" t="str">
        <f t="shared" si="269"/>
        <v>衰退</v>
      </c>
      <c r="X250">
        <f t="shared" si="270"/>
        <v>0</v>
      </c>
      <c r="Y250">
        <f t="shared" si="271"/>
        <v>0</v>
      </c>
      <c r="Z250">
        <f t="shared" si="272"/>
        <v>0</v>
      </c>
      <c r="AA250">
        <f t="shared" si="273"/>
        <v>1</v>
      </c>
      <c r="AB250" s="1" t="str">
        <f t="shared" si="274"/>
        <v>衰退</v>
      </c>
    </row>
    <row r="251" spans="1:28" x14ac:dyDescent="0.35">
      <c r="A251" s="19">
        <v>44926</v>
      </c>
      <c r="B251" s="17">
        <v>1.3</v>
      </c>
      <c r="C251" s="17">
        <v>1.8</v>
      </c>
      <c r="D251" s="17">
        <v>-0.7</v>
      </c>
      <c r="E251" s="17">
        <f t="shared" si="257"/>
        <v>0.8</v>
      </c>
      <c r="F251">
        <v>0</v>
      </c>
      <c r="G251">
        <f t="shared" ref="G251:K251" si="312">IF(F251=1,0,1)</f>
        <v>1</v>
      </c>
      <c r="H251">
        <v>0</v>
      </c>
      <c r="I251">
        <f t="shared" si="312"/>
        <v>1</v>
      </c>
      <c r="J251">
        <v>0</v>
      </c>
      <c r="K251">
        <f t="shared" si="312"/>
        <v>1</v>
      </c>
      <c r="L251">
        <v>0</v>
      </c>
      <c r="M251">
        <f t="shared" si="259"/>
        <v>1</v>
      </c>
      <c r="N251">
        <f t="shared" si="260"/>
        <v>0</v>
      </c>
      <c r="O251">
        <f t="shared" si="261"/>
        <v>0</v>
      </c>
      <c r="P251">
        <f t="shared" si="262"/>
        <v>0</v>
      </c>
      <c r="Q251">
        <f t="shared" si="263"/>
        <v>1</v>
      </c>
      <c r="R251" s="1" t="str">
        <f t="shared" si="264"/>
        <v>衰退</v>
      </c>
      <c r="S251">
        <f t="shared" si="265"/>
        <v>0</v>
      </c>
      <c r="T251">
        <f t="shared" si="266"/>
        <v>0</v>
      </c>
      <c r="U251">
        <f t="shared" si="267"/>
        <v>0</v>
      </c>
      <c r="V251">
        <f t="shared" si="268"/>
        <v>1</v>
      </c>
      <c r="W251" s="1" t="str">
        <f t="shared" si="269"/>
        <v>衰退</v>
      </c>
      <c r="X251">
        <f t="shared" si="270"/>
        <v>0</v>
      </c>
      <c r="Y251">
        <f t="shared" si="271"/>
        <v>0</v>
      </c>
      <c r="Z251">
        <f t="shared" si="272"/>
        <v>0</v>
      </c>
      <c r="AA251">
        <f t="shared" si="273"/>
        <v>1</v>
      </c>
      <c r="AB251" s="1" t="str">
        <f t="shared" si="274"/>
        <v>衰退</v>
      </c>
    </row>
    <row r="252" spans="1:28" x14ac:dyDescent="0.35">
      <c r="A252" s="19">
        <v>44985</v>
      </c>
      <c r="B252" s="17">
        <v>2.4</v>
      </c>
      <c r="C252" s="17">
        <v>1.5</v>
      </c>
      <c r="D252" s="17">
        <v>-1.1000000000000001</v>
      </c>
      <c r="E252" s="17">
        <f t="shared" si="257"/>
        <v>0.45999999999999985</v>
      </c>
      <c r="F252">
        <v>1</v>
      </c>
      <c r="G252">
        <f t="shared" ref="G252:K252" si="313">IF(F252=1,0,1)</f>
        <v>0</v>
      </c>
      <c r="H252">
        <v>0</v>
      </c>
      <c r="I252">
        <f t="shared" si="313"/>
        <v>1</v>
      </c>
      <c r="J252">
        <v>0</v>
      </c>
      <c r="K252">
        <f t="shared" si="313"/>
        <v>1</v>
      </c>
      <c r="L252">
        <v>0</v>
      </c>
      <c r="M252">
        <f t="shared" si="259"/>
        <v>1</v>
      </c>
      <c r="N252">
        <f t="shared" si="260"/>
        <v>1</v>
      </c>
      <c r="O252">
        <f t="shared" si="261"/>
        <v>0</v>
      </c>
      <c r="P252">
        <f t="shared" si="262"/>
        <v>0</v>
      </c>
      <c r="Q252">
        <f t="shared" si="263"/>
        <v>0</v>
      </c>
      <c r="R252" s="1" t="str">
        <f t="shared" si="264"/>
        <v>复苏</v>
      </c>
      <c r="S252">
        <f t="shared" si="265"/>
        <v>1</v>
      </c>
      <c r="T252">
        <f t="shared" si="266"/>
        <v>0</v>
      </c>
      <c r="U252">
        <f t="shared" si="267"/>
        <v>0</v>
      </c>
      <c r="V252">
        <f t="shared" si="268"/>
        <v>0</v>
      </c>
      <c r="W252" s="1" t="str">
        <f t="shared" si="269"/>
        <v>复苏</v>
      </c>
      <c r="X252">
        <f t="shared" si="270"/>
        <v>1</v>
      </c>
      <c r="Y252">
        <f t="shared" si="271"/>
        <v>0</v>
      </c>
      <c r="Z252">
        <f t="shared" si="272"/>
        <v>0</v>
      </c>
      <c r="AA252">
        <f t="shared" si="273"/>
        <v>0</v>
      </c>
      <c r="AB252" s="1" t="str">
        <f t="shared" si="274"/>
        <v>复苏</v>
      </c>
    </row>
    <row r="253" spans="1:28" x14ac:dyDescent="0.35">
      <c r="A253" s="19">
        <v>45016</v>
      </c>
      <c r="B253" s="17">
        <v>3.9</v>
      </c>
      <c r="C253" s="17">
        <v>0.7</v>
      </c>
      <c r="D253" s="17">
        <v>-2.5</v>
      </c>
      <c r="E253" s="17">
        <f t="shared" si="257"/>
        <v>-0.58000000000000007</v>
      </c>
      <c r="F253">
        <v>1</v>
      </c>
      <c r="G253">
        <f t="shared" ref="G253:K253" si="314">IF(F253=1,0,1)</f>
        <v>0</v>
      </c>
      <c r="H253">
        <v>0</v>
      </c>
      <c r="I253">
        <f t="shared" si="314"/>
        <v>1</v>
      </c>
      <c r="J253">
        <v>0</v>
      </c>
      <c r="K253">
        <f t="shared" si="314"/>
        <v>1</v>
      </c>
      <c r="L253">
        <v>0</v>
      </c>
      <c r="M253">
        <f t="shared" si="259"/>
        <v>1</v>
      </c>
      <c r="N253">
        <f t="shared" si="260"/>
        <v>1</v>
      </c>
      <c r="O253">
        <f t="shared" si="261"/>
        <v>0</v>
      </c>
      <c r="P253">
        <f t="shared" si="262"/>
        <v>0</v>
      </c>
      <c r="Q253">
        <f t="shared" si="263"/>
        <v>0</v>
      </c>
      <c r="R253" s="1" t="str">
        <f t="shared" si="264"/>
        <v>复苏</v>
      </c>
      <c r="S253">
        <f t="shared" si="265"/>
        <v>1</v>
      </c>
      <c r="T253">
        <f t="shared" si="266"/>
        <v>0</v>
      </c>
      <c r="U253">
        <f t="shared" si="267"/>
        <v>0</v>
      </c>
      <c r="V253">
        <f t="shared" si="268"/>
        <v>0</v>
      </c>
      <c r="W253" s="1" t="str">
        <f t="shared" si="269"/>
        <v>复苏</v>
      </c>
      <c r="X253">
        <f t="shared" si="270"/>
        <v>1</v>
      </c>
      <c r="Y253">
        <f t="shared" si="271"/>
        <v>0</v>
      </c>
      <c r="Z253">
        <f t="shared" si="272"/>
        <v>0</v>
      </c>
      <c r="AA253">
        <f t="shared" si="273"/>
        <v>0</v>
      </c>
      <c r="AB253" s="1" t="str">
        <f t="shared" si="274"/>
        <v>复苏</v>
      </c>
    </row>
    <row r="254" spans="1:28" x14ac:dyDescent="0.35">
      <c r="A254" s="19">
        <v>45046</v>
      </c>
      <c r="B254" s="17">
        <v>5.6</v>
      </c>
      <c r="C254" s="17">
        <v>0.1</v>
      </c>
      <c r="D254" s="17">
        <v>-3.6</v>
      </c>
      <c r="E254" s="17">
        <f t="shared" si="257"/>
        <v>-1.3800000000000001</v>
      </c>
      <c r="F254">
        <v>1</v>
      </c>
      <c r="G254">
        <f t="shared" ref="G254:K254" si="315">IF(F254=1,0,1)</f>
        <v>0</v>
      </c>
      <c r="H254">
        <v>0</v>
      </c>
      <c r="I254">
        <f t="shared" si="315"/>
        <v>1</v>
      </c>
      <c r="J254">
        <v>0</v>
      </c>
      <c r="K254">
        <f t="shared" si="315"/>
        <v>1</v>
      </c>
      <c r="L254">
        <v>0</v>
      </c>
      <c r="M254">
        <f t="shared" si="259"/>
        <v>1</v>
      </c>
      <c r="N254">
        <f t="shared" si="260"/>
        <v>1</v>
      </c>
      <c r="O254">
        <f t="shared" si="261"/>
        <v>0</v>
      </c>
      <c r="P254">
        <f t="shared" si="262"/>
        <v>0</v>
      </c>
      <c r="Q254">
        <f t="shared" si="263"/>
        <v>0</v>
      </c>
      <c r="R254" s="1" t="str">
        <f t="shared" si="264"/>
        <v>复苏</v>
      </c>
      <c r="S254">
        <f t="shared" si="265"/>
        <v>1</v>
      </c>
      <c r="T254">
        <f t="shared" si="266"/>
        <v>0</v>
      </c>
      <c r="U254">
        <f t="shared" si="267"/>
        <v>0</v>
      </c>
      <c r="V254">
        <f t="shared" si="268"/>
        <v>0</v>
      </c>
      <c r="W254" s="1" t="str">
        <f t="shared" si="269"/>
        <v>复苏</v>
      </c>
      <c r="X254">
        <f t="shared" si="270"/>
        <v>1</v>
      </c>
      <c r="Y254">
        <f t="shared" si="271"/>
        <v>0</v>
      </c>
      <c r="Z254">
        <f t="shared" si="272"/>
        <v>0</v>
      </c>
      <c r="AA254">
        <f t="shared" si="273"/>
        <v>0</v>
      </c>
      <c r="AB254" s="1" t="str">
        <f t="shared" si="274"/>
        <v>复苏</v>
      </c>
    </row>
    <row r="255" spans="1:28" x14ac:dyDescent="0.35">
      <c r="A255" s="19">
        <v>45077</v>
      </c>
      <c r="B255" s="17">
        <v>3.5</v>
      </c>
      <c r="C255" s="17">
        <v>0.2</v>
      </c>
      <c r="D255" s="17">
        <v>-4.5999999999999996</v>
      </c>
      <c r="E255" s="17">
        <f t="shared" si="257"/>
        <v>-1.7199999999999998</v>
      </c>
      <c r="F255">
        <v>1</v>
      </c>
      <c r="G255">
        <f t="shared" ref="G255:K255" si="316">IF(F255=1,0,1)</f>
        <v>0</v>
      </c>
      <c r="H255">
        <v>0</v>
      </c>
      <c r="I255">
        <f t="shared" si="316"/>
        <v>1</v>
      </c>
      <c r="J255">
        <v>0</v>
      </c>
      <c r="K255">
        <f t="shared" si="316"/>
        <v>1</v>
      </c>
      <c r="L255">
        <v>0</v>
      </c>
      <c r="M255">
        <f t="shared" si="259"/>
        <v>1</v>
      </c>
      <c r="N255">
        <f t="shared" si="260"/>
        <v>1</v>
      </c>
      <c r="O255">
        <f t="shared" si="261"/>
        <v>0</v>
      </c>
      <c r="P255">
        <f t="shared" si="262"/>
        <v>0</v>
      </c>
      <c r="Q255">
        <f t="shared" si="263"/>
        <v>0</v>
      </c>
      <c r="R255" s="1" t="str">
        <f t="shared" si="264"/>
        <v>复苏</v>
      </c>
      <c r="S255">
        <f t="shared" si="265"/>
        <v>1</v>
      </c>
      <c r="T255">
        <f t="shared" si="266"/>
        <v>0</v>
      </c>
      <c r="U255">
        <f t="shared" si="267"/>
        <v>0</v>
      </c>
      <c r="V255">
        <f t="shared" si="268"/>
        <v>0</v>
      </c>
      <c r="W255" s="1" t="str">
        <f t="shared" si="269"/>
        <v>复苏</v>
      </c>
      <c r="X255">
        <f t="shared" si="270"/>
        <v>1</v>
      </c>
      <c r="Y255">
        <f t="shared" si="271"/>
        <v>0</v>
      </c>
      <c r="Z255">
        <f t="shared" si="272"/>
        <v>0</v>
      </c>
      <c r="AA255">
        <f t="shared" si="273"/>
        <v>0</v>
      </c>
      <c r="AB255" s="1" t="str">
        <f t="shared" si="274"/>
        <v>复苏</v>
      </c>
    </row>
    <row r="256" spans="1:28" x14ac:dyDescent="0.35">
      <c r="A256" s="19">
        <v>45107</v>
      </c>
      <c r="B256" s="17">
        <v>4.4000000000000004</v>
      </c>
      <c r="C256" s="17">
        <v>0</v>
      </c>
      <c r="D256" s="17">
        <v>-5.4</v>
      </c>
      <c r="E256" s="17">
        <f t="shared" si="257"/>
        <v>-2.16</v>
      </c>
      <c r="F256">
        <v>1</v>
      </c>
      <c r="G256">
        <f t="shared" ref="G256:K256" si="317">IF(F256=1,0,1)</f>
        <v>0</v>
      </c>
      <c r="H256">
        <v>0</v>
      </c>
      <c r="I256">
        <f t="shared" si="317"/>
        <v>1</v>
      </c>
      <c r="J256">
        <v>0</v>
      </c>
      <c r="K256">
        <f t="shared" si="317"/>
        <v>1</v>
      </c>
      <c r="L256">
        <v>0</v>
      </c>
      <c r="M256">
        <f t="shared" si="259"/>
        <v>1</v>
      </c>
      <c r="N256">
        <f t="shared" si="260"/>
        <v>1</v>
      </c>
      <c r="O256">
        <f t="shared" si="261"/>
        <v>0</v>
      </c>
      <c r="P256">
        <f t="shared" si="262"/>
        <v>0</v>
      </c>
      <c r="Q256">
        <f t="shared" si="263"/>
        <v>0</v>
      </c>
      <c r="R256" s="1" t="str">
        <f t="shared" si="264"/>
        <v>复苏</v>
      </c>
      <c r="S256">
        <f t="shared" si="265"/>
        <v>1</v>
      </c>
      <c r="T256">
        <f t="shared" si="266"/>
        <v>0</v>
      </c>
      <c r="U256">
        <f t="shared" si="267"/>
        <v>0</v>
      </c>
      <c r="V256">
        <f t="shared" si="268"/>
        <v>0</v>
      </c>
      <c r="W256" s="1" t="str">
        <f t="shared" si="269"/>
        <v>复苏</v>
      </c>
      <c r="X256">
        <f t="shared" si="270"/>
        <v>1</v>
      </c>
      <c r="Y256">
        <f t="shared" si="271"/>
        <v>0</v>
      </c>
      <c r="Z256">
        <f t="shared" si="272"/>
        <v>0</v>
      </c>
      <c r="AA256">
        <f t="shared" si="273"/>
        <v>0</v>
      </c>
      <c r="AB256" s="1" t="str">
        <f t="shared" si="274"/>
        <v>复苏</v>
      </c>
    </row>
    <row r="257" spans="1:28" x14ac:dyDescent="0.35">
      <c r="A257" s="19">
        <v>45138</v>
      </c>
      <c r="B257" s="17">
        <v>3.7</v>
      </c>
      <c r="C257" s="17">
        <v>-0.3</v>
      </c>
      <c r="D257" s="17">
        <v>-4.4000000000000004</v>
      </c>
      <c r="E257" s="17">
        <f t="shared" si="257"/>
        <v>-1.9400000000000002</v>
      </c>
      <c r="F257">
        <v>1</v>
      </c>
      <c r="G257">
        <f t="shared" ref="G257:K257" si="318">IF(F257=1,0,1)</f>
        <v>0</v>
      </c>
      <c r="H257">
        <v>0</v>
      </c>
      <c r="I257">
        <f t="shared" si="318"/>
        <v>1</v>
      </c>
      <c r="J257">
        <v>1</v>
      </c>
      <c r="K257">
        <f t="shared" si="318"/>
        <v>0</v>
      </c>
      <c r="L257">
        <v>1</v>
      </c>
      <c r="M257">
        <f t="shared" si="259"/>
        <v>0</v>
      </c>
      <c r="N257">
        <f t="shared" si="260"/>
        <v>1</v>
      </c>
      <c r="O257">
        <f t="shared" si="261"/>
        <v>0</v>
      </c>
      <c r="P257">
        <f t="shared" si="262"/>
        <v>0</v>
      </c>
      <c r="Q257">
        <f t="shared" si="263"/>
        <v>0</v>
      </c>
      <c r="R257" s="1" t="str">
        <f t="shared" si="264"/>
        <v>复苏</v>
      </c>
      <c r="S257">
        <f t="shared" si="265"/>
        <v>0</v>
      </c>
      <c r="T257">
        <f t="shared" si="266"/>
        <v>1</v>
      </c>
      <c r="U257">
        <f t="shared" si="267"/>
        <v>0</v>
      </c>
      <c r="V257">
        <f t="shared" si="268"/>
        <v>0</v>
      </c>
      <c r="W257" s="1" t="str">
        <f t="shared" si="269"/>
        <v>过热</v>
      </c>
      <c r="X257">
        <f t="shared" si="270"/>
        <v>0</v>
      </c>
      <c r="Y257">
        <f t="shared" si="271"/>
        <v>1</v>
      </c>
      <c r="Z257">
        <f t="shared" si="272"/>
        <v>0</v>
      </c>
      <c r="AA257">
        <f t="shared" si="273"/>
        <v>0</v>
      </c>
      <c r="AB257" s="1" t="str">
        <f t="shared" si="274"/>
        <v>过热</v>
      </c>
    </row>
    <row r="258" spans="1:28" x14ac:dyDescent="0.35">
      <c r="A258" s="19">
        <v>45169</v>
      </c>
      <c r="B258" s="17">
        <v>4.5</v>
      </c>
      <c r="C258" s="17">
        <v>0.1</v>
      </c>
      <c r="D258" s="17">
        <v>-3</v>
      </c>
      <c r="E258" s="17">
        <f t="shared" si="257"/>
        <v>-1.1400000000000001</v>
      </c>
      <c r="F258">
        <v>1</v>
      </c>
      <c r="G258">
        <f t="shared" ref="G258:K258" si="319">IF(F258=1,0,1)</f>
        <v>0</v>
      </c>
      <c r="H258">
        <v>0</v>
      </c>
      <c r="I258">
        <f t="shared" si="319"/>
        <v>1</v>
      </c>
      <c r="J258">
        <v>1</v>
      </c>
      <c r="K258">
        <f t="shared" si="319"/>
        <v>0</v>
      </c>
      <c r="L258">
        <v>1</v>
      </c>
      <c r="M258">
        <f t="shared" si="259"/>
        <v>0</v>
      </c>
      <c r="N258">
        <f t="shared" si="260"/>
        <v>1</v>
      </c>
      <c r="O258">
        <f t="shared" si="261"/>
        <v>0</v>
      </c>
      <c r="P258">
        <f t="shared" si="262"/>
        <v>0</v>
      </c>
      <c r="Q258">
        <f t="shared" si="263"/>
        <v>0</v>
      </c>
      <c r="R258" s="1" t="str">
        <f t="shared" si="264"/>
        <v>复苏</v>
      </c>
      <c r="S258">
        <f t="shared" si="265"/>
        <v>0</v>
      </c>
      <c r="T258">
        <f t="shared" si="266"/>
        <v>1</v>
      </c>
      <c r="U258">
        <f t="shared" si="267"/>
        <v>0</v>
      </c>
      <c r="V258">
        <f t="shared" si="268"/>
        <v>0</v>
      </c>
      <c r="W258" s="1" t="str">
        <f t="shared" si="269"/>
        <v>过热</v>
      </c>
      <c r="X258">
        <f t="shared" si="270"/>
        <v>0</v>
      </c>
      <c r="Y258">
        <f t="shared" si="271"/>
        <v>1</v>
      </c>
      <c r="Z258">
        <f t="shared" si="272"/>
        <v>0</v>
      </c>
      <c r="AA258">
        <f t="shared" si="273"/>
        <v>0</v>
      </c>
      <c r="AB258" s="1" t="str">
        <f t="shared" si="274"/>
        <v>过热</v>
      </c>
    </row>
    <row r="259" spans="1:28" x14ac:dyDescent="0.35">
      <c r="A259" s="19">
        <v>45199</v>
      </c>
      <c r="B259" s="17">
        <v>4.5</v>
      </c>
      <c r="C259" s="17">
        <v>0</v>
      </c>
      <c r="D259" s="17">
        <v>-2.5</v>
      </c>
      <c r="E259" s="17">
        <f t="shared" si="257"/>
        <v>-1</v>
      </c>
      <c r="F259">
        <v>1</v>
      </c>
      <c r="G259">
        <f t="shared" ref="G259:K259" si="320">IF(F259=1,0,1)</f>
        <v>0</v>
      </c>
      <c r="H259">
        <v>0</v>
      </c>
      <c r="I259">
        <f t="shared" si="320"/>
        <v>1</v>
      </c>
      <c r="J259">
        <v>1</v>
      </c>
      <c r="K259">
        <f t="shared" si="320"/>
        <v>0</v>
      </c>
      <c r="L259">
        <v>1</v>
      </c>
      <c r="M259">
        <f t="shared" si="259"/>
        <v>0</v>
      </c>
      <c r="N259">
        <f t="shared" si="260"/>
        <v>1</v>
      </c>
      <c r="O259">
        <f t="shared" si="261"/>
        <v>0</v>
      </c>
      <c r="P259">
        <f t="shared" si="262"/>
        <v>0</v>
      </c>
      <c r="Q259">
        <f t="shared" si="263"/>
        <v>0</v>
      </c>
      <c r="R259" s="1" t="str">
        <f t="shared" si="264"/>
        <v>复苏</v>
      </c>
      <c r="S259">
        <f t="shared" si="265"/>
        <v>0</v>
      </c>
      <c r="T259">
        <f t="shared" si="266"/>
        <v>1</v>
      </c>
      <c r="U259">
        <f t="shared" si="267"/>
        <v>0</v>
      </c>
      <c r="V259">
        <f t="shared" si="268"/>
        <v>0</v>
      </c>
      <c r="W259" s="1" t="str">
        <f t="shared" si="269"/>
        <v>过热</v>
      </c>
      <c r="X259">
        <f t="shared" si="270"/>
        <v>0</v>
      </c>
      <c r="Y259">
        <f t="shared" si="271"/>
        <v>1</v>
      </c>
      <c r="Z259">
        <f t="shared" si="272"/>
        <v>0</v>
      </c>
      <c r="AA259">
        <f t="shared" si="273"/>
        <v>0</v>
      </c>
      <c r="AB259" s="1" t="str">
        <f t="shared" si="274"/>
        <v>过热</v>
      </c>
    </row>
    <row r="260" spans="1:28" x14ac:dyDescent="0.35">
      <c r="A260" s="19">
        <v>45230</v>
      </c>
      <c r="B260" s="17">
        <v>4.5999999999999996</v>
      </c>
      <c r="C260" s="17">
        <v>-0.2</v>
      </c>
      <c r="D260" s="17">
        <v>-2.6</v>
      </c>
      <c r="E260" s="17">
        <f t="shared" si="257"/>
        <v>-1.1600000000000001</v>
      </c>
      <c r="F260">
        <v>1</v>
      </c>
      <c r="G260">
        <f t="shared" ref="G260:K260" si="321">IF(F260=1,0,1)</f>
        <v>0</v>
      </c>
      <c r="H260">
        <v>0</v>
      </c>
      <c r="I260">
        <f t="shared" si="321"/>
        <v>1</v>
      </c>
      <c r="J260">
        <v>1</v>
      </c>
      <c r="K260">
        <f t="shared" si="321"/>
        <v>0</v>
      </c>
      <c r="L260">
        <v>1</v>
      </c>
      <c r="M260">
        <f t="shared" si="259"/>
        <v>0</v>
      </c>
      <c r="N260">
        <f t="shared" si="260"/>
        <v>1</v>
      </c>
      <c r="O260">
        <f t="shared" si="261"/>
        <v>0</v>
      </c>
      <c r="P260">
        <f t="shared" si="262"/>
        <v>0</v>
      </c>
      <c r="Q260">
        <f t="shared" si="263"/>
        <v>0</v>
      </c>
      <c r="R260" s="1" t="str">
        <f t="shared" si="264"/>
        <v>复苏</v>
      </c>
      <c r="S260">
        <f t="shared" si="265"/>
        <v>0</v>
      </c>
      <c r="T260">
        <f t="shared" si="266"/>
        <v>1</v>
      </c>
      <c r="U260">
        <f t="shared" si="267"/>
        <v>0</v>
      </c>
      <c r="V260">
        <f t="shared" si="268"/>
        <v>0</v>
      </c>
      <c r="W260" s="1" t="str">
        <f t="shared" si="269"/>
        <v>过热</v>
      </c>
      <c r="X260">
        <f t="shared" si="270"/>
        <v>0</v>
      </c>
      <c r="Y260">
        <f t="shared" si="271"/>
        <v>1</v>
      </c>
      <c r="Z260">
        <f t="shared" si="272"/>
        <v>0</v>
      </c>
      <c r="AA260">
        <f t="shared" si="273"/>
        <v>0</v>
      </c>
      <c r="AB260" s="1" t="str">
        <f t="shared" si="274"/>
        <v>过热</v>
      </c>
    </row>
    <row r="261" spans="1:28" x14ac:dyDescent="0.35">
      <c r="A261" s="19">
        <v>45260</v>
      </c>
      <c r="B261" s="17">
        <v>6.6</v>
      </c>
      <c r="C261" s="17">
        <v>-0.5</v>
      </c>
      <c r="D261" s="17">
        <v>-3</v>
      </c>
      <c r="E261" s="17">
        <f t="shared" si="257"/>
        <v>-1.5000000000000002</v>
      </c>
      <c r="F261">
        <v>1</v>
      </c>
      <c r="G261">
        <f t="shared" ref="G261:K261" si="322">IF(F261=1,0,1)</f>
        <v>0</v>
      </c>
      <c r="H261">
        <v>0</v>
      </c>
      <c r="I261">
        <f t="shared" si="322"/>
        <v>1</v>
      </c>
      <c r="J261">
        <v>1</v>
      </c>
      <c r="K261">
        <f t="shared" si="322"/>
        <v>0</v>
      </c>
      <c r="L261">
        <v>1</v>
      </c>
      <c r="M261">
        <f t="shared" si="259"/>
        <v>0</v>
      </c>
      <c r="N261">
        <f t="shared" si="260"/>
        <v>1</v>
      </c>
      <c r="O261">
        <f t="shared" si="261"/>
        <v>0</v>
      </c>
      <c r="P261">
        <f t="shared" si="262"/>
        <v>0</v>
      </c>
      <c r="Q261">
        <f t="shared" si="263"/>
        <v>0</v>
      </c>
      <c r="R261" s="1" t="str">
        <f t="shared" si="264"/>
        <v>复苏</v>
      </c>
      <c r="S261">
        <f t="shared" si="265"/>
        <v>0</v>
      </c>
      <c r="T261">
        <f t="shared" si="266"/>
        <v>1</v>
      </c>
      <c r="U261">
        <f t="shared" si="267"/>
        <v>0</v>
      </c>
      <c r="V261">
        <f t="shared" si="268"/>
        <v>0</v>
      </c>
      <c r="W261" s="1" t="str">
        <f t="shared" si="269"/>
        <v>过热</v>
      </c>
      <c r="X261">
        <f t="shared" si="270"/>
        <v>0</v>
      </c>
      <c r="Y261">
        <f t="shared" si="271"/>
        <v>1</v>
      </c>
      <c r="Z261">
        <f t="shared" si="272"/>
        <v>0</v>
      </c>
      <c r="AA261">
        <f t="shared" si="273"/>
        <v>0</v>
      </c>
      <c r="AB261" s="1" t="str">
        <f t="shared" si="274"/>
        <v>过热</v>
      </c>
    </row>
    <row r="262" spans="1:28" x14ac:dyDescent="0.35">
      <c r="A262" s="19">
        <v>45291</v>
      </c>
      <c r="B262" s="17">
        <v>6.8</v>
      </c>
      <c r="C262" s="17">
        <v>-0.3</v>
      </c>
      <c r="D262" s="17">
        <v>-2.7</v>
      </c>
      <c r="E262" s="17">
        <f t="shared" si="257"/>
        <v>-1.26</v>
      </c>
      <c r="F262">
        <v>1</v>
      </c>
      <c r="G262">
        <f t="shared" ref="G262:K262" si="323">IF(F262=1,0,1)</f>
        <v>0</v>
      </c>
      <c r="H262">
        <v>1</v>
      </c>
      <c r="I262">
        <f t="shared" si="323"/>
        <v>0</v>
      </c>
      <c r="J262">
        <v>1</v>
      </c>
      <c r="K262">
        <f t="shared" si="323"/>
        <v>0</v>
      </c>
      <c r="L262">
        <v>1</v>
      </c>
      <c r="M262">
        <f t="shared" si="259"/>
        <v>0</v>
      </c>
      <c r="N262">
        <f t="shared" si="260"/>
        <v>0</v>
      </c>
      <c r="O262">
        <f t="shared" si="261"/>
        <v>1</v>
      </c>
      <c r="P262">
        <f t="shared" si="262"/>
        <v>0</v>
      </c>
      <c r="Q262">
        <f t="shared" si="263"/>
        <v>0</v>
      </c>
      <c r="R262" s="1" t="str">
        <f t="shared" si="264"/>
        <v>过热</v>
      </c>
      <c r="S262">
        <f t="shared" si="265"/>
        <v>0</v>
      </c>
      <c r="T262">
        <f t="shared" si="266"/>
        <v>1</v>
      </c>
      <c r="U262">
        <f t="shared" si="267"/>
        <v>0</v>
      </c>
      <c r="V262">
        <f t="shared" si="268"/>
        <v>0</v>
      </c>
      <c r="W262" s="1" t="str">
        <f t="shared" si="269"/>
        <v>过热</v>
      </c>
      <c r="X262">
        <f t="shared" si="270"/>
        <v>0</v>
      </c>
      <c r="Y262">
        <f t="shared" si="271"/>
        <v>1</v>
      </c>
      <c r="Z262">
        <f t="shared" si="272"/>
        <v>0</v>
      </c>
      <c r="AA262">
        <f t="shared" si="273"/>
        <v>0</v>
      </c>
      <c r="AB262" s="1" t="str">
        <f t="shared" si="274"/>
        <v>过热</v>
      </c>
    </row>
    <row r="263" spans="1:28" x14ac:dyDescent="0.35">
      <c r="A263" s="19">
        <v>45351</v>
      </c>
      <c r="B263" s="17">
        <v>7</v>
      </c>
      <c r="C263" s="17">
        <v>0</v>
      </c>
      <c r="D263" s="17">
        <v>-2.6</v>
      </c>
      <c r="E263" s="17">
        <f t="shared" si="257"/>
        <v>-1.04</v>
      </c>
      <c r="F263">
        <v>1</v>
      </c>
      <c r="G263">
        <f t="shared" ref="G263:K263" si="324">IF(F263=1,0,1)</f>
        <v>0</v>
      </c>
      <c r="H263">
        <v>1</v>
      </c>
      <c r="I263">
        <f t="shared" si="324"/>
        <v>0</v>
      </c>
      <c r="J263">
        <v>1</v>
      </c>
      <c r="K263">
        <f t="shared" si="324"/>
        <v>0</v>
      </c>
      <c r="L263">
        <v>1</v>
      </c>
      <c r="M263">
        <f t="shared" si="259"/>
        <v>0</v>
      </c>
      <c r="N263">
        <f t="shared" si="260"/>
        <v>0</v>
      </c>
      <c r="O263">
        <f t="shared" si="261"/>
        <v>1</v>
      </c>
      <c r="P263">
        <f t="shared" si="262"/>
        <v>0</v>
      </c>
      <c r="Q263">
        <f t="shared" si="263"/>
        <v>0</v>
      </c>
      <c r="R263" s="1" t="str">
        <f t="shared" si="264"/>
        <v>过热</v>
      </c>
      <c r="S263">
        <f t="shared" si="265"/>
        <v>0</v>
      </c>
      <c r="T263">
        <f t="shared" si="266"/>
        <v>1</v>
      </c>
      <c r="U263">
        <f t="shared" si="267"/>
        <v>0</v>
      </c>
      <c r="V263">
        <f t="shared" si="268"/>
        <v>0</v>
      </c>
      <c r="W263" s="1" t="str">
        <f t="shared" si="269"/>
        <v>过热</v>
      </c>
      <c r="X263">
        <f t="shared" si="270"/>
        <v>0</v>
      </c>
      <c r="Y263">
        <f t="shared" si="271"/>
        <v>1</v>
      </c>
      <c r="Z263">
        <f t="shared" si="272"/>
        <v>0</v>
      </c>
      <c r="AA263">
        <f t="shared" si="273"/>
        <v>0</v>
      </c>
      <c r="AB263" s="1" t="str">
        <f t="shared" si="274"/>
        <v>过热</v>
      </c>
    </row>
    <row r="264" spans="1:28" x14ac:dyDescent="0.35">
      <c r="A264" s="19">
        <v>45382</v>
      </c>
      <c r="B264" s="17">
        <v>4.5</v>
      </c>
      <c r="C264" s="17">
        <v>0.1</v>
      </c>
      <c r="D264" s="17">
        <v>-2.8</v>
      </c>
      <c r="E264" s="17">
        <f t="shared" si="257"/>
        <v>-1.0599999999999998</v>
      </c>
      <c r="F264">
        <v>0</v>
      </c>
      <c r="G264">
        <f t="shared" ref="G264:K264" si="325">IF(F264=1,0,1)</f>
        <v>1</v>
      </c>
      <c r="H264">
        <v>1</v>
      </c>
      <c r="I264">
        <f t="shared" si="325"/>
        <v>0</v>
      </c>
      <c r="J264">
        <v>1</v>
      </c>
      <c r="K264">
        <f t="shared" si="325"/>
        <v>0</v>
      </c>
      <c r="L264">
        <v>1</v>
      </c>
      <c r="M264">
        <f t="shared" si="259"/>
        <v>0</v>
      </c>
      <c r="N264">
        <f t="shared" si="260"/>
        <v>0</v>
      </c>
      <c r="O264">
        <f t="shared" si="261"/>
        <v>0</v>
      </c>
      <c r="P264">
        <f t="shared" si="262"/>
        <v>1</v>
      </c>
      <c r="Q264">
        <f t="shared" si="263"/>
        <v>0</v>
      </c>
      <c r="R264" s="1" t="str">
        <f t="shared" si="264"/>
        <v>滞涨</v>
      </c>
      <c r="S264">
        <f t="shared" si="265"/>
        <v>0</v>
      </c>
      <c r="T264">
        <f t="shared" si="266"/>
        <v>0</v>
      </c>
      <c r="U264">
        <f t="shared" si="267"/>
        <v>1</v>
      </c>
      <c r="V264">
        <f t="shared" si="268"/>
        <v>0</v>
      </c>
      <c r="W264" s="1" t="str">
        <f t="shared" si="269"/>
        <v>滞涨</v>
      </c>
      <c r="X264">
        <f t="shared" si="270"/>
        <v>0</v>
      </c>
      <c r="Y264">
        <f t="shared" si="271"/>
        <v>0</v>
      </c>
      <c r="Z264">
        <f t="shared" si="272"/>
        <v>1</v>
      </c>
      <c r="AA264">
        <f t="shared" si="273"/>
        <v>0</v>
      </c>
      <c r="AB264" s="1" t="str">
        <f t="shared" si="274"/>
        <v>滞涨</v>
      </c>
    </row>
    <row r="265" spans="1:28" x14ac:dyDescent="0.35">
      <c r="A265" s="19">
        <v>45412</v>
      </c>
      <c r="B265" s="17">
        <v>6.7</v>
      </c>
      <c r="C265" s="17">
        <v>0.3</v>
      </c>
      <c r="D265" s="17">
        <v>-2.5</v>
      </c>
      <c r="E265" s="17">
        <f t="shared" si="257"/>
        <v>-0.82000000000000006</v>
      </c>
      <c r="F265">
        <v>0</v>
      </c>
      <c r="G265">
        <f t="shared" ref="G265:K265" si="326">IF(F265=1,0,1)</f>
        <v>1</v>
      </c>
      <c r="H265">
        <v>1</v>
      </c>
      <c r="I265">
        <f t="shared" si="326"/>
        <v>0</v>
      </c>
      <c r="J265">
        <v>1</v>
      </c>
      <c r="K265">
        <f t="shared" si="326"/>
        <v>0</v>
      </c>
      <c r="L265">
        <v>1</v>
      </c>
      <c r="M265">
        <f t="shared" si="259"/>
        <v>0</v>
      </c>
      <c r="N265">
        <f t="shared" si="260"/>
        <v>0</v>
      </c>
      <c r="O265">
        <f t="shared" si="261"/>
        <v>0</v>
      </c>
      <c r="P265">
        <f>IF(F265=0,IF(H265=1,1,0),0)</f>
        <v>1</v>
      </c>
      <c r="Q265">
        <f t="shared" si="263"/>
        <v>0</v>
      </c>
      <c r="R265" s="1" t="str">
        <f t="shared" si="264"/>
        <v>滞涨</v>
      </c>
      <c r="S265">
        <f t="shared" si="265"/>
        <v>0</v>
      </c>
      <c r="T265">
        <f t="shared" si="266"/>
        <v>0</v>
      </c>
      <c r="U265">
        <f t="shared" si="267"/>
        <v>1</v>
      </c>
      <c r="V265">
        <f t="shared" si="268"/>
        <v>0</v>
      </c>
      <c r="W265" s="1" t="str">
        <f t="shared" si="269"/>
        <v>滞涨</v>
      </c>
      <c r="X265">
        <f t="shared" si="270"/>
        <v>0</v>
      </c>
      <c r="Y265">
        <f t="shared" si="271"/>
        <v>0</v>
      </c>
      <c r="Z265">
        <f t="shared" si="272"/>
        <v>1</v>
      </c>
      <c r="AA265">
        <f t="shared" si="273"/>
        <v>0</v>
      </c>
      <c r="AB265" s="1" t="str">
        <f t="shared" si="274"/>
        <v>滞涨</v>
      </c>
    </row>
    <row r="266" spans="1:28" x14ac:dyDescent="0.35">
      <c r="A266" s="19">
        <v>45443</v>
      </c>
      <c r="B266" s="17">
        <v>5.6</v>
      </c>
      <c r="C266" s="17">
        <v>0.3</v>
      </c>
      <c r="D266" s="17">
        <v>-1.4</v>
      </c>
      <c r="E266" s="17">
        <f t="shared" si="257"/>
        <v>-0.37999999999999995</v>
      </c>
      <c r="F266">
        <v>0</v>
      </c>
      <c r="G266">
        <f>1-F266</f>
        <v>1</v>
      </c>
      <c r="H266">
        <v>1</v>
      </c>
      <c r="I266">
        <f>1-H266</f>
        <v>0</v>
      </c>
      <c r="J266">
        <v>1</v>
      </c>
      <c r="K266">
        <f>1-J266</f>
        <v>0</v>
      </c>
      <c r="L266">
        <v>1</v>
      </c>
      <c r="M266">
        <f t="shared" si="259"/>
        <v>0</v>
      </c>
      <c r="N266">
        <f t="shared" si="260"/>
        <v>0</v>
      </c>
      <c r="O266">
        <f t="shared" si="261"/>
        <v>0</v>
      </c>
      <c r="P266">
        <f t="shared" si="262"/>
        <v>1</v>
      </c>
      <c r="Q266">
        <f t="shared" si="263"/>
        <v>0</v>
      </c>
      <c r="R266" s="1" t="str">
        <f t="shared" si="264"/>
        <v>滞涨</v>
      </c>
      <c r="S266">
        <f t="shared" si="265"/>
        <v>0</v>
      </c>
      <c r="T266">
        <f t="shared" si="266"/>
        <v>0</v>
      </c>
      <c r="U266">
        <f t="shared" si="267"/>
        <v>1</v>
      </c>
      <c r="V266">
        <f t="shared" si="268"/>
        <v>0</v>
      </c>
      <c r="W266" s="1" t="str">
        <f t="shared" si="269"/>
        <v>滞涨</v>
      </c>
      <c r="X266">
        <f t="shared" si="270"/>
        <v>0</v>
      </c>
      <c r="Y266">
        <f t="shared" si="271"/>
        <v>0</v>
      </c>
      <c r="Z266">
        <f t="shared" si="272"/>
        <v>1</v>
      </c>
      <c r="AA266">
        <f t="shared" si="273"/>
        <v>0</v>
      </c>
      <c r="AB266" s="1" t="str">
        <f t="shared" si="274"/>
        <v>滞涨</v>
      </c>
    </row>
    <row r="267" spans="1:28" x14ac:dyDescent="0.35">
      <c r="A267" s="19">
        <v>45473</v>
      </c>
      <c r="B267" s="143">
        <v>5.3</v>
      </c>
      <c r="C267" s="143">
        <v>0.2</v>
      </c>
      <c r="D267" s="143">
        <v>-0.8</v>
      </c>
      <c r="E267" s="17">
        <f t="shared" si="257"/>
        <v>-0.20000000000000007</v>
      </c>
      <c r="F267">
        <f>IF(B267&gt;B266,1,0)</f>
        <v>0</v>
      </c>
      <c r="G267">
        <f t="shared" ref="G267:G284" si="327">1-F267</f>
        <v>1</v>
      </c>
      <c r="H267">
        <v>1</v>
      </c>
      <c r="I267">
        <f>1-H267</f>
        <v>0</v>
      </c>
      <c r="J267">
        <v>1</v>
      </c>
      <c r="K267">
        <f t="shared" ref="K267:K284" si="328">1-J267</f>
        <v>0</v>
      </c>
      <c r="L267">
        <f>IF(E267&gt;E266,1,0)</f>
        <v>1</v>
      </c>
      <c r="M267">
        <f>IF(E267&lt;=E266,1,0)</f>
        <v>0</v>
      </c>
      <c r="N267">
        <f t="shared" ref="N267:N273" si="329">IF(F267=1,IF(H267=0,1,0),0)</f>
        <v>0</v>
      </c>
      <c r="O267">
        <f t="shared" ref="O267:O273" si="330">IF(F267=1,IF(H267=1,1,0),0)</f>
        <v>0</v>
      </c>
      <c r="P267">
        <f t="shared" ref="P267:P273" si="331">IF(F267=0,IF(H267=1,1,0),0)</f>
        <v>1</v>
      </c>
      <c r="Q267">
        <f t="shared" ref="Q267:Q273" si="332">IF(F267=0,IF(H267=0,1,0),0)</f>
        <v>0</v>
      </c>
      <c r="R267" s="1" t="str">
        <f t="shared" si="264"/>
        <v>滞涨</v>
      </c>
      <c r="S267">
        <f t="shared" ref="S267:S273" si="333">IF(F267=1,IF(J267=0,1,0),0)</f>
        <v>0</v>
      </c>
      <c r="T267">
        <f t="shared" ref="T267:T273" si="334">IF(F267=1,IF(J267=1,1,0),0)</f>
        <v>0</v>
      </c>
      <c r="U267">
        <f t="shared" ref="U267:U273" si="335">IF(F267=0,IF(J267=1,1,0),0)</f>
        <v>1</v>
      </c>
      <c r="V267">
        <f t="shared" ref="V267:V273" si="336">IF(F267=0,IF(J267=0,1,0),0)</f>
        <v>0</v>
      </c>
      <c r="W267" s="1" t="str">
        <f t="shared" ref="W267:W273" si="337">INDEX($S$20:$V$20,1,MATCH(1,S267:V267,0))</f>
        <v>滞涨</v>
      </c>
      <c r="X267">
        <f t="shared" ref="X267:X273" si="338">IF(F267=1,IF(L267=0,1,0),0)</f>
        <v>0</v>
      </c>
      <c r="Y267">
        <f t="shared" ref="Y267:Y273" si="339">IF(F267=1,IF(L267=1,1,0),0)</f>
        <v>0</v>
      </c>
      <c r="Z267">
        <f t="shared" ref="Z267:Z273" si="340">IF(F267=0,IF(L267=1,1,0),0)</f>
        <v>1</v>
      </c>
      <c r="AA267">
        <f t="shared" ref="AA267:AA273" si="341">IF(F267=0,IF(L267=0,1,0),0)</f>
        <v>0</v>
      </c>
      <c r="AB267" s="1" t="str">
        <f t="shared" ref="AB267:AB273" si="342">INDEX($X$20:$AA$20,1,MATCH(1,X267:AA267,0))</f>
        <v>滞涨</v>
      </c>
    </row>
    <row r="268" spans="1:28" x14ac:dyDescent="0.35">
      <c r="A268" s="19">
        <v>45504</v>
      </c>
      <c r="B268" s="143">
        <v>5.0999999999999996</v>
      </c>
      <c r="C268" s="143">
        <v>0.5</v>
      </c>
      <c r="D268" s="143">
        <v>-0.8</v>
      </c>
      <c r="E268" s="17">
        <f t="shared" si="257"/>
        <v>-2.0000000000000073E-2</v>
      </c>
      <c r="F268">
        <f t="shared" ref="F268" si="343">IF(B268&gt;B267,1,0)</f>
        <v>0</v>
      </c>
      <c r="G268">
        <f t="shared" si="327"/>
        <v>1</v>
      </c>
      <c r="H268">
        <v>0</v>
      </c>
      <c r="I268">
        <f t="shared" ref="I268:I284" si="344">1-H268</f>
        <v>1</v>
      </c>
      <c r="J268">
        <v>1</v>
      </c>
      <c r="K268">
        <f t="shared" si="328"/>
        <v>0</v>
      </c>
      <c r="L268">
        <f t="shared" ref="L268:L273" si="345">IF(E268&gt;E267,1,0)</f>
        <v>1</v>
      </c>
      <c r="M268">
        <f t="shared" ref="M268:M273" si="346">IF(E268&lt;=E267,1,0)</f>
        <v>0</v>
      </c>
      <c r="N268">
        <f t="shared" si="329"/>
        <v>0</v>
      </c>
      <c r="O268">
        <f t="shared" si="330"/>
        <v>0</v>
      </c>
      <c r="P268">
        <f t="shared" si="331"/>
        <v>0</v>
      </c>
      <c r="Q268">
        <f t="shared" si="332"/>
        <v>1</v>
      </c>
      <c r="R268" s="1" t="str">
        <f t="shared" si="264"/>
        <v>衰退</v>
      </c>
      <c r="S268">
        <f t="shared" si="333"/>
        <v>0</v>
      </c>
      <c r="T268">
        <f t="shared" si="334"/>
        <v>0</v>
      </c>
      <c r="U268">
        <f t="shared" si="335"/>
        <v>1</v>
      </c>
      <c r="V268">
        <f t="shared" si="336"/>
        <v>0</v>
      </c>
      <c r="W268" s="1" t="str">
        <f t="shared" si="337"/>
        <v>滞涨</v>
      </c>
      <c r="X268">
        <f t="shared" si="338"/>
        <v>0</v>
      </c>
      <c r="Y268">
        <f t="shared" si="339"/>
        <v>0</v>
      </c>
      <c r="Z268">
        <f t="shared" si="340"/>
        <v>1</v>
      </c>
      <c r="AA268">
        <f t="shared" si="341"/>
        <v>0</v>
      </c>
      <c r="AB268" s="1" t="str">
        <f t="shared" si="342"/>
        <v>滞涨</v>
      </c>
    </row>
    <row r="269" spans="1:28" x14ac:dyDescent="0.35">
      <c r="A269" s="19">
        <v>45535</v>
      </c>
      <c r="B269" s="143">
        <v>4.5</v>
      </c>
      <c r="C269" s="143">
        <v>0.6</v>
      </c>
      <c r="D269" s="143">
        <v>-1.8</v>
      </c>
      <c r="E269" s="17">
        <f t="shared" si="257"/>
        <v>-0.3600000000000001</v>
      </c>
      <c r="F269">
        <v>0</v>
      </c>
      <c r="G269">
        <f t="shared" si="327"/>
        <v>1</v>
      </c>
      <c r="H269">
        <v>0</v>
      </c>
      <c r="I269">
        <f t="shared" si="344"/>
        <v>1</v>
      </c>
      <c r="J269">
        <v>1</v>
      </c>
      <c r="K269">
        <f t="shared" si="328"/>
        <v>0</v>
      </c>
      <c r="L269">
        <f t="shared" si="345"/>
        <v>0</v>
      </c>
      <c r="M269">
        <f t="shared" si="346"/>
        <v>1</v>
      </c>
      <c r="N269">
        <f t="shared" si="329"/>
        <v>0</v>
      </c>
      <c r="O269">
        <f t="shared" si="330"/>
        <v>0</v>
      </c>
      <c r="P269">
        <f t="shared" si="331"/>
        <v>0</v>
      </c>
      <c r="Q269">
        <f t="shared" si="332"/>
        <v>1</v>
      </c>
      <c r="R269" s="1" t="str">
        <f t="shared" si="264"/>
        <v>衰退</v>
      </c>
      <c r="S269">
        <f t="shared" si="333"/>
        <v>0</v>
      </c>
      <c r="T269">
        <f t="shared" si="334"/>
        <v>0</v>
      </c>
      <c r="U269">
        <f t="shared" si="335"/>
        <v>1</v>
      </c>
      <c r="V269">
        <f t="shared" si="336"/>
        <v>0</v>
      </c>
      <c r="W269" s="1" t="str">
        <f t="shared" si="337"/>
        <v>滞涨</v>
      </c>
      <c r="X269">
        <f t="shared" si="338"/>
        <v>0</v>
      </c>
      <c r="Y269">
        <f t="shared" si="339"/>
        <v>0</v>
      </c>
      <c r="Z269">
        <f t="shared" si="340"/>
        <v>0</v>
      </c>
      <c r="AA269">
        <f t="shared" si="341"/>
        <v>1</v>
      </c>
      <c r="AB269" s="1" t="str">
        <f t="shared" si="342"/>
        <v>衰退</v>
      </c>
    </row>
    <row r="270" spans="1:28" x14ac:dyDescent="0.35">
      <c r="A270" s="19">
        <v>45565</v>
      </c>
      <c r="B270" s="143">
        <v>5.4</v>
      </c>
      <c r="C270" s="143">
        <v>0.4</v>
      </c>
      <c r="D270" s="143">
        <v>-2.8</v>
      </c>
      <c r="E270" s="17">
        <f t="shared" si="257"/>
        <v>-0.87999999999999989</v>
      </c>
      <c r="F270">
        <v>1</v>
      </c>
      <c r="G270">
        <f t="shared" si="327"/>
        <v>0</v>
      </c>
      <c r="H270">
        <v>0</v>
      </c>
      <c r="I270">
        <f t="shared" si="344"/>
        <v>1</v>
      </c>
      <c r="J270">
        <v>1</v>
      </c>
      <c r="K270">
        <f t="shared" si="328"/>
        <v>0</v>
      </c>
      <c r="L270">
        <f t="shared" si="345"/>
        <v>0</v>
      </c>
      <c r="M270">
        <f t="shared" si="346"/>
        <v>1</v>
      </c>
      <c r="N270">
        <f t="shared" si="329"/>
        <v>1</v>
      </c>
      <c r="O270">
        <f t="shared" si="330"/>
        <v>0</v>
      </c>
      <c r="P270">
        <f t="shared" si="331"/>
        <v>0</v>
      </c>
      <c r="Q270">
        <f t="shared" si="332"/>
        <v>0</v>
      </c>
      <c r="R270" s="1" t="str">
        <f t="shared" si="264"/>
        <v>复苏</v>
      </c>
      <c r="S270">
        <f t="shared" si="333"/>
        <v>0</v>
      </c>
      <c r="T270">
        <f t="shared" si="334"/>
        <v>1</v>
      </c>
      <c r="U270">
        <f t="shared" si="335"/>
        <v>0</v>
      </c>
      <c r="V270">
        <f t="shared" si="336"/>
        <v>0</v>
      </c>
      <c r="W270" s="1" t="str">
        <f t="shared" si="337"/>
        <v>过热</v>
      </c>
      <c r="X270">
        <f t="shared" si="338"/>
        <v>1</v>
      </c>
      <c r="Y270">
        <f t="shared" si="339"/>
        <v>0</v>
      </c>
      <c r="Z270">
        <f t="shared" si="340"/>
        <v>0</v>
      </c>
      <c r="AA270">
        <f t="shared" si="341"/>
        <v>0</v>
      </c>
      <c r="AB270" s="1" t="str">
        <f t="shared" si="342"/>
        <v>复苏</v>
      </c>
    </row>
    <row r="271" spans="1:28" x14ac:dyDescent="0.35">
      <c r="A271" s="19">
        <v>45596</v>
      </c>
      <c r="B271" s="143">
        <v>5.3</v>
      </c>
      <c r="C271" s="143">
        <v>0.3</v>
      </c>
      <c r="D271" s="143">
        <v>-2.9</v>
      </c>
      <c r="E271" s="17">
        <f t="shared" si="257"/>
        <v>-0.98</v>
      </c>
      <c r="F271">
        <v>1</v>
      </c>
      <c r="G271">
        <f t="shared" si="327"/>
        <v>0</v>
      </c>
      <c r="H271">
        <v>0</v>
      </c>
      <c r="I271">
        <f t="shared" si="344"/>
        <v>1</v>
      </c>
      <c r="J271">
        <v>1</v>
      </c>
      <c r="K271">
        <f t="shared" si="328"/>
        <v>0</v>
      </c>
      <c r="L271">
        <f t="shared" si="345"/>
        <v>0</v>
      </c>
      <c r="M271">
        <f t="shared" si="346"/>
        <v>1</v>
      </c>
      <c r="N271">
        <f t="shared" si="329"/>
        <v>1</v>
      </c>
      <c r="O271">
        <f t="shared" si="330"/>
        <v>0</v>
      </c>
      <c r="P271">
        <f t="shared" si="331"/>
        <v>0</v>
      </c>
      <c r="Q271">
        <f t="shared" si="332"/>
        <v>0</v>
      </c>
      <c r="R271" s="1" t="str">
        <f t="shared" si="264"/>
        <v>复苏</v>
      </c>
      <c r="S271">
        <f t="shared" si="333"/>
        <v>0</v>
      </c>
      <c r="T271">
        <f t="shared" si="334"/>
        <v>1</v>
      </c>
      <c r="U271">
        <f t="shared" si="335"/>
        <v>0</v>
      </c>
      <c r="V271">
        <f t="shared" si="336"/>
        <v>0</v>
      </c>
      <c r="W271" s="1" t="str">
        <f t="shared" si="337"/>
        <v>过热</v>
      </c>
      <c r="X271">
        <f t="shared" si="338"/>
        <v>1</v>
      </c>
      <c r="Y271">
        <f t="shared" si="339"/>
        <v>0</v>
      </c>
      <c r="Z271">
        <f t="shared" si="340"/>
        <v>0</v>
      </c>
      <c r="AA271">
        <f t="shared" si="341"/>
        <v>0</v>
      </c>
      <c r="AB271" s="1" t="str">
        <f t="shared" si="342"/>
        <v>复苏</v>
      </c>
    </row>
    <row r="272" spans="1:28" x14ac:dyDescent="0.35">
      <c r="A272" s="19">
        <v>45626</v>
      </c>
      <c r="B272" s="143">
        <v>5.4</v>
      </c>
      <c r="C272" s="143">
        <v>0.2</v>
      </c>
      <c r="D272" s="143">
        <v>-2.5</v>
      </c>
      <c r="E272" s="17">
        <f t="shared" si="257"/>
        <v>-0.88</v>
      </c>
      <c r="F272">
        <v>1</v>
      </c>
      <c r="G272">
        <f t="shared" si="327"/>
        <v>0</v>
      </c>
      <c r="H272">
        <v>0</v>
      </c>
      <c r="I272">
        <f t="shared" si="344"/>
        <v>1</v>
      </c>
      <c r="J272">
        <v>1</v>
      </c>
      <c r="K272">
        <f t="shared" si="328"/>
        <v>0</v>
      </c>
      <c r="L272">
        <f t="shared" si="345"/>
        <v>1</v>
      </c>
      <c r="M272">
        <f t="shared" si="346"/>
        <v>0</v>
      </c>
      <c r="N272">
        <f t="shared" si="329"/>
        <v>1</v>
      </c>
      <c r="O272">
        <f t="shared" si="330"/>
        <v>0</v>
      </c>
      <c r="P272">
        <f t="shared" si="331"/>
        <v>0</v>
      </c>
      <c r="Q272">
        <f t="shared" si="332"/>
        <v>0</v>
      </c>
      <c r="R272" s="1" t="str">
        <f t="shared" si="264"/>
        <v>复苏</v>
      </c>
      <c r="S272">
        <f t="shared" si="333"/>
        <v>0</v>
      </c>
      <c r="T272">
        <f t="shared" si="334"/>
        <v>1</v>
      </c>
      <c r="U272">
        <f t="shared" si="335"/>
        <v>0</v>
      </c>
      <c r="V272">
        <f t="shared" si="336"/>
        <v>0</v>
      </c>
      <c r="W272" s="1" t="str">
        <f t="shared" si="337"/>
        <v>过热</v>
      </c>
      <c r="X272">
        <f t="shared" si="338"/>
        <v>0</v>
      </c>
      <c r="Y272">
        <f t="shared" si="339"/>
        <v>1</v>
      </c>
      <c r="Z272">
        <f t="shared" si="340"/>
        <v>0</v>
      </c>
      <c r="AA272">
        <f t="shared" si="341"/>
        <v>0</v>
      </c>
      <c r="AB272" s="1" t="str">
        <f t="shared" si="342"/>
        <v>过热</v>
      </c>
    </row>
    <row r="273" spans="1:28" x14ac:dyDescent="0.35">
      <c r="A273" s="19">
        <v>45657</v>
      </c>
      <c r="B273" s="143">
        <v>6.2</v>
      </c>
      <c r="C273" s="143">
        <v>0.1</v>
      </c>
      <c r="D273" s="143">
        <v>-2.2999999999999998</v>
      </c>
      <c r="E273" s="17">
        <f t="shared" si="257"/>
        <v>-0.85999999999999988</v>
      </c>
      <c r="F273">
        <v>1</v>
      </c>
      <c r="G273">
        <f t="shared" si="327"/>
        <v>0</v>
      </c>
      <c r="H273">
        <v>0</v>
      </c>
      <c r="I273">
        <f t="shared" si="344"/>
        <v>1</v>
      </c>
      <c r="J273">
        <v>1</v>
      </c>
      <c r="K273">
        <f t="shared" si="328"/>
        <v>0</v>
      </c>
      <c r="L273">
        <f t="shared" si="345"/>
        <v>1</v>
      </c>
      <c r="M273">
        <f t="shared" si="346"/>
        <v>0</v>
      </c>
      <c r="N273">
        <f t="shared" si="329"/>
        <v>1</v>
      </c>
      <c r="O273">
        <f t="shared" si="330"/>
        <v>0</v>
      </c>
      <c r="P273">
        <f t="shared" si="331"/>
        <v>0</v>
      </c>
      <c r="Q273">
        <f t="shared" si="332"/>
        <v>0</v>
      </c>
      <c r="R273" s="1" t="str">
        <f t="shared" si="264"/>
        <v>复苏</v>
      </c>
      <c r="S273">
        <f t="shared" si="333"/>
        <v>0</v>
      </c>
      <c r="T273">
        <f t="shared" si="334"/>
        <v>1</v>
      </c>
      <c r="U273">
        <f t="shared" si="335"/>
        <v>0</v>
      </c>
      <c r="V273">
        <f t="shared" si="336"/>
        <v>0</v>
      </c>
      <c r="W273" s="1" t="str">
        <f t="shared" si="337"/>
        <v>过热</v>
      </c>
      <c r="X273">
        <f t="shared" si="338"/>
        <v>0</v>
      </c>
      <c r="Y273">
        <f t="shared" si="339"/>
        <v>1</v>
      </c>
      <c r="Z273">
        <f t="shared" si="340"/>
        <v>0</v>
      </c>
      <c r="AA273">
        <f t="shared" si="341"/>
        <v>0</v>
      </c>
      <c r="AB273" s="1" t="str">
        <f t="shared" si="342"/>
        <v>过热</v>
      </c>
    </row>
    <row r="274" spans="1:28" x14ac:dyDescent="0.35">
      <c r="A274" s="19">
        <v>45716</v>
      </c>
      <c r="B274" s="134">
        <v>4.3170722382750881</v>
      </c>
      <c r="C274" s="140">
        <v>-0.38</v>
      </c>
      <c r="D274" s="134">
        <v>-2.1</v>
      </c>
      <c r="E274" s="17">
        <f t="shared" si="257"/>
        <v>-1.0680000000000001</v>
      </c>
      <c r="F274">
        <v>0</v>
      </c>
      <c r="G274">
        <f t="shared" si="327"/>
        <v>1</v>
      </c>
      <c r="H274">
        <v>1</v>
      </c>
      <c r="I274">
        <f t="shared" si="344"/>
        <v>0</v>
      </c>
      <c r="J274">
        <v>1</v>
      </c>
      <c r="K274">
        <f t="shared" si="328"/>
        <v>0</v>
      </c>
      <c r="L274">
        <f t="shared" ref="L274:L284" si="347">IF(E274&gt;E273,1,0)</f>
        <v>0</v>
      </c>
      <c r="M274">
        <f t="shared" ref="M274:M284" si="348">IF(E274&lt;=E273,1,0)</f>
        <v>1</v>
      </c>
      <c r="N274">
        <f t="shared" ref="N274:N279" si="349">IF(F274=1,IF(H274=0,1,0),0)</f>
        <v>0</v>
      </c>
      <c r="O274">
        <f t="shared" ref="O274:O279" si="350">IF(F274=1,IF(H274=1,1,0),0)</f>
        <v>0</v>
      </c>
      <c r="P274">
        <f t="shared" ref="P274:P279" si="351">IF(F274=0,IF(H274=1,1,0),0)</f>
        <v>1</v>
      </c>
      <c r="Q274">
        <f t="shared" ref="Q274:Q279" si="352">IF(F274=0,IF(H274=0,1,0),0)</f>
        <v>0</v>
      </c>
      <c r="R274" s="1" t="str">
        <f t="shared" ref="R274:R282" si="353">INDEX($N$20:$Q$20,1,MATCH(1,N274:Q274,0))</f>
        <v>滞涨</v>
      </c>
      <c r="S274">
        <f t="shared" ref="S274:S282" si="354">IF(F274=1,IF(J274=0,1,0),0)</f>
        <v>0</v>
      </c>
      <c r="T274">
        <f t="shared" ref="T274:T282" si="355">IF(F274=1,IF(J274=1,1,0),0)</f>
        <v>0</v>
      </c>
      <c r="U274">
        <f t="shared" ref="U274:U282" si="356">IF(F274=0,IF(J274=1,1,0),0)</f>
        <v>1</v>
      </c>
      <c r="V274">
        <f t="shared" ref="V274:V282" si="357">IF(F274=0,IF(J274=0,1,0),0)</f>
        <v>0</v>
      </c>
      <c r="W274" s="1" t="str">
        <f t="shared" ref="W274:W282" si="358">INDEX($S$20:$V$20,1,MATCH(1,S274:V274,0))</f>
        <v>滞涨</v>
      </c>
      <c r="X274">
        <f t="shared" ref="X274:X282" si="359">IF(F274=1,IF(L274=0,1,0),0)</f>
        <v>0</v>
      </c>
      <c r="Y274">
        <f t="shared" ref="Y274:Y282" si="360">IF(F274=1,IF(L274=1,1,0),0)</f>
        <v>0</v>
      </c>
      <c r="Z274">
        <f t="shared" ref="Z274:Z282" si="361">IF(F274=0,IF(L274=1,1,0),0)</f>
        <v>0</v>
      </c>
      <c r="AA274">
        <f t="shared" ref="AA274:AA282" si="362">IF(F274=0,IF(L274=0,1,0),0)</f>
        <v>1</v>
      </c>
      <c r="AB274" s="1" t="str">
        <f t="shared" ref="AB274:AB282" si="363">INDEX($X$20:$AA$20,1,MATCH(1,X274:AA274,0))</f>
        <v>衰退</v>
      </c>
    </row>
    <row r="275" spans="1:28" x14ac:dyDescent="0.35">
      <c r="A275" s="19">
        <v>45747</v>
      </c>
      <c r="B275" s="134">
        <v>4.5208235626477133</v>
      </c>
      <c r="C275" s="140">
        <v>0.2</v>
      </c>
      <c r="D275" s="134">
        <v>-1.8100252384178761</v>
      </c>
      <c r="E275" s="17">
        <f t="shared" si="257"/>
        <v>-0.60401009536715045</v>
      </c>
      <c r="F275">
        <v>0</v>
      </c>
      <c r="G275">
        <f t="shared" si="327"/>
        <v>1</v>
      </c>
      <c r="H275">
        <v>1</v>
      </c>
      <c r="I275">
        <f t="shared" si="344"/>
        <v>0</v>
      </c>
      <c r="J275">
        <v>1</v>
      </c>
      <c r="K275">
        <f t="shared" si="328"/>
        <v>0</v>
      </c>
      <c r="L275">
        <f t="shared" si="347"/>
        <v>1</v>
      </c>
      <c r="M275">
        <f t="shared" si="348"/>
        <v>0</v>
      </c>
      <c r="N275">
        <f t="shared" si="349"/>
        <v>0</v>
      </c>
      <c r="O275">
        <f t="shared" si="350"/>
        <v>0</v>
      </c>
      <c r="P275">
        <f t="shared" si="351"/>
        <v>1</v>
      </c>
      <c r="Q275">
        <f t="shared" si="352"/>
        <v>0</v>
      </c>
      <c r="R275" s="1" t="str">
        <f t="shared" si="353"/>
        <v>滞涨</v>
      </c>
      <c r="S275">
        <f t="shared" si="354"/>
        <v>0</v>
      </c>
      <c r="T275">
        <f t="shared" si="355"/>
        <v>0</v>
      </c>
      <c r="U275">
        <f t="shared" si="356"/>
        <v>1</v>
      </c>
      <c r="V275">
        <f t="shared" si="357"/>
        <v>0</v>
      </c>
      <c r="W275" s="1" t="str">
        <f t="shared" si="358"/>
        <v>滞涨</v>
      </c>
      <c r="X275">
        <f t="shared" si="359"/>
        <v>0</v>
      </c>
      <c r="Y275">
        <f t="shared" si="360"/>
        <v>0</v>
      </c>
      <c r="Z275">
        <f t="shared" si="361"/>
        <v>1</v>
      </c>
      <c r="AA275">
        <f t="shared" si="362"/>
        <v>0</v>
      </c>
      <c r="AB275" s="1" t="str">
        <f t="shared" si="363"/>
        <v>滞涨</v>
      </c>
    </row>
    <row r="276" spans="1:28" x14ac:dyDescent="0.35">
      <c r="A276" s="19">
        <v>45777</v>
      </c>
      <c r="B276" s="134">
        <v>6.1062486610886646</v>
      </c>
      <c r="C276" s="140">
        <v>0.6</v>
      </c>
      <c r="D276" s="134">
        <v>-1.6624139923971137</v>
      </c>
      <c r="E276" s="17">
        <f t="shared" si="257"/>
        <v>-0.30496559695884551</v>
      </c>
      <c r="F276">
        <v>1</v>
      </c>
      <c r="G276">
        <f t="shared" si="327"/>
        <v>0</v>
      </c>
      <c r="H276">
        <v>1</v>
      </c>
      <c r="I276">
        <f t="shared" si="344"/>
        <v>0</v>
      </c>
      <c r="J276">
        <v>1</v>
      </c>
      <c r="K276">
        <f t="shared" si="328"/>
        <v>0</v>
      </c>
      <c r="L276">
        <f t="shared" si="347"/>
        <v>1</v>
      </c>
      <c r="M276">
        <f t="shared" si="348"/>
        <v>0</v>
      </c>
      <c r="N276">
        <f t="shared" si="349"/>
        <v>0</v>
      </c>
      <c r="O276">
        <f t="shared" si="350"/>
        <v>1</v>
      </c>
      <c r="P276">
        <f t="shared" si="351"/>
        <v>0</v>
      </c>
      <c r="Q276">
        <f t="shared" si="352"/>
        <v>0</v>
      </c>
      <c r="R276" s="1" t="str">
        <f t="shared" si="353"/>
        <v>过热</v>
      </c>
      <c r="S276">
        <f t="shared" si="354"/>
        <v>0</v>
      </c>
      <c r="T276">
        <f t="shared" si="355"/>
        <v>1</v>
      </c>
      <c r="U276">
        <f t="shared" si="356"/>
        <v>0</v>
      </c>
      <c r="V276">
        <f t="shared" si="357"/>
        <v>0</v>
      </c>
      <c r="W276" s="1" t="str">
        <f t="shared" si="358"/>
        <v>过热</v>
      </c>
      <c r="X276">
        <f t="shared" si="359"/>
        <v>0</v>
      </c>
      <c r="Y276">
        <f t="shared" si="360"/>
        <v>1</v>
      </c>
      <c r="Z276">
        <f t="shared" si="361"/>
        <v>0</v>
      </c>
      <c r="AA276">
        <f t="shared" si="362"/>
        <v>0</v>
      </c>
      <c r="AB276" s="1" t="str">
        <f t="shared" si="363"/>
        <v>过热</v>
      </c>
    </row>
    <row r="277" spans="1:28" x14ac:dyDescent="0.35">
      <c r="A277" s="19">
        <v>45808</v>
      </c>
      <c r="B277" s="134">
        <v>6.0377467189163925</v>
      </c>
      <c r="C277" s="140">
        <v>0.55000000000000004</v>
      </c>
      <c r="D277" s="134">
        <v>-1.842377603438925</v>
      </c>
      <c r="E277" s="17">
        <f t="shared" ref="E277:E284" si="364">0.6*C277+0.4*D277</f>
        <v>-0.40695104137556998</v>
      </c>
      <c r="F277">
        <v>0</v>
      </c>
      <c r="G277">
        <f t="shared" si="327"/>
        <v>1</v>
      </c>
      <c r="H277">
        <v>0</v>
      </c>
      <c r="I277">
        <f t="shared" si="344"/>
        <v>1</v>
      </c>
      <c r="J277">
        <v>1</v>
      </c>
      <c r="K277">
        <f t="shared" si="328"/>
        <v>0</v>
      </c>
      <c r="L277">
        <f t="shared" si="347"/>
        <v>0</v>
      </c>
      <c r="M277">
        <f t="shared" si="348"/>
        <v>1</v>
      </c>
      <c r="N277">
        <f t="shared" si="349"/>
        <v>0</v>
      </c>
      <c r="O277">
        <f t="shared" si="350"/>
        <v>0</v>
      </c>
      <c r="P277">
        <f t="shared" si="351"/>
        <v>0</v>
      </c>
      <c r="Q277">
        <f t="shared" si="352"/>
        <v>1</v>
      </c>
      <c r="R277" s="1" t="str">
        <f t="shared" si="353"/>
        <v>衰退</v>
      </c>
      <c r="S277">
        <f t="shared" si="354"/>
        <v>0</v>
      </c>
      <c r="T277">
        <f t="shared" si="355"/>
        <v>0</v>
      </c>
      <c r="U277">
        <f t="shared" si="356"/>
        <v>1</v>
      </c>
      <c r="V277">
        <f t="shared" si="357"/>
        <v>0</v>
      </c>
      <c r="W277" s="1" t="str">
        <f t="shared" si="358"/>
        <v>滞涨</v>
      </c>
      <c r="X277">
        <f t="shared" si="359"/>
        <v>0</v>
      </c>
      <c r="Y277">
        <f t="shared" si="360"/>
        <v>0</v>
      </c>
      <c r="Z277">
        <f t="shared" si="361"/>
        <v>0</v>
      </c>
      <c r="AA277">
        <f t="shared" si="362"/>
        <v>1</v>
      </c>
      <c r="AB277" s="1" t="str">
        <f t="shared" si="363"/>
        <v>衰退</v>
      </c>
    </row>
    <row r="278" spans="1:28" x14ac:dyDescent="0.35">
      <c r="A278" s="19">
        <v>45838</v>
      </c>
      <c r="B278" s="134">
        <v>4.1197628419395782</v>
      </c>
      <c r="C278" s="140">
        <v>0.4</v>
      </c>
      <c r="D278" s="134">
        <v>-1.8751692968215194</v>
      </c>
      <c r="E278" s="17">
        <f t="shared" si="364"/>
        <v>-0.51006771872860779</v>
      </c>
      <c r="F278">
        <f t="shared" ref="F278" si="365">IF(B278&gt;B277,1,0)</f>
        <v>0</v>
      </c>
      <c r="G278">
        <f t="shared" si="327"/>
        <v>1</v>
      </c>
      <c r="H278">
        <v>0</v>
      </c>
      <c r="I278">
        <f t="shared" si="344"/>
        <v>1</v>
      </c>
      <c r="J278">
        <v>1</v>
      </c>
      <c r="K278">
        <f t="shared" si="328"/>
        <v>0</v>
      </c>
      <c r="L278">
        <f t="shared" si="347"/>
        <v>0</v>
      </c>
      <c r="M278">
        <f t="shared" si="348"/>
        <v>1</v>
      </c>
      <c r="N278">
        <f t="shared" si="349"/>
        <v>0</v>
      </c>
      <c r="O278">
        <f t="shared" si="350"/>
        <v>0</v>
      </c>
      <c r="P278">
        <f t="shared" si="351"/>
        <v>0</v>
      </c>
      <c r="Q278">
        <f t="shared" si="352"/>
        <v>1</v>
      </c>
      <c r="R278" s="1" t="str">
        <f t="shared" si="353"/>
        <v>衰退</v>
      </c>
      <c r="S278">
        <f t="shared" si="354"/>
        <v>0</v>
      </c>
      <c r="T278">
        <f t="shared" si="355"/>
        <v>0</v>
      </c>
      <c r="U278">
        <f t="shared" si="356"/>
        <v>1</v>
      </c>
      <c r="V278">
        <f t="shared" si="357"/>
        <v>0</v>
      </c>
      <c r="W278" s="1" t="str">
        <f t="shared" si="358"/>
        <v>滞涨</v>
      </c>
      <c r="X278">
        <f t="shared" si="359"/>
        <v>0</v>
      </c>
      <c r="Y278">
        <f t="shared" si="360"/>
        <v>0</v>
      </c>
      <c r="Z278">
        <f t="shared" si="361"/>
        <v>0</v>
      </c>
      <c r="AA278">
        <f t="shared" si="362"/>
        <v>1</v>
      </c>
      <c r="AB278" s="1" t="str">
        <f t="shared" si="363"/>
        <v>衰退</v>
      </c>
    </row>
    <row r="279" spans="1:28" x14ac:dyDescent="0.35">
      <c r="A279" s="19">
        <v>45869</v>
      </c>
      <c r="B279" s="134">
        <v>5.564856475671065</v>
      </c>
      <c r="C279" s="140">
        <v>0.5</v>
      </c>
      <c r="D279" s="134">
        <v>-1.6948752217990171</v>
      </c>
      <c r="E279" s="17">
        <f t="shared" si="364"/>
        <v>-0.37795008871960684</v>
      </c>
      <c r="F279">
        <v>0</v>
      </c>
      <c r="G279">
        <f t="shared" si="327"/>
        <v>1</v>
      </c>
      <c r="H279">
        <v>0</v>
      </c>
      <c r="I279">
        <f t="shared" si="344"/>
        <v>1</v>
      </c>
      <c r="J279">
        <v>1</v>
      </c>
      <c r="K279">
        <f t="shared" si="328"/>
        <v>0</v>
      </c>
      <c r="L279">
        <f t="shared" si="347"/>
        <v>1</v>
      </c>
      <c r="M279">
        <f t="shared" si="348"/>
        <v>0</v>
      </c>
      <c r="N279">
        <f t="shared" si="349"/>
        <v>0</v>
      </c>
      <c r="O279">
        <f t="shared" si="350"/>
        <v>0</v>
      </c>
      <c r="P279">
        <f t="shared" si="351"/>
        <v>0</v>
      </c>
      <c r="Q279">
        <f t="shared" si="352"/>
        <v>1</v>
      </c>
      <c r="R279" s="1" t="str">
        <f t="shared" si="353"/>
        <v>衰退</v>
      </c>
      <c r="S279">
        <f t="shared" si="354"/>
        <v>0</v>
      </c>
      <c r="T279">
        <f t="shared" si="355"/>
        <v>0</v>
      </c>
      <c r="U279">
        <f t="shared" si="356"/>
        <v>1</v>
      </c>
      <c r="V279">
        <f t="shared" si="357"/>
        <v>0</v>
      </c>
      <c r="W279" s="1" t="str">
        <f t="shared" si="358"/>
        <v>滞涨</v>
      </c>
      <c r="X279">
        <f t="shared" si="359"/>
        <v>0</v>
      </c>
      <c r="Y279">
        <f t="shared" si="360"/>
        <v>0</v>
      </c>
      <c r="Z279">
        <f t="shared" si="361"/>
        <v>1</v>
      </c>
      <c r="AA279">
        <f t="shared" si="362"/>
        <v>0</v>
      </c>
      <c r="AB279" s="1" t="str">
        <f t="shared" si="363"/>
        <v>滞涨</v>
      </c>
    </row>
    <row r="280" spans="1:28" x14ac:dyDescent="0.35">
      <c r="A280" s="19">
        <v>45900</v>
      </c>
      <c r="B280" s="134">
        <v>5.452506799083956</v>
      </c>
      <c r="C280" s="140">
        <v>0.4</v>
      </c>
      <c r="D280" s="134">
        <v>-0.85321401823671206</v>
      </c>
      <c r="E280" s="17">
        <f t="shared" si="364"/>
        <v>-0.10128560729468483</v>
      </c>
      <c r="F280">
        <v>0</v>
      </c>
      <c r="G280">
        <f t="shared" si="327"/>
        <v>1</v>
      </c>
      <c r="H280">
        <v>0</v>
      </c>
      <c r="I280">
        <f t="shared" si="344"/>
        <v>1</v>
      </c>
      <c r="J280">
        <v>1</v>
      </c>
      <c r="K280">
        <f t="shared" si="328"/>
        <v>0</v>
      </c>
      <c r="L280">
        <f t="shared" si="347"/>
        <v>1</v>
      </c>
      <c r="M280">
        <f t="shared" si="348"/>
        <v>0</v>
      </c>
      <c r="N280">
        <f t="shared" ref="N280:N295" si="366">IF(F280=1,IF(H280=0,1,0),0)</f>
        <v>0</v>
      </c>
      <c r="O280">
        <f t="shared" ref="O280:O295" si="367">IF(F280=1,IF(H280=1,1,0),0)</f>
        <v>0</v>
      </c>
      <c r="P280">
        <f t="shared" ref="P280:P295" si="368">IF(F280=0,IF(H280=1,1,0),0)</f>
        <v>0</v>
      </c>
      <c r="Q280">
        <f t="shared" ref="Q280:Q295" si="369">IF(F280=0,IF(H280=0,1,0),0)</f>
        <v>1</v>
      </c>
      <c r="R280" s="1" t="str">
        <f t="shared" si="353"/>
        <v>衰退</v>
      </c>
      <c r="S280">
        <f t="shared" si="354"/>
        <v>0</v>
      </c>
      <c r="T280">
        <f t="shared" si="355"/>
        <v>0</v>
      </c>
      <c r="U280">
        <f>IF(F280=0,IF(J280=1,1,0),0)</f>
        <v>1</v>
      </c>
      <c r="V280">
        <f t="shared" si="357"/>
        <v>0</v>
      </c>
      <c r="W280" s="1" t="str">
        <f t="shared" si="358"/>
        <v>滞涨</v>
      </c>
      <c r="X280">
        <f t="shared" si="359"/>
        <v>0</v>
      </c>
      <c r="Y280">
        <f t="shared" si="360"/>
        <v>0</v>
      </c>
      <c r="Z280">
        <f t="shared" si="361"/>
        <v>1</v>
      </c>
      <c r="AA280">
        <f t="shared" si="362"/>
        <v>0</v>
      </c>
      <c r="AB280" s="1" t="str">
        <f t="shared" si="363"/>
        <v>滞涨</v>
      </c>
    </row>
    <row r="281" spans="1:28" x14ac:dyDescent="0.35">
      <c r="A281" s="19">
        <v>45930</v>
      </c>
      <c r="B281" s="134">
        <v>4</v>
      </c>
      <c r="C281" s="140">
        <v>0.1</v>
      </c>
      <c r="D281" s="134">
        <v>7.7936156154492231E-2</v>
      </c>
      <c r="E281" s="17">
        <f t="shared" si="364"/>
        <v>9.117446246179689E-2</v>
      </c>
      <c r="F281">
        <v>0</v>
      </c>
      <c r="G281">
        <f t="shared" si="327"/>
        <v>1</v>
      </c>
      <c r="H281">
        <v>1</v>
      </c>
      <c r="I281">
        <f t="shared" si="344"/>
        <v>0</v>
      </c>
      <c r="J281">
        <v>1</v>
      </c>
      <c r="K281">
        <f t="shared" si="328"/>
        <v>0</v>
      </c>
      <c r="L281">
        <f t="shared" si="347"/>
        <v>1</v>
      </c>
      <c r="M281">
        <f t="shared" si="348"/>
        <v>0</v>
      </c>
      <c r="N281">
        <f t="shared" si="366"/>
        <v>0</v>
      </c>
      <c r="O281">
        <f t="shared" si="367"/>
        <v>0</v>
      </c>
      <c r="P281">
        <f t="shared" si="368"/>
        <v>1</v>
      </c>
      <c r="Q281">
        <f t="shared" si="369"/>
        <v>0</v>
      </c>
      <c r="R281" s="1" t="str">
        <f t="shared" si="353"/>
        <v>滞涨</v>
      </c>
      <c r="S281">
        <f t="shared" si="354"/>
        <v>0</v>
      </c>
      <c r="T281">
        <f t="shared" si="355"/>
        <v>0</v>
      </c>
      <c r="U281">
        <f t="shared" si="356"/>
        <v>1</v>
      </c>
      <c r="V281">
        <f t="shared" si="357"/>
        <v>0</v>
      </c>
      <c r="W281" s="1" t="str">
        <f t="shared" si="358"/>
        <v>滞涨</v>
      </c>
      <c r="X281">
        <f t="shared" si="359"/>
        <v>0</v>
      </c>
      <c r="Y281">
        <f t="shared" si="360"/>
        <v>0</v>
      </c>
      <c r="Z281">
        <f t="shared" si="361"/>
        <v>1</v>
      </c>
      <c r="AA281">
        <f t="shared" si="362"/>
        <v>0</v>
      </c>
      <c r="AB281" s="1" t="str">
        <f t="shared" si="363"/>
        <v>滞涨</v>
      </c>
    </row>
    <row r="282" spans="1:28" x14ac:dyDescent="0.35">
      <c r="A282" s="19">
        <v>45961</v>
      </c>
      <c r="B282" s="134">
        <v>3.5</v>
      </c>
      <c r="C282" s="140">
        <v>1.3</v>
      </c>
      <c r="D282" s="134">
        <v>0.47873152651308981</v>
      </c>
      <c r="E282" s="17">
        <f t="shared" si="364"/>
        <v>0.97149261060523595</v>
      </c>
      <c r="F282">
        <v>0</v>
      </c>
      <c r="G282">
        <f t="shared" si="327"/>
        <v>1</v>
      </c>
      <c r="H282">
        <v>1</v>
      </c>
      <c r="I282">
        <f t="shared" si="344"/>
        <v>0</v>
      </c>
      <c r="J282">
        <v>1</v>
      </c>
      <c r="K282">
        <f t="shared" si="328"/>
        <v>0</v>
      </c>
      <c r="L282">
        <f t="shared" si="347"/>
        <v>1</v>
      </c>
      <c r="M282">
        <f t="shared" si="348"/>
        <v>0</v>
      </c>
      <c r="N282">
        <f t="shared" si="366"/>
        <v>0</v>
      </c>
      <c r="O282">
        <f t="shared" si="367"/>
        <v>0</v>
      </c>
      <c r="P282">
        <f t="shared" si="368"/>
        <v>1</v>
      </c>
      <c r="Q282">
        <f t="shared" si="369"/>
        <v>0</v>
      </c>
      <c r="R282" s="1" t="str">
        <f t="shared" si="353"/>
        <v>滞涨</v>
      </c>
      <c r="S282">
        <f t="shared" si="354"/>
        <v>0</v>
      </c>
      <c r="T282">
        <f t="shared" si="355"/>
        <v>0</v>
      </c>
      <c r="U282">
        <f t="shared" si="356"/>
        <v>1</v>
      </c>
      <c r="V282">
        <f t="shared" si="357"/>
        <v>0</v>
      </c>
      <c r="W282" s="1" t="str">
        <f t="shared" si="358"/>
        <v>滞涨</v>
      </c>
      <c r="X282">
        <f t="shared" si="359"/>
        <v>0</v>
      </c>
      <c r="Y282">
        <f t="shared" si="360"/>
        <v>0</v>
      </c>
      <c r="Z282">
        <f t="shared" si="361"/>
        <v>1</v>
      </c>
      <c r="AA282">
        <f t="shared" si="362"/>
        <v>0</v>
      </c>
      <c r="AB282" s="1" t="str">
        <f t="shared" si="363"/>
        <v>滞涨</v>
      </c>
    </row>
    <row r="283" spans="1:28" x14ac:dyDescent="0.35">
      <c r="A283" s="19">
        <v>45991</v>
      </c>
      <c r="B283" s="134">
        <v>3</v>
      </c>
      <c r="C283" s="140">
        <v>1.45</v>
      </c>
      <c r="D283" s="134">
        <v>0.62933008662907852</v>
      </c>
      <c r="E283" s="17">
        <f t="shared" si="364"/>
        <v>1.1217320346516315</v>
      </c>
      <c r="F283">
        <v>0</v>
      </c>
      <c r="G283">
        <f t="shared" si="327"/>
        <v>1</v>
      </c>
      <c r="H283">
        <v>1</v>
      </c>
      <c r="I283">
        <f t="shared" si="344"/>
        <v>0</v>
      </c>
      <c r="J283">
        <v>1</v>
      </c>
      <c r="K283">
        <f t="shared" si="328"/>
        <v>0</v>
      </c>
      <c r="L283">
        <f t="shared" si="347"/>
        <v>1</v>
      </c>
      <c r="M283">
        <f t="shared" si="348"/>
        <v>0</v>
      </c>
      <c r="N283">
        <f t="shared" si="366"/>
        <v>0</v>
      </c>
      <c r="O283">
        <f t="shared" si="367"/>
        <v>0</v>
      </c>
      <c r="P283">
        <f t="shared" si="368"/>
        <v>1</v>
      </c>
      <c r="Q283">
        <f t="shared" si="369"/>
        <v>0</v>
      </c>
      <c r="R283" s="1" t="str">
        <f t="shared" ref="R283:R295" si="370">INDEX($N$20:$Q$20,1,MATCH(1,N283:Q283,0))</f>
        <v>滞涨</v>
      </c>
      <c r="S283">
        <f t="shared" ref="S283:S295" si="371">IF(F283=1,IF(J283=0,1,0),0)</f>
        <v>0</v>
      </c>
      <c r="T283">
        <f t="shared" ref="T283:T295" si="372">IF(F283=1,IF(J283=1,1,0),0)</f>
        <v>0</v>
      </c>
      <c r="U283">
        <f t="shared" ref="U283:U295" si="373">IF(F283=0,IF(J283=1,1,0),0)</f>
        <v>1</v>
      </c>
      <c r="V283">
        <f t="shared" ref="V283:V295" si="374">IF(F283=0,IF(J283=0,1,0),0)</f>
        <v>0</v>
      </c>
      <c r="W283" s="1" t="str">
        <f t="shared" ref="W283:W295" si="375">INDEX($S$20:$V$20,1,MATCH(1,S283:V283,0))</f>
        <v>滞涨</v>
      </c>
      <c r="X283">
        <f t="shared" ref="X283:X295" si="376">IF(F283=1,IF(L283=0,1,0),0)</f>
        <v>0</v>
      </c>
      <c r="Y283">
        <f t="shared" ref="Y283:Y295" si="377">IF(F283=1,IF(L283=1,1,0),0)</f>
        <v>0</v>
      </c>
      <c r="Z283">
        <f t="shared" ref="Z283:Z295" si="378">IF(F283=0,IF(L283=1,1,0),0)</f>
        <v>1</v>
      </c>
      <c r="AA283">
        <f t="shared" ref="AA283:AA295" si="379">IF(F283=0,IF(L283=0,1,0),0)</f>
        <v>0</v>
      </c>
      <c r="AB283" s="1" t="str">
        <f t="shared" ref="AB283:AB295" si="380">INDEX($X$20:$AA$20,1,MATCH(1,X283:AA283,0))</f>
        <v>滞涨</v>
      </c>
    </row>
    <row r="284" spans="1:28" x14ac:dyDescent="0.35">
      <c r="A284" s="19">
        <v>46022</v>
      </c>
      <c r="B284" s="134">
        <v>2</v>
      </c>
      <c r="C284" s="140">
        <v>0.8</v>
      </c>
      <c r="D284" s="134">
        <v>0.89799885587173112</v>
      </c>
      <c r="E284" s="17">
        <f t="shared" si="364"/>
        <v>0.83919954234869243</v>
      </c>
      <c r="F284">
        <v>0</v>
      </c>
      <c r="G284">
        <f t="shared" si="327"/>
        <v>1</v>
      </c>
      <c r="H284">
        <v>1</v>
      </c>
      <c r="I284">
        <f t="shared" si="344"/>
        <v>0</v>
      </c>
      <c r="J284">
        <v>1</v>
      </c>
      <c r="K284">
        <f t="shared" si="328"/>
        <v>0</v>
      </c>
      <c r="L284">
        <f t="shared" si="347"/>
        <v>0</v>
      </c>
      <c r="M284">
        <f t="shared" si="348"/>
        <v>1</v>
      </c>
      <c r="N284">
        <f t="shared" si="366"/>
        <v>0</v>
      </c>
      <c r="O284">
        <f t="shared" si="367"/>
        <v>0</v>
      </c>
      <c r="P284">
        <f t="shared" si="368"/>
        <v>1</v>
      </c>
      <c r="Q284">
        <f t="shared" si="369"/>
        <v>0</v>
      </c>
      <c r="R284" s="1" t="str">
        <f t="shared" si="370"/>
        <v>滞涨</v>
      </c>
      <c r="S284">
        <f t="shared" si="371"/>
        <v>0</v>
      </c>
      <c r="T284">
        <f t="shared" si="372"/>
        <v>0</v>
      </c>
      <c r="U284">
        <f t="shared" si="373"/>
        <v>1</v>
      </c>
      <c r="V284">
        <f t="shared" si="374"/>
        <v>0</v>
      </c>
      <c r="W284" s="1" t="str">
        <f t="shared" si="375"/>
        <v>滞涨</v>
      </c>
      <c r="X284">
        <f t="shared" si="376"/>
        <v>0</v>
      </c>
      <c r="Y284">
        <f t="shared" si="377"/>
        <v>0</v>
      </c>
      <c r="Z284">
        <f t="shared" si="378"/>
        <v>0</v>
      </c>
      <c r="AA284">
        <f t="shared" si="379"/>
        <v>1</v>
      </c>
      <c r="AB284" s="1" t="str">
        <f t="shared" si="380"/>
        <v>衰退</v>
      </c>
    </row>
    <row r="285" spans="1:28" x14ac:dyDescent="0.35">
      <c r="A285" s="19">
        <v>46081</v>
      </c>
      <c r="B285" s="17">
        <v>1</v>
      </c>
      <c r="C285" s="17">
        <v>0.88</v>
      </c>
      <c r="D285" s="17">
        <v>-2.1</v>
      </c>
      <c r="E285" s="17">
        <v>-1.0680000000000001</v>
      </c>
      <c r="F285">
        <v>0</v>
      </c>
      <c r="G285">
        <v>1</v>
      </c>
      <c r="H285">
        <v>1</v>
      </c>
      <c r="I285">
        <v>0</v>
      </c>
      <c r="J285">
        <v>1</v>
      </c>
      <c r="K285">
        <v>0</v>
      </c>
      <c r="L285">
        <v>0</v>
      </c>
      <c r="M285">
        <v>1</v>
      </c>
      <c r="N285">
        <f t="shared" si="366"/>
        <v>0</v>
      </c>
      <c r="O285">
        <f t="shared" si="367"/>
        <v>0</v>
      </c>
      <c r="P285">
        <f t="shared" si="368"/>
        <v>1</v>
      </c>
      <c r="Q285">
        <f t="shared" si="369"/>
        <v>0</v>
      </c>
      <c r="R285" s="1" t="str">
        <f t="shared" si="370"/>
        <v>滞涨</v>
      </c>
      <c r="S285">
        <f t="shared" si="371"/>
        <v>0</v>
      </c>
      <c r="T285">
        <f t="shared" si="372"/>
        <v>0</v>
      </c>
      <c r="U285">
        <f t="shared" si="373"/>
        <v>1</v>
      </c>
      <c r="V285">
        <f t="shared" si="374"/>
        <v>0</v>
      </c>
      <c r="W285" s="1" t="str">
        <f t="shared" si="375"/>
        <v>滞涨</v>
      </c>
      <c r="X285">
        <f t="shared" si="376"/>
        <v>0</v>
      </c>
      <c r="Y285">
        <f t="shared" si="377"/>
        <v>0</v>
      </c>
      <c r="Z285">
        <f t="shared" si="378"/>
        <v>0</v>
      </c>
      <c r="AA285">
        <f t="shared" si="379"/>
        <v>1</v>
      </c>
      <c r="AB285" s="1" t="str">
        <f t="shared" si="380"/>
        <v>衰退</v>
      </c>
    </row>
    <row r="286" spans="1:28" x14ac:dyDescent="0.35">
      <c r="A286" s="19">
        <v>46112</v>
      </c>
      <c r="B286" s="17">
        <v>1.5</v>
      </c>
      <c r="C286" s="17">
        <v>0.2</v>
      </c>
      <c r="D286" s="17">
        <v>-1.8100252384178761</v>
      </c>
      <c r="E286" s="17">
        <v>-0.60401009536715045</v>
      </c>
      <c r="F286">
        <v>0</v>
      </c>
      <c r="G286">
        <v>1</v>
      </c>
      <c r="H286">
        <v>1</v>
      </c>
      <c r="I286">
        <v>0</v>
      </c>
      <c r="J286">
        <v>1</v>
      </c>
      <c r="K286">
        <v>0</v>
      </c>
      <c r="L286">
        <v>1</v>
      </c>
      <c r="M286">
        <v>0</v>
      </c>
      <c r="N286">
        <f t="shared" si="366"/>
        <v>0</v>
      </c>
      <c r="O286">
        <f t="shared" si="367"/>
        <v>0</v>
      </c>
      <c r="P286">
        <f t="shared" si="368"/>
        <v>1</v>
      </c>
      <c r="Q286">
        <f t="shared" si="369"/>
        <v>0</v>
      </c>
      <c r="R286" s="1" t="str">
        <f t="shared" si="370"/>
        <v>滞涨</v>
      </c>
      <c r="S286">
        <f t="shared" si="371"/>
        <v>0</v>
      </c>
      <c r="T286">
        <f t="shared" si="372"/>
        <v>0</v>
      </c>
      <c r="U286">
        <f t="shared" si="373"/>
        <v>1</v>
      </c>
      <c r="V286">
        <f t="shared" si="374"/>
        <v>0</v>
      </c>
      <c r="W286" s="1" t="str">
        <f t="shared" si="375"/>
        <v>滞涨</v>
      </c>
      <c r="X286">
        <f t="shared" si="376"/>
        <v>0</v>
      </c>
      <c r="Y286">
        <f t="shared" si="377"/>
        <v>0</v>
      </c>
      <c r="Z286">
        <f t="shared" si="378"/>
        <v>1</v>
      </c>
      <c r="AA286">
        <f t="shared" si="379"/>
        <v>0</v>
      </c>
      <c r="AB286" s="1" t="str">
        <f t="shared" si="380"/>
        <v>滞涨</v>
      </c>
    </row>
    <row r="287" spans="1:28" x14ac:dyDescent="0.35">
      <c r="A287" s="19">
        <v>46142</v>
      </c>
      <c r="B287" s="17">
        <v>1.76</v>
      </c>
      <c r="C287" s="17">
        <v>0</v>
      </c>
      <c r="D287" s="17">
        <v>-1.6624139923971137</v>
      </c>
      <c r="E287" s="17">
        <v>-0.30496559695884551</v>
      </c>
      <c r="F287">
        <v>1</v>
      </c>
      <c r="G287">
        <v>0</v>
      </c>
      <c r="H287">
        <v>1</v>
      </c>
      <c r="I287">
        <v>0</v>
      </c>
      <c r="J287">
        <v>1</v>
      </c>
      <c r="K287">
        <v>0</v>
      </c>
      <c r="L287">
        <v>1</v>
      </c>
      <c r="M287">
        <v>0</v>
      </c>
      <c r="N287">
        <f t="shared" si="366"/>
        <v>0</v>
      </c>
      <c r="O287">
        <f t="shared" si="367"/>
        <v>1</v>
      </c>
      <c r="P287">
        <f t="shared" si="368"/>
        <v>0</v>
      </c>
      <c r="Q287">
        <f t="shared" si="369"/>
        <v>0</v>
      </c>
      <c r="R287" s="1" t="str">
        <f t="shared" si="370"/>
        <v>过热</v>
      </c>
      <c r="S287">
        <f t="shared" si="371"/>
        <v>0</v>
      </c>
      <c r="T287">
        <f t="shared" si="372"/>
        <v>1</v>
      </c>
      <c r="U287">
        <f t="shared" si="373"/>
        <v>0</v>
      </c>
      <c r="V287">
        <f t="shared" si="374"/>
        <v>0</v>
      </c>
      <c r="W287" s="1" t="str">
        <f t="shared" si="375"/>
        <v>过热</v>
      </c>
      <c r="X287">
        <f t="shared" si="376"/>
        <v>0</v>
      </c>
      <c r="Y287">
        <f t="shared" si="377"/>
        <v>1</v>
      </c>
      <c r="Z287">
        <f t="shared" si="378"/>
        <v>0</v>
      </c>
      <c r="AA287">
        <f t="shared" si="379"/>
        <v>0</v>
      </c>
      <c r="AB287" s="1" t="str">
        <f t="shared" si="380"/>
        <v>过热</v>
      </c>
    </row>
    <row r="288" spans="1:28" x14ac:dyDescent="0.35">
      <c r="A288" s="19">
        <v>46173</v>
      </c>
      <c r="B288" s="17">
        <v>1.7</v>
      </c>
      <c r="C288" s="17">
        <v>0.2</v>
      </c>
      <c r="D288" s="17">
        <v>-1.842377603438925</v>
      </c>
      <c r="E288" s="17">
        <v>-0.40695104137556998</v>
      </c>
      <c r="F288">
        <v>0</v>
      </c>
      <c r="G288">
        <v>1</v>
      </c>
      <c r="H288">
        <v>0</v>
      </c>
      <c r="I288">
        <v>1</v>
      </c>
      <c r="J288">
        <v>0</v>
      </c>
      <c r="K288">
        <v>1</v>
      </c>
      <c r="L288">
        <v>0</v>
      </c>
      <c r="M288">
        <v>1</v>
      </c>
      <c r="N288">
        <f t="shared" si="366"/>
        <v>0</v>
      </c>
      <c r="O288">
        <f t="shared" si="367"/>
        <v>0</v>
      </c>
      <c r="P288">
        <f t="shared" si="368"/>
        <v>0</v>
      </c>
      <c r="Q288">
        <f t="shared" si="369"/>
        <v>1</v>
      </c>
      <c r="R288" s="1" t="str">
        <f t="shared" si="370"/>
        <v>衰退</v>
      </c>
      <c r="S288">
        <f t="shared" si="371"/>
        <v>0</v>
      </c>
      <c r="T288">
        <f t="shared" si="372"/>
        <v>0</v>
      </c>
      <c r="U288">
        <f t="shared" si="373"/>
        <v>0</v>
      </c>
      <c r="V288">
        <f t="shared" si="374"/>
        <v>1</v>
      </c>
      <c r="W288" s="1" t="str">
        <f t="shared" si="375"/>
        <v>衰退</v>
      </c>
      <c r="X288">
        <f t="shared" si="376"/>
        <v>0</v>
      </c>
      <c r="Y288">
        <f t="shared" si="377"/>
        <v>0</v>
      </c>
      <c r="Z288">
        <f t="shared" si="378"/>
        <v>0</v>
      </c>
      <c r="AA288">
        <f t="shared" si="379"/>
        <v>1</v>
      </c>
      <c r="AB288" s="1" t="str">
        <f t="shared" si="380"/>
        <v>衰退</v>
      </c>
    </row>
    <row r="289" spans="1:28" x14ac:dyDescent="0.35">
      <c r="A289" s="19">
        <v>46203</v>
      </c>
      <c r="B289" s="17">
        <v>1.9</v>
      </c>
      <c r="C289" s="17">
        <v>0.3</v>
      </c>
      <c r="D289" s="17">
        <v>-1.8751692968215194</v>
      </c>
      <c r="E289" s="17">
        <v>-0.51006771872860779</v>
      </c>
      <c r="F289">
        <v>0</v>
      </c>
      <c r="G289">
        <v>1</v>
      </c>
      <c r="H289">
        <v>0</v>
      </c>
      <c r="I289">
        <v>1</v>
      </c>
      <c r="J289">
        <v>0</v>
      </c>
      <c r="K289">
        <v>1</v>
      </c>
      <c r="L289">
        <v>0</v>
      </c>
      <c r="M289">
        <v>1</v>
      </c>
      <c r="N289">
        <f t="shared" si="366"/>
        <v>0</v>
      </c>
      <c r="O289">
        <f t="shared" si="367"/>
        <v>0</v>
      </c>
      <c r="P289">
        <f t="shared" si="368"/>
        <v>0</v>
      </c>
      <c r="Q289">
        <f t="shared" si="369"/>
        <v>1</v>
      </c>
      <c r="R289" s="1" t="str">
        <f t="shared" si="370"/>
        <v>衰退</v>
      </c>
      <c r="S289">
        <f t="shared" si="371"/>
        <v>0</v>
      </c>
      <c r="T289">
        <f t="shared" si="372"/>
        <v>0</v>
      </c>
      <c r="U289">
        <f t="shared" si="373"/>
        <v>0</v>
      </c>
      <c r="V289">
        <f t="shared" si="374"/>
        <v>1</v>
      </c>
      <c r="W289" s="1" t="str">
        <f t="shared" si="375"/>
        <v>衰退</v>
      </c>
      <c r="X289">
        <f t="shared" si="376"/>
        <v>0</v>
      </c>
      <c r="Y289">
        <f t="shared" si="377"/>
        <v>0</v>
      </c>
      <c r="Z289">
        <f t="shared" si="378"/>
        <v>0</v>
      </c>
      <c r="AA289">
        <f t="shared" si="379"/>
        <v>1</v>
      </c>
      <c r="AB289" s="1" t="str">
        <f t="shared" si="380"/>
        <v>衰退</v>
      </c>
    </row>
    <row r="290" spans="1:28" x14ac:dyDescent="0.35">
      <c r="A290" s="19">
        <v>46234</v>
      </c>
      <c r="B290" s="17">
        <v>3</v>
      </c>
      <c r="C290" s="17">
        <v>0.1</v>
      </c>
      <c r="D290" s="17">
        <v>-1.6948752217990171</v>
      </c>
      <c r="E290" s="17">
        <v>-0.37795008871960684</v>
      </c>
      <c r="F290">
        <v>0</v>
      </c>
      <c r="G290">
        <v>1</v>
      </c>
      <c r="H290">
        <v>0</v>
      </c>
      <c r="I290">
        <v>1</v>
      </c>
      <c r="J290">
        <v>0</v>
      </c>
      <c r="K290">
        <v>1</v>
      </c>
      <c r="L290">
        <v>1</v>
      </c>
      <c r="M290">
        <v>0</v>
      </c>
      <c r="N290">
        <f t="shared" si="366"/>
        <v>0</v>
      </c>
      <c r="O290">
        <f>IF(F290=1,IF(H290=1,1,0),0)</f>
        <v>0</v>
      </c>
      <c r="P290">
        <f t="shared" si="368"/>
        <v>0</v>
      </c>
      <c r="Q290">
        <f t="shared" si="369"/>
        <v>1</v>
      </c>
      <c r="R290" s="1" t="str">
        <f t="shared" si="370"/>
        <v>衰退</v>
      </c>
      <c r="S290">
        <f t="shared" si="371"/>
        <v>0</v>
      </c>
      <c r="T290">
        <f t="shared" si="372"/>
        <v>0</v>
      </c>
      <c r="U290">
        <f t="shared" si="373"/>
        <v>0</v>
      </c>
      <c r="V290">
        <f t="shared" si="374"/>
        <v>1</v>
      </c>
      <c r="W290" s="1" t="str">
        <f t="shared" si="375"/>
        <v>衰退</v>
      </c>
      <c r="X290">
        <f t="shared" si="376"/>
        <v>0</v>
      </c>
      <c r="Y290">
        <f t="shared" si="377"/>
        <v>0</v>
      </c>
      <c r="Z290">
        <f t="shared" si="378"/>
        <v>1</v>
      </c>
      <c r="AA290">
        <f t="shared" si="379"/>
        <v>0</v>
      </c>
      <c r="AB290" s="1" t="str">
        <f t="shared" si="380"/>
        <v>滞涨</v>
      </c>
    </row>
    <row r="291" spans="1:28" x14ac:dyDescent="0.35">
      <c r="A291" s="19">
        <v>46265</v>
      </c>
      <c r="B291" s="17">
        <v>4</v>
      </c>
      <c r="C291" s="17">
        <v>0.5</v>
      </c>
      <c r="D291" s="17">
        <v>-0.85321401823671206</v>
      </c>
      <c r="E291" s="17">
        <v>-0.10128560729468483</v>
      </c>
      <c r="F291">
        <v>0</v>
      </c>
      <c r="G291">
        <v>1</v>
      </c>
      <c r="H291">
        <v>0</v>
      </c>
      <c r="I291">
        <v>1</v>
      </c>
      <c r="J291">
        <v>0</v>
      </c>
      <c r="K291">
        <v>1</v>
      </c>
      <c r="L291">
        <v>1</v>
      </c>
      <c r="M291">
        <v>0</v>
      </c>
      <c r="N291">
        <f t="shared" si="366"/>
        <v>0</v>
      </c>
      <c r="O291">
        <f t="shared" si="367"/>
        <v>0</v>
      </c>
      <c r="P291">
        <f t="shared" si="368"/>
        <v>0</v>
      </c>
      <c r="Q291">
        <f t="shared" si="369"/>
        <v>1</v>
      </c>
      <c r="R291" s="1" t="str">
        <f t="shared" si="370"/>
        <v>衰退</v>
      </c>
      <c r="S291">
        <f t="shared" si="371"/>
        <v>0</v>
      </c>
      <c r="T291">
        <f t="shared" si="372"/>
        <v>0</v>
      </c>
      <c r="U291">
        <f t="shared" si="373"/>
        <v>0</v>
      </c>
      <c r="V291">
        <f t="shared" si="374"/>
        <v>1</v>
      </c>
      <c r="W291" s="1" t="str">
        <f t="shared" si="375"/>
        <v>衰退</v>
      </c>
      <c r="X291">
        <f t="shared" si="376"/>
        <v>0</v>
      </c>
      <c r="Y291">
        <f t="shared" si="377"/>
        <v>0</v>
      </c>
      <c r="Z291">
        <f t="shared" si="378"/>
        <v>1</v>
      </c>
      <c r="AA291">
        <f t="shared" si="379"/>
        <v>0</v>
      </c>
      <c r="AB291" s="1" t="str">
        <f t="shared" si="380"/>
        <v>滞涨</v>
      </c>
    </row>
    <row r="292" spans="1:28" x14ac:dyDescent="0.35">
      <c r="A292" s="19">
        <v>46295</v>
      </c>
      <c r="B292" s="17">
        <v>4.2</v>
      </c>
      <c r="C292" s="17">
        <v>0.3</v>
      </c>
      <c r="D292" s="17">
        <v>7.7936156154492231E-2</v>
      </c>
      <c r="E292" s="17">
        <v>9.117446246179689E-2</v>
      </c>
      <c r="F292">
        <v>0</v>
      </c>
      <c r="G292">
        <v>1</v>
      </c>
      <c r="H292">
        <v>0</v>
      </c>
      <c r="I292">
        <v>0</v>
      </c>
      <c r="J292">
        <v>0</v>
      </c>
      <c r="K292">
        <v>1</v>
      </c>
      <c r="L292">
        <v>1</v>
      </c>
      <c r="M292">
        <v>0</v>
      </c>
      <c r="N292">
        <f t="shared" si="366"/>
        <v>0</v>
      </c>
      <c r="O292">
        <f t="shared" si="367"/>
        <v>0</v>
      </c>
      <c r="P292">
        <f t="shared" si="368"/>
        <v>0</v>
      </c>
      <c r="Q292">
        <f t="shared" si="369"/>
        <v>1</v>
      </c>
      <c r="R292" s="1" t="str">
        <f t="shared" si="370"/>
        <v>衰退</v>
      </c>
      <c r="S292">
        <f t="shared" si="371"/>
        <v>0</v>
      </c>
      <c r="T292">
        <f t="shared" si="372"/>
        <v>0</v>
      </c>
      <c r="U292">
        <f t="shared" si="373"/>
        <v>0</v>
      </c>
      <c r="V292">
        <f t="shared" si="374"/>
        <v>1</v>
      </c>
      <c r="W292" s="1" t="str">
        <f>INDEX($S$20:$V$20,1,MATCH(1,S292:V292,0))</f>
        <v>衰退</v>
      </c>
      <c r="X292">
        <f t="shared" si="376"/>
        <v>0</v>
      </c>
      <c r="Y292">
        <f t="shared" si="377"/>
        <v>0</v>
      </c>
      <c r="Z292">
        <f t="shared" si="378"/>
        <v>1</v>
      </c>
      <c r="AA292">
        <f t="shared" si="379"/>
        <v>0</v>
      </c>
      <c r="AB292" s="1" t="str">
        <f t="shared" si="380"/>
        <v>滞涨</v>
      </c>
    </row>
    <row r="293" spans="1:28" x14ac:dyDescent="0.35">
      <c r="A293" s="19">
        <v>46326</v>
      </c>
      <c r="B293" s="17">
        <v>4.5</v>
      </c>
      <c r="C293" s="17">
        <v>0.2</v>
      </c>
      <c r="D293" s="17">
        <v>0.47873152651308981</v>
      </c>
      <c r="E293" s="17">
        <v>0.97149261060523595</v>
      </c>
      <c r="F293">
        <v>0</v>
      </c>
      <c r="G293">
        <v>1</v>
      </c>
      <c r="H293">
        <v>0</v>
      </c>
      <c r="I293">
        <v>0</v>
      </c>
      <c r="J293">
        <v>0</v>
      </c>
      <c r="K293">
        <v>1</v>
      </c>
      <c r="L293">
        <v>1</v>
      </c>
      <c r="M293">
        <v>0</v>
      </c>
      <c r="N293">
        <f t="shared" si="366"/>
        <v>0</v>
      </c>
      <c r="O293">
        <f t="shared" si="367"/>
        <v>0</v>
      </c>
      <c r="P293">
        <f t="shared" si="368"/>
        <v>0</v>
      </c>
      <c r="Q293">
        <f t="shared" si="369"/>
        <v>1</v>
      </c>
      <c r="R293" s="1" t="str">
        <f>INDEX($N$20:$Q$20,1,MATCH(1,N293:Q293,0))</f>
        <v>衰退</v>
      </c>
      <c r="S293">
        <f t="shared" si="371"/>
        <v>0</v>
      </c>
      <c r="T293">
        <f t="shared" si="372"/>
        <v>0</v>
      </c>
      <c r="U293">
        <f t="shared" si="373"/>
        <v>0</v>
      </c>
      <c r="V293">
        <f t="shared" si="374"/>
        <v>1</v>
      </c>
      <c r="W293" s="1" t="str">
        <f t="shared" si="375"/>
        <v>衰退</v>
      </c>
      <c r="X293">
        <f t="shared" si="376"/>
        <v>0</v>
      </c>
      <c r="Y293">
        <f t="shared" si="377"/>
        <v>0</v>
      </c>
      <c r="Z293">
        <f t="shared" si="378"/>
        <v>1</v>
      </c>
      <c r="AA293">
        <f t="shared" si="379"/>
        <v>0</v>
      </c>
      <c r="AB293" s="1" t="str">
        <f t="shared" si="380"/>
        <v>滞涨</v>
      </c>
    </row>
    <row r="294" spans="1:28" x14ac:dyDescent="0.35">
      <c r="A294" s="19">
        <v>46356</v>
      </c>
      <c r="B294" s="17">
        <v>5</v>
      </c>
      <c r="C294" s="17">
        <v>0.1</v>
      </c>
      <c r="D294" s="17">
        <v>0.62933008662907852</v>
      </c>
      <c r="E294" s="17">
        <v>1.1217320346516315</v>
      </c>
      <c r="F294">
        <v>0</v>
      </c>
      <c r="G294">
        <v>1</v>
      </c>
      <c r="H294">
        <v>0</v>
      </c>
      <c r="I294">
        <v>0</v>
      </c>
      <c r="J294">
        <v>0</v>
      </c>
      <c r="K294">
        <v>1</v>
      </c>
      <c r="L294">
        <v>1</v>
      </c>
      <c r="M294">
        <v>0</v>
      </c>
      <c r="N294">
        <f t="shared" si="366"/>
        <v>0</v>
      </c>
      <c r="O294">
        <f t="shared" si="367"/>
        <v>0</v>
      </c>
      <c r="P294">
        <f t="shared" si="368"/>
        <v>0</v>
      </c>
      <c r="Q294">
        <f t="shared" si="369"/>
        <v>1</v>
      </c>
      <c r="R294" s="1" t="str">
        <f>INDEX($N$20:$Q$20,1,MATCH(1,N294:Q294,0))</f>
        <v>衰退</v>
      </c>
      <c r="S294">
        <f t="shared" si="371"/>
        <v>0</v>
      </c>
      <c r="T294">
        <f t="shared" si="372"/>
        <v>0</v>
      </c>
      <c r="U294">
        <f t="shared" si="373"/>
        <v>0</v>
      </c>
      <c r="V294">
        <f t="shared" si="374"/>
        <v>1</v>
      </c>
      <c r="W294" s="1" t="str">
        <f t="shared" si="375"/>
        <v>衰退</v>
      </c>
      <c r="X294">
        <f t="shared" si="376"/>
        <v>0</v>
      </c>
      <c r="Y294">
        <f t="shared" si="377"/>
        <v>0</v>
      </c>
      <c r="Z294">
        <f t="shared" si="378"/>
        <v>1</v>
      </c>
      <c r="AA294">
        <f t="shared" si="379"/>
        <v>0</v>
      </c>
      <c r="AB294" s="1" t="str">
        <f t="shared" si="380"/>
        <v>滞涨</v>
      </c>
    </row>
    <row r="295" spans="1:28" x14ac:dyDescent="0.35">
      <c r="A295" s="19">
        <v>46387</v>
      </c>
      <c r="B295" s="17">
        <v>6</v>
      </c>
      <c r="C295" s="17">
        <v>0.3</v>
      </c>
      <c r="D295" s="17">
        <v>0.89799885587173112</v>
      </c>
      <c r="E295" s="17">
        <v>0.83919954234869243</v>
      </c>
      <c r="F295">
        <v>0</v>
      </c>
      <c r="G295">
        <v>1</v>
      </c>
      <c r="H295">
        <v>0</v>
      </c>
      <c r="I295">
        <v>0</v>
      </c>
      <c r="J295">
        <v>0</v>
      </c>
      <c r="K295">
        <v>1</v>
      </c>
      <c r="L295">
        <v>0</v>
      </c>
      <c r="M295">
        <v>1</v>
      </c>
      <c r="N295">
        <f t="shared" si="366"/>
        <v>0</v>
      </c>
      <c r="O295">
        <f t="shared" si="367"/>
        <v>0</v>
      </c>
      <c r="P295">
        <f t="shared" si="368"/>
        <v>0</v>
      </c>
      <c r="Q295">
        <f t="shared" si="369"/>
        <v>1</v>
      </c>
      <c r="R295" s="1" t="str">
        <f t="shared" si="370"/>
        <v>衰退</v>
      </c>
      <c r="S295">
        <f t="shared" si="371"/>
        <v>0</v>
      </c>
      <c r="T295">
        <f t="shared" si="372"/>
        <v>0</v>
      </c>
      <c r="U295">
        <f t="shared" si="373"/>
        <v>0</v>
      </c>
      <c r="V295">
        <f t="shared" si="374"/>
        <v>1</v>
      </c>
      <c r="W295" s="1" t="str">
        <f t="shared" si="375"/>
        <v>衰退</v>
      </c>
      <c r="X295">
        <f t="shared" si="376"/>
        <v>0</v>
      </c>
      <c r="Y295">
        <f t="shared" si="377"/>
        <v>0</v>
      </c>
      <c r="Z295">
        <f t="shared" si="378"/>
        <v>0</v>
      </c>
      <c r="AA295">
        <f t="shared" si="379"/>
        <v>1</v>
      </c>
      <c r="AB295" s="1" t="str">
        <f t="shared" si="380"/>
        <v>衰退</v>
      </c>
    </row>
  </sheetData>
  <mergeCells count="3">
    <mergeCell ref="N19:R19"/>
    <mergeCell ref="S19:W19"/>
    <mergeCell ref="X19:AB19"/>
  </mergeCells>
  <phoneticPr fontId="29" type="noConversion"/>
  <pageMargins left="0.75" right="0.75" top="1" bottom="1" header="0.5" footer="0.5"/>
  <pageSetup paperSize="9" orientation="portrait" horizontalDpi="1200" verticalDpi="1200" r:id="rId1"/>
  <customProperties>
    <customPr name="SheetID" r:id="rId2"/>
  </customProperties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0"/>
  <dimension ref="A1:Z381"/>
  <sheetViews>
    <sheetView zoomScale="55" zoomScaleNormal="55" workbookViewId="0">
      <pane ySplit="2" topLeftCell="A3" activePane="bottomLeft" state="frozen"/>
      <selection pane="bottomLeft" activeCell="E8" sqref="E8"/>
    </sheetView>
  </sheetViews>
  <sheetFormatPr defaultColWidth="9" defaultRowHeight="14.15" x14ac:dyDescent="0.3"/>
  <cols>
    <col min="1" max="1" width="9" style="1"/>
    <col min="2" max="2" width="13.2109375" style="1" customWidth="1"/>
    <col min="3" max="4" width="10.85546875" style="1" customWidth="1"/>
    <col min="5" max="16" width="13" style="1" customWidth="1"/>
    <col min="17" max="17" width="20" style="2" customWidth="1"/>
    <col min="18" max="18" width="9.140625" style="2" customWidth="1"/>
    <col min="19" max="19" width="9.2109375" style="3" customWidth="1"/>
    <col min="20" max="20" width="13.42578125" style="3" customWidth="1"/>
    <col min="21" max="21" width="9" style="2"/>
    <col min="22" max="22" width="11.2109375" style="4" customWidth="1"/>
    <col min="23" max="23" width="15.140625" style="4" customWidth="1"/>
    <col min="24" max="24" width="9" style="2"/>
    <col min="25" max="16384" width="9" style="1"/>
  </cols>
  <sheetData>
    <row r="1" spans="1:26" ht="74.150000000000006" customHeight="1" x14ac:dyDescent="0.35">
      <c r="A1" s="161" t="s">
        <v>248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5"/>
      <c r="S1" s="160" t="s">
        <v>249</v>
      </c>
      <c r="T1" s="160"/>
      <c r="V1" s="165" t="s">
        <v>250</v>
      </c>
      <c r="W1" s="165"/>
      <c r="Y1" s="165" t="s">
        <v>251</v>
      </c>
      <c r="Z1" s="165"/>
    </row>
    <row r="2" spans="1:26" ht="54.65" customHeight="1" x14ac:dyDescent="0.4">
      <c r="S2" s="11" t="str">
        <f>[1]!edb()</f>
        <v>Wind</v>
      </c>
      <c r="T2" s="1"/>
      <c r="V2" s="11" t="str">
        <f>[1]!edb()</f>
        <v>Wind</v>
      </c>
      <c r="W2" s="1"/>
      <c r="Y2" s="11" t="str">
        <f>[1]!edb()</f>
        <v>Wind</v>
      </c>
    </row>
    <row r="3" spans="1:26" x14ac:dyDescent="0.35">
      <c r="B3" s="6" t="s">
        <v>252</v>
      </c>
      <c r="C3" s="6" t="s">
        <v>250</v>
      </c>
      <c r="D3" s="6" t="s">
        <v>253</v>
      </c>
      <c r="E3" s="7" t="s">
        <v>254</v>
      </c>
      <c r="F3" s="7" t="s">
        <v>255</v>
      </c>
      <c r="G3" s="7" t="s">
        <v>256</v>
      </c>
      <c r="H3" s="7" t="s">
        <v>257</v>
      </c>
      <c r="I3" s="7" t="s">
        <v>116</v>
      </c>
      <c r="J3" s="7" t="s">
        <v>114</v>
      </c>
      <c r="K3" s="7" t="s">
        <v>119</v>
      </c>
      <c r="L3" s="7" t="s">
        <v>126</v>
      </c>
      <c r="M3" s="7" t="s">
        <v>258</v>
      </c>
      <c r="N3" s="7" t="s">
        <v>259</v>
      </c>
      <c r="O3" s="1" t="s">
        <v>260</v>
      </c>
      <c r="P3" s="7" t="s">
        <v>261</v>
      </c>
      <c r="Q3" s="2" t="s">
        <v>262</v>
      </c>
      <c r="S3" s="168" t="s">
        <v>263</v>
      </c>
      <c r="T3" s="168" t="s">
        <v>278</v>
      </c>
      <c r="V3" s="168" t="s">
        <v>263</v>
      </c>
      <c r="W3" s="168" t="s">
        <v>273</v>
      </c>
      <c r="Y3" s="168" t="s">
        <v>263</v>
      </c>
      <c r="Z3" s="168" t="s">
        <v>268</v>
      </c>
    </row>
    <row r="4" spans="1:26" x14ac:dyDescent="0.35">
      <c r="A4" s="8">
        <v>46568</v>
      </c>
      <c r="B4" s="1">
        <v>50.843049999999998</v>
      </c>
      <c r="C4" s="1">
        <v>6.2</v>
      </c>
      <c r="E4" s="1">
        <v>1</v>
      </c>
      <c r="F4" s="1">
        <v>0</v>
      </c>
      <c r="G4" s="1">
        <v>1</v>
      </c>
      <c r="H4" s="1">
        <v>0</v>
      </c>
      <c r="I4" s="1">
        <v>0</v>
      </c>
      <c r="J4" s="1">
        <v>0</v>
      </c>
      <c r="K4" s="1">
        <v>0</v>
      </c>
      <c r="L4" s="1">
        <v>1</v>
      </c>
      <c r="M4" s="1">
        <v>0</v>
      </c>
      <c r="N4" s="1">
        <v>1</v>
      </c>
      <c r="O4" s="1" t="s">
        <v>126</v>
      </c>
      <c r="P4" s="1" t="s">
        <v>259</v>
      </c>
      <c r="Q4" s="2" t="str">
        <f t="shared" ref="Q4:Q22" si="0">TEXT(P4,"")&amp;","&amp;TEXT(O4,"")</f>
        <v>产能周期下行,主动补库存</v>
      </c>
      <c r="S4" s="12">
        <v>38383</v>
      </c>
      <c r="T4" s="13">
        <v>54.7</v>
      </c>
      <c r="V4" s="12">
        <v>46022</v>
      </c>
      <c r="W4" s="16">
        <v>3.9</v>
      </c>
      <c r="Y4" s="12">
        <v>33785</v>
      </c>
      <c r="Z4" s="13">
        <v>37.75</v>
      </c>
    </row>
    <row r="5" spans="1:26" x14ac:dyDescent="0.35">
      <c r="A5" s="8">
        <v>46538</v>
      </c>
      <c r="B5" s="1">
        <v>50.565114999999999</v>
      </c>
      <c r="C5" s="1">
        <v>6</v>
      </c>
      <c r="E5" s="1">
        <v>1</v>
      </c>
      <c r="F5" s="1">
        <v>0</v>
      </c>
      <c r="G5" s="1">
        <v>1</v>
      </c>
      <c r="H5" s="1">
        <v>0</v>
      </c>
      <c r="I5" s="1">
        <v>0</v>
      </c>
      <c r="J5" s="1">
        <v>0</v>
      </c>
      <c r="K5" s="1">
        <v>0</v>
      </c>
      <c r="L5" s="1">
        <v>1</v>
      </c>
      <c r="M5" s="1">
        <v>0</v>
      </c>
      <c r="N5" s="1">
        <v>1</v>
      </c>
      <c r="O5" s="1" t="s">
        <v>126</v>
      </c>
      <c r="P5" s="1" t="s">
        <v>259</v>
      </c>
      <c r="Q5" s="2" t="str">
        <f t="shared" si="0"/>
        <v>产能周期下行,主动补库存</v>
      </c>
      <c r="S5" s="12">
        <v>38411</v>
      </c>
      <c r="T5" s="13">
        <v>54.5</v>
      </c>
      <c r="V5" s="12">
        <v>45991</v>
      </c>
      <c r="W5" s="16">
        <v>4.5999999999999996</v>
      </c>
      <c r="Y5" s="12">
        <v>33877</v>
      </c>
      <c r="Z5" s="13">
        <v>38.4</v>
      </c>
    </row>
    <row r="6" spans="1:26" x14ac:dyDescent="0.35">
      <c r="A6" s="8">
        <v>46507</v>
      </c>
      <c r="B6" s="1">
        <v>50.551879999999997</v>
      </c>
      <c r="C6" s="1">
        <v>5.6</v>
      </c>
      <c r="E6" s="1">
        <v>1</v>
      </c>
      <c r="F6" s="1">
        <v>0</v>
      </c>
      <c r="G6" s="1">
        <v>1</v>
      </c>
      <c r="H6" s="1">
        <v>0</v>
      </c>
      <c r="I6" s="1">
        <v>0</v>
      </c>
      <c r="J6" s="1">
        <v>0</v>
      </c>
      <c r="K6" s="1">
        <v>0</v>
      </c>
      <c r="L6" s="1">
        <v>1</v>
      </c>
      <c r="M6" s="1">
        <v>0</v>
      </c>
      <c r="N6" s="1">
        <v>1</v>
      </c>
      <c r="O6" s="1" t="s">
        <v>126</v>
      </c>
      <c r="P6" s="1" t="s">
        <v>259</v>
      </c>
      <c r="Q6" s="2" t="str">
        <f t="shared" si="0"/>
        <v>产能周期下行,主动补库存</v>
      </c>
      <c r="S6" s="12">
        <v>38442</v>
      </c>
      <c r="T6" s="13">
        <v>57.9</v>
      </c>
      <c r="V6" s="12">
        <v>45961</v>
      </c>
      <c r="W6" s="16">
        <v>3.7</v>
      </c>
      <c r="Y6" s="12">
        <v>33969</v>
      </c>
      <c r="Z6" s="13">
        <v>38.4</v>
      </c>
    </row>
    <row r="7" spans="1:26" x14ac:dyDescent="0.35">
      <c r="A7" s="8">
        <v>46477</v>
      </c>
      <c r="B7" s="1">
        <v>50.313650000000003</v>
      </c>
      <c r="C7" s="1">
        <v>5.0999999999999996</v>
      </c>
      <c r="D7" s="1">
        <v>38.6</v>
      </c>
      <c r="E7" s="1">
        <v>1</v>
      </c>
      <c r="F7" s="1">
        <v>0</v>
      </c>
      <c r="G7" s="1">
        <v>1</v>
      </c>
      <c r="H7" s="1">
        <v>0</v>
      </c>
      <c r="I7" s="1">
        <v>0</v>
      </c>
      <c r="J7" s="1">
        <v>0</v>
      </c>
      <c r="K7" s="1">
        <v>0</v>
      </c>
      <c r="L7" s="1">
        <v>1</v>
      </c>
      <c r="M7" s="1">
        <v>0</v>
      </c>
      <c r="N7" s="1">
        <v>1</v>
      </c>
      <c r="O7" s="1" t="s">
        <v>126</v>
      </c>
      <c r="P7" s="1" t="s">
        <v>259</v>
      </c>
      <c r="Q7" s="2" t="str">
        <f t="shared" si="0"/>
        <v>产能周期下行,主动补库存</v>
      </c>
      <c r="S7" s="12">
        <v>38472</v>
      </c>
      <c r="T7" s="13">
        <v>56.7</v>
      </c>
      <c r="V7" s="12">
        <v>45930</v>
      </c>
      <c r="W7" s="16">
        <v>2.8</v>
      </c>
      <c r="Y7" s="12">
        <v>34059</v>
      </c>
      <c r="Z7" s="13">
        <v>38.450000000000003</v>
      </c>
    </row>
    <row r="8" spans="1:26" x14ac:dyDescent="0.35">
      <c r="A8" s="8">
        <v>46446</v>
      </c>
      <c r="B8" s="1">
        <v>50.23424</v>
      </c>
      <c r="C8" s="1">
        <v>4.7</v>
      </c>
      <c r="E8" s="1">
        <v>1</v>
      </c>
      <c r="F8" s="1">
        <v>0</v>
      </c>
      <c r="G8" s="1">
        <v>1</v>
      </c>
      <c r="H8" s="1">
        <v>0</v>
      </c>
      <c r="I8" s="1">
        <v>0</v>
      </c>
      <c r="J8" s="1">
        <v>0</v>
      </c>
      <c r="K8" s="1">
        <v>0</v>
      </c>
      <c r="L8" s="1">
        <v>1</v>
      </c>
      <c r="M8" s="1">
        <v>0</v>
      </c>
      <c r="N8" s="1">
        <v>1</v>
      </c>
      <c r="O8" s="1" t="s">
        <v>126</v>
      </c>
      <c r="P8" s="1" t="s">
        <v>259</v>
      </c>
      <c r="Q8" s="2" t="str">
        <f t="shared" si="0"/>
        <v>产能周期下行,主动补库存</v>
      </c>
      <c r="S8" s="12">
        <v>38503</v>
      </c>
      <c r="T8" s="13">
        <v>52.9</v>
      </c>
      <c r="V8" s="12">
        <v>45900</v>
      </c>
      <c r="W8" s="16">
        <v>2.2999999999999998</v>
      </c>
      <c r="Y8" s="12">
        <v>34150</v>
      </c>
      <c r="Z8" s="13">
        <v>38.1</v>
      </c>
    </row>
    <row r="9" spans="1:26" x14ac:dyDescent="0.35">
      <c r="A9" s="8">
        <v>46418</v>
      </c>
      <c r="B9" s="1">
        <v>50.035715000000003</v>
      </c>
      <c r="C9" s="1">
        <v>4.5</v>
      </c>
      <c r="E9" s="1">
        <v>1</v>
      </c>
      <c r="F9" s="1">
        <v>0</v>
      </c>
      <c r="G9" s="1">
        <v>1</v>
      </c>
      <c r="H9" s="1">
        <v>0</v>
      </c>
      <c r="I9" s="1">
        <v>0</v>
      </c>
      <c r="J9" s="1">
        <v>0</v>
      </c>
      <c r="K9" s="1">
        <v>0</v>
      </c>
      <c r="L9" s="1">
        <v>1</v>
      </c>
      <c r="M9" s="1">
        <v>0</v>
      </c>
      <c r="N9" s="1">
        <v>1</v>
      </c>
      <c r="O9" s="1" t="s">
        <v>126</v>
      </c>
      <c r="P9" s="1" t="s">
        <v>259</v>
      </c>
      <c r="Q9" s="2" t="str">
        <f t="shared" si="0"/>
        <v>产能周期下行,主动补库存</v>
      </c>
      <c r="S9" s="12">
        <v>38533</v>
      </c>
      <c r="T9" s="13">
        <v>51.7</v>
      </c>
      <c r="V9" s="12">
        <v>45869</v>
      </c>
      <c r="W9" s="16">
        <v>2.4</v>
      </c>
      <c r="Y9" s="12">
        <v>34242</v>
      </c>
      <c r="Z9" s="13">
        <v>37.549999999999997</v>
      </c>
    </row>
    <row r="10" spans="1:26" x14ac:dyDescent="0.35">
      <c r="A10" s="8">
        <v>46387</v>
      </c>
      <c r="B10" s="1">
        <v>50.075420000000001</v>
      </c>
      <c r="C10" s="1">
        <v>4.4000000000000004</v>
      </c>
      <c r="D10" s="1">
        <v>38.200000000000003</v>
      </c>
      <c r="E10" s="1">
        <v>1</v>
      </c>
      <c r="F10" s="1">
        <v>0</v>
      </c>
      <c r="G10" s="1">
        <v>1</v>
      </c>
      <c r="H10" s="1">
        <v>0</v>
      </c>
      <c r="I10" s="1">
        <v>0</v>
      </c>
      <c r="J10" s="1">
        <v>0</v>
      </c>
      <c r="K10" s="1">
        <v>0</v>
      </c>
      <c r="L10" s="1">
        <v>1</v>
      </c>
      <c r="M10" s="1">
        <v>0</v>
      </c>
      <c r="N10" s="1">
        <v>1</v>
      </c>
      <c r="O10" s="1" t="s">
        <v>126</v>
      </c>
      <c r="P10" s="1" t="s">
        <v>259</v>
      </c>
      <c r="Q10" s="2" t="str">
        <f t="shared" si="0"/>
        <v>产能周期下行,主动补库存</v>
      </c>
      <c r="S10" s="12">
        <v>38564</v>
      </c>
      <c r="T10" s="13">
        <v>51.1</v>
      </c>
      <c r="V10" s="12">
        <v>45838</v>
      </c>
      <c r="W10" s="16">
        <v>3.1</v>
      </c>
      <c r="Y10" s="12">
        <v>34334</v>
      </c>
      <c r="Z10" s="13">
        <v>36.700000000000003</v>
      </c>
    </row>
    <row r="11" spans="1:26" x14ac:dyDescent="0.35">
      <c r="A11" s="8">
        <v>46356</v>
      </c>
      <c r="B11" s="1">
        <v>49.996009999999998</v>
      </c>
      <c r="C11" s="1">
        <v>4.5999999999999996</v>
      </c>
      <c r="E11" s="1">
        <v>1</v>
      </c>
      <c r="F11" s="1">
        <v>0</v>
      </c>
      <c r="G11" s="1">
        <v>1</v>
      </c>
      <c r="H11" s="1">
        <v>0</v>
      </c>
      <c r="I11" s="1">
        <v>0</v>
      </c>
      <c r="J11" s="1">
        <v>0</v>
      </c>
      <c r="K11" s="1">
        <v>0</v>
      </c>
      <c r="L11" s="1">
        <v>1</v>
      </c>
      <c r="M11" s="1">
        <v>0</v>
      </c>
      <c r="N11" s="1">
        <v>1</v>
      </c>
      <c r="O11" s="1" t="s">
        <v>126</v>
      </c>
      <c r="P11" s="1" t="s">
        <v>259</v>
      </c>
      <c r="Q11" s="2" t="str">
        <f t="shared" si="0"/>
        <v>产能周期下行,主动补库存</v>
      </c>
      <c r="S11" s="12">
        <v>38595</v>
      </c>
      <c r="T11" s="13">
        <v>52.6</v>
      </c>
      <c r="V11" s="12">
        <v>45808</v>
      </c>
      <c r="W11" s="16">
        <v>3.5</v>
      </c>
      <c r="Y11" s="12">
        <v>34424</v>
      </c>
      <c r="Z11" s="13">
        <v>35.35</v>
      </c>
    </row>
    <row r="12" spans="1:26" x14ac:dyDescent="0.35">
      <c r="A12" s="8">
        <v>46326</v>
      </c>
      <c r="B12" s="1">
        <v>50.035715000000003</v>
      </c>
      <c r="C12" s="1">
        <v>3.9</v>
      </c>
      <c r="E12" s="1">
        <v>1</v>
      </c>
      <c r="F12" s="1">
        <v>0</v>
      </c>
      <c r="G12" s="1">
        <v>1</v>
      </c>
      <c r="H12" s="1">
        <v>0</v>
      </c>
      <c r="I12" s="1">
        <v>0</v>
      </c>
      <c r="J12" s="1">
        <v>0</v>
      </c>
      <c r="K12" s="1">
        <v>0</v>
      </c>
      <c r="L12" s="1">
        <v>1</v>
      </c>
      <c r="M12" s="1">
        <v>0</v>
      </c>
      <c r="N12" s="1">
        <v>1</v>
      </c>
      <c r="O12" s="1" t="s">
        <v>126</v>
      </c>
      <c r="P12" s="1" t="s">
        <v>259</v>
      </c>
      <c r="Q12" s="2" t="str">
        <f t="shared" si="0"/>
        <v>产能周期下行,主动补库存</v>
      </c>
      <c r="S12" s="12">
        <v>38625</v>
      </c>
      <c r="T12" s="13">
        <v>55.1</v>
      </c>
      <c r="V12" s="12">
        <v>45777</v>
      </c>
      <c r="W12" s="16">
        <v>3.9</v>
      </c>
      <c r="Y12" s="12">
        <v>34515</v>
      </c>
      <c r="Z12" s="13">
        <v>35.9</v>
      </c>
    </row>
    <row r="13" spans="1:26" x14ac:dyDescent="0.35">
      <c r="A13" s="8">
        <v>46295</v>
      </c>
      <c r="B13" s="1">
        <v>49.969540000000002</v>
      </c>
      <c r="C13" s="1">
        <v>3.5</v>
      </c>
      <c r="D13" s="1">
        <v>39.799999999999997</v>
      </c>
      <c r="E13" s="1">
        <v>1</v>
      </c>
      <c r="F13" s="1">
        <v>0</v>
      </c>
      <c r="G13" s="1">
        <v>1</v>
      </c>
      <c r="H13" s="1">
        <v>0</v>
      </c>
      <c r="I13" s="1">
        <v>0</v>
      </c>
      <c r="J13" s="1">
        <v>0</v>
      </c>
      <c r="K13" s="1">
        <v>0</v>
      </c>
      <c r="L13" s="1">
        <v>1</v>
      </c>
      <c r="M13" s="1">
        <v>0</v>
      </c>
      <c r="N13" s="1">
        <v>1</v>
      </c>
      <c r="O13" s="1" t="s">
        <v>126</v>
      </c>
      <c r="P13" s="1" t="s">
        <v>259</v>
      </c>
      <c r="Q13" s="2" t="str">
        <f t="shared" si="0"/>
        <v>产能周期下行,主动补库存</v>
      </c>
      <c r="S13" s="12">
        <v>38656</v>
      </c>
      <c r="T13" s="13">
        <v>54.1</v>
      </c>
      <c r="V13" s="12">
        <v>45747</v>
      </c>
      <c r="W13" s="16">
        <v>4.2</v>
      </c>
      <c r="Y13" s="12">
        <v>34607</v>
      </c>
      <c r="Z13" s="13">
        <v>35.950000000000003</v>
      </c>
    </row>
    <row r="14" spans="1:26" x14ac:dyDescent="0.35">
      <c r="A14" s="8">
        <v>46265</v>
      </c>
      <c r="B14" s="1">
        <v>51</v>
      </c>
      <c r="C14" s="1">
        <v>3.3</v>
      </c>
      <c r="E14" s="1">
        <v>1</v>
      </c>
      <c r="F14" s="1">
        <v>0</v>
      </c>
      <c r="G14" s="1">
        <v>1</v>
      </c>
      <c r="H14" s="1">
        <v>0</v>
      </c>
      <c r="I14" s="1">
        <v>0</v>
      </c>
      <c r="J14" s="1">
        <v>0</v>
      </c>
      <c r="K14" s="1">
        <v>0</v>
      </c>
      <c r="L14" s="1">
        <v>1</v>
      </c>
      <c r="M14" s="1">
        <v>0</v>
      </c>
      <c r="N14" s="1">
        <v>1</v>
      </c>
      <c r="O14" s="1" t="s">
        <v>126</v>
      </c>
      <c r="P14" s="1" t="s">
        <v>259</v>
      </c>
      <c r="Q14" s="2" t="str">
        <f t="shared" si="0"/>
        <v>产能周期下行,主动补库存</v>
      </c>
      <c r="S14" s="12">
        <v>38686</v>
      </c>
      <c r="T14" s="13">
        <v>54.1</v>
      </c>
      <c r="V14" s="12">
        <v>45716</v>
      </c>
      <c r="W14" s="16">
        <v>4.2</v>
      </c>
      <c r="Y14" s="12">
        <v>34699</v>
      </c>
      <c r="Z14" s="13">
        <v>35.450000000000003</v>
      </c>
    </row>
    <row r="15" spans="1:26" x14ac:dyDescent="0.35">
      <c r="A15" s="8">
        <v>46234</v>
      </c>
      <c r="B15" s="1">
        <v>49.1</v>
      </c>
      <c r="C15" s="1">
        <v>3.3</v>
      </c>
      <c r="E15" s="1">
        <v>1</v>
      </c>
      <c r="F15" s="1">
        <v>0</v>
      </c>
      <c r="G15" s="1">
        <v>1</v>
      </c>
      <c r="H15" s="1">
        <v>0</v>
      </c>
      <c r="I15" s="1">
        <v>0</v>
      </c>
      <c r="J15" s="1">
        <v>0</v>
      </c>
      <c r="K15" s="1">
        <v>0</v>
      </c>
      <c r="L15" s="1">
        <v>1</v>
      </c>
      <c r="M15" s="1">
        <v>0</v>
      </c>
      <c r="N15" s="1">
        <v>1</v>
      </c>
      <c r="O15" s="1" t="s">
        <v>126</v>
      </c>
      <c r="P15" s="1" t="s">
        <v>259</v>
      </c>
      <c r="Q15" s="2" t="str">
        <f t="shared" si="0"/>
        <v>产能周期下行,主动补库存</v>
      </c>
      <c r="S15" s="12">
        <v>38717</v>
      </c>
      <c r="T15" s="13">
        <v>54.3</v>
      </c>
      <c r="V15" s="12">
        <v>45657</v>
      </c>
      <c r="W15" s="16">
        <v>3.3</v>
      </c>
      <c r="Y15" s="12">
        <v>34789</v>
      </c>
      <c r="Z15" s="13">
        <v>35.1</v>
      </c>
    </row>
    <row r="16" spans="1:26" x14ac:dyDescent="0.35">
      <c r="A16" s="8">
        <v>46203</v>
      </c>
      <c r="B16" s="1">
        <v>50.1</v>
      </c>
      <c r="C16" s="1">
        <v>3.3</v>
      </c>
      <c r="D16" s="1">
        <v>40.1</v>
      </c>
      <c r="E16" s="1">
        <v>1</v>
      </c>
      <c r="F16" s="1">
        <v>0</v>
      </c>
      <c r="G16" s="1">
        <v>1</v>
      </c>
      <c r="H16" s="1">
        <v>0</v>
      </c>
      <c r="I16" s="1">
        <v>0</v>
      </c>
      <c r="J16" s="1">
        <v>0</v>
      </c>
      <c r="K16" s="1">
        <v>0</v>
      </c>
      <c r="L16" s="1">
        <v>1</v>
      </c>
      <c r="M16" s="1">
        <v>0</v>
      </c>
      <c r="N16" s="1">
        <v>1</v>
      </c>
      <c r="O16" s="1" t="s">
        <v>126</v>
      </c>
      <c r="P16" s="1" t="s">
        <v>259</v>
      </c>
      <c r="Q16" s="2" t="str">
        <f t="shared" si="0"/>
        <v>产能周期下行,主动补库存</v>
      </c>
      <c r="S16" s="12">
        <v>38748</v>
      </c>
      <c r="T16" s="13">
        <v>52.1</v>
      </c>
      <c r="V16" s="12">
        <v>45626</v>
      </c>
      <c r="W16" s="13">
        <v>3.3</v>
      </c>
      <c r="Y16" s="12">
        <v>34880</v>
      </c>
      <c r="Z16" s="13">
        <v>35.6</v>
      </c>
    </row>
    <row r="17" spans="1:26" x14ac:dyDescent="0.35">
      <c r="A17" s="8">
        <v>46173</v>
      </c>
      <c r="B17" s="1">
        <v>50.3</v>
      </c>
      <c r="C17" s="1">
        <v>3.3</v>
      </c>
      <c r="E17" s="1">
        <v>1</v>
      </c>
      <c r="F17" s="1">
        <v>0</v>
      </c>
      <c r="G17" s="1">
        <v>1</v>
      </c>
      <c r="H17" s="1">
        <v>0</v>
      </c>
      <c r="I17" s="1">
        <v>0</v>
      </c>
      <c r="J17" s="1">
        <v>0</v>
      </c>
      <c r="K17" s="1">
        <v>0</v>
      </c>
      <c r="L17" s="1">
        <v>1</v>
      </c>
      <c r="M17" s="1">
        <v>0</v>
      </c>
      <c r="N17" s="1">
        <v>1</v>
      </c>
      <c r="O17" s="1" t="s">
        <v>126</v>
      </c>
      <c r="P17" s="1" t="s">
        <v>259</v>
      </c>
      <c r="Q17" s="2" t="str">
        <f t="shared" si="0"/>
        <v>产能周期下行,主动补库存</v>
      </c>
      <c r="S17" s="12">
        <v>38776</v>
      </c>
      <c r="T17" s="13">
        <v>52.1</v>
      </c>
      <c r="V17" s="12">
        <v>45596</v>
      </c>
      <c r="W17" s="13">
        <v>3.9</v>
      </c>
      <c r="Y17" s="12">
        <v>34972</v>
      </c>
      <c r="Z17" s="13">
        <v>34.65</v>
      </c>
    </row>
    <row r="18" spans="1:26" x14ac:dyDescent="0.35">
      <c r="A18" s="8">
        <v>46142</v>
      </c>
      <c r="B18" s="1">
        <v>50.1</v>
      </c>
      <c r="C18" s="1">
        <v>3.9</v>
      </c>
      <c r="E18" s="1">
        <v>1</v>
      </c>
      <c r="F18" s="1">
        <v>0</v>
      </c>
      <c r="G18" s="1">
        <v>1</v>
      </c>
      <c r="H18" s="1">
        <v>0</v>
      </c>
      <c r="I18" s="1">
        <v>0</v>
      </c>
      <c r="J18" s="1">
        <v>0</v>
      </c>
      <c r="K18" s="1">
        <v>0</v>
      </c>
      <c r="L18" s="1">
        <v>1</v>
      </c>
      <c r="M18" s="1">
        <v>0</v>
      </c>
      <c r="N18" s="1">
        <v>1</v>
      </c>
      <c r="O18" s="1" t="s">
        <v>126</v>
      </c>
      <c r="P18" s="1" t="s">
        <v>259</v>
      </c>
      <c r="Q18" s="2" t="str">
        <f t="shared" si="0"/>
        <v>产能周期下行,主动补库存</v>
      </c>
      <c r="S18" s="12">
        <v>38807</v>
      </c>
      <c r="T18" s="13">
        <v>55.3</v>
      </c>
      <c r="V18" s="12">
        <v>45565</v>
      </c>
      <c r="W18" s="13">
        <v>4.5999999999999996</v>
      </c>
      <c r="Y18" s="12">
        <v>35064</v>
      </c>
      <c r="Z18" s="13">
        <v>34.700000000000003</v>
      </c>
    </row>
    <row r="19" spans="1:26" x14ac:dyDescent="0.35">
      <c r="A19" s="8">
        <v>46112</v>
      </c>
      <c r="B19" s="1">
        <v>49.8</v>
      </c>
      <c r="C19" s="1">
        <v>4.5999999999999996</v>
      </c>
      <c r="D19" s="1">
        <v>39</v>
      </c>
      <c r="E19" s="1">
        <v>1</v>
      </c>
      <c r="F19" s="1">
        <v>0</v>
      </c>
      <c r="G19" s="1">
        <v>1</v>
      </c>
      <c r="H19" s="1">
        <v>0</v>
      </c>
      <c r="I19" s="1">
        <v>0</v>
      </c>
      <c r="J19" s="1">
        <v>0</v>
      </c>
      <c r="K19" s="1">
        <v>0</v>
      </c>
      <c r="L19" s="1">
        <v>1</v>
      </c>
      <c r="M19" s="1">
        <v>0</v>
      </c>
      <c r="N19" s="1">
        <v>1</v>
      </c>
      <c r="O19" s="1" t="s">
        <v>126</v>
      </c>
      <c r="P19" s="1" t="s">
        <v>259</v>
      </c>
      <c r="Q19" s="2" t="str">
        <f t="shared" si="0"/>
        <v>产能周期下行,主动补库存</v>
      </c>
      <c r="S19" s="12">
        <v>38837</v>
      </c>
      <c r="T19" s="13">
        <v>58.1</v>
      </c>
      <c r="V19" s="12">
        <v>45535</v>
      </c>
      <c r="W19" s="13">
        <v>5.0999999999999996</v>
      </c>
      <c r="Y19" s="12">
        <v>35155</v>
      </c>
      <c r="Z19" s="13">
        <v>32.9</v>
      </c>
    </row>
    <row r="20" spans="1:26" x14ac:dyDescent="0.35">
      <c r="A20" s="8">
        <v>46081</v>
      </c>
      <c r="B20" s="1">
        <v>49.1</v>
      </c>
      <c r="C20" s="1">
        <v>5.0999999999999996</v>
      </c>
      <c r="D20" s="1" t="e">
        <v>#N/A</v>
      </c>
      <c r="E20" s="1">
        <v>0</v>
      </c>
      <c r="F20" s="1">
        <v>1</v>
      </c>
      <c r="G20" s="1">
        <v>1</v>
      </c>
      <c r="H20" s="1">
        <v>0</v>
      </c>
      <c r="I20" s="1">
        <v>0</v>
      </c>
      <c r="J20" s="1">
        <v>0</v>
      </c>
      <c r="K20" s="1">
        <v>1</v>
      </c>
      <c r="L20" s="1">
        <v>0</v>
      </c>
      <c r="M20" s="1">
        <v>0</v>
      </c>
      <c r="N20" s="1">
        <v>1</v>
      </c>
      <c r="O20" s="1" t="s">
        <v>119</v>
      </c>
      <c r="P20" s="1" t="s">
        <v>259</v>
      </c>
      <c r="Q20" s="2" t="str">
        <f t="shared" si="0"/>
        <v>产能周期下行,被动去库存</v>
      </c>
      <c r="S20" s="12">
        <v>38868</v>
      </c>
      <c r="T20" s="13">
        <v>54.8</v>
      </c>
      <c r="V20" s="12">
        <v>45504</v>
      </c>
      <c r="W20" s="13">
        <v>5.2</v>
      </c>
      <c r="Y20" s="12">
        <v>35246</v>
      </c>
      <c r="Z20" s="13">
        <v>32</v>
      </c>
    </row>
    <row r="21" spans="1:26" x14ac:dyDescent="0.35">
      <c r="A21" s="8">
        <v>46053</v>
      </c>
      <c r="B21" s="1">
        <v>49.4</v>
      </c>
      <c r="C21" s="1">
        <v>5.2</v>
      </c>
      <c r="D21" s="1" t="e">
        <v>#N/A</v>
      </c>
      <c r="E21" s="1">
        <v>0</v>
      </c>
      <c r="F21" s="1">
        <v>1</v>
      </c>
      <c r="G21" s="1">
        <v>1</v>
      </c>
      <c r="H21" s="1">
        <v>0</v>
      </c>
      <c r="I21" s="1">
        <v>0</v>
      </c>
      <c r="J21" s="1">
        <v>0</v>
      </c>
      <c r="K21" s="1">
        <v>1</v>
      </c>
      <c r="L21" s="1">
        <v>0</v>
      </c>
      <c r="M21" s="1">
        <v>0</v>
      </c>
      <c r="N21" s="1">
        <v>1</v>
      </c>
      <c r="O21" s="1" t="s">
        <v>119</v>
      </c>
      <c r="P21" s="1" t="s">
        <v>259</v>
      </c>
      <c r="Q21" s="2" t="str">
        <f t="shared" si="0"/>
        <v>产能周期下行,被动去库存</v>
      </c>
      <c r="S21" s="12">
        <v>38898</v>
      </c>
      <c r="T21" s="13">
        <v>54.1</v>
      </c>
      <c r="V21" s="12">
        <v>45473</v>
      </c>
      <c r="W21" s="13">
        <v>4.7</v>
      </c>
      <c r="Y21" s="12">
        <v>35338</v>
      </c>
      <c r="Z21" s="13">
        <v>32.9</v>
      </c>
    </row>
    <row r="22" spans="1:26" x14ac:dyDescent="0.35">
      <c r="A22" s="8">
        <v>46022</v>
      </c>
      <c r="B22" s="139">
        <v>49.5</v>
      </c>
      <c r="C22" s="135">
        <v>4.7</v>
      </c>
      <c r="D22" s="7">
        <v>40</v>
      </c>
      <c r="E22" s="1">
        <v>1</v>
      </c>
      <c r="F22" s="1">
        <v>0</v>
      </c>
      <c r="G22" s="1">
        <v>1</v>
      </c>
      <c r="H22" s="1">
        <v>0</v>
      </c>
      <c r="I22" s="1">
        <v>0</v>
      </c>
      <c r="J22" s="1">
        <v>0</v>
      </c>
      <c r="K22" s="1">
        <v>0</v>
      </c>
      <c r="L22" s="1">
        <v>1</v>
      </c>
      <c r="M22" s="1">
        <v>0</v>
      </c>
      <c r="N22" s="1">
        <v>1</v>
      </c>
      <c r="O22" s="1" t="s">
        <v>126</v>
      </c>
      <c r="P22" s="1" t="s">
        <v>259</v>
      </c>
      <c r="Q22" s="2" t="str">
        <f t="shared" si="0"/>
        <v>产能周期下行,主动补库存</v>
      </c>
      <c r="S22" s="12">
        <v>38929</v>
      </c>
      <c r="T22" s="13">
        <v>52.4</v>
      </c>
      <c r="V22" s="12">
        <v>45443</v>
      </c>
      <c r="W22" s="13">
        <v>3.6</v>
      </c>
      <c r="Y22" s="12">
        <v>35430</v>
      </c>
      <c r="Z22" s="13">
        <v>32.950000000000003</v>
      </c>
    </row>
    <row r="23" spans="1:26" x14ac:dyDescent="0.35">
      <c r="A23" s="8">
        <v>45991</v>
      </c>
      <c r="B23" s="139">
        <v>49.5</v>
      </c>
      <c r="C23" s="135">
        <v>3.6</v>
      </c>
      <c r="D23" s="7" t="e">
        <v>#N/A</v>
      </c>
      <c r="E23" s="1">
        <v>1</v>
      </c>
      <c r="F23" s="1">
        <v>0</v>
      </c>
      <c r="G23" s="1">
        <v>1</v>
      </c>
      <c r="H23" s="1">
        <v>0</v>
      </c>
      <c r="I23" s="1">
        <v>0</v>
      </c>
      <c r="J23" s="1">
        <v>0</v>
      </c>
      <c r="K23" s="1">
        <v>0</v>
      </c>
      <c r="L23" s="1">
        <v>1</v>
      </c>
      <c r="M23" s="1">
        <v>0</v>
      </c>
      <c r="N23" s="1">
        <v>1</v>
      </c>
      <c r="O23" s="1" t="s">
        <v>126</v>
      </c>
      <c r="P23" s="1" t="s">
        <v>259</v>
      </c>
      <c r="Q23" s="2" t="str">
        <f t="shared" ref="Q23:Q33" si="1">TEXT(P23,"")&amp;","&amp;TEXT(O23,"")</f>
        <v>产能周期下行,主动补库存</v>
      </c>
      <c r="S23" s="12">
        <v>38960</v>
      </c>
      <c r="T23" s="13">
        <v>53.1</v>
      </c>
      <c r="V23" s="12">
        <v>45412</v>
      </c>
      <c r="W23" s="13">
        <v>3.1</v>
      </c>
      <c r="Y23" s="12">
        <v>35520</v>
      </c>
      <c r="Z23" s="13">
        <v>31.3</v>
      </c>
    </row>
    <row r="24" spans="1:26" x14ac:dyDescent="0.35">
      <c r="A24" s="8">
        <v>45961</v>
      </c>
      <c r="B24" s="139">
        <v>50.551879999999997</v>
      </c>
      <c r="C24" s="135">
        <v>5.6</v>
      </c>
      <c r="D24" s="7"/>
      <c r="E24" s="1">
        <v>1</v>
      </c>
      <c r="F24" s="1">
        <f t="shared" ref="F24:F39" si="2">1-E24</f>
        <v>0</v>
      </c>
      <c r="G24" s="1">
        <v>1</v>
      </c>
      <c r="H24" s="1">
        <f t="shared" ref="H24:H39" si="3">1-G24</f>
        <v>0</v>
      </c>
      <c r="I24" s="1">
        <f t="shared" ref="I24:I33" si="4">INT(AND(H24=1,F24=1))</f>
        <v>0</v>
      </c>
      <c r="J24" s="1">
        <f t="shared" ref="J24:J33" si="5">INT(AND(H24=1,E24=1))</f>
        <v>0</v>
      </c>
      <c r="K24" s="1">
        <f t="shared" ref="K24:K33" si="6">INT(AND(G24=1,F24=1))</f>
        <v>0</v>
      </c>
      <c r="L24" s="1">
        <f t="shared" ref="L24:L33" si="7">INT(AND(G24=1,E24=1))</f>
        <v>1</v>
      </c>
      <c r="M24" s="1">
        <v>0</v>
      </c>
      <c r="N24" s="1">
        <f t="shared" ref="N24:N31" si="8">1-M24</f>
        <v>1</v>
      </c>
      <c r="O24" s="1" t="str">
        <f t="shared" ref="O24:O33" si="9">INDEX($I$3:$L$3,1,MATCH(1,I24:L24,0))</f>
        <v>主动补库存</v>
      </c>
      <c r="P24" s="1" t="str">
        <f t="shared" ref="P24:P33" si="10">INDEX($M$3:$N$3,1,MATCH(1,M24:N24,0))</f>
        <v>产能周期下行</v>
      </c>
      <c r="Q24" s="2" t="str">
        <f t="shared" si="1"/>
        <v>产能周期下行,主动补库存</v>
      </c>
      <c r="S24" s="12">
        <v>38990</v>
      </c>
      <c r="T24" s="13">
        <v>57</v>
      </c>
      <c r="V24" s="12">
        <v>45382</v>
      </c>
      <c r="W24" s="13">
        <v>2.5</v>
      </c>
      <c r="Y24" s="12">
        <v>35611</v>
      </c>
      <c r="Z24" s="13">
        <v>32.75</v>
      </c>
    </row>
    <row r="25" spans="1:26" x14ac:dyDescent="0.35">
      <c r="A25" s="8">
        <v>45930</v>
      </c>
      <c r="B25" s="139">
        <v>50.313650000000003</v>
      </c>
      <c r="C25" s="135">
        <v>5.0999999999999996</v>
      </c>
      <c r="D25" s="7">
        <v>38.6</v>
      </c>
      <c r="E25" s="1">
        <v>1</v>
      </c>
      <c r="F25" s="1">
        <f t="shared" si="2"/>
        <v>0</v>
      </c>
      <c r="G25" s="1">
        <v>1</v>
      </c>
      <c r="H25" s="1">
        <f t="shared" si="3"/>
        <v>0</v>
      </c>
      <c r="I25" s="1">
        <f t="shared" si="4"/>
        <v>0</v>
      </c>
      <c r="J25" s="1">
        <f t="shared" si="5"/>
        <v>0</v>
      </c>
      <c r="K25" s="1">
        <f t="shared" si="6"/>
        <v>0</v>
      </c>
      <c r="L25" s="1">
        <f t="shared" si="7"/>
        <v>1</v>
      </c>
      <c r="M25" s="1">
        <v>0</v>
      </c>
      <c r="N25" s="1">
        <f t="shared" si="8"/>
        <v>1</v>
      </c>
      <c r="O25" s="1" t="str">
        <f t="shared" si="9"/>
        <v>主动补库存</v>
      </c>
      <c r="P25" s="1" t="str">
        <f t="shared" si="10"/>
        <v>产能周期下行</v>
      </c>
      <c r="Q25" s="2" t="str">
        <f t="shared" si="1"/>
        <v>产能周期下行,主动补库存</v>
      </c>
      <c r="S25" s="12">
        <v>39021</v>
      </c>
      <c r="T25" s="13">
        <v>54.7</v>
      </c>
      <c r="V25" s="12">
        <v>45351</v>
      </c>
      <c r="W25" s="13">
        <v>2.4</v>
      </c>
      <c r="Y25" s="12">
        <v>35703</v>
      </c>
      <c r="Z25" s="13">
        <v>32.75</v>
      </c>
    </row>
    <row r="26" spans="1:26" x14ac:dyDescent="0.35">
      <c r="A26" s="8">
        <v>45900</v>
      </c>
      <c r="B26" s="139">
        <v>50.23424</v>
      </c>
      <c r="C26" s="135">
        <v>4.7</v>
      </c>
      <c r="D26" s="7"/>
      <c r="E26" s="1">
        <v>1</v>
      </c>
      <c r="F26" s="1">
        <f t="shared" si="2"/>
        <v>0</v>
      </c>
      <c r="G26" s="1">
        <v>1</v>
      </c>
      <c r="H26" s="1">
        <f t="shared" si="3"/>
        <v>0</v>
      </c>
      <c r="I26" s="1">
        <f t="shared" si="4"/>
        <v>0</v>
      </c>
      <c r="J26" s="1">
        <f t="shared" si="5"/>
        <v>0</v>
      </c>
      <c r="K26" s="1">
        <f t="shared" si="6"/>
        <v>0</v>
      </c>
      <c r="L26" s="1">
        <f t="shared" si="7"/>
        <v>1</v>
      </c>
      <c r="M26" s="1">
        <v>0</v>
      </c>
      <c r="N26" s="1">
        <f t="shared" si="8"/>
        <v>1</v>
      </c>
      <c r="O26" s="1" t="str">
        <f t="shared" si="9"/>
        <v>主动补库存</v>
      </c>
      <c r="P26" s="1" t="str">
        <f t="shared" si="10"/>
        <v>产能周期下行</v>
      </c>
      <c r="Q26" s="2" t="str">
        <f t="shared" si="1"/>
        <v>产能周期下行,主动补库存</v>
      </c>
      <c r="S26" s="12">
        <v>39051</v>
      </c>
      <c r="T26" s="13">
        <v>55.3</v>
      </c>
      <c r="V26" s="12">
        <v>45291</v>
      </c>
      <c r="W26" s="13">
        <v>2.1</v>
      </c>
      <c r="Y26" s="12">
        <v>35795</v>
      </c>
      <c r="Z26" s="13">
        <v>31.6</v>
      </c>
    </row>
    <row r="27" spans="1:26" x14ac:dyDescent="0.35">
      <c r="A27" s="8">
        <v>45869</v>
      </c>
      <c r="B27" s="139">
        <v>50.035715000000003</v>
      </c>
      <c r="C27" s="135">
        <v>4.5</v>
      </c>
      <c r="D27" s="7"/>
      <c r="E27" s="1">
        <v>1</v>
      </c>
      <c r="F27" s="1">
        <f t="shared" si="2"/>
        <v>0</v>
      </c>
      <c r="G27" s="1">
        <v>1</v>
      </c>
      <c r="H27" s="1">
        <f t="shared" si="3"/>
        <v>0</v>
      </c>
      <c r="I27" s="1">
        <f t="shared" si="4"/>
        <v>0</v>
      </c>
      <c r="J27" s="1">
        <f t="shared" si="5"/>
        <v>0</v>
      </c>
      <c r="K27" s="1">
        <f t="shared" si="6"/>
        <v>0</v>
      </c>
      <c r="L27" s="1">
        <f t="shared" si="7"/>
        <v>1</v>
      </c>
      <c r="M27" s="1">
        <v>0</v>
      </c>
      <c r="N27" s="1">
        <f t="shared" si="8"/>
        <v>1</v>
      </c>
      <c r="O27" s="1" t="str">
        <f t="shared" si="9"/>
        <v>主动补库存</v>
      </c>
      <c r="P27" s="1" t="str">
        <f t="shared" si="10"/>
        <v>产能周期下行</v>
      </c>
      <c r="Q27" s="2" t="str">
        <f t="shared" si="1"/>
        <v>产能周期下行,主动补库存</v>
      </c>
      <c r="S27" s="12">
        <v>39082</v>
      </c>
      <c r="T27" s="13">
        <v>54.8</v>
      </c>
      <c r="V27" s="12">
        <v>45260</v>
      </c>
      <c r="W27" s="13">
        <v>1.7</v>
      </c>
      <c r="Y27" s="12">
        <v>35885</v>
      </c>
      <c r="Z27" s="13">
        <v>30.55</v>
      </c>
    </row>
    <row r="28" spans="1:26" x14ac:dyDescent="0.35">
      <c r="A28" s="8">
        <v>45838</v>
      </c>
      <c r="B28" s="139">
        <v>50.075420000000001</v>
      </c>
      <c r="C28" s="135">
        <v>4.4000000000000004</v>
      </c>
      <c r="D28" s="7">
        <v>38.200000000000003</v>
      </c>
      <c r="E28" s="1">
        <v>1</v>
      </c>
      <c r="F28" s="1">
        <f t="shared" si="2"/>
        <v>0</v>
      </c>
      <c r="G28" s="1">
        <v>1</v>
      </c>
      <c r="H28" s="1">
        <f t="shared" si="3"/>
        <v>0</v>
      </c>
      <c r="I28" s="1">
        <f t="shared" si="4"/>
        <v>0</v>
      </c>
      <c r="J28" s="1">
        <f t="shared" si="5"/>
        <v>0</v>
      </c>
      <c r="K28" s="1">
        <f t="shared" si="6"/>
        <v>0</v>
      </c>
      <c r="L28" s="1">
        <f t="shared" si="7"/>
        <v>1</v>
      </c>
      <c r="M28" s="1">
        <v>0</v>
      </c>
      <c r="N28" s="1">
        <f t="shared" si="8"/>
        <v>1</v>
      </c>
      <c r="O28" s="1" t="str">
        <f t="shared" si="9"/>
        <v>主动补库存</v>
      </c>
      <c r="P28" s="1" t="str">
        <f t="shared" si="10"/>
        <v>产能周期下行</v>
      </c>
      <c r="Q28" s="2" t="str">
        <f t="shared" si="1"/>
        <v>产能周期下行,主动补库存</v>
      </c>
      <c r="S28" s="12">
        <v>39113</v>
      </c>
      <c r="T28" s="13">
        <v>55.1</v>
      </c>
      <c r="V28" s="12">
        <v>45230</v>
      </c>
      <c r="W28" s="13">
        <v>2</v>
      </c>
      <c r="Y28" s="12">
        <v>35976</v>
      </c>
      <c r="Z28" s="13">
        <v>31.2</v>
      </c>
    </row>
    <row r="29" spans="1:26" x14ac:dyDescent="0.35">
      <c r="A29" s="8">
        <v>45808</v>
      </c>
      <c r="B29" s="139">
        <v>49.996009999999998</v>
      </c>
      <c r="C29" s="135">
        <v>4.5999999999999996</v>
      </c>
      <c r="D29" s="7"/>
      <c r="E29" s="1">
        <v>1</v>
      </c>
      <c r="F29" s="1">
        <f t="shared" si="2"/>
        <v>0</v>
      </c>
      <c r="G29" s="1">
        <v>1</v>
      </c>
      <c r="H29" s="1">
        <f t="shared" si="3"/>
        <v>0</v>
      </c>
      <c r="I29" s="1">
        <f t="shared" si="4"/>
        <v>0</v>
      </c>
      <c r="J29" s="1">
        <f t="shared" si="5"/>
        <v>0</v>
      </c>
      <c r="K29" s="1">
        <f t="shared" si="6"/>
        <v>0</v>
      </c>
      <c r="L29" s="1">
        <f t="shared" si="7"/>
        <v>1</v>
      </c>
      <c r="M29" s="1">
        <v>0</v>
      </c>
      <c r="N29" s="1">
        <f t="shared" si="8"/>
        <v>1</v>
      </c>
      <c r="O29" s="1" t="str">
        <f t="shared" si="9"/>
        <v>主动补库存</v>
      </c>
      <c r="P29" s="1" t="str">
        <f t="shared" si="10"/>
        <v>产能周期下行</v>
      </c>
      <c r="Q29" s="2" t="str">
        <f t="shared" si="1"/>
        <v>产能周期下行,主动补库存</v>
      </c>
      <c r="S29" s="12">
        <v>39141</v>
      </c>
      <c r="T29" s="13">
        <v>53.1</v>
      </c>
      <c r="V29" s="12">
        <v>45199</v>
      </c>
      <c r="W29" s="13">
        <v>3.1</v>
      </c>
      <c r="Y29" s="12">
        <v>36068</v>
      </c>
      <c r="Z29" s="13">
        <v>31.3</v>
      </c>
    </row>
    <row r="30" spans="1:26" x14ac:dyDescent="0.35">
      <c r="A30" s="8">
        <v>45777</v>
      </c>
      <c r="B30" s="139">
        <v>50.035715000000003</v>
      </c>
      <c r="C30" s="135">
        <v>3.9</v>
      </c>
      <c r="D30" s="7"/>
      <c r="E30" s="1">
        <v>1</v>
      </c>
      <c r="F30" s="1">
        <f t="shared" si="2"/>
        <v>0</v>
      </c>
      <c r="G30" s="1">
        <v>1</v>
      </c>
      <c r="H30" s="1">
        <f t="shared" si="3"/>
        <v>0</v>
      </c>
      <c r="I30" s="1">
        <f t="shared" si="4"/>
        <v>0</v>
      </c>
      <c r="J30" s="1">
        <f t="shared" si="5"/>
        <v>0</v>
      </c>
      <c r="K30" s="1">
        <f t="shared" si="6"/>
        <v>0</v>
      </c>
      <c r="L30" s="1">
        <f t="shared" si="7"/>
        <v>1</v>
      </c>
      <c r="M30" s="1">
        <v>0</v>
      </c>
      <c r="N30" s="1">
        <f t="shared" si="8"/>
        <v>1</v>
      </c>
      <c r="O30" s="1" t="str">
        <f t="shared" si="9"/>
        <v>主动补库存</v>
      </c>
      <c r="P30" s="1" t="str">
        <f t="shared" si="10"/>
        <v>产能周期下行</v>
      </c>
      <c r="Q30" s="2" t="str">
        <f t="shared" si="1"/>
        <v>产能周期下行,主动补库存</v>
      </c>
      <c r="S30" s="12">
        <v>39172</v>
      </c>
      <c r="T30" s="13">
        <v>56.1</v>
      </c>
      <c r="V30" s="12">
        <v>45169</v>
      </c>
      <c r="W30" s="13">
        <v>2.4</v>
      </c>
      <c r="Y30" s="12">
        <v>36160</v>
      </c>
      <c r="Z30" s="13">
        <v>32.5</v>
      </c>
    </row>
    <row r="31" spans="1:26" x14ac:dyDescent="0.35">
      <c r="A31" s="8">
        <v>45747</v>
      </c>
      <c r="B31" s="139">
        <v>49.969540000000002</v>
      </c>
      <c r="C31" s="135">
        <v>3.5</v>
      </c>
      <c r="D31" s="7">
        <v>39.799999999999997</v>
      </c>
      <c r="E31" s="1">
        <v>1</v>
      </c>
      <c r="F31" s="1">
        <f t="shared" si="2"/>
        <v>0</v>
      </c>
      <c r="G31" s="1">
        <v>1</v>
      </c>
      <c r="H31" s="1">
        <f t="shared" si="3"/>
        <v>0</v>
      </c>
      <c r="I31" s="1">
        <f t="shared" si="4"/>
        <v>0</v>
      </c>
      <c r="J31" s="1">
        <f t="shared" si="5"/>
        <v>0</v>
      </c>
      <c r="K31" s="1">
        <f t="shared" si="6"/>
        <v>0</v>
      </c>
      <c r="L31" s="1">
        <f t="shared" si="7"/>
        <v>1</v>
      </c>
      <c r="M31" s="1">
        <v>0</v>
      </c>
      <c r="N31" s="1">
        <f t="shared" si="8"/>
        <v>1</v>
      </c>
      <c r="O31" s="1" t="str">
        <f t="shared" si="9"/>
        <v>主动补库存</v>
      </c>
      <c r="P31" s="1" t="str">
        <f t="shared" si="10"/>
        <v>产能周期下行</v>
      </c>
      <c r="Q31" s="2" t="str">
        <f t="shared" si="1"/>
        <v>产能周期下行,主动补库存</v>
      </c>
      <c r="S31" s="12">
        <v>39202</v>
      </c>
      <c r="T31" s="13">
        <v>58.6</v>
      </c>
      <c r="V31" s="12">
        <v>45138</v>
      </c>
      <c r="W31" s="13">
        <v>1.6</v>
      </c>
      <c r="Y31" s="12">
        <v>36250</v>
      </c>
      <c r="Z31" s="13">
        <v>32.6</v>
      </c>
    </row>
    <row r="32" spans="1:26" x14ac:dyDescent="0.35">
      <c r="A32" s="8">
        <v>45716</v>
      </c>
      <c r="B32" s="139">
        <v>51</v>
      </c>
      <c r="C32" s="135">
        <v>3.3</v>
      </c>
      <c r="D32" s="7"/>
      <c r="E32" s="1">
        <v>1</v>
      </c>
      <c r="F32" s="1">
        <f t="shared" si="2"/>
        <v>0</v>
      </c>
      <c r="G32" s="1">
        <v>1</v>
      </c>
      <c r="H32" s="1">
        <f t="shared" si="3"/>
        <v>0</v>
      </c>
      <c r="I32" s="1">
        <f t="shared" si="4"/>
        <v>0</v>
      </c>
      <c r="J32" s="1">
        <f t="shared" si="5"/>
        <v>0</v>
      </c>
      <c r="K32" s="1">
        <f t="shared" si="6"/>
        <v>0</v>
      </c>
      <c r="L32" s="1">
        <f t="shared" si="7"/>
        <v>1</v>
      </c>
      <c r="M32" s="1">
        <v>0</v>
      </c>
      <c r="N32" s="1">
        <v>1</v>
      </c>
      <c r="O32" s="1" t="str">
        <f t="shared" si="9"/>
        <v>主动补库存</v>
      </c>
      <c r="P32" s="1" t="str">
        <f t="shared" si="10"/>
        <v>产能周期下行</v>
      </c>
      <c r="Q32" s="2" t="str">
        <f t="shared" si="1"/>
        <v>产能周期下行,主动补库存</v>
      </c>
      <c r="S32" s="12">
        <v>39233</v>
      </c>
      <c r="T32" s="13">
        <v>55.7</v>
      </c>
      <c r="V32" s="12">
        <v>45107</v>
      </c>
      <c r="W32" s="13">
        <v>2.2000000000000002</v>
      </c>
      <c r="Y32" s="12">
        <v>36341</v>
      </c>
      <c r="Z32" s="13">
        <v>33.700000000000003</v>
      </c>
    </row>
    <row r="33" spans="1:26" x14ac:dyDescent="0.35">
      <c r="A33" s="8">
        <v>45658</v>
      </c>
      <c r="B33" s="139">
        <v>49.1</v>
      </c>
      <c r="C33" s="145">
        <v>3.3</v>
      </c>
      <c r="D33" s="7"/>
      <c r="E33" s="1">
        <v>1</v>
      </c>
      <c r="F33" s="1">
        <f t="shared" si="2"/>
        <v>0</v>
      </c>
      <c r="G33" s="1">
        <v>1</v>
      </c>
      <c r="H33" s="1">
        <f t="shared" si="3"/>
        <v>0</v>
      </c>
      <c r="I33" s="1">
        <f t="shared" si="4"/>
        <v>0</v>
      </c>
      <c r="J33" s="1">
        <f t="shared" si="5"/>
        <v>0</v>
      </c>
      <c r="K33" s="1">
        <f t="shared" si="6"/>
        <v>0</v>
      </c>
      <c r="L33" s="1">
        <f t="shared" si="7"/>
        <v>1</v>
      </c>
      <c r="M33" s="1">
        <v>0</v>
      </c>
      <c r="N33" s="1">
        <v>1</v>
      </c>
      <c r="O33" s="1" t="str">
        <f t="shared" si="9"/>
        <v>主动补库存</v>
      </c>
      <c r="P33" s="1" t="str">
        <f t="shared" si="10"/>
        <v>产能周期下行</v>
      </c>
      <c r="Q33" s="2" t="str">
        <f t="shared" si="1"/>
        <v>产能周期下行,主动补库存</v>
      </c>
      <c r="S33" s="12">
        <v>39263</v>
      </c>
      <c r="T33" s="13">
        <v>54.5</v>
      </c>
      <c r="V33" s="12">
        <v>45077</v>
      </c>
      <c r="W33" s="13">
        <v>3.2</v>
      </c>
      <c r="Y33" s="12">
        <v>36433</v>
      </c>
      <c r="Z33" s="13">
        <v>32.75</v>
      </c>
    </row>
    <row r="34" spans="1:26" x14ac:dyDescent="0.35">
      <c r="A34" s="8">
        <v>45657</v>
      </c>
      <c r="B34" s="144">
        <f t="shared" ref="B34:B97" si="11">VLOOKUP(A34,S:T,2,0)</f>
        <v>50.1</v>
      </c>
      <c r="C34" s="144">
        <f t="shared" ref="C34:C97" si="12">VLOOKUP(A34,V:W,2,0)</f>
        <v>3.3</v>
      </c>
      <c r="D34" s="7">
        <v>40.1</v>
      </c>
      <c r="E34" s="1">
        <v>1</v>
      </c>
      <c r="F34" s="1">
        <f t="shared" si="2"/>
        <v>0</v>
      </c>
      <c r="G34" s="1">
        <v>1</v>
      </c>
      <c r="H34" s="1">
        <f t="shared" si="3"/>
        <v>0</v>
      </c>
      <c r="I34" s="1">
        <f t="shared" ref="I34:I40" si="13">INT(AND(H34=1,F34=1))</f>
        <v>0</v>
      </c>
      <c r="J34" s="1">
        <f t="shared" ref="J34:J40" si="14">INT(AND(H34=1,E34=1))</f>
        <v>0</v>
      </c>
      <c r="K34" s="1">
        <f t="shared" ref="K34:K40" si="15">INT(AND(G34=1,F34=1))</f>
        <v>0</v>
      </c>
      <c r="L34" s="1">
        <f t="shared" ref="L34:L40" si="16">INT(AND(G34=1,E34=1))</f>
        <v>1</v>
      </c>
      <c r="M34" s="1">
        <v>0</v>
      </c>
      <c r="N34" s="1">
        <v>1</v>
      </c>
      <c r="O34" s="1" t="str">
        <f t="shared" ref="O34:O40" si="17">INDEX($I$3:$L$3,1,MATCH(1,I34:L34,0))</f>
        <v>主动补库存</v>
      </c>
      <c r="P34" s="1" t="str">
        <f t="shared" ref="P34:P40" si="18">INDEX($M$3:$N$3,1,MATCH(1,M34:N34,0))</f>
        <v>产能周期下行</v>
      </c>
      <c r="Q34" s="2" t="str">
        <f t="shared" ref="Q34:Q40" si="19">TEXT(P34,"")&amp;","&amp;TEXT(O34,"")</f>
        <v>产能周期下行,主动补库存</v>
      </c>
      <c r="S34" s="12">
        <v>39294</v>
      </c>
      <c r="T34" s="13">
        <v>53.3</v>
      </c>
      <c r="V34" s="12">
        <v>45046</v>
      </c>
      <c r="W34" s="13">
        <v>5.9</v>
      </c>
      <c r="Y34" s="12">
        <v>36525</v>
      </c>
      <c r="Z34" s="13">
        <v>33.9</v>
      </c>
    </row>
    <row r="35" spans="1:26" x14ac:dyDescent="0.35">
      <c r="A35" s="8">
        <v>45626</v>
      </c>
      <c r="B35" s="144">
        <f t="shared" si="11"/>
        <v>50.3</v>
      </c>
      <c r="C35" s="144">
        <f t="shared" si="12"/>
        <v>3.3</v>
      </c>
      <c r="D35" s="144"/>
      <c r="E35" s="1">
        <v>1</v>
      </c>
      <c r="F35" s="1">
        <f t="shared" si="2"/>
        <v>0</v>
      </c>
      <c r="G35" s="1">
        <v>1</v>
      </c>
      <c r="H35" s="1">
        <f t="shared" si="3"/>
        <v>0</v>
      </c>
      <c r="I35" s="1">
        <f t="shared" si="13"/>
        <v>0</v>
      </c>
      <c r="J35" s="1">
        <f t="shared" si="14"/>
        <v>0</v>
      </c>
      <c r="K35" s="1">
        <f t="shared" si="15"/>
        <v>0</v>
      </c>
      <c r="L35" s="1">
        <f t="shared" si="16"/>
        <v>1</v>
      </c>
      <c r="M35" s="1">
        <v>0</v>
      </c>
      <c r="N35" s="1">
        <v>1</v>
      </c>
      <c r="O35" s="1" t="str">
        <f t="shared" si="17"/>
        <v>主动补库存</v>
      </c>
      <c r="P35" s="1" t="str">
        <f t="shared" si="18"/>
        <v>产能周期下行</v>
      </c>
      <c r="Q35" s="2" t="str">
        <f t="shared" si="19"/>
        <v>产能周期下行,主动补库存</v>
      </c>
      <c r="S35" s="12">
        <v>39325</v>
      </c>
      <c r="T35" s="13">
        <v>54</v>
      </c>
      <c r="V35" s="12">
        <v>45016</v>
      </c>
      <c r="W35" s="13">
        <v>9.1</v>
      </c>
      <c r="Y35" s="12">
        <v>36616</v>
      </c>
      <c r="Z35" s="13">
        <v>32.65</v>
      </c>
    </row>
    <row r="36" spans="1:26" x14ac:dyDescent="0.35">
      <c r="A36" s="8">
        <v>45596</v>
      </c>
      <c r="B36" s="144">
        <f t="shared" si="11"/>
        <v>50.1</v>
      </c>
      <c r="C36" s="144">
        <f t="shared" si="12"/>
        <v>3.9</v>
      </c>
      <c r="D36" s="144"/>
      <c r="E36" s="1">
        <v>1</v>
      </c>
      <c r="F36" s="1">
        <f t="shared" si="2"/>
        <v>0</v>
      </c>
      <c r="G36" s="1">
        <v>1</v>
      </c>
      <c r="H36" s="1">
        <f t="shared" si="3"/>
        <v>0</v>
      </c>
      <c r="I36" s="1">
        <f t="shared" si="13"/>
        <v>0</v>
      </c>
      <c r="J36" s="1">
        <f t="shared" si="14"/>
        <v>0</v>
      </c>
      <c r="K36" s="1">
        <f t="shared" si="15"/>
        <v>0</v>
      </c>
      <c r="L36" s="1">
        <f t="shared" si="16"/>
        <v>1</v>
      </c>
      <c r="M36" s="1">
        <v>0</v>
      </c>
      <c r="N36" s="1">
        <v>1</v>
      </c>
      <c r="O36" s="1" t="str">
        <f t="shared" si="17"/>
        <v>主动补库存</v>
      </c>
      <c r="P36" s="1" t="str">
        <f t="shared" si="18"/>
        <v>产能周期下行</v>
      </c>
      <c r="Q36" s="2" t="str">
        <f t="shared" si="19"/>
        <v>产能周期下行,主动补库存</v>
      </c>
      <c r="S36" s="12">
        <v>39355</v>
      </c>
      <c r="T36" s="13">
        <v>56.1</v>
      </c>
      <c r="V36" s="12">
        <v>44985</v>
      </c>
      <c r="W36" s="13">
        <v>10.7</v>
      </c>
      <c r="Y36" s="12">
        <v>36707</v>
      </c>
      <c r="Z36" s="13">
        <v>34.6</v>
      </c>
    </row>
    <row r="37" spans="1:26" x14ac:dyDescent="0.35">
      <c r="A37" s="8">
        <v>45565</v>
      </c>
      <c r="B37" s="144">
        <f t="shared" si="11"/>
        <v>49.8</v>
      </c>
      <c r="C37" s="144">
        <f t="shared" si="12"/>
        <v>4.5999999999999996</v>
      </c>
      <c r="D37" s="144">
        <f t="shared" ref="D37:D100" si="20">VLOOKUP(A37,Y:Z,2,FALSE)</f>
        <v>39</v>
      </c>
      <c r="E37" s="1">
        <v>1</v>
      </c>
      <c r="F37" s="1">
        <f t="shared" si="2"/>
        <v>0</v>
      </c>
      <c r="G37" s="1">
        <v>1</v>
      </c>
      <c r="H37" s="1">
        <f t="shared" si="3"/>
        <v>0</v>
      </c>
      <c r="I37" s="1">
        <f t="shared" si="13"/>
        <v>0</v>
      </c>
      <c r="J37" s="1">
        <f t="shared" si="14"/>
        <v>0</v>
      </c>
      <c r="K37" s="1">
        <f t="shared" si="15"/>
        <v>0</v>
      </c>
      <c r="L37" s="1">
        <f t="shared" si="16"/>
        <v>1</v>
      </c>
      <c r="M37" s="1">
        <v>0</v>
      </c>
      <c r="N37" s="1">
        <v>1</v>
      </c>
      <c r="O37" s="1" t="str">
        <f t="shared" si="17"/>
        <v>主动补库存</v>
      </c>
      <c r="P37" s="1" t="str">
        <f t="shared" si="18"/>
        <v>产能周期下行</v>
      </c>
      <c r="Q37" s="2" t="str">
        <f t="shared" si="19"/>
        <v>产能周期下行,主动补库存</v>
      </c>
      <c r="S37" s="12">
        <v>39386</v>
      </c>
      <c r="T37" s="13">
        <v>53.2</v>
      </c>
      <c r="V37" s="12">
        <v>44926</v>
      </c>
      <c r="W37" s="13">
        <v>9.9</v>
      </c>
      <c r="Y37" s="12">
        <v>36799</v>
      </c>
      <c r="Z37" s="13">
        <v>35.549999999999997</v>
      </c>
    </row>
    <row r="38" spans="1:26" x14ac:dyDescent="0.35">
      <c r="A38" s="8">
        <v>45535</v>
      </c>
      <c r="B38" s="144">
        <f t="shared" si="11"/>
        <v>49.1</v>
      </c>
      <c r="C38" s="144">
        <f t="shared" si="12"/>
        <v>5.0999999999999996</v>
      </c>
      <c r="D38" s="144" t="e">
        <f t="shared" si="20"/>
        <v>#N/A</v>
      </c>
      <c r="E38" s="1">
        <v>0</v>
      </c>
      <c r="F38" s="1">
        <f t="shared" si="2"/>
        <v>1</v>
      </c>
      <c r="G38" s="1">
        <v>1</v>
      </c>
      <c r="H38" s="1">
        <f t="shared" si="3"/>
        <v>0</v>
      </c>
      <c r="I38" s="1">
        <f t="shared" si="13"/>
        <v>0</v>
      </c>
      <c r="J38" s="1">
        <f t="shared" si="14"/>
        <v>0</v>
      </c>
      <c r="K38" s="1">
        <f t="shared" si="15"/>
        <v>1</v>
      </c>
      <c r="L38" s="1">
        <f t="shared" si="16"/>
        <v>0</v>
      </c>
      <c r="M38" s="1">
        <v>0</v>
      </c>
      <c r="N38" s="1">
        <v>1</v>
      </c>
      <c r="O38" s="1" t="str">
        <f t="shared" si="17"/>
        <v>被动去库存</v>
      </c>
      <c r="P38" s="1" t="str">
        <f t="shared" si="18"/>
        <v>产能周期下行</v>
      </c>
      <c r="Q38" s="2" t="str">
        <f t="shared" si="19"/>
        <v>产能周期下行,被动去库存</v>
      </c>
      <c r="S38" s="12">
        <v>39416</v>
      </c>
      <c r="T38" s="13">
        <v>55.4</v>
      </c>
      <c r="V38" s="12">
        <v>44895</v>
      </c>
      <c r="W38" s="13">
        <v>11.4</v>
      </c>
      <c r="Y38" s="12">
        <v>36891</v>
      </c>
      <c r="Z38" s="13">
        <v>36.15</v>
      </c>
    </row>
    <row r="39" spans="1:26" x14ac:dyDescent="0.35">
      <c r="A39" s="8">
        <v>45504</v>
      </c>
      <c r="B39" s="144">
        <f t="shared" si="11"/>
        <v>49.4</v>
      </c>
      <c r="C39" s="144">
        <f t="shared" si="12"/>
        <v>5.2</v>
      </c>
      <c r="D39" s="144" t="e">
        <f t="shared" si="20"/>
        <v>#N/A</v>
      </c>
      <c r="E39" s="1">
        <v>0</v>
      </c>
      <c r="F39" s="1">
        <f t="shared" si="2"/>
        <v>1</v>
      </c>
      <c r="G39" s="1">
        <v>1</v>
      </c>
      <c r="H39" s="1">
        <f t="shared" si="3"/>
        <v>0</v>
      </c>
      <c r="I39" s="1">
        <f t="shared" si="13"/>
        <v>0</v>
      </c>
      <c r="J39" s="1">
        <f t="shared" si="14"/>
        <v>0</v>
      </c>
      <c r="K39" s="1">
        <f t="shared" si="15"/>
        <v>1</v>
      </c>
      <c r="L39" s="1">
        <f t="shared" si="16"/>
        <v>0</v>
      </c>
      <c r="M39" s="1">
        <v>0</v>
      </c>
      <c r="N39" s="1">
        <v>1</v>
      </c>
      <c r="O39" s="1" t="str">
        <f t="shared" si="17"/>
        <v>被动去库存</v>
      </c>
      <c r="P39" s="1" t="str">
        <f t="shared" si="18"/>
        <v>产能周期下行</v>
      </c>
      <c r="Q39" s="2" t="str">
        <f t="shared" si="19"/>
        <v>产能周期下行,被动去库存</v>
      </c>
      <c r="S39" s="12">
        <v>39447</v>
      </c>
      <c r="T39" s="13">
        <v>55.3</v>
      </c>
      <c r="V39" s="12">
        <v>44865</v>
      </c>
      <c r="W39" s="13">
        <v>12.6</v>
      </c>
      <c r="Y39" s="12">
        <v>36981</v>
      </c>
      <c r="Z39" s="13">
        <v>36.15</v>
      </c>
    </row>
    <row r="40" spans="1:26" x14ac:dyDescent="0.35">
      <c r="A40" s="8">
        <v>45473</v>
      </c>
      <c r="B40" s="9">
        <f t="shared" si="11"/>
        <v>49.5</v>
      </c>
      <c r="C40" s="9">
        <f t="shared" si="12"/>
        <v>4.7</v>
      </c>
      <c r="D40" s="9">
        <f t="shared" si="20"/>
        <v>40</v>
      </c>
      <c r="E40" s="7">
        <v>1</v>
      </c>
      <c r="F40" s="7">
        <v>0</v>
      </c>
      <c r="G40" s="7">
        <v>1</v>
      </c>
      <c r="H40" s="7">
        <v>0</v>
      </c>
      <c r="I40" s="1">
        <f t="shared" si="13"/>
        <v>0</v>
      </c>
      <c r="J40" s="1">
        <f t="shared" si="14"/>
        <v>0</v>
      </c>
      <c r="K40" s="1">
        <f t="shared" si="15"/>
        <v>0</v>
      </c>
      <c r="L40" s="1">
        <f t="shared" si="16"/>
        <v>1</v>
      </c>
      <c r="M40" s="1">
        <v>0</v>
      </c>
      <c r="N40" s="1">
        <v>1</v>
      </c>
      <c r="O40" s="1" t="str">
        <f t="shared" si="17"/>
        <v>主动补库存</v>
      </c>
      <c r="P40" s="1" t="str">
        <f t="shared" si="18"/>
        <v>产能周期下行</v>
      </c>
      <c r="Q40" s="2" t="str">
        <f t="shared" si="19"/>
        <v>产能周期下行,主动补库存</v>
      </c>
      <c r="S40" s="12">
        <v>39478</v>
      </c>
      <c r="T40" s="13">
        <v>53</v>
      </c>
      <c r="V40" s="12">
        <v>44834</v>
      </c>
      <c r="W40" s="13">
        <v>13.8</v>
      </c>
      <c r="Y40" s="12">
        <v>37072</v>
      </c>
      <c r="Z40" s="13">
        <v>37.15</v>
      </c>
    </row>
    <row r="41" spans="1:26" x14ac:dyDescent="0.35">
      <c r="A41" s="8">
        <v>45443</v>
      </c>
      <c r="B41" s="9">
        <f t="shared" si="11"/>
        <v>49.5</v>
      </c>
      <c r="C41" s="9">
        <f t="shared" si="12"/>
        <v>3.6</v>
      </c>
      <c r="D41" s="9" t="e">
        <f t="shared" si="20"/>
        <v>#N/A</v>
      </c>
      <c r="E41" s="1">
        <v>1</v>
      </c>
      <c r="F41" s="1">
        <v>0</v>
      </c>
      <c r="G41" s="7">
        <v>1</v>
      </c>
      <c r="H41" s="7">
        <v>0</v>
      </c>
      <c r="I41" s="1">
        <f t="shared" ref="I41:I104" si="21">INT(AND(H41=1,F41=1))</f>
        <v>0</v>
      </c>
      <c r="J41" s="1">
        <f t="shared" ref="J41:J104" si="22">INT(AND(H41=1,E41=1))</f>
        <v>0</v>
      </c>
      <c r="K41" s="1">
        <f t="shared" ref="K41:K104" si="23">INT(AND(G41=1,F41=1))</f>
        <v>0</v>
      </c>
      <c r="L41" s="1">
        <f t="shared" ref="L41:L104" si="24">INT(AND(G41=1,E41=1))</f>
        <v>1</v>
      </c>
      <c r="M41" s="1">
        <v>0</v>
      </c>
      <c r="N41" s="1">
        <v>1</v>
      </c>
      <c r="O41" s="1" t="str">
        <f t="shared" ref="O41:O104" si="25">INDEX($I$3:$L$3,1,MATCH(1,I41:L41,0))</f>
        <v>主动补库存</v>
      </c>
      <c r="P41" s="1" t="str">
        <f t="shared" ref="P41:P104" si="26">INDEX($M$3:$N$3,1,MATCH(1,M41:N41,0))</f>
        <v>产能周期下行</v>
      </c>
      <c r="Q41" s="2" t="str">
        <f t="shared" ref="Q41:Q104" si="27">TEXT(P41,"")&amp;","&amp;TEXT(O41,"")</f>
        <v>产能周期下行,主动补库存</v>
      </c>
      <c r="S41" s="12">
        <v>39507</v>
      </c>
      <c r="T41" s="13">
        <v>53.4</v>
      </c>
      <c r="V41" s="12">
        <v>44804</v>
      </c>
      <c r="W41" s="13">
        <v>14.1</v>
      </c>
      <c r="Y41" s="12">
        <v>37164</v>
      </c>
      <c r="Z41" s="13">
        <v>36.4</v>
      </c>
    </row>
    <row r="42" spans="1:26" x14ac:dyDescent="0.35">
      <c r="A42" s="8">
        <v>45412</v>
      </c>
      <c r="B42" s="9">
        <f t="shared" si="11"/>
        <v>50.4</v>
      </c>
      <c r="C42" s="9">
        <f t="shared" si="12"/>
        <v>3.1</v>
      </c>
      <c r="D42" s="9" t="e">
        <f t="shared" si="20"/>
        <v>#N/A</v>
      </c>
      <c r="E42" s="1">
        <v>1</v>
      </c>
      <c r="F42" s="1">
        <v>0</v>
      </c>
      <c r="G42" s="7">
        <v>1</v>
      </c>
      <c r="H42" s="7">
        <v>0</v>
      </c>
      <c r="I42" s="1">
        <f t="shared" si="21"/>
        <v>0</v>
      </c>
      <c r="J42" s="1">
        <f t="shared" si="22"/>
        <v>0</v>
      </c>
      <c r="K42" s="1">
        <f t="shared" si="23"/>
        <v>0</v>
      </c>
      <c r="L42" s="1">
        <f t="shared" si="24"/>
        <v>1</v>
      </c>
      <c r="M42" s="1">
        <v>0</v>
      </c>
      <c r="N42" s="1">
        <v>1</v>
      </c>
      <c r="O42" s="1" t="str">
        <f t="shared" si="25"/>
        <v>主动补库存</v>
      </c>
      <c r="P42" s="1" t="str">
        <f t="shared" si="26"/>
        <v>产能周期下行</v>
      </c>
      <c r="Q42" s="2" t="str">
        <f t="shared" si="27"/>
        <v>产能周期下行,主动补库存</v>
      </c>
      <c r="S42" s="12">
        <v>39538</v>
      </c>
      <c r="T42" s="13">
        <v>58.4</v>
      </c>
      <c r="V42" s="12">
        <v>44773</v>
      </c>
      <c r="W42" s="13">
        <v>16.8</v>
      </c>
      <c r="Y42" s="12">
        <v>37256</v>
      </c>
      <c r="Z42" s="13">
        <v>36.85</v>
      </c>
    </row>
    <row r="43" spans="1:26" x14ac:dyDescent="0.35">
      <c r="A43" s="8">
        <v>45382</v>
      </c>
      <c r="B43" s="9">
        <f t="shared" si="11"/>
        <v>50.8</v>
      </c>
      <c r="C43" s="9">
        <f t="shared" si="12"/>
        <v>2.5</v>
      </c>
      <c r="D43" s="9">
        <f t="shared" si="20"/>
        <v>38</v>
      </c>
      <c r="E43" s="1">
        <v>1</v>
      </c>
      <c r="F43" s="1">
        <v>0</v>
      </c>
      <c r="G43" s="7">
        <v>1</v>
      </c>
      <c r="H43" s="7">
        <v>0</v>
      </c>
      <c r="I43" s="1">
        <f t="shared" si="21"/>
        <v>0</v>
      </c>
      <c r="J43" s="1">
        <f t="shared" si="22"/>
        <v>0</v>
      </c>
      <c r="K43" s="1">
        <f t="shared" si="23"/>
        <v>0</v>
      </c>
      <c r="L43" s="1">
        <f t="shared" si="24"/>
        <v>1</v>
      </c>
      <c r="M43" s="1">
        <v>0</v>
      </c>
      <c r="N43" s="1">
        <v>1</v>
      </c>
      <c r="O43" s="1" t="str">
        <f t="shared" si="25"/>
        <v>主动补库存</v>
      </c>
      <c r="P43" s="1" t="str">
        <f t="shared" si="26"/>
        <v>产能周期下行</v>
      </c>
      <c r="Q43" s="2" t="str">
        <f t="shared" si="27"/>
        <v>产能周期下行,主动补库存</v>
      </c>
      <c r="S43" s="12">
        <v>39568</v>
      </c>
      <c r="T43" s="13">
        <v>59.2</v>
      </c>
      <c r="V43" s="12">
        <v>44742</v>
      </c>
      <c r="W43" s="13">
        <v>18.899999999999999</v>
      </c>
      <c r="Y43" s="12">
        <v>37346</v>
      </c>
      <c r="Z43" s="13">
        <v>37.15</v>
      </c>
    </row>
    <row r="44" spans="1:26" x14ac:dyDescent="0.35">
      <c r="A44" s="8">
        <v>45351</v>
      </c>
      <c r="B44" s="9">
        <f t="shared" si="11"/>
        <v>49.1</v>
      </c>
      <c r="C44" s="9">
        <f t="shared" si="12"/>
        <v>2.4</v>
      </c>
      <c r="D44" s="9" t="e">
        <f t="shared" si="20"/>
        <v>#N/A</v>
      </c>
      <c r="E44" s="1">
        <v>1</v>
      </c>
      <c r="F44" s="1">
        <v>0</v>
      </c>
      <c r="G44" s="7">
        <v>1</v>
      </c>
      <c r="H44" s="7">
        <v>0</v>
      </c>
      <c r="I44" s="1">
        <f t="shared" si="21"/>
        <v>0</v>
      </c>
      <c r="J44" s="1">
        <f t="shared" si="22"/>
        <v>0</v>
      </c>
      <c r="K44" s="1">
        <f t="shared" si="23"/>
        <v>0</v>
      </c>
      <c r="L44" s="1">
        <f t="shared" si="24"/>
        <v>1</v>
      </c>
      <c r="M44" s="1">
        <v>0</v>
      </c>
      <c r="N44" s="1">
        <v>1</v>
      </c>
      <c r="O44" s="1" t="str">
        <f t="shared" si="25"/>
        <v>主动补库存</v>
      </c>
      <c r="P44" s="1" t="str">
        <f t="shared" si="26"/>
        <v>产能周期下行</v>
      </c>
      <c r="Q44" s="2" t="str">
        <f t="shared" si="27"/>
        <v>产能周期下行,主动补库存</v>
      </c>
      <c r="S44" s="12">
        <v>39599</v>
      </c>
      <c r="T44" s="13">
        <v>53.3</v>
      </c>
      <c r="V44" s="12">
        <v>44712</v>
      </c>
      <c r="W44" s="13">
        <v>19.7</v>
      </c>
      <c r="Y44" s="12">
        <v>37437</v>
      </c>
      <c r="Z44" s="13">
        <v>38.700000000000003</v>
      </c>
    </row>
    <row r="45" spans="1:26" x14ac:dyDescent="0.35">
      <c r="A45" s="8">
        <v>45322</v>
      </c>
      <c r="B45" s="9">
        <f t="shared" si="11"/>
        <v>49.2</v>
      </c>
      <c r="C45" s="9" t="e">
        <f t="shared" si="12"/>
        <v>#N/A</v>
      </c>
      <c r="D45" s="9" t="e">
        <f t="shared" si="20"/>
        <v>#N/A</v>
      </c>
      <c r="E45" s="1">
        <v>1</v>
      </c>
      <c r="F45" s="1">
        <v>0</v>
      </c>
      <c r="G45" s="7">
        <v>1</v>
      </c>
      <c r="H45" s="7">
        <v>0</v>
      </c>
      <c r="I45" s="1">
        <f t="shared" si="21"/>
        <v>0</v>
      </c>
      <c r="J45" s="1">
        <f t="shared" si="22"/>
        <v>0</v>
      </c>
      <c r="K45" s="1">
        <f t="shared" si="23"/>
        <v>0</v>
      </c>
      <c r="L45" s="1">
        <f t="shared" si="24"/>
        <v>1</v>
      </c>
      <c r="M45" s="1">
        <v>0</v>
      </c>
      <c r="N45" s="1">
        <v>1</v>
      </c>
      <c r="O45" s="1" t="str">
        <f t="shared" si="25"/>
        <v>主动补库存</v>
      </c>
      <c r="P45" s="1" t="str">
        <f t="shared" si="26"/>
        <v>产能周期下行</v>
      </c>
      <c r="Q45" s="2" t="str">
        <f t="shared" si="27"/>
        <v>产能周期下行,主动补库存</v>
      </c>
      <c r="S45" s="12">
        <v>39629</v>
      </c>
      <c r="T45" s="13">
        <v>52</v>
      </c>
      <c r="V45" s="12">
        <v>44681</v>
      </c>
      <c r="W45" s="13">
        <v>20</v>
      </c>
      <c r="Y45" s="12">
        <v>37529</v>
      </c>
      <c r="Z45" s="13">
        <v>40.65</v>
      </c>
    </row>
    <row r="46" spans="1:26" x14ac:dyDescent="0.35">
      <c r="A46" s="8">
        <v>45291</v>
      </c>
      <c r="B46" s="9">
        <f t="shared" si="11"/>
        <v>49</v>
      </c>
      <c r="C46" s="9">
        <f t="shared" si="12"/>
        <v>2.1</v>
      </c>
      <c r="D46" s="9">
        <f t="shared" si="20"/>
        <v>40.1</v>
      </c>
      <c r="E46" s="1">
        <v>1</v>
      </c>
      <c r="F46" s="1">
        <v>0</v>
      </c>
      <c r="G46" s="7">
        <v>1</v>
      </c>
      <c r="H46" s="7">
        <v>0</v>
      </c>
      <c r="I46" s="1">
        <f t="shared" si="21"/>
        <v>0</v>
      </c>
      <c r="J46" s="1">
        <f t="shared" si="22"/>
        <v>0</v>
      </c>
      <c r="K46" s="1">
        <f t="shared" si="23"/>
        <v>0</v>
      </c>
      <c r="L46" s="1">
        <f t="shared" si="24"/>
        <v>1</v>
      </c>
      <c r="M46" s="1">
        <v>0</v>
      </c>
      <c r="N46" s="1">
        <v>1</v>
      </c>
      <c r="O46" s="1" t="str">
        <f t="shared" si="25"/>
        <v>主动补库存</v>
      </c>
      <c r="P46" s="1" t="str">
        <f t="shared" si="26"/>
        <v>产能周期下行</v>
      </c>
      <c r="Q46" s="2" t="str">
        <f t="shared" si="27"/>
        <v>产能周期下行,主动补库存</v>
      </c>
      <c r="S46" s="12">
        <v>39660</v>
      </c>
      <c r="T46" s="13">
        <v>48.4</v>
      </c>
      <c r="V46" s="12">
        <v>44651</v>
      </c>
      <c r="W46" s="13">
        <v>18.100000000000001</v>
      </c>
      <c r="Y46" s="12">
        <v>37621</v>
      </c>
      <c r="Z46" s="13">
        <v>41.25</v>
      </c>
    </row>
    <row r="47" spans="1:26" x14ac:dyDescent="0.35">
      <c r="A47" s="8">
        <v>45260</v>
      </c>
      <c r="B47" s="9">
        <f t="shared" si="11"/>
        <v>49.4</v>
      </c>
      <c r="C47" s="9">
        <f t="shared" si="12"/>
        <v>1.7</v>
      </c>
      <c r="D47" s="9" t="e">
        <f t="shared" si="20"/>
        <v>#N/A</v>
      </c>
      <c r="E47" s="1">
        <v>1</v>
      </c>
      <c r="F47" s="1">
        <v>0</v>
      </c>
      <c r="G47" s="7">
        <v>1</v>
      </c>
      <c r="H47" s="7">
        <v>0</v>
      </c>
      <c r="I47" s="1">
        <f t="shared" si="21"/>
        <v>0</v>
      </c>
      <c r="J47" s="1">
        <f t="shared" si="22"/>
        <v>0</v>
      </c>
      <c r="K47" s="1">
        <f t="shared" si="23"/>
        <v>0</v>
      </c>
      <c r="L47" s="1">
        <f t="shared" si="24"/>
        <v>1</v>
      </c>
      <c r="M47" s="1">
        <v>0</v>
      </c>
      <c r="N47" s="1">
        <v>1</v>
      </c>
      <c r="O47" s="1" t="str">
        <f t="shared" si="25"/>
        <v>主动补库存</v>
      </c>
      <c r="P47" s="1" t="str">
        <f t="shared" si="26"/>
        <v>产能周期下行</v>
      </c>
      <c r="Q47" s="2" t="str">
        <f t="shared" si="27"/>
        <v>产能周期下行,主动补库存</v>
      </c>
      <c r="S47" s="12">
        <v>39691</v>
      </c>
      <c r="T47" s="13">
        <v>48.4</v>
      </c>
      <c r="V47" s="12">
        <v>44620</v>
      </c>
      <c r="W47" s="13">
        <v>16.8</v>
      </c>
      <c r="Y47" s="12">
        <v>37711</v>
      </c>
      <c r="Z47" s="13">
        <v>41.05</v>
      </c>
    </row>
    <row r="48" spans="1:26" x14ac:dyDescent="0.35">
      <c r="A48" s="8">
        <v>45230</v>
      </c>
      <c r="B48" s="9">
        <f t="shared" si="11"/>
        <v>49.5</v>
      </c>
      <c r="C48" s="9">
        <f t="shared" si="12"/>
        <v>2</v>
      </c>
      <c r="D48" s="9" t="e">
        <f t="shared" si="20"/>
        <v>#N/A</v>
      </c>
      <c r="E48" s="1">
        <v>1</v>
      </c>
      <c r="F48" s="1">
        <v>0</v>
      </c>
      <c r="G48" s="7">
        <v>1</v>
      </c>
      <c r="H48" s="7">
        <v>0</v>
      </c>
      <c r="I48" s="1">
        <f t="shared" si="21"/>
        <v>0</v>
      </c>
      <c r="J48" s="1">
        <f t="shared" si="22"/>
        <v>0</v>
      </c>
      <c r="K48" s="1">
        <f t="shared" si="23"/>
        <v>0</v>
      </c>
      <c r="L48" s="1">
        <f t="shared" si="24"/>
        <v>1</v>
      </c>
      <c r="M48" s="1">
        <v>0</v>
      </c>
      <c r="N48" s="1">
        <v>1</v>
      </c>
      <c r="O48" s="1" t="str">
        <f t="shared" si="25"/>
        <v>主动补库存</v>
      </c>
      <c r="P48" s="1" t="str">
        <f t="shared" si="26"/>
        <v>产能周期下行</v>
      </c>
      <c r="Q48" s="2" t="str">
        <f t="shared" si="27"/>
        <v>产能周期下行,主动补库存</v>
      </c>
      <c r="S48" s="12">
        <v>39721</v>
      </c>
      <c r="T48" s="13">
        <v>51.2</v>
      </c>
      <c r="V48" s="12">
        <v>44561</v>
      </c>
      <c r="W48" s="13">
        <v>17.100000000000001</v>
      </c>
      <c r="Y48" s="12">
        <v>37802</v>
      </c>
      <c r="Z48" s="13">
        <v>41.65</v>
      </c>
    </row>
    <row r="49" spans="1:26" x14ac:dyDescent="0.35">
      <c r="A49" s="8">
        <v>45199</v>
      </c>
      <c r="B49" s="9">
        <f t="shared" si="11"/>
        <v>50.2</v>
      </c>
      <c r="C49" s="9">
        <f t="shared" si="12"/>
        <v>3.1</v>
      </c>
      <c r="D49" s="9">
        <f t="shared" si="20"/>
        <v>38.799999999999997</v>
      </c>
      <c r="E49" s="1">
        <v>1</v>
      </c>
      <c r="F49" s="1">
        <v>0</v>
      </c>
      <c r="G49" s="7">
        <v>1</v>
      </c>
      <c r="H49" s="7">
        <v>0</v>
      </c>
      <c r="I49" s="1">
        <f t="shared" si="21"/>
        <v>0</v>
      </c>
      <c r="J49" s="1">
        <f t="shared" si="22"/>
        <v>0</v>
      </c>
      <c r="K49" s="1">
        <f t="shared" si="23"/>
        <v>0</v>
      </c>
      <c r="L49" s="1">
        <f t="shared" si="24"/>
        <v>1</v>
      </c>
      <c r="M49" s="1">
        <v>0</v>
      </c>
      <c r="N49" s="1">
        <v>1</v>
      </c>
      <c r="O49" s="1" t="str">
        <f t="shared" si="25"/>
        <v>主动补库存</v>
      </c>
      <c r="P49" s="1" t="str">
        <f t="shared" si="26"/>
        <v>产能周期下行</v>
      </c>
      <c r="Q49" s="2" t="str">
        <f t="shared" si="27"/>
        <v>产能周期下行,主动补库存</v>
      </c>
      <c r="S49" s="12">
        <v>39752</v>
      </c>
      <c r="T49" s="13">
        <v>44.6</v>
      </c>
      <c r="V49" s="12">
        <v>44530</v>
      </c>
      <c r="W49" s="13">
        <v>17.899999999999999</v>
      </c>
      <c r="Y49" s="12">
        <v>37894</v>
      </c>
      <c r="Z49" s="13">
        <v>41.9</v>
      </c>
    </row>
    <row r="50" spans="1:26" x14ac:dyDescent="0.35">
      <c r="A50" s="8">
        <v>45169</v>
      </c>
      <c r="B50" s="9">
        <f t="shared" si="11"/>
        <v>49.7</v>
      </c>
      <c r="C50" s="9">
        <f t="shared" si="12"/>
        <v>2.4</v>
      </c>
      <c r="D50" s="9" t="e">
        <f t="shared" si="20"/>
        <v>#N/A</v>
      </c>
      <c r="E50" s="1">
        <v>1</v>
      </c>
      <c r="F50" s="1">
        <v>0</v>
      </c>
      <c r="G50" s="7">
        <v>1</v>
      </c>
      <c r="H50" s="7">
        <v>0</v>
      </c>
      <c r="I50" s="1">
        <f t="shared" si="21"/>
        <v>0</v>
      </c>
      <c r="J50" s="1">
        <f t="shared" si="22"/>
        <v>0</v>
      </c>
      <c r="K50" s="1">
        <f t="shared" si="23"/>
        <v>0</v>
      </c>
      <c r="L50" s="1">
        <f t="shared" si="24"/>
        <v>1</v>
      </c>
      <c r="M50" s="1">
        <v>0</v>
      </c>
      <c r="N50" s="1">
        <v>1</v>
      </c>
      <c r="O50" s="1" t="str">
        <f t="shared" si="25"/>
        <v>主动补库存</v>
      </c>
      <c r="P50" s="1" t="str">
        <f t="shared" si="26"/>
        <v>产能周期下行</v>
      </c>
      <c r="Q50" s="2" t="str">
        <f t="shared" si="27"/>
        <v>产能周期下行,主动补库存</v>
      </c>
      <c r="S50" s="12">
        <v>39782</v>
      </c>
      <c r="T50" s="13">
        <v>38.799999999999997</v>
      </c>
      <c r="V50" s="12">
        <v>44500</v>
      </c>
      <c r="W50" s="13">
        <v>16.3</v>
      </c>
      <c r="Y50" s="12">
        <v>37986</v>
      </c>
      <c r="Z50" s="13">
        <v>42.6</v>
      </c>
    </row>
    <row r="51" spans="1:26" x14ac:dyDescent="0.35">
      <c r="A51" s="8">
        <v>45138</v>
      </c>
      <c r="B51" s="9">
        <f t="shared" si="11"/>
        <v>49.3</v>
      </c>
      <c r="C51" s="9">
        <f t="shared" si="12"/>
        <v>1.6</v>
      </c>
      <c r="D51" s="9" t="e">
        <f t="shared" si="20"/>
        <v>#N/A</v>
      </c>
      <c r="E51" s="1">
        <v>1</v>
      </c>
      <c r="F51" s="1">
        <v>0</v>
      </c>
      <c r="G51" s="7">
        <v>1</v>
      </c>
      <c r="H51" s="7">
        <v>0</v>
      </c>
      <c r="I51" s="1">
        <f t="shared" si="21"/>
        <v>0</v>
      </c>
      <c r="J51" s="1">
        <f t="shared" si="22"/>
        <v>0</v>
      </c>
      <c r="K51" s="1">
        <f t="shared" si="23"/>
        <v>0</v>
      </c>
      <c r="L51" s="1">
        <f t="shared" si="24"/>
        <v>1</v>
      </c>
      <c r="M51" s="1">
        <v>0</v>
      </c>
      <c r="N51" s="1">
        <v>1</v>
      </c>
      <c r="O51" s="1" t="str">
        <f t="shared" si="25"/>
        <v>主动补库存</v>
      </c>
      <c r="P51" s="1" t="str">
        <f t="shared" si="26"/>
        <v>产能周期下行</v>
      </c>
      <c r="Q51" s="2" t="str">
        <f t="shared" si="27"/>
        <v>产能周期下行,主动补库存</v>
      </c>
      <c r="S51" s="12">
        <v>39813</v>
      </c>
      <c r="T51" s="13">
        <v>41.2</v>
      </c>
      <c r="V51" s="12">
        <v>44469</v>
      </c>
      <c r="W51" s="13">
        <v>13.7</v>
      </c>
      <c r="Y51" s="12">
        <v>38077</v>
      </c>
      <c r="Z51" s="13">
        <v>41.5</v>
      </c>
    </row>
    <row r="52" spans="1:26" x14ac:dyDescent="0.35">
      <c r="A52" s="8">
        <v>45107</v>
      </c>
      <c r="B52" s="10">
        <f t="shared" si="11"/>
        <v>49</v>
      </c>
      <c r="C52" s="9">
        <f t="shared" si="12"/>
        <v>2.2000000000000002</v>
      </c>
      <c r="D52" s="9">
        <f t="shared" si="20"/>
        <v>38.9</v>
      </c>
      <c r="E52" s="1">
        <v>0</v>
      </c>
      <c r="F52" s="1">
        <v>1</v>
      </c>
      <c r="G52" s="7">
        <v>1</v>
      </c>
      <c r="H52" s="7">
        <v>0</v>
      </c>
      <c r="I52" s="1">
        <f t="shared" si="21"/>
        <v>0</v>
      </c>
      <c r="J52" s="1">
        <f t="shared" si="22"/>
        <v>0</v>
      </c>
      <c r="K52" s="1">
        <f t="shared" si="23"/>
        <v>1</v>
      </c>
      <c r="L52" s="1">
        <f t="shared" si="24"/>
        <v>0</v>
      </c>
      <c r="M52" s="1">
        <v>0</v>
      </c>
      <c r="N52" s="1">
        <v>1</v>
      </c>
      <c r="O52" s="1" t="str">
        <f t="shared" si="25"/>
        <v>被动去库存</v>
      </c>
      <c r="P52" s="1" t="str">
        <f t="shared" si="26"/>
        <v>产能周期下行</v>
      </c>
      <c r="Q52" s="2" t="str">
        <f t="shared" si="27"/>
        <v>产能周期下行,被动去库存</v>
      </c>
      <c r="S52" s="12">
        <v>39844</v>
      </c>
      <c r="T52" s="13">
        <v>45.3</v>
      </c>
      <c r="V52" s="12">
        <v>44439</v>
      </c>
      <c r="W52" s="13">
        <v>14.2</v>
      </c>
      <c r="Y52" s="12">
        <v>38168</v>
      </c>
      <c r="Z52" s="13">
        <v>42.75</v>
      </c>
    </row>
    <row r="53" spans="1:26" x14ac:dyDescent="0.35">
      <c r="A53" s="8">
        <v>45077</v>
      </c>
      <c r="B53" s="9">
        <f t="shared" si="11"/>
        <v>48.8</v>
      </c>
      <c r="C53" s="9">
        <f t="shared" si="12"/>
        <v>3.2</v>
      </c>
      <c r="D53" s="9" t="e">
        <f t="shared" si="20"/>
        <v>#N/A</v>
      </c>
      <c r="E53" s="1">
        <v>0</v>
      </c>
      <c r="F53" s="1">
        <v>1</v>
      </c>
      <c r="G53" s="7">
        <v>1</v>
      </c>
      <c r="H53" s="7">
        <v>0</v>
      </c>
      <c r="I53" s="1">
        <f t="shared" si="21"/>
        <v>0</v>
      </c>
      <c r="J53" s="1">
        <f t="shared" si="22"/>
        <v>0</v>
      </c>
      <c r="K53" s="1">
        <f t="shared" si="23"/>
        <v>1</v>
      </c>
      <c r="L53" s="1">
        <f t="shared" si="24"/>
        <v>0</v>
      </c>
      <c r="M53" s="1">
        <v>0</v>
      </c>
      <c r="N53" s="1">
        <v>1</v>
      </c>
      <c r="O53" s="1" t="str">
        <f t="shared" si="25"/>
        <v>被动去库存</v>
      </c>
      <c r="P53" s="1" t="str">
        <f t="shared" si="26"/>
        <v>产能周期下行</v>
      </c>
      <c r="Q53" s="2" t="str">
        <f t="shared" si="27"/>
        <v>产能周期下行,被动去库存</v>
      </c>
      <c r="S53" s="12">
        <v>39872</v>
      </c>
      <c r="T53" s="13">
        <v>49</v>
      </c>
      <c r="V53" s="12">
        <v>44408</v>
      </c>
      <c r="W53" s="13">
        <v>13</v>
      </c>
      <c r="Y53" s="12">
        <v>38260</v>
      </c>
      <c r="Z53" s="13">
        <v>42.4</v>
      </c>
    </row>
    <row r="54" spans="1:26" x14ac:dyDescent="0.35">
      <c r="A54" s="8">
        <v>45046</v>
      </c>
      <c r="B54" s="9">
        <f t="shared" si="11"/>
        <v>49.2</v>
      </c>
      <c r="C54" s="9">
        <f t="shared" si="12"/>
        <v>5.9</v>
      </c>
      <c r="D54" s="9" t="e">
        <f t="shared" si="20"/>
        <v>#N/A</v>
      </c>
      <c r="E54" s="1">
        <v>0</v>
      </c>
      <c r="F54" s="1">
        <v>1</v>
      </c>
      <c r="G54" s="7">
        <v>1</v>
      </c>
      <c r="H54" s="7">
        <v>0</v>
      </c>
      <c r="I54" s="1">
        <f t="shared" si="21"/>
        <v>0</v>
      </c>
      <c r="J54" s="1">
        <f t="shared" si="22"/>
        <v>0</v>
      </c>
      <c r="K54" s="1">
        <f t="shared" si="23"/>
        <v>1</v>
      </c>
      <c r="L54" s="1">
        <f t="shared" si="24"/>
        <v>0</v>
      </c>
      <c r="M54" s="1">
        <v>0</v>
      </c>
      <c r="N54" s="1">
        <v>1</v>
      </c>
      <c r="O54" s="1" t="str">
        <f t="shared" si="25"/>
        <v>被动去库存</v>
      </c>
      <c r="P54" s="1" t="str">
        <f t="shared" si="26"/>
        <v>产能周期下行</v>
      </c>
      <c r="Q54" s="2" t="str">
        <f t="shared" si="27"/>
        <v>产能周期下行,被动去库存</v>
      </c>
      <c r="S54" s="12">
        <v>39903</v>
      </c>
      <c r="T54" s="13">
        <v>52.4</v>
      </c>
      <c r="V54" s="12">
        <v>44377</v>
      </c>
      <c r="W54" s="13">
        <v>11.3</v>
      </c>
      <c r="Y54" s="12">
        <v>38352</v>
      </c>
      <c r="Z54" s="13">
        <v>43</v>
      </c>
    </row>
    <row r="55" spans="1:26" x14ac:dyDescent="0.35">
      <c r="A55" s="8">
        <v>45016</v>
      </c>
      <c r="B55" s="9">
        <f t="shared" si="11"/>
        <v>51.9</v>
      </c>
      <c r="C55" s="9">
        <f t="shared" si="12"/>
        <v>9.1</v>
      </c>
      <c r="D55" s="9">
        <f t="shared" si="20"/>
        <v>37.700000000000003</v>
      </c>
      <c r="E55" s="1">
        <v>0</v>
      </c>
      <c r="F55" s="1">
        <v>1</v>
      </c>
      <c r="G55" s="7">
        <v>1</v>
      </c>
      <c r="H55" s="7">
        <v>0</v>
      </c>
      <c r="I55" s="1">
        <f t="shared" si="21"/>
        <v>0</v>
      </c>
      <c r="J55" s="1">
        <f t="shared" si="22"/>
        <v>0</v>
      </c>
      <c r="K55" s="1">
        <f t="shared" si="23"/>
        <v>1</v>
      </c>
      <c r="L55" s="1">
        <f t="shared" si="24"/>
        <v>0</v>
      </c>
      <c r="M55" s="1">
        <v>0</v>
      </c>
      <c r="N55" s="1">
        <v>1</v>
      </c>
      <c r="O55" s="1" t="str">
        <f t="shared" si="25"/>
        <v>被动去库存</v>
      </c>
      <c r="P55" s="1" t="str">
        <f t="shared" si="26"/>
        <v>产能周期下行</v>
      </c>
      <c r="Q55" s="2" t="str">
        <f t="shared" si="27"/>
        <v>产能周期下行,被动去库存</v>
      </c>
      <c r="S55" s="12">
        <v>39933</v>
      </c>
      <c r="T55" s="13">
        <v>53.5</v>
      </c>
      <c r="V55" s="12">
        <v>44347</v>
      </c>
      <c r="W55" s="13">
        <v>10.199999999999999</v>
      </c>
      <c r="Y55" s="12">
        <v>38442</v>
      </c>
      <c r="Z55" s="13">
        <v>42.35</v>
      </c>
    </row>
    <row r="56" spans="1:26" x14ac:dyDescent="0.35">
      <c r="A56" s="8">
        <v>44985</v>
      </c>
      <c r="B56" s="9">
        <f t="shared" si="11"/>
        <v>52.6</v>
      </c>
      <c r="C56" s="9">
        <f t="shared" si="12"/>
        <v>10.7</v>
      </c>
      <c r="D56" s="9" t="e">
        <f t="shared" si="20"/>
        <v>#N/A</v>
      </c>
      <c r="E56" s="1">
        <v>0</v>
      </c>
      <c r="F56" s="1">
        <v>1</v>
      </c>
      <c r="G56" s="7">
        <v>1</v>
      </c>
      <c r="H56" s="7">
        <v>0</v>
      </c>
      <c r="I56" s="1">
        <f t="shared" si="21"/>
        <v>0</v>
      </c>
      <c r="J56" s="1">
        <f t="shared" si="22"/>
        <v>0</v>
      </c>
      <c r="K56" s="1">
        <f t="shared" si="23"/>
        <v>1</v>
      </c>
      <c r="L56" s="1">
        <f t="shared" si="24"/>
        <v>0</v>
      </c>
      <c r="M56" s="1">
        <v>0</v>
      </c>
      <c r="N56" s="1">
        <v>1</v>
      </c>
      <c r="O56" s="1" t="str">
        <f t="shared" si="25"/>
        <v>被动去库存</v>
      </c>
      <c r="P56" s="1" t="str">
        <f t="shared" si="26"/>
        <v>产能周期下行</v>
      </c>
      <c r="Q56" s="2" t="str">
        <f t="shared" si="27"/>
        <v>产能周期下行,被动去库存</v>
      </c>
      <c r="S56" s="12">
        <v>39964</v>
      </c>
      <c r="T56" s="13">
        <v>53.1</v>
      </c>
      <c r="V56" s="12">
        <v>44316</v>
      </c>
      <c r="W56" s="13">
        <v>8.1999999999999993</v>
      </c>
      <c r="Y56" s="12">
        <v>38533</v>
      </c>
      <c r="Z56" s="13">
        <v>43.65</v>
      </c>
    </row>
    <row r="57" spans="1:26" x14ac:dyDescent="0.35">
      <c r="A57" s="8">
        <v>44957</v>
      </c>
      <c r="B57" s="9">
        <f t="shared" si="11"/>
        <v>50.1</v>
      </c>
      <c r="C57" s="9" t="e">
        <f t="shared" si="12"/>
        <v>#N/A</v>
      </c>
      <c r="D57" s="9" t="e">
        <f t="shared" si="20"/>
        <v>#N/A</v>
      </c>
      <c r="E57" s="1">
        <v>0</v>
      </c>
      <c r="F57" s="1">
        <v>1</v>
      </c>
      <c r="G57" s="7">
        <v>1</v>
      </c>
      <c r="H57" s="7">
        <v>0</v>
      </c>
      <c r="I57" s="1">
        <f t="shared" si="21"/>
        <v>0</v>
      </c>
      <c r="J57" s="1">
        <f t="shared" si="22"/>
        <v>0</v>
      </c>
      <c r="K57" s="1">
        <f t="shared" si="23"/>
        <v>1</v>
      </c>
      <c r="L57" s="1">
        <f t="shared" si="24"/>
        <v>0</v>
      </c>
      <c r="M57" s="1">
        <v>0</v>
      </c>
      <c r="N57" s="1">
        <v>1</v>
      </c>
      <c r="O57" s="1" t="str">
        <f t="shared" si="25"/>
        <v>被动去库存</v>
      </c>
      <c r="P57" s="1" t="str">
        <f t="shared" si="26"/>
        <v>产能周期下行</v>
      </c>
      <c r="Q57" s="2" t="str">
        <f t="shared" si="27"/>
        <v>产能周期下行,被动去库存</v>
      </c>
      <c r="S57" s="12">
        <v>39994</v>
      </c>
      <c r="T57" s="13">
        <v>53.2</v>
      </c>
      <c r="V57" s="12">
        <v>44286</v>
      </c>
      <c r="W57" s="13">
        <v>8.5</v>
      </c>
      <c r="Y57" s="12">
        <v>38625</v>
      </c>
      <c r="Z57" s="13">
        <v>43.85</v>
      </c>
    </row>
    <row r="58" spans="1:26" x14ac:dyDescent="0.35">
      <c r="A58" s="8">
        <v>44926</v>
      </c>
      <c r="B58" s="9">
        <f t="shared" si="11"/>
        <v>47</v>
      </c>
      <c r="C58" s="9">
        <f t="shared" si="12"/>
        <v>9.9</v>
      </c>
      <c r="D58" s="9">
        <f t="shared" si="20"/>
        <v>36.4</v>
      </c>
      <c r="E58" s="1">
        <v>0</v>
      </c>
      <c r="F58" s="1">
        <v>1</v>
      </c>
      <c r="G58" s="7">
        <v>1</v>
      </c>
      <c r="H58" s="7">
        <v>0</v>
      </c>
      <c r="I58" s="1">
        <f t="shared" si="21"/>
        <v>0</v>
      </c>
      <c r="J58" s="1">
        <f t="shared" si="22"/>
        <v>0</v>
      </c>
      <c r="K58" s="1">
        <f t="shared" si="23"/>
        <v>1</v>
      </c>
      <c r="L58" s="1">
        <f t="shared" si="24"/>
        <v>0</v>
      </c>
      <c r="M58" s="1">
        <v>0</v>
      </c>
      <c r="N58" s="1">
        <v>1</v>
      </c>
      <c r="O58" s="1" t="str">
        <f t="shared" si="25"/>
        <v>被动去库存</v>
      </c>
      <c r="P58" s="1" t="str">
        <f t="shared" si="26"/>
        <v>产能周期下行</v>
      </c>
      <c r="Q58" s="2" t="str">
        <f t="shared" si="27"/>
        <v>产能周期下行,被动去库存</v>
      </c>
      <c r="S58" s="12">
        <v>40025</v>
      </c>
      <c r="T58" s="13">
        <v>53.3</v>
      </c>
      <c r="V58" s="12">
        <v>44255</v>
      </c>
      <c r="W58" s="13">
        <v>8.6</v>
      </c>
      <c r="Y58" s="12">
        <v>38717</v>
      </c>
      <c r="Z58" s="13">
        <v>43.9</v>
      </c>
    </row>
    <row r="59" spans="1:26" x14ac:dyDescent="0.35">
      <c r="A59" s="8">
        <v>44895</v>
      </c>
      <c r="B59" s="9">
        <f t="shared" si="11"/>
        <v>48</v>
      </c>
      <c r="C59" s="9">
        <f t="shared" si="12"/>
        <v>11.4</v>
      </c>
      <c r="D59" s="9" t="e">
        <f t="shared" si="20"/>
        <v>#N/A</v>
      </c>
      <c r="E59" s="1">
        <v>0</v>
      </c>
      <c r="F59" s="1">
        <v>1</v>
      </c>
      <c r="G59" s="7">
        <v>0</v>
      </c>
      <c r="H59" s="7">
        <v>1</v>
      </c>
      <c r="I59" s="1">
        <f t="shared" si="21"/>
        <v>1</v>
      </c>
      <c r="J59" s="1">
        <f t="shared" si="22"/>
        <v>0</v>
      </c>
      <c r="K59" s="1">
        <f t="shared" si="23"/>
        <v>0</v>
      </c>
      <c r="L59" s="1">
        <f t="shared" si="24"/>
        <v>0</v>
      </c>
      <c r="M59" s="1">
        <v>0</v>
      </c>
      <c r="N59" s="1">
        <v>1</v>
      </c>
      <c r="O59" s="1" t="str">
        <f t="shared" si="25"/>
        <v>主动去库存</v>
      </c>
      <c r="P59" s="1" t="str">
        <f t="shared" si="26"/>
        <v>产能周期下行</v>
      </c>
      <c r="Q59" s="2" t="str">
        <f t="shared" si="27"/>
        <v>产能周期下行,主动去库存</v>
      </c>
      <c r="S59" s="12">
        <v>40056</v>
      </c>
      <c r="T59" s="13">
        <v>54</v>
      </c>
      <c r="V59" s="12">
        <v>44196</v>
      </c>
      <c r="W59" s="13">
        <v>7.5</v>
      </c>
      <c r="Y59" s="12">
        <v>38807</v>
      </c>
      <c r="Z59" s="13">
        <v>43.5</v>
      </c>
    </row>
    <row r="60" spans="1:26" x14ac:dyDescent="0.35">
      <c r="A60" s="8">
        <v>44865</v>
      </c>
      <c r="B60" s="9">
        <f t="shared" si="11"/>
        <v>49.2</v>
      </c>
      <c r="C60" s="9">
        <f t="shared" si="12"/>
        <v>12.6</v>
      </c>
      <c r="D60" s="9" t="e">
        <f t="shared" si="20"/>
        <v>#N/A</v>
      </c>
      <c r="E60" s="1">
        <v>0</v>
      </c>
      <c r="F60" s="1">
        <v>1</v>
      </c>
      <c r="G60" s="7">
        <v>0</v>
      </c>
      <c r="H60" s="7">
        <v>1</v>
      </c>
      <c r="I60" s="1">
        <f t="shared" si="21"/>
        <v>1</v>
      </c>
      <c r="J60" s="1">
        <f t="shared" si="22"/>
        <v>0</v>
      </c>
      <c r="K60" s="1">
        <f t="shared" si="23"/>
        <v>0</v>
      </c>
      <c r="L60" s="1">
        <f t="shared" si="24"/>
        <v>0</v>
      </c>
      <c r="M60" s="1">
        <v>0</v>
      </c>
      <c r="N60" s="1">
        <v>1</v>
      </c>
      <c r="O60" s="1" t="str">
        <f t="shared" si="25"/>
        <v>主动去库存</v>
      </c>
      <c r="P60" s="1" t="str">
        <f t="shared" si="26"/>
        <v>产能周期下行</v>
      </c>
      <c r="Q60" s="2" t="str">
        <f t="shared" si="27"/>
        <v>产能周期下行,主动去库存</v>
      </c>
      <c r="S60" s="12">
        <v>40086</v>
      </c>
      <c r="T60" s="13">
        <v>54.3</v>
      </c>
      <c r="V60" s="12">
        <v>44165</v>
      </c>
      <c r="W60" s="13">
        <v>7.3</v>
      </c>
      <c r="Y60" s="12">
        <v>38898</v>
      </c>
      <c r="Z60" s="13">
        <v>44.8</v>
      </c>
    </row>
    <row r="61" spans="1:26" x14ac:dyDescent="0.35">
      <c r="A61" s="8">
        <v>44834</v>
      </c>
      <c r="B61" s="9">
        <f t="shared" si="11"/>
        <v>50.1</v>
      </c>
      <c r="C61" s="9">
        <f t="shared" si="12"/>
        <v>13.8</v>
      </c>
      <c r="D61" s="9">
        <f t="shared" si="20"/>
        <v>37.200000000000003</v>
      </c>
      <c r="E61" s="1">
        <v>0</v>
      </c>
      <c r="F61" s="1">
        <v>1</v>
      </c>
      <c r="G61" s="7">
        <v>0</v>
      </c>
      <c r="H61" s="7">
        <v>1</v>
      </c>
      <c r="I61" s="1">
        <f t="shared" si="21"/>
        <v>1</v>
      </c>
      <c r="J61" s="1">
        <f t="shared" si="22"/>
        <v>0</v>
      </c>
      <c r="K61" s="1">
        <f t="shared" si="23"/>
        <v>0</v>
      </c>
      <c r="L61" s="1">
        <f t="shared" si="24"/>
        <v>0</v>
      </c>
      <c r="M61" s="1">
        <v>0</v>
      </c>
      <c r="N61" s="1">
        <v>1</v>
      </c>
      <c r="O61" s="1" t="str">
        <f t="shared" si="25"/>
        <v>主动去库存</v>
      </c>
      <c r="P61" s="1" t="str">
        <f t="shared" si="26"/>
        <v>产能周期下行</v>
      </c>
      <c r="Q61" s="2" t="str">
        <f t="shared" si="27"/>
        <v>产能周期下行,主动去库存</v>
      </c>
      <c r="S61" s="12">
        <v>40117</v>
      </c>
      <c r="T61" s="13">
        <v>55.2</v>
      </c>
      <c r="V61" s="12">
        <v>44135</v>
      </c>
      <c r="W61" s="13">
        <v>6.9</v>
      </c>
      <c r="Y61" s="12">
        <v>38990</v>
      </c>
      <c r="Z61" s="13">
        <v>44.4</v>
      </c>
    </row>
    <row r="62" spans="1:26" x14ac:dyDescent="0.35">
      <c r="A62" s="8">
        <v>44804</v>
      </c>
      <c r="B62" s="9">
        <f t="shared" si="11"/>
        <v>49.4</v>
      </c>
      <c r="C62" s="9">
        <f t="shared" si="12"/>
        <v>14.1</v>
      </c>
      <c r="D62" s="9" t="e">
        <f t="shared" si="20"/>
        <v>#N/A</v>
      </c>
      <c r="E62" s="1">
        <v>0</v>
      </c>
      <c r="F62" s="1">
        <v>1</v>
      </c>
      <c r="G62" s="7">
        <v>0</v>
      </c>
      <c r="H62" s="7">
        <v>1</v>
      </c>
      <c r="I62" s="1">
        <f t="shared" si="21"/>
        <v>1</v>
      </c>
      <c r="J62" s="1">
        <f t="shared" si="22"/>
        <v>0</v>
      </c>
      <c r="K62" s="1">
        <f t="shared" si="23"/>
        <v>0</v>
      </c>
      <c r="L62" s="1">
        <f t="shared" si="24"/>
        <v>0</v>
      </c>
      <c r="M62" s="1">
        <v>0</v>
      </c>
      <c r="N62" s="1">
        <v>1</v>
      </c>
      <c r="O62" s="1" t="str">
        <f t="shared" si="25"/>
        <v>主动去库存</v>
      </c>
      <c r="P62" s="1" t="str">
        <f t="shared" si="26"/>
        <v>产能周期下行</v>
      </c>
      <c r="Q62" s="2" t="str">
        <f t="shared" si="27"/>
        <v>产能周期下行,主动去库存</v>
      </c>
      <c r="S62" s="12">
        <v>40147</v>
      </c>
      <c r="T62" s="13">
        <v>55.2</v>
      </c>
      <c r="V62" s="12">
        <v>44104</v>
      </c>
      <c r="W62" s="13">
        <v>8.1999999999999993</v>
      </c>
      <c r="Y62" s="12">
        <v>39082</v>
      </c>
      <c r="Z62" s="13">
        <v>45.1</v>
      </c>
    </row>
    <row r="63" spans="1:26" x14ac:dyDescent="0.35">
      <c r="A63" s="8">
        <v>44773</v>
      </c>
      <c r="B63" s="9">
        <f t="shared" si="11"/>
        <v>49</v>
      </c>
      <c r="C63" s="9">
        <f t="shared" si="12"/>
        <v>16.8</v>
      </c>
      <c r="D63" s="9" t="e">
        <f t="shared" si="20"/>
        <v>#N/A</v>
      </c>
      <c r="E63" s="1">
        <v>0</v>
      </c>
      <c r="F63" s="1">
        <v>1</v>
      </c>
      <c r="G63" s="7">
        <v>0</v>
      </c>
      <c r="H63" s="7">
        <v>1</v>
      </c>
      <c r="I63" s="1">
        <f t="shared" si="21"/>
        <v>1</v>
      </c>
      <c r="J63" s="1">
        <f t="shared" si="22"/>
        <v>0</v>
      </c>
      <c r="K63" s="1">
        <f t="shared" si="23"/>
        <v>0</v>
      </c>
      <c r="L63" s="1">
        <f t="shared" si="24"/>
        <v>0</v>
      </c>
      <c r="M63" s="1">
        <v>0</v>
      </c>
      <c r="N63" s="1">
        <v>1</v>
      </c>
      <c r="O63" s="1" t="str">
        <f t="shared" si="25"/>
        <v>主动去库存</v>
      </c>
      <c r="P63" s="1" t="str">
        <f t="shared" si="26"/>
        <v>产能周期下行</v>
      </c>
      <c r="Q63" s="2" t="str">
        <f t="shared" si="27"/>
        <v>产能周期下行,主动去库存</v>
      </c>
      <c r="S63" s="12">
        <v>40178</v>
      </c>
      <c r="T63" s="13">
        <v>56.6</v>
      </c>
      <c r="V63" s="12">
        <v>44074</v>
      </c>
      <c r="W63" s="13">
        <v>7.9</v>
      </c>
      <c r="Y63" s="12">
        <v>39172</v>
      </c>
      <c r="Z63" s="13">
        <v>44.1</v>
      </c>
    </row>
    <row r="64" spans="1:26" x14ac:dyDescent="0.35">
      <c r="A64" s="8">
        <v>44742</v>
      </c>
      <c r="B64" s="9">
        <f t="shared" si="11"/>
        <v>50.2</v>
      </c>
      <c r="C64" s="9">
        <f t="shared" si="12"/>
        <v>18.899999999999999</v>
      </c>
      <c r="D64" s="9">
        <f t="shared" si="20"/>
        <v>37.200000000000003</v>
      </c>
      <c r="E64" s="1">
        <v>0</v>
      </c>
      <c r="F64" s="1">
        <v>1</v>
      </c>
      <c r="G64" s="7">
        <v>0</v>
      </c>
      <c r="H64" s="7">
        <v>1</v>
      </c>
      <c r="I64" s="1">
        <f t="shared" si="21"/>
        <v>1</v>
      </c>
      <c r="J64" s="1">
        <f t="shared" si="22"/>
        <v>0</v>
      </c>
      <c r="K64" s="1">
        <f t="shared" si="23"/>
        <v>0</v>
      </c>
      <c r="L64" s="1">
        <f t="shared" si="24"/>
        <v>0</v>
      </c>
      <c r="M64" s="1">
        <v>0</v>
      </c>
      <c r="N64" s="1">
        <v>1</v>
      </c>
      <c r="O64" s="1" t="str">
        <f t="shared" si="25"/>
        <v>主动去库存</v>
      </c>
      <c r="P64" s="1" t="str">
        <f t="shared" si="26"/>
        <v>产能周期下行</v>
      </c>
      <c r="Q64" s="2" t="str">
        <f t="shared" si="27"/>
        <v>产能周期下行,主动去库存</v>
      </c>
      <c r="S64" s="12">
        <v>40209</v>
      </c>
      <c r="T64" s="13">
        <v>55.8</v>
      </c>
      <c r="V64" s="12">
        <v>44043</v>
      </c>
      <c r="W64" s="13">
        <v>7.4</v>
      </c>
      <c r="Y64" s="12">
        <v>39263</v>
      </c>
      <c r="Z64" s="13">
        <v>45.2</v>
      </c>
    </row>
    <row r="65" spans="1:26" x14ac:dyDescent="0.35">
      <c r="A65" s="8">
        <v>44712</v>
      </c>
      <c r="B65" s="9">
        <f t="shared" si="11"/>
        <v>49.6</v>
      </c>
      <c r="C65" s="9">
        <f t="shared" si="12"/>
        <v>19.7</v>
      </c>
      <c r="D65" s="9" t="e">
        <f t="shared" si="20"/>
        <v>#N/A</v>
      </c>
      <c r="E65" s="1">
        <v>0</v>
      </c>
      <c r="F65" s="1">
        <v>1</v>
      </c>
      <c r="G65" s="7">
        <v>0</v>
      </c>
      <c r="H65" s="7">
        <v>1</v>
      </c>
      <c r="I65" s="1">
        <f t="shared" si="21"/>
        <v>1</v>
      </c>
      <c r="J65" s="1">
        <f t="shared" si="22"/>
        <v>0</v>
      </c>
      <c r="K65" s="1">
        <f t="shared" si="23"/>
        <v>0</v>
      </c>
      <c r="L65" s="1">
        <f t="shared" si="24"/>
        <v>0</v>
      </c>
      <c r="M65" s="1">
        <v>0</v>
      </c>
      <c r="N65" s="1">
        <v>1</v>
      </c>
      <c r="O65" s="1" t="str">
        <f t="shared" si="25"/>
        <v>主动去库存</v>
      </c>
      <c r="P65" s="1" t="str">
        <f t="shared" si="26"/>
        <v>产能周期下行</v>
      </c>
      <c r="Q65" s="2" t="str">
        <f t="shared" si="27"/>
        <v>产能周期下行,主动去库存</v>
      </c>
      <c r="S65" s="12">
        <v>40237</v>
      </c>
      <c r="T65" s="13">
        <v>52</v>
      </c>
      <c r="V65" s="12">
        <v>44012</v>
      </c>
      <c r="W65" s="13">
        <v>8.3000000000000007</v>
      </c>
      <c r="Y65" s="12">
        <v>39355</v>
      </c>
      <c r="Z65" s="13">
        <v>45.1</v>
      </c>
    </row>
    <row r="66" spans="1:26" x14ac:dyDescent="0.35">
      <c r="A66" s="8">
        <v>44681</v>
      </c>
      <c r="B66" s="9">
        <f t="shared" si="11"/>
        <v>47.4</v>
      </c>
      <c r="C66" s="9">
        <f t="shared" si="12"/>
        <v>20</v>
      </c>
      <c r="D66" s="9" t="e">
        <f t="shared" si="20"/>
        <v>#N/A</v>
      </c>
      <c r="E66" s="1">
        <v>0</v>
      </c>
      <c r="F66" s="1">
        <v>1</v>
      </c>
      <c r="G66" s="7">
        <v>0</v>
      </c>
      <c r="H66" s="7">
        <v>1</v>
      </c>
      <c r="I66" s="1">
        <f t="shared" si="21"/>
        <v>1</v>
      </c>
      <c r="J66" s="1">
        <f t="shared" si="22"/>
        <v>0</v>
      </c>
      <c r="K66" s="1">
        <f t="shared" si="23"/>
        <v>0</v>
      </c>
      <c r="L66" s="1">
        <f t="shared" si="24"/>
        <v>0</v>
      </c>
      <c r="M66" s="1">
        <v>0</v>
      </c>
      <c r="N66" s="1">
        <v>1</v>
      </c>
      <c r="O66" s="1" t="str">
        <f t="shared" si="25"/>
        <v>主动去库存</v>
      </c>
      <c r="P66" s="1" t="str">
        <f t="shared" si="26"/>
        <v>产能周期下行</v>
      </c>
      <c r="Q66" s="2" t="str">
        <f t="shared" si="27"/>
        <v>产能周期下行,主动去库存</v>
      </c>
      <c r="S66" s="12">
        <v>40268</v>
      </c>
      <c r="T66" s="13">
        <v>55.1</v>
      </c>
      <c r="V66" s="12">
        <v>43982</v>
      </c>
      <c r="W66" s="13">
        <v>9</v>
      </c>
      <c r="Y66" s="12">
        <v>39447</v>
      </c>
      <c r="Z66" s="13">
        <v>45.5</v>
      </c>
    </row>
    <row r="67" spans="1:26" x14ac:dyDescent="0.35">
      <c r="A67" s="8">
        <v>44651</v>
      </c>
      <c r="B67" s="9">
        <f t="shared" si="11"/>
        <v>49.5</v>
      </c>
      <c r="C67" s="9">
        <f t="shared" si="12"/>
        <v>18.100000000000001</v>
      </c>
      <c r="D67" s="9">
        <f t="shared" si="20"/>
        <v>40.700000000000003</v>
      </c>
      <c r="E67" s="1">
        <v>1</v>
      </c>
      <c r="F67" s="1">
        <v>0</v>
      </c>
      <c r="G67" s="7">
        <v>0</v>
      </c>
      <c r="H67" s="7">
        <v>1</v>
      </c>
      <c r="I67" s="1">
        <f t="shared" si="21"/>
        <v>0</v>
      </c>
      <c r="J67" s="1">
        <f t="shared" si="22"/>
        <v>1</v>
      </c>
      <c r="K67" s="1">
        <f t="shared" si="23"/>
        <v>0</v>
      </c>
      <c r="L67" s="1">
        <f t="shared" si="24"/>
        <v>0</v>
      </c>
      <c r="M67" s="1">
        <v>0</v>
      </c>
      <c r="N67" s="1">
        <v>1</v>
      </c>
      <c r="O67" s="1" t="str">
        <f t="shared" si="25"/>
        <v>被动补库存</v>
      </c>
      <c r="P67" s="1" t="str">
        <f t="shared" si="26"/>
        <v>产能周期下行</v>
      </c>
      <c r="Q67" s="2" t="str">
        <f t="shared" si="27"/>
        <v>产能周期下行,被动补库存</v>
      </c>
      <c r="S67" s="12">
        <v>40298</v>
      </c>
      <c r="T67" s="13">
        <v>55.7</v>
      </c>
      <c r="V67" s="12">
        <v>43951</v>
      </c>
      <c r="W67" s="13">
        <v>10.6</v>
      </c>
      <c r="Y67" s="12">
        <v>39538</v>
      </c>
      <c r="Z67" s="13">
        <v>43.36</v>
      </c>
    </row>
    <row r="68" spans="1:26" x14ac:dyDescent="0.35">
      <c r="A68" s="8">
        <v>44620</v>
      </c>
      <c r="B68" s="9">
        <f t="shared" si="11"/>
        <v>50.2</v>
      </c>
      <c r="C68" s="9">
        <f t="shared" si="12"/>
        <v>16.8</v>
      </c>
      <c r="D68" s="9" t="e">
        <f t="shared" si="20"/>
        <v>#N/A</v>
      </c>
      <c r="E68" s="1">
        <v>1</v>
      </c>
      <c r="F68" s="1">
        <v>0</v>
      </c>
      <c r="G68" s="7">
        <v>0</v>
      </c>
      <c r="H68" s="7">
        <v>1</v>
      </c>
      <c r="I68" s="1">
        <f t="shared" si="21"/>
        <v>0</v>
      </c>
      <c r="J68" s="1">
        <f t="shared" si="22"/>
        <v>1</v>
      </c>
      <c r="K68" s="1">
        <f t="shared" si="23"/>
        <v>0</v>
      </c>
      <c r="L68" s="1">
        <f t="shared" si="24"/>
        <v>0</v>
      </c>
      <c r="M68" s="1">
        <v>0</v>
      </c>
      <c r="N68" s="1">
        <v>1</v>
      </c>
      <c r="O68" s="1" t="str">
        <f t="shared" si="25"/>
        <v>被动补库存</v>
      </c>
      <c r="P68" s="1" t="str">
        <f t="shared" si="26"/>
        <v>产能周期下行</v>
      </c>
      <c r="Q68" s="2" t="str">
        <f t="shared" si="27"/>
        <v>产能周期下行,被动补库存</v>
      </c>
      <c r="S68" s="12">
        <v>40329</v>
      </c>
      <c r="T68" s="13">
        <v>53.9</v>
      </c>
      <c r="V68" s="12">
        <v>43921</v>
      </c>
      <c r="W68" s="13">
        <v>14.9</v>
      </c>
      <c r="Y68" s="12">
        <v>39629</v>
      </c>
      <c r="Z68" s="13">
        <v>44.42</v>
      </c>
    </row>
    <row r="69" spans="1:26" x14ac:dyDescent="0.35">
      <c r="A69" s="8">
        <v>44592</v>
      </c>
      <c r="B69" s="9">
        <f t="shared" si="11"/>
        <v>50.1</v>
      </c>
      <c r="C69" s="9" t="e">
        <f t="shared" si="12"/>
        <v>#N/A</v>
      </c>
      <c r="D69" s="9" t="e">
        <f t="shared" si="20"/>
        <v>#N/A</v>
      </c>
      <c r="E69" s="1">
        <v>1</v>
      </c>
      <c r="F69" s="1">
        <v>0</v>
      </c>
      <c r="G69" s="7">
        <v>0</v>
      </c>
      <c r="H69" s="7">
        <v>1</v>
      </c>
      <c r="I69" s="1">
        <f t="shared" si="21"/>
        <v>0</v>
      </c>
      <c r="J69" s="1">
        <f t="shared" si="22"/>
        <v>1</v>
      </c>
      <c r="K69" s="1">
        <f t="shared" si="23"/>
        <v>0</v>
      </c>
      <c r="L69" s="1">
        <f t="shared" si="24"/>
        <v>0</v>
      </c>
      <c r="M69" s="1">
        <v>0</v>
      </c>
      <c r="N69" s="1">
        <v>1</v>
      </c>
      <c r="O69" s="1" t="str">
        <f t="shared" si="25"/>
        <v>被动补库存</v>
      </c>
      <c r="P69" s="1" t="str">
        <f t="shared" si="26"/>
        <v>产能周期下行</v>
      </c>
      <c r="Q69" s="2" t="str">
        <f t="shared" si="27"/>
        <v>产能周期下行,被动补库存</v>
      </c>
      <c r="S69" s="12">
        <v>40359</v>
      </c>
      <c r="T69" s="13">
        <v>52.1</v>
      </c>
      <c r="V69" s="12">
        <v>43890</v>
      </c>
      <c r="W69" s="13">
        <v>8.6999999999999993</v>
      </c>
      <c r="Y69" s="12">
        <v>39721</v>
      </c>
      <c r="Z69" s="13">
        <v>43.1</v>
      </c>
    </row>
    <row r="70" spans="1:26" x14ac:dyDescent="0.35">
      <c r="A70" s="8">
        <v>44561</v>
      </c>
      <c r="B70" s="9">
        <f t="shared" si="11"/>
        <v>50.3</v>
      </c>
      <c r="C70" s="9">
        <f t="shared" si="12"/>
        <v>17.100000000000001</v>
      </c>
      <c r="D70" s="9">
        <f t="shared" si="20"/>
        <v>43.1</v>
      </c>
      <c r="E70" s="1">
        <v>1</v>
      </c>
      <c r="F70" s="1">
        <v>0</v>
      </c>
      <c r="G70" s="7">
        <v>0</v>
      </c>
      <c r="H70" s="7">
        <v>1</v>
      </c>
      <c r="I70" s="1">
        <f t="shared" si="21"/>
        <v>0</v>
      </c>
      <c r="J70" s="1">
        <f t="shared" si="22"/>
        <v>1</v>
      </c>
      <c r="K70" s="1">
        <f t="shared" si="23"/>
        <v>0</v>
      </c>
      <c r="L70" s="1">
        <f t="shared" si="24"/>
        <v>0</v>
      </c>
      <c r="M70" s="1">
        <v>0</v>
      </c>
      <c r="N70" s="1">
        <v>1</v>
      </c>
      <c r="O70" s="1" t="str">
        <f t="shared" si="25"/>
        <v>被动补库存</v>
      </c>
      <c r="P70" s="1" t="str">
        <f t="shared" si="26"/>
        <v>产能周期下行</v>
      </c>
      <c r="Q70" s="2" t="str">
        <f t="shared" si="27"/>
        <v>产能周期下行,被动补库存</v>
      </c>
      <c r="S70" s="12">
        <v>40390</v>
      </c>
      <c r="T70" s="13">
        <v>51.2</v>
      </c>
      <c r="V70" s="12">
        <v>43830</v>
      </c>
      <c r="W70" s="13">
        <v>2</v>
      </c>
      <c r="Y70" s="12">
        <v>39813</v>
      </c>
      <c r="Z70" s="13">
        <v>38.520000000000003</v>
      </c>
    </row>
    <row r="71" spans="1:26" x14ac:dyDescent="0.35">
      <c r="A71" s="8">
        <v>44530</v>
      </c>
      <c r="B71" s="9">
        <f t="shared" si="11"/>
        <v>50.1</v>
      </c>
      <c r="C71" s="9">
        <f t="shared" si="12"/>
        <v>17.899999999999999</v>
      </c>
      <c r="D71" s="9" t="e">
        <f t="shared" si="20"/>
        <v>#N/A</v>
      </c>
      <c r="E71" s="1">
        <v>1</v>
      </c>
      <c r="F71" s="1">
        <v>0</v>
      </c>
      <c r="G71" s="7">
        <v>0</v>
      </c>
      <c r="H71" s="7">
        <v>1</v>
      </c>
      <c r="I71" s="1">
        <f t="shared" si="21"/>
        <v>0</v>
      </c>
      <c r="J71" s="1">
        <f t="shared" si="22"/>
        <v>1</v>
      </c>
      <c r="K71" s="1">
        <f t="shared" si="23"/>
        <v>0</v>
      </c>
      <c r="L71" s="1">
        <f t="shared" si="24"/>
        <v>0</v>
      </c>
      <c r="M71" s="1">
        <v>0</v>
      </c>
      <c r="N71" s="1">
        <v>1</v>
      </c>
      <c r="O71" s="1" t="str">
        <f t="shared" si="25"/>
        <v>被动补库存</v>
      </c>
      <c r="P71" s="1" t="str">
        <f t="shared" si="26"/>
        <v>产能周期下行</v>
      </c>
      <c r="Q71" s="2" t="str">
        <f t="shared" si="27"/>
        <v>产能周期下行,被动补库存</v>
      </c>
      <c r="S71" s="12">
        <v>40421</v>
      </c>
      <c r="T71" s="13">
        <v>51.7</v>
      </c>
      <c r="V71" s="12">
        <v>43799</v>
      </c>
      <c r="W71" s="13">
        <v>0.3</v>
      </c>
      <c r="Y71" s="12">
        <v>39903</v>
      </c>
      <c r="Z71" s="13">
        <v>36.28</v>
      </c>
    </row>
    <row r="72" spans="1:26" x14ac:dyDescent="0.35">
      <c r="A72" s="8">
        <v>44500</v>
      </c>
      <c r="B72" s="10">
        <f t="shared" si="11"/>
        <v>49.2</v>
      </c>
      <c r="C72" s="9">
        <f t="shared" si="12"/>
        <v>16.3</v>
      </c>
      <c r="D72" s="9" t="e">
        <f t="shared" si="20"/>
        <v>#N/A</v>
      </c>
      <c r="E72" s="1">
        <v>1</v>
      </c>
      <c r="F72" s="1">
        <v>0</v>
      </c>
      <c r="G72" s="7">
        <v>0</v>
      </c>
      <c r="H72" s="7">
        <v>1</v>
      </c>
      <c r="I72" s="1">
        <f t="shared" si="21"/>
        <v>0</v>
      </c>
      <c r="J72" s="1">
        <f t="shared" si="22"/>
        <v>1</v>
      </c>
      <c r="K72" s="1">
        <f t="shared" si="23"/>
        <v>0</v>
      </c>
      <c r="L72" s="1">
        <f t="shared" si="24"/>
        <v>0</v>
      </c>
      <c r="M72" s="1">
        <v>0</v>
      </c>
      <c r="N72" s="1">
        <v>1</v>
      </c>
      <c r="O72" s="1" t="str">
        <f t="shared" si="25"/>
        <v>被动补库存</v>
      </c>
      <c r="P72" s="1" t="str">
        <f t="shared" si="26"/>
        <v>产能周期下行</v>
      </c>
      <c r="Q72" s="2" t="str">
        <f t="shared" si="27"/>
        <v>产能周期下行,被动补库存</v>
      </c>
      <c r="S72" s="12">
        <v>40451</v>
      </c>
      <c r="T72" s="13">
        <v>53.8</v>
      </c>
      <c r="V72" s="12">
        <v>43769</v>
      </c>
      <c r="W72" s="13">
        <v>0.4</v>
      </c>
      <c r="Y72" s="12">
        <v>39994</v>
      </c>
      <c r="Z72" s="13">
        <v>37.79</v>
      </c>
    </row>
    <row r="73" spans="1:26" x14ac:dyDescent="0.35">
      <c r="A73" s="8">
        <v>44469</v>
      </c>
      <c r="B73" s="9">
        <f t="shared" si="11"/>
        <v>49.6</v>
      </c>
      <c r="C73" s="9">
        <f t="shared" si="12"/>
        <v>13.7</v>
      </c>
      <c r="D73" s="9">
        <f t="shared" si="20"/>
        <v>43.4</v>
      </c>
      <c r="E73" s="1">
        <v>1</v>
      </c>
      <c r="F73" s="1">
        <v>0</v>
      </c>
      <c r="G73" s="7">
        <v>0</v>
      </c>
      <c r="H73" s="7">
        <v>1</v>
      </c>
      <c r="I73" s="1">
        <f t="shared" si="21"/>
        <v>0</v>
      </c>
      <c r="J73" s="1">
        <f t="shared" si="22"/>
        <v>1</v>
      </c>
      <c r="K73" s="1">
        <f t="shared" si="23"/>
        <v>0</v>
      </c>
      <c r="L73" s="1">
        <f t="shared" si="24"/>
        <v>0</v>
      </c>
      <c r="M73" s="1">
        <v>0</v>
      </c>
      <c r="N73" s="1">
        <v>1</v>
      </c>
      <c r="O73" s="1" t="str">
        <f t="shared" si="25"/>
        <v>被动补库存</v>
      </c>
      <c r="P73" s="1" t="str">
        <f t="shared" si="26"/>
        <v>产能周期下行</v>
      </c>
      <c r="Q73" s="2" t="str">
        <f t="shared" si="27"/>
        <v>产能周期下行,被动补库存</v>
      </c>
      <c r="S73" s="12">
        <v>40482</v>
      </c>
      <c r="T73" s="13">
        <v>54.7</v>
      </c>
      <c r="V73" s="12">
        <v>43738</v>
      </c>
      <c r="W73" s="13">
        <v>1</v>
      </c>
      <c r="Y73" s="12">
        <v>40086</v>
      </c>
      <c r="Z73" s="13">
        <v>39.1</v>
      </c>
    </row>
    <row r="74" spans="1:26" x14ac:dyDescent="0.35">
      <c r="A74" s="8">
        <v>44439</v>
      </c>
      <c r="B74" s="9">
        <f t="shared" si="11"/>
        <v>50.1</v>
      </c>
      <c r="C74" s="9">
        <f t="shared" si="12"/>
        <v>14.2</v>
      </c>
      <c r="D74" s="9" t="e">
        <f t="shared" si="20"/>
        <v>#N/A</v>
      </c>
      <c r="E74" s="1">
        <v>1</v>
      </c>
      <c r="F74" s="1">
        <v>0</v>
      </c>
      <c r="G74" s="7">
        <v>0</v>
      </c>
      <c r="H74" s="7">
        <v>1</v>
      </c>
      <c r="I74" s="1">
        <f t="shared" si="21"/>
        <v>0</v>
      </c>
      <c r="J74" s="1">
        <f t="shared" si="22"/>
        <v>1</v>
      </c>
      <c r="K74" s="1">
        <f t="shared" si="23"/>
        <v>0</v>
      </c>
      <c r="L74" s="1">
        <f t="shared" si="24"/>
        <v>0</v>
      </c>
      <c r="M74" s="1">
        <v>0</v>
      </c>
      <c r="N74" s="1">
        <v>1</v>
      </c>
      <c r="O74" s="1" t="str">
        <f t="shared" si="25"/>
        <v>被动补库存</v>
      </c>
      <c r="P74" s="1" t="str">
        <f t="shared" si="26"/>
        <v>产能周期下行</v>
      </c>
      <c r="Q74" s="2" t="str">
        <f t="shared" si="27"/>
        <v>产能周期下行,被动补库存</v>
      </c>
      <c r="S74" s="12">
        <v>40512</v>
      </c>
      <c r="T74" s="13">
        <v>55.2</v>
      </c>
      <c r="V74" s="12">
        <v>43708</v>
      </c>
      <c r="W74" s="13">
        <v>2.2000000000000002</v>
      </c>
      <c r="Y74" s="12">
        <v>40178</v>
      </c>
      <c r="Z74" s="13">
        <v>41.54</v>
      </c>
    </row>
    <row r="75" spans="1:26" x14ac:dyDescent="0.35">
      <c r="A75" s="8">
        <v>44408</v>
      </c>
      <c r="B75" s="9">
        <f t="shared" si="11"/>
        <v>50.4</v>
      </c>
      <c r="C75" s="9">
        <f t="shared" si="12"/>
        <v>13</v>
      </c>
      <c r="D75" s="9" t="e">
        <f t="shared" si="20"/>
        <v>#N/A</v>
      </c>
      <c r="E75" s="1">
        <v>1</v>
      </c>
      <c r="F75" s="1">
        <v>0</v>
      </c>
      <c r="G75" s="7">
        <v>0</v>
      </c>
      <c r="H75" s="7">
        <v>1</v>
      </c>
      <c r="I75" s="1">
        <f t="shared" si="21"/>
        <v>0</v>
      </c>
      <c r="J75" s="1">
        <f t="shared" si="22"/>
        <v>1</v>
      </c>
      <c r="K75" s="1">
        <f t="shared" si="23"/>
        <v>0</v>
      </c>
      <c r="L75" s="1">
        <f t="shared" si="24"/>
        <v>0</v>
      </c>
      <c r="M75" s="1">
        <v>0</v>
      </c>
      <c r="N75" s="1">
        <v>1</v>
      </c>
      <c r="O75" s="1" t="str">
        <f t="shared" si="25"/>
        <v>被动补库存</v>
      </c>
      <c r="P75" s="1" t="str">
        <f t="shared" si="26"/>
        <v>产能周期下行</v>
      </c>
      <c r="Q75" s="2" t="str">
        <f t="shared" si="27"/>
        <v>产能周期下行,被动补库存</v>
      </c>
      <c r="S75" s="12">
        <v>40543</v>
      </c>
      <c r="T75" s="13">
        <v>53.9</v>
      </c>
      <c r="V75" s="12">
        <v>43677</v>
      </c>
      <c r="W75" s="13">
        <v>2.2999999999999998</v>
      </c>
      <c r="Y75" s="12">
        <v>40268</v>
      </c>
      <c r="Z75" s="13">
        <v>42.01</v>
      </c>
    </row>
    <row r="76" spans="1:26" x14ac:dyDescent="0.35">
      <c r="A76" s="8">
        <v>44377</v>
      </c>
      <c r="B76" s="9">
        <f t="shared" si="11"/>
        <v>50.9</v>
      </c>
      <c r="C76" s="9">
        <f t="shared" si="12"/>
        <v>11.3</v>
      </c>
      <c r="D76" s="9">
        <f t="shared" si="20"/>
        <v>45.8</v>
      </c>
      <c r="E76" s="1">
        <v>1</v>
      </c>
      <c r="F76" s="1">
        <v>0</v>
      </c>
      <c r="G76" s="7">
        <v>0</v>
      </c>
      <c r="H76" s="7">
        <v>1</v>
      </c>
      <c r="I76" s="1">
        <f t="shared" si="21"/>
        <v>0</v>
      </c>
      <c r="J76" s="1">
        <f t="shared" si="22"/>
        <v>1</v>
      </c>
      <c r="K76" s="1">
        <f t="shared" si="23"/>
        <v>0</v>
      </c>
      <c r="L76" s="1">
        <f t="shared" si="24"/>
        <v>0</v>
      </c>
      <c r="M76" s="1">
        <v>0</v>
      </c>
      <c r="N76" s="1">
        <v>1</v>
      </c>
      <c r="O76" s="1" t="str">
        <f t="shared" si="25"/>
        <v>被动补库存</v>
      </c>
      <c r="P76" s="1" t="str">
        <f t="shared" si="26"/>
        <v>产能周期下行</v>
      </c>
      <c r="Q76" s="2" t="str">
        <f t="shared" si="27"/>
        <v>产能周期下行,被动补库存</v>
      </c>
      <c r="S76" s="12">
        <v>40574</v>
      </c>
      <c r="T76" s="13">
        <v>52.9</v>
      </c>
      <c r="V76" s="12">
        <v>43646</v>
      </c>
      <c r="W76" s="13">
        <v>3.5</v>
      </c>
      <c r="Y76" s="12">
        <v>40359</v>
      </c>
      <c r="Z76" s="13">
        <v>43.64</v>
      </c>
    </row>
    <row r="77" spans="1:26" x14ac:dyDescent="0.35">
      <c r="A77" s="8">
        <v>44347</v>
      </c>
      <c r="B77" s="9">
        <f t="shared" si="11"/>
        <v>51</v>
      </c>
      <c r="C77" s="9">
        <f t="shared" si="12"/>
        <v>10.199999999999999</v>
      </c>
      <c r="D77" s="9" t="e">
        <f t="shared" si="20"/>
        <v>#N/A</v>
      </c>
      <c r="E77" s="1">
        <v>1</v>
      </c>
      <c r="F77" s="1">
        <v>0</v>
      </c>
      <c r="G77" s="7">
        <v>0</v>
      </c>
      <c r="H77" s="7">
        <v>1</v>
      </c>
      <c r="I77" s="1">
        <f t="shared" si="21"/>
        <v>0</v>
      </c>
      <c r="J77" s="1">
        <f t="shared" si="22"/>
        <v>1</v>
      </c>
      <c r="K77" s="1">
        <f t="shared" si="23"/>
        <v>0</v>
      </c>
      <c r="L77" s="1">
        <f t="shared" si="24"/>
        <v>0</v>
      </c>
      <c r="M77" s="1">
        <v>1</v>
      </c>
      <c r="N77" s="1">
        <v>0</v>
      </c>
      <c r="O77" s="1" t="str">
        <f t="shared" si="25"/>
        <v>被动补库存</v>
      </c>
      <c r="P77" s="1" t="str">
        <f t="shared" si="26"/>
        <v>产能周期上行</v>
      </c>
      <c r="Q77" s="2" t="str">
        <f t="shared" si="27"/>
        <v>产能周期上行,被动补库存</v>
      </c>
      <c r="S77" s="12">
        <v>40602</v>
      </c>
      <c r="T77" s="13">
        <v>52.2</v>
      </c>
      <c r="V77" s="12">
        <v>43616</v>
      </c>
      <c r="W77" s="13">
        <v>4.0999999999999996</v>
      </c>
      <c r="Y77" s="12">
        <v>40451</v>
      </c>
      <c r="Z77" s="13">
        <v>43.64</v>
      </c>
    </row>
    <row r="78" spans="1:26" x14ac:dyDescent="0.35">
      <c r="A78" s="8">
        <v>44316</v>
      </c>
      <c r="B78" s="9">
        <f t="shared" si="11"/>
        <v>51.1</v>
      </c>
      <c r="C78" s="9">
        <f t="shared" si="12"/>
        <v>8.1999999999999993</v>
      </c>
      <c r="D78" s="9" t="e">
        <f t="shared" si="20"/>
        <v>#N/A</v>
      </c>
      <c r="E78" s="1">
        <v>1</v>
      </c>
      <c r="F78" s="1">
        <v>0</v>
      </c>
      <c r="G78" s="7">
        <v>0</v>
      </c>
      <c r="H78" s="7">
        <v>1</v>
      </c>
      <c r="I78" s="1">
        <f t="shared" si="21"/>
        <v>0</v>
      </c>
      <c r="J78" s="1">
        <f t="shared" si="22"/>
        <v>1</v>
      </c>
      <c r="K78" s="1">
        <f t="shared" si="23"/>
        <v>0</v>
      </c>
      <c r="L78" s="1">
        <f t="shared" si="24"/>
        <v>0</v>
      </c>
      <c r="M78" s="1">
        <v>1</v>
      </c>
      <c r="N78" s="1">
        <v>0</v>
      </c>
      <c r="O78" s="1" t="str">
        <f t="shared" si="25"/>
        <v>被动补库存</v>
      </c>
      <c r="P78" s="1" t="str">
        <f t="shared" si="26"/>
        <v>产能周期上行</v>
      </c>
      <c r="Q78" s="2" t="str">
        <f t="shared" si="27"/>
        <v>产能周期上行,被动补库存</v>
      </c>
      <c r="S78" s="12">
        <v>40633</v>
      </c>
      <c r="T78" s="13">
        <v>53.4</v>
      </c>
      <c r="V78" s="12">
        <v>43585</v>
      </c>
      <c r="W78" s="13">
        <v>4.9000000000000004</v>
      </c>
      <c r="Y78" s="12">
        <v>40543</v>
      </c>
      <c r="Z78" s="13">
        <v>43.8</v>
      </c>
    </row>
    <row r="79" spans="1:26" x14ac:dyDescent="0.35">
      <c r="A79" s="8">
        <v>44286</v>
      </c>
      <c r="B79" s="9">
        <f t="shared" si="11"/>
        <v>51.9</v>
      </c>
      <c r="C79" s="9">
        <f t="shared" si="12"/>
        <v>8.5</v>
      </c>
      <c r="D79" s="9">
        <f t="shared" si="20"/>
        <v>42.4</v>
      </c>
      <c r="E79" s="1">
        <v>1</v>
      </c>
      <c r="F79" s="1">
        <v>0</v>
      </c>
      <c r="G79" s="7">
        <v>0</v>
      </c>
      <c r="H79" s="7">
        <v>1</v>
      </c>
      <c r="I79" s="1">
        <f t="shared" si="21"/>
        <v>0</v>
      </c>
      <c r="J79" s="1">
        <f t="shared" si="22"/>
        <v>1</v>
      </c>
      <c r="K79" s="1">
        <f t="shared" si="23"/>
        <v>0</v>
      </c>
      <c r="L79" s="1">
        <f t="shared" si="24"/>
        <v>0</v>
      </c>
      <c r="M79" s="1">
        <v>1</v>
      </c>
      <c r="N79" s="1">
        <v>0</v>
      </c>
      <c r="O79" s="1" t="str">
        <f t="shared" si="25"/>
        <v>被动补库存</v>
      </c>
      <c r="P79" s="1" t="str">
        <f t="shared" si="26"/>
        <v>产能周期上行</v>
      </c>
      <c r="Q79" s="2" t="str">
        <f t="shared" si="27"/>
        <v>产能周期上行,被动补库存</v>
      </c>
      <c r="S79" s="12">
        <v>40663</v>
      </c>
      <c r="T79" s="13">
        <v>52.9</v>
      </c>
      <c r="V79" s="12">
        <v>43555</v>
      </c>
      <c r="W79" s="13">
        <v>0.3</v>
      </c>
      <c r="Y79" s="12">
        <v>40633</v>
      </c>
      <c r="Z79" s="13">
        <v>43.12</v>
      </c>
    </row>
    <row r="80" spans="1:26" x14ac:dyDescent="0.35">
      <c r="A80" s="8">
        <v>44255</v>
      </c>
      <c r="B80" s="9">
        <f t="shared" si="11"/>
        <v>50.6</v>
      </c>
      <c r="C80" s="9">
        <f t="shared" si="12"/>
        <v>8.6</v>
      </c>
      <c r="D80" s="9" t="e">
        <f t="shared" si="20"/>
        <v>#N/A</v>
      </c>
      <c r="E80" s="1">
        <v>1</v>
      </c>
      <c r="F80" s="1">
        <v>0</v>
      </c>
      <c r="G80" s="7">
        <v>1</v>
      </c>
      <c r="H80" s="7">
        <v>0</v>
      </c>
      <c r="I80" s="1">
        <f t="shared" si="21"/>
        <v>0</v>
      </c>
      <c r="J80" s="1">
        <f t="shared" si="22"/>
        <v>0</v>
      </c>
      <c r="K80" s="1">
        <f t="shared" si="23"/>
        <v>0</v>
      </c>
      <c r="L80" s="1">
        <f t="shared" si="24"/>
        <v>1</v>
      </c>
      <c r="M80" s="1">
        <v>1</v>
      </c>
      <c r="N80" s="1">
        <v>0</v>
      </c>
      <c r="O80" s="1" t="str">
        <f t="shared" si="25"/>
        <v>主动补库存</v>
      </c>
      <c r="P80" s="1" t="str">
        <f t="shared" si="26"/>
        <v>产能周期上行</v>
      </c>
      <c r="Q80" s="2" t="str">
        <f t="shared" si="27"/>
        <v>产能周期上行,主动补库存</v>
      </c>
      <c r="S80" s="12">
        <v>40694</v>
      </c>
      <c r="T80" s="13">
        <v>52</v>
      </c>
      <c r="V80" s="12">
        <v>43524</v>
      </c>
      <c r="W80" s="13">
        <v>6.2</v>
      </c>
      <c r="Y80" s="12">
        <v>40724</v>
      </c>
      <c r="Z80" s="13">
        <v>43.76</v>
      </c>
    </row>
    <row r="81" spans="1:26" x14ac:dyDescent="0.35">
      <c r="A81" s="8">
        <v>44227</v>
      </c>
      <c r="B81" s="9">
        <f t="shared" si="11"/>
        <v>51.3</v>
      </c>
      <c r="C81" s="9" t="e">
        <f t="shared" si="12"/>
        <v>#N/A</v>
      </c>
      <c r="D81" s="9" t="e">
        <f t="shared" si="20"/>
        <v>#N/A</v>
      </c>
      <c r="E81" s="1">
        <v>1</v>
      </c>
      <c r="F81" s="1">
        <v>0</v>
      </c>
      <c r="G81" s="7">
        <v>1</v>
      </c>
      <c r="H81" s="7">
        <v>0</v>
      </c>
      <c r="I81" s="1">
        <f t="shared" si="21"/>
        <v>0</v>
      </c>
      <c r="J81" s="1">
        <f t="shared" si="22"/>
        <v>0</v>
      </c>
      <c r="K81" s="1">
        <f t="shared" si="23"/>
        <v>0</v>
      </c>
      <c r="L81" s="1">
        <f t="shared" si="24"/>
        <v>1</v>
      </c>
      <c r="M81" s="1">
        <v>1</v>
      </c>
      <c r="N81" s="1">
        <v>0</v>
      </c>
      <c r="O81" s="1" t="str">
        <f t="shared" si="25"/>
        <v>主动补库存</v>
      </c>
      <c r="P81" s="1" t="str">
        <f t="shared" si="26"/>
        <v>产能周期上行</v>
      </c>
      <c r="Q81" s="2" t="str">
        <f t="shared" si="27"/>
        <v>产能周期上行,主动补库存</v>
      </c>
      <c r="S81" s="12">
        <v>40724</v>
      </c>
      <c r="T81" s="13">
        <v>50.9</v>
      </c>
      <c r="V81" s="12">
        <v>43465</v>
      </c>
      <c r="W81" s="13">
        <v>7.4</v>
      </c>
      <c r="Y81" s="12">
        <v>40816</v>
      </c>
      <c r="Z81" s="13">
        <v>42.95</v>
      </c>
    </row>
    <row r="82" spans="1:26" x14ac:dyDescent="0.35">
      <c r="A82" s="8">
        <v>44196</v>
      </c>
      <c r="B82" s="9">
        <f t="shared" si="11"/>
        <v>51.9</v>
      </c>
      <c r="C82" s="9">
        <f t="shared" si="12"/>
        <v>7.5</v>
      </c>
      <c r="D82" s="9">
        <f t="shared" si="20"/>
        <v>44.4</v>
      </c>
      <c r="E82" s="1">
        <v>1</v>
      </c>
      <c r="F82" s="1">
        <v>0</v>
      </c>
      <c r="G82" s="7">
        <v>1</v>
      </c>
      <c r="H82" s="7">
        <v>0</v>
      </c>
      <c r="I82" s="1">
        <f t="shared" si="21"/>
        <v>0</v>
      </c>
      <c r="J82" s="1">
        <f t="shared" si="22"/>
        <v>0</v>
      </c>
      <c r="K82" s="1">
        <f t="shared" si="23"/>
        <v>0</v>
      </c>
      <c r="L82" s="1">
        <f t="shared" si="24"/>
        <v>1</v>
      </c>
      <c r="M82" s="1">
        <v>1</v>
      </c>
      <c r="N82" s="1">
        <v>0</v>
      </c>
      <c r="O82" s="1" t="str">
        <f t="shared" si="25"/>
        <v>主动补库存</v>
      </c>
      <c r="P82" s="1" t="str">
        <f t="shared" si="26"/>
        <v>产能周期上行</v>
      </c>
      <c r="Q82" s="2" t="str">
        <f t="shared" si="27"/>
        <v>产能周期上行,主动补库存</v>
      </c>
      <c r="S82" s="12">
        <v>40755</v>
      </c>
      <c r="T82" s="13">
        <v>50.7</v>
      </c>
      <c r="V82" s="12">
        <v>43434</v>
      </c>
      <c r="W82" s="13">
        <v>8.6</v>
      </c>
      <c r="Y82" s="12">
        <v>40908</v>
      </c>
      <c r="Z82" s="13">
        <v>42.39</v>
      </c>
    </row>
    <row r="83" spans="1:26" x14ac:dyDescent="0.35">
      <c r="A83" s="8">
        <v>44165</v>
      </c>
      <c r="B83" s="9">
        <f t="shared" si="11"/>
        <v>52.1</v>
      </c>
      <c r="C83" s="9">
        <f t="shared" si="12"/>
        <v>7.3</v>
      </c>
      <c r="D83" s="9" t="e">
        <f t="shared" si="20"/>
        <v>#N/A</v>
      </c>
      <c r="E83" s="1">
        <v>1</v>
      </c>
      <c r="F83" s="1">
        <v>0</v>
      </c>
      <c r="G83" s="7">
        <v>1</v>
      </c>
      <c r="H83" s="7">
        <v>0</v>
      </c>
      <c r="I83" s="1">
        <f t="shared" si="21"/>
        <v>0</v>
      </c>
      <c r="J83" s="1">
        <f t="shared" si="22"/>
        <v>0</v>
      </c>
      <c r="K83" s="1">
        <f t="shared" si="23"/>
        <v>0</v>
      </c>
      <c r="L83" s="1">
        <f t="shared" si="24"/>
        <v>1</v>
      </c>
      <c r="M83" s="1">
        <v>1</v>
      </c>
      <c r="N83" s="1">
        <v>0</v>
      </c>
      <c r="O83" s="1" t="str">
        <f t="shared" si="25"/>
        <v>主动补库存</v>
      </c>
      <c r="P83" s="1" t="str">
        <f t="shared" si="26"/>
        <v>产能周期上行</v>
      </c>
      <c r="Q83" s="2" t="str">
        <f t="shared" si="27"/>
        <v>产能周期上行,主动补库存</v>
      </c>
      <c r="S83" s="12">
        <v>40786</v>
      </c>
      <c r="T83" s="13">
        <v>50.9</v>
      </c>
      <c r="V83" s="12">
        <v>43404</v>
      </c>
      <c r="W83" s="13">
        <v>9.5</v>
      </c>
      <c r="Y83" s="12">
        <v>40999</v>
      </c>
      <c r="Z83" s="13">
        <v>40.4</v>
      </c>
    </row>
    <row r="84" spans="1:26" x14ac:dyDescent="0.35">
      <c r="A84" s="8">
        <v>44135</v>
      </c>
      <c r="B84" s="9">
        <f t="shared" si="11"/>
        <v>51.4</v>
      </c>
      <c r="C84" s="9">
        <f t="shared" si="12"/>
        <v>6.9</v>
      </c>
      <c r="D84" s="9" t="e">
        <f t="shared" si="20"/>
        <v>#N/A</v>
      </c>
      <c r="E84" s="1">
        <v>1</v>
      </c>
      <c r="F84" s="1">
        <v>0</v>
      </c>
      <c r="G84" s="7">
        <v>1</v>
      </c>
      <c r="H84" s="7">
        <v>0</v>
      </c>
      <c r="I84" s="1">
        <f t="shared" si="21"/>
        <v>0</v>
      </c>
      <c r="J84" s="1">
        <f t="shared" si="22"/>
        <v>0</v>
      </c>
      <c r="K84" s="1">
        <f t="shared" si="23"/>
        <v>0</v>
      </c>
      <c r="L84" s="1">
        <f t="shared" si="24"/>
        <v>1</v>
      </c>
      <c r="M84" s="1">
        <v>1</v>
      </c>
      <c r="N84" s="1">
        <v>0</v>
      </c>
      <c r="O84" s="1" t="str">
        <f t="shared" si="25"/>
        <v>主动补库存</v>
      </c>
      <c r="P84" s="1" t="str">
        <f t="shared" si="26"/>
        <v>产能周期上行</v>
      </c>
      <c r="Q84" s="2" t="str">
        <f t="shared" si="27"/>
        <v>产能周期上行,主动补库存</v>
      </c>
      <c r="S84" s="12">
        <v>40816</v>
      </c>
      <c r="T84" s="13">
        <v>51.2</v>
      </c>
      <c r="V84" s="12">
        <v>43373</v>
      </c>
      <c r="W84" s="13">
        <v>9.4</v>
      </c>
      <c r="Y84" s="12">
        <v>41090</v>
      </c>
      <c r="Z84" s="13">
        <v>40.9</v>
      </c>
    </row>
    <row r="85" spans="1:26" x14ac:dyDescent="0.35">
      <c r="A85" s="8">
        <v>44104</v>
      </c>
      <c r="B85" s="9">
        <f t="shared" si="11"/>
        <v>51.5</v>
      </c>
      <c r="C85" s="9">
        <f t="shared" si="12"/>
        <v>8.1999999999999993</v>
      </c>
      <c r="D85" s="9">
        <f t="shared" si="20"/>
        <v>40.299999999999997</v>
      </c>
      <c r="E85" s="1">
        <v>1</v>
      </c>
      <c r="F85" s="1">
        <v>0</v>
      </c>
      <c r="G85" s="7">
        <v>1</v>
      </c>
      <c r="H85" s="7">
        <v>0</v>
      </c>
      <c r="I85" s="1">
        <f t="shared" si="21"/>
        <v>0</v>
      </c>
      <c r="J85" s="1">
        <f t="shared" si="22"/>
        <v>0</v>
      </c>
      <c r="K85" s="1">
        <f t="shared" si="23"/>
        <v>0</v>
      </c>
      <c r="L85" s="1">
        <f t="shared" si="24"/>
        <v>1</v>
      </c>
      <c r="M85" s="1">
        <v>1</v>
      </c>
      <c r="N85" s="1">
        <v>0</v>
      </c>
      <c r="O85" s="1" t="str">
        <f t="shared" si="25"/>
        <v>主动补库存</v>
      </c>
      <c r="P85" s="1" t="str">
        <f t="shared" si="26"/>
        <v>产能周期上行</v>
      </c>
      <c r="Q85" s="2" t="str">
        <f t="shared" si="27"/>
        <v>产能周期上行,主动补库存</v>
      </c>
      <c r="S85" s="12">
        <v>40847</v>
      </c>
      <c r="T85" s="13">
        <v>50.4</v>
      </c>
      <c r="V85" s="12">
        <v>43343</v>
      </c>
      <c r="W85" s="13">
        <v>9.8000000000000007</v>
      </c>
      <c r="Y85" s="12">
        <v>41182</v>
      </c>
      <c r="Z85" s="13">
        <v>39.700000000000003</v>
      </c>
    </row>
    <row r="86" spans="1:26" x14ac:dyDescent="0.35">
      <c r="A86" s="8">
        <v>44074</v>
      </c>
      <c r="B86" s="9">
        <f t="shared" si="11"/>
        <v>51</v>
      </c>
      <c r="C86" s="9">
        <f t="shared" si="12"/>
        <v>7.9</v>
      </c>
      <c r="D86" s="9" t="e">
        <f t="shared" si="20"/>
        <v>#N/A</v>
      </c>
      <c r="E86" s="1">
        <v>1</v>
      </c>
      <c r="F86" s="1">
        <v>0</v>
      </c>
      <c r="G86" s="7">
        <v>1</v>
      </c>
      <c r="H86" s="7">
        <v>0</v>
      </c>
      <c r="I86" s="1">
        <f t="shared" si="21"/>
        <v>0</v>
      </c>
      <c r="J86" s="1">
        <f t="shared" si="22"/>
        <v>0</v>
      </c>
      <c r="K86" s="1">
        <f t="shared" si="23"/>
        <v>0</v>
      </c>
      <c r="L86" s="1">
        <f t="shared" si="24"/>
        <v>1</v>
      </c>
      <c r="M86" s="1">
        <v>1</v>
      </c>
      <c r="N86" s="1">
        <v>0</v>
      </c>
      <c r="O86" s="1" t="str">
        <f t="shared" si="25"/>
        <v>主动补库存</v>
      </c>
      <c r="P86" s="1" t="str">
        <f t="shared" si="26"/>
        <v>产能周期上行</v>
      </c>
      <c r="Q86" s="2" t="str">
        <f t="shared" si="27"/>
        <v>产能周期上行,主动补库存</v>
      </c>
      <c r="S86" s="12">
        <v>40877</v>
      </c>
      <c r="T86" s="13">
        <v>49</v>
      </c>
      <c r="V86" s="12">
        <v>43312</v>
      </c>
      <c r="W86" s="13">
        <v>9.5</v>
      </c>
      <c r="Y86" s="12">
        <v>41274</v>
      </c>
      <c r="Z86" s="13">
        <v>40</v>
      </c>
    </row>
    <row r="87" spans="1:26" x14ac:dyDescent="0.35">
      <c r="A87" s="8">
        <v>44043</v>
      </c>
      <c r="B87" s="9">
        <f t="shared" si="11"/>
        <v>51.1</v>
      </c>
      <c r="C87" s="9">
        <f t="shared" si="12"/>
        <v>7.4</v>
      </c>
      <c r="D87" s="9" t="e">
        <f t="shared" si="20"/>
        <v>#N/A</v>
      </c>
      <c r="E87" s="1">
        <v>1</v>
      </c>
      <c r="F87" s="1">
        <v>0</v>
      </c>
      <c r="G87" s="7">
        <v>1</v>
      </c>
      <c r="H87" s="7">
        <v>0</v>
      </c>
      <c r="I87" s="1">
        <f t="shared" si="21"/>
        <v>0</v>
      </c>
      <c r="J87" s="1">
        <f t="shared" si="22"/>
        <v>0</v>
      </c>
      <c r="K87" s="1">
        <f t="shared" si="23"/>
        <v>0</v>
      </c>
      <c r="L87" s="1">
        <f t="shared" si="24"/>
        <v>1</v>
      </c>
      <c r="M87" s="1">
        <v>1</v>
      </c>
      <c r="N87" s="1">
        <v>0</v>
      </c>
      <c r="O87" s="1" t="str">
        <f t="shared" si="25"/>
        <v>主动补库存</v>
      </c>
      <c r="P87" s="1" t="str">
        <f t="shared" si="26"/>
        <v>产能周期上行</v>
      </c>
      <c r="Q87" s="2" t="str">
        <f t="shared" si="27"/>
        <v>产能周期上行,主动补库存</v>
      </c>
      <c r="S87" s="12">
        <v>40908</v>
      </c>
      <c r="T87" s="13">
        <v>50.3</v>
      </c>
      <c r="V87" s="12">
        <v>43281</v>
      </c>
      <c r="W87" s="13">
        <v>8.3000000000000007</v>
      </c>
      <c r="Y87" s="12">
        <v>41364</v>
      </c>
      <c r="Z87" s="13">
        <v>39.299999999999997</v>
      </c>
    </row>
    <row r="88" spans="1:26" x14ac:dyDescent="0.35">
      <c r="A88" s="8">
        <v>44012</v>
      </c>
      <c r="B88" s="10">
        <f t="shared" si="11"/>
        <v>50.9</v>
      </c>
      <c r="C88" s="9">
        <f t="shared" si="12"/>
        <v>8.3000000000000007</v>
      </c>
      <c r="D88" s="9">
        <f t="shared" si="20"/>
        <v>38.1</v>
      </c>
      <c r="E88" s="1">
        <v>1</v>
      </c>
      <c r="F88" s="1">
        <v>0</v>
      </c>
      <c r="G88" s="7">
        <v>1</v>
      </c>
      <c r="H88" s="7">
        <v>0</v>
      </c>
      <c r="I88" s="1">
        <f t="shared" si="21"/>
        <v>0</v>
      </c>
      <c r="J88" s="1">
        <f t="shared" si="22"/>
        <v>0</v>
      </c>
      <c r="K88" s="1">
        <f t="shared" si="23"/>
        <v>0</v>
      </c>
      <c r="L88" s="1">
        <f t="shared" si="24"/>
        <v>1</v>
      </c>
      <c r="M88" s="1">
        <v>1</v>
      </c>
      <c r="N88" s="1">
        <v>0</v>
      </c>
      <c r="O88" s="1" t="str">
        <f t="shared" si="25"/>
        <v>主动补库存</v>
      </c>
      <c r="P88" s="1" t="str">
        <f t="shared" si="26"/>
        <v>产能周期上行</v>
      </c>
      <c r="Q88" s="2" t="str">
        <f t="shared" si="27"/>
        <v>产能周期上行,主动补库存</v>
      </c>
      <c r="S88" s="12">
        <v>40939</v>
      </c>
      <c r="T88" s="13">
        <v>50.5</v>
      </c>
      <c r="V88" s="12">
        <v>43251</v>
      </c>
      <c r="W88" s="13">
        <v>7.3</v>
      </c>
      <c r="Y88" s="12">
        <v>41455</v>
      </c>
      <c r="Z88" s="13">
        <v>40.6</v>
      </c>
    </row>
    <row r="89" spans="1:26" x14ac:dyDescent="0.35">
      <c r="A89" s="8">
        <v>43982</v>
      </c>
      <c r="B89" s="10">
        <f t="shared" si="11"/>
        <v>50.6</v>
      </c>
      <c r="C89" s="9">
        <f t="shared" si="12"/>
        <v>9</v>
      </c>
      <c r="D89" s="9" t="e">
        <f t="shared" si="20"/>
        <v>#N/A</v>
      </c>
      <c r="E89" s="1">
        <v>1</v>
      </c>
      <c r="F89" s="1">
        <v>0</v>
      </c>
      <c r="G89" s="7">
        <v>1</v>
      </c>
      <c r="H89" s="7">
        <v>0</v>
      </c>
      <c r="I89" s="1">
        <f t="shared" si="21"/>
        <v>0</v>
      </c>
      <c r="J89" s="1">
        <f t="shared" si="22"/>
        <v>0</v>
      </c>
      <c r="K89" s="1">
        <f t="shared" si="23"/>
        <v>0</v>
      </c>
      <c r="L89" s="1">
        <f t="shared" si="24"/>
        <v>1</v>
      </c>
      <c r="M89" s="1">
        <v>1</v>
      </c>
      <c r="N89" s="1">
        <v>0</v>
      </c>
      <c r="O89" s="1" t="str">
        <f t="shared" si="25"/>
        <v>主动补库存</v>
      </c>
      <c r="P89" s="1" t="str">
        <f t="shared" si="26"/>
        <v>产能周期上行</v>
      </c>
      <c r="Q89" s="2" t="str">
        <f t="shared" si="27"/>
        <v>产能周期上行,主动补库存</v>
      </c>
      <c r="S89" s="12">
        <v>40968</v>
      </c>
      <c r="T89" s="13">
        <v>51</v>
      </c>
      <c r="V89" s="12">
        <v>43220</v>
      </c>
      <c r="W89" s="13">
        <v>5.5</v>
      </c>
      <c r="Y89" s="12">
        <v>41547</v>
      </c>
      <c r="Z89" s="13">
        <v>39.799999999999997</v>
      </c>
    </row>
    <row r="90" spans="1:26" x14ac:dyDescent="0.35">
      <c r="A90" s="8">
        <v>43951</v>
      </c>
      <c r="B90" s="9">
        <f t="shared" si="11"/>
        <v>50.8</v>
      </c>
      <c r="C90" s="9">
        <f t="shared" si="12"/>
        <v>10.6</v>
      </c>
      <c r="D90" s="9" t="e">
        <f t="shared" si="20"/>
        <v>#N/A</v>
      </c>
      <c r="E90" s="1">
        <v>1</v>
      </c>
      <c r="F90" s="1">
        <v>0</v>
      </c>
      <c r="G90" s="7">
        <v>1</v>
      </c>
      <c r="H90" s="7">
        <v>0</v>
      </c>
      <c r="I90" s="1">
        <f t="shared" si="21"/>
        <v>0</v>
      </c>
      <c r="J90" s="1">
        <f t="shared" si="22"/>
        <v>0</v>
      </c>
      <c r="K90" s="1">
        <f t="shared" si="23"/>
        <v>0</v>
      </c>
      <c r="L90" s="1">
        <f t="shared" si="24"/>
        <v>1</v>
      </c>
      <c r="M90" s="1">
        <v>1</v>
      </c>
      <c r="N90" s="1">
        <v>0</v>
      </c>
      <c r="O90" s="1" t="str">
        <f t="shared" si="25"/>
        <v>主动补库存</v>
      </c>
      <c r="P90" s="1" t="str">
        <f t="shared" si="26"/>
        <v>产能周期上行</v>
      </c>
      <c r="Q90" s="2" t="str">
        <f t="shared" si="27"/>
        <v>产能周期上行,主动补库存</v>
      </c>
      <c r="S90" s="12">
        <v>40999</v>
      </c>
      <c r="T90" s="13">
        <v>53.1</v>
      </c>
      <c r="V90" s="12">
        <v>43190</v>
      </c>
      <c r="W90" s="13">
        <v>8.6999999999999993</v>
      </c>
      <c r="Y90" s="12">
        <v>41639</v>
      </c>
      <c r="Z90" s="13">
        <v>41.2</v>
      </c>
    </row>
    <row r="91" spans="1:26" x14ac:dyDescent="0.35">
      <c r="A91" s="8">
        <v>43921</v>
      </c>
      <c r="B91" s="9">
        <f t="shared" si="11"/>
        <v>52</v>
      </c>
      <c r="C91" s="9">
        <f t="shared" si="12"/>
        <v>14.9</v>
      </c>
      <c r="D91" s="9">
        <f t="shared" si="20"/>
        <v>21.6</v>
      </c>
      <c r="E91" s="1">
        <v>1</v>
      </c>
      <c r="F91" s="1">
        <v>0</v>
      </c>
      <c r="G91" s="7">
        <v>1</v>
      </c>
      <c r="H91" s="7">
        <v>0</v>
      </c>
      <c r="I91" s="1">
        <f t="shared" si="21"/>
        <v>0</v>
      </c>
      <c r="J91" s="1">
        <f t="shared" si="22"/>
        <v>0</v>
      </c>
      <c r="K91" s="1">
        <f t="shared" si="23"/>
        <v>0</v>
      </c>
      <c r="L91" s="1">
        <f t="shared" si="24"/>
        <v>1</v>
      </c>
      <c r="M91" s="1">
        <v>1</v>
      </c>
      <c r="N91" s="1">
        <v>0</v>
      </c>
      <c r="O91" s="1" t="str">
        <f t="shared" si="25"/>
        <v>主动补库存</v>
      </c>
      <c r="P91" s="1" t="str">
        <f t="shared" si="26"/>
        <v>产能周期上行</v>
      </c>
      <c r="Q91" s="2" t="str">
        <f t="shared" si="27"/>
        <v>产能周期上行,主动补库存</v>
      </c>
      <c r="S91" s="12">
        <v>41029</v>
      </c>
      <c r="T91" s="13">
        <v>53.3</v>
      </c>
      <c r="V91" s="12">
        <v>43159</v>
      </c>
      <c r="W91" s="13">
        <v>8.6</v>
      </c>
      <c r="Y91" s="12">
        <v>41729</v>
      </c>
      <c r="Z91" s="13">
        <v>39.200000000000003</v>
      </c>
    </row>
    <row r="92" spans="1:26" x14ac:dyDescent="0.35">
      <c r="A92" s="8">
        <v>43890</v>
      </c>
      <c r="B92" s="9">
        <f t="shared" si="11"/>
        <v>35.700000000000003</v>
      </c>
      <c r="C92" s="9">
        <f t="shared" si="12"/>
        <v>8.6999999999999993</v>
      </c>
      <c r="D92" s="9" t="e">
        <f t="shared" si="20"/>
        <v>#N/A</v>
      </c>
      <c r="E92" s="1">
        <v>1</v>
      </c>
      <c r="F92" s="1">
        <v>0</v>
      </c>
      <c r="G92" s="7">
        <v>0</v>
      </c>
      <c r="H92" s="7">
        <v>1</v>
      </c>
      <c r="I92" s="1">
        <f t="shared" si="21"/>
        <v>0</v>
      </c>
      <c r="J92" s="1">
        <f t="shared" si="22"/>
        <v>1</v>
      </c>
      <c r="K92" s="1">
        <f t="shared" si="23"/>
        <v>0</v>
      </c>
      <c r="L92" s="1">
        <f t="shared" si="24"/>
        <v>0</v>
      </c>
      <c r="M92" s="1">
        <v>1</v>
      </c>
      <c r="N92" s="1">
        <v>0</v>
      </c>
      <c r="O92" s="1" t="str">
        <f t="shared" si="25"/>
        <v>被动补库存</v>
      </c>
      <c r="P92" s="1" t="str">
        <f t="shared" si="26"/>
        <v>产能周期上行</v>
      </c>
      <c r="Q92" s="2" t="str">
        <f t="shared" si="27"/>
        <v>产能周期上行,被动补库存</v>
      </c>
      <c r="S92" s="12">
        <v>41060</v>
      </c>
      <c r="T92" s="13">
        <v>50.4</v>
      </c>
      <c r="V92" s="12">
        <v>43100</v>
      </c>
      <c r="W92" s="13">
        <v>8.5</v>
      </c>
      <c r="Y92" s="12">
        <v>41820</v>
      </c>
      <c r="Z92" s="13">
        <v>40.6</v>
      </c>
    </row>
    <row r="93" spans="1:26" x14ac:dyDescent="0.35">
      <c r="A93" s="8">
        <v>43861</v>
      </c>
      <c r="B93" s="9">
        <f t="shared" si="11"/>
        <v>50</v>
      </c>
      <c r="C93" s="9" t="e">
        <f t="shared" si="12"/>
        <v>#N/A</v>
      </c>
      <c r="D93" s="9" t="e">
        <f t="shared" si="20"/>
        <v>#N/A</v>
      </c>
      <c r="E93" s="1">
        <v>1</v>
      </c>
      <c r="F93" s="1">
        <v>0</v>
      </c>
      <c r="G93" s="7">
        <v>0</v>
      </c>
      <c r="H93" s="7">
        <v>1</v>
      </c>
      <c r="I93" s="1">
        <f t="shared" si="21"/>
        <v>0</v>
      </c>
      <c r="J93" s="1">
        <f t="shared" si="22"/>
        <v>1</v>
      </c>
      <c r="K93" s="1">
        <f t="shared" si="23"/>
        <v>0</v>
      </c>
      <c r="L93" s="1">
        <f t="shared" si="24"/>
        <v>0</v>
      </c>
      <c r="M93" s="1">
        <v>1</v>
      </c>
      <c r="N93" s="1">
        <v>0</v>
      </c>
      <c r="O93" s="1" t="str">
        <f t="shared" si="25"/>
        <v>被动补库存</v>
      </c>
      <c r="P93" s="1" t="str">
        <f t="shared" si="26"/>
        <v>产能周期上行</v>
      </c>
      <c r="Q93" s="2" t="str">
        <f t="shared" si="27"/>
        <v>产能周期上行,被动补库存</v>
      </c>
      <c r="S93" s="12">
        <v>41090</v>
      </c>
      <c r="T93" s="13">
        <v>50.2</v>
      </c>
      <c r="V93" s="12">
        <v>43069</v>
      </c>
      <c r="W93" s="13">
        <v>9</v>
      </c>
      <c r="Y93" s="12">
        <v>41912</v>
      </c>
      <c r="Z93" s="13">
        <v>40.6</v>
      </c>
    </row>
    <row r="94" spans="1:26" x14ac:dyDescent="0.35">
      <c r="A94" s="8">
        <v>43830</v>
      </c>
      <c r="B94" s="9">
        <f t="shared" si="11"/>
        <v>50.2</v>
      </c>
      <c r="C94" s="9">
        <f t="shared" si="12"/>
        <v>2</v>
      </c>
      <c r="D94" s="9">
        <f t="shared" si="20"/>
        <v>42.7</v>
      </c>
      <c r="E94" s="1">
        <v>1</v>
      </c>
      <c r="F94" s="1">
        <v>0</v>
      </c>
      <c r="G94" s="7">
        <v>0</v>
      </c>
      <c r="H94" s="7">
        <v>1</v>
      </c>
      <c r="I94" s="1">
        <f t="shared" si="21"/>
        <v>0</v>
      </c>
      <c r="J94" s="1">
        <f t="shared" si="22"/>
        <v>1</v>
      </c>
      <c r="K94" s="1">
        <f t="shared" si="23"/>
        <v>0</v>
      </c>
      <c r="L94" s="1">
        <f t="shared" si="24"/>
        <v>0</v>
      </c>
      <c r="M94" s="1">
        <v>1</v>
      </c>
      <c r="N94" s="1">
        <v>0</v>
      </c>
      <c r="O94" s="1" t="str">
        <f t="shared" si="25"/>
        <v>被动补库存</v>
      </c>
      <c r="P94" s="1" t="str">
        <f t="shared" si="26"/>
        <v>产能周期上行</v>
      </c>
      <c r="Q94" s="2" t="str">
        <f t="shared" si="27"/>
        <v>产能周期上行,被动补库存</v>
      </c>
      <c r="S94" s="12">
        <v>41121</v>
      </c>
      <c r="T94" s="13">
        <v>50.1</v>
      </c>
      <c r="V94" s="12">
        <v>43039</v>
      </c>
      <c r="W94" s="13">
        <v>9</v>
      </c>
      <c r="Y94" s="12">
        <v>42004</v>
      </c>
      <c r="Z94" s="13">
        <v>40.4</v>
      </c>
    </row>
    <row r="95" spans="1:26" x14ac:dyDescent="0.35">
      <c r="A95" s="8">
        <v>43799</v>
      </c>
      <c r="B95" s="9">
        <f t="shared" si="11"/>
        <v>50.2</v>
      </c>
      <c r="C95" s="9">
        <f t="shared" si="12"/>
        <v>0.3</v>
      </c>
      <c r="D95" s="9" t="e">
        <f t="shared" si="20"/>
        <v>#N/A</v>
      </c>
      <c r="E95" s="1">
        <v>1</v>
      </c>
      <c r="F95" s="1">
        <v>0</v>
      </c>
      <c r="G95" s="7">
        <v>0</v>
      </c>
      <c r="H95" s="7">
        <v>1</v>
      </c>
      <c r="I95" s="1">
        <f t="shared" si="21"/>
        <v>0</v>
      </c>
      <c r="J95" s="1">
        <f t="shared" si="22"/>
        <v>1</v>
      </c>
      <c r="K95" s="1">
        <f t="shared" si="23"/>
        <v>0</v>
      </c>
      <c r="L95" s="1">
        <f t="shared" si="24"/>
        <v>0</v>
      </c>
      <c r="M95" s="1">
        <v>1</v>
      </c>
      <c r="N95" s="1">
        <v>0</v>
      </c>
      <c r="O95" s="1" t="str">
        <f t="shared" si="25"/>
        <v>被动补库存</v>
      </c>
      <c r="P95" s="1" t="str">
        <f t="shared" si="26"/>
        <v>产能周期上行</v>
      </c>
      <c r="Q95" s="2" t="str">
        <f t="shared" si="27"/>
        <v>产能周期上行,被动补库存</v>
      </c>
      <c r="S95" s="12">
        <v>41152</v>
      </c>
      <c r="T95" s="13">
        <v>49.2</v>
      </c>
      <c r="V95" s="12">
        <v>43008</v>
      </c>
      <c r="W95" s="13">
        <v>7.8</v>
      </c>
      <c r="Y95" s="12">
        <v>42094</v>
      </c>
      <c r="Z95" s="13">
        <v>39</v>
      </c>
    </row>
    <row r="96" spans="1:26" x14ac:dyDescent="0.35">
      <c r="A96" s="8">
        <v>43769</v>
      </c>
      <c r="B96" s="9">
        <f t="shared" si="11"/>
        <v>49.3</v>
      </c>
      <c r="C96" s="9">
        <f t="shared" si="12"/>
        <v>0.4</v>
      </c>
      <c r="D96" s="9" t="e">
        <f t="shared" si="20"/>
        <v>#N/A</v>
      </c>
      <c r="E96" s="1">
        <v>0</v>
      </c>
      <c r="F96" s="1">
        <v>1</v>
      </c>
      <c r="G96" s="7">
        <v>0</v>
      </c>
      <c r="H96" s="7">
        <v>1</v>
      </c>
      <c r="I96" s="1">
        <f t="shared" si="21"/>
        <v>1</v>
      </c>
      <c r="J96" s="1">
        <f t="shared" si="22"/>
        <v>0</v>
      </c>
      <c r="K96" s="1">
        <f t="shared" si="23"/>
        <v>0</v>
      </c>
      <c r="L96" s="1">
        <f t="shared" si="24"/>
        <v>0</v>
      </c>
      <c r="M96" s="1">
        <v>1</v>
      </c>
      <c r="N96" s="1">
        <v>0</v>
      </c>
      <c r="O96" s="1" t="str">
        <f t="shared" si="25"/>
        <v>主动去库存</v>
      </c>
      <c r="P96" s="1" t="str">
        <f t="shared" si="26"/>
        <v>产能周期上行</v>
      </c>
      <c r="Q96" s="2" t="str">
        <f t="shared" si="27"/>
        <v>产能周期上行,主动去库存</v>
      </c>
      <c r="S96" s="12">
        <v>41182</v>
      </c>
      <c r="T96" s="13">
        <v>49.8</v>
      </c>
      <c r="V96" s="12">
        <v>42978</v>
      </c>
      <c r="W96" s="13">
        <v>7.9</v>
      </c>
      <c r="Y96" s="12">
        <v>42185</v>
      </c>
      <c r="Z96" s="13">
        <v>39.200000000000003</v>
      </c>
    </row>
    <row r="97" spans="1:26" x14ac:dyDescent="0.35">
      <c r="A97" s="8">
        <v>43738</v>
      </c>
      <c r="B97" s="9">
        <f t="shared" si="11"/>
        <v>49.8</v>
      </c>
      <c r="C97" s="9">
        <f t="shared" si="12"/>
        <v>1</v>
      </c>
      <c r="D97" s="9">
        <f t="shared" si="20"/>
        <v>41.4</v>
      </c>
      <c r="E97" s="1">
        <v>0</v>
      </c>
      <c r="F97" s="1">
        <v>1</v>
      </c>
      <c r="G97" s="7">
        <v>0</v>
      </c>
      <c r="H97" s="7">
        <v>1</v>
      </c>
      <c r="I97" s="1">
        <f t="shared" si="21"/>
        <v>1</v>
      </c>
      <c r="J97" s="1">
        <f t="shared" si="22"/>
        <v>0</v>
      </c>
      <c r="K97" s="1">
        <f t="shared" si="23"/>
        <v>0</v>
      </c>
      <c r="L97" s="1">
        <f t="shared" si="24"/>
        <v>0</v>
      </c>
      <c r="M97" s="1">
        <v>1</v>
      </c>
      <c r="N97" s="1">
        <v>0</v>
      </c>
      <c r="O97" s="1" t="str">
        <f t="shared" si="25"/>
        <v>主动去库存</v>
      </c>
      <c r="P97" s="1" t="str">
        <f t="shared" si="26"/>
        <v>产能周期上行</v>
      </c>
      <c r="Q97" s="2" t="str">
        <f t="shared" si="27"/>
        <v>产能周期上行,主动去库存</v>
      </c>
      <c r="S97" s="12">
        <v>41213</v>
      </c>
      <c r="T97" s="13">
        <v>50.2</v>
      </c>
      <c r="V97" s="12">
        <v>42947</v>
      </c>
      <c r="W97" s="13">
        <v>8</v>
      </c>
      <c r="Y97" s="12">
        <v>42277</v>
      </c>
      <c r="Z97" s="13">
        <v>37.200000000000003</v>
      </c>
    </row>
    <row r="98" spans="1:26" x14ac:dyDescent="0.35">
      <c r="A98" s="8">
        <v>43708</v>
      </c>
      <c r="B98" s="9">
        <f t="shared" ref="B98:B161" si="28">VLOOKUP(A98,S:T,2,0)</f>
        <v>49.5</v>
      </c>
      <c r="C98" s="9">
        <f t="shared" ref="C98:C161" si="29">VLOOKUP(A98,V:W,2,0)</f>
        <v>2.2000000000000002</v>
      </c>
      <c r="D98" s="9" t="e">
        <f t="shared" si="20"/>
        <v>#N/A</v>
      </c>
      <c r="E98" s="1">
        <v>0</v>
      </c>
      <c r="F98" s="1">
        <v>1</v>
      </c>
      <c r="G98" s="7">
        <v>0</v>
      </c>
      <c r="H98" s="7">
        <v>1</v>
      </c>
      <c r="I98" s="1">
        <f t="shared" si="21"/>
        <v>1</v>
      </c>
      <c r="J98" s="1">
        <f t="shared" si="22"/>
        <v>0</v>
      </c>
      <c r="K98" s="1">
        <f t="shared" si="23"/>
        <v>0</v>
      </c>
      <c r="L98" s="1">
        <f t="shared" si="24"/>
        <v>0</v>
      </c>
      <c r="M98" s="1">
        <v>1</v>
      </c>
      <c r="N98" s="1">
        <v>0</v>
      </c>
      <c r="O98" s="1" t="str">
        <f t="shared" si="25"/>
        <v>主动去库存</v>
      </c>
      <c r="P98" s="1" t="str">
        <f t="shared" si="26"/>
        <v>产能周期上行</v>
      </c>
      <c r="Q98" s="2" t="str">
        <f t="shared" si="27"/>
        <v>产能周期上行,主动去库存</v>
      </c>
      <c r="S98" s="12">
        <v>41243</v>
      </c>
      <c r="T98" s="13">
        <v>50.6</v>
      </c>
      <c r="V98" s="12">
        <v>42916</v>
      </c>
      <c r="W98" s="13">
        <v>8.6</v>
      </c>
      <c r="Y98" s="12">
        <v>42369</v>
      </c>
      <c r="Z98" s="13">
        <v>36.9</v>
      </c>
    </row>
    <row r="99" spans="1:26" x14ac:dyDescent="0.35">
      <c r="A99" s="8">
        <v>43677</v>
      </c>
      <c r="B99" s="9">
        <f t="shared" si="28"/>
        <v>49.7</v>
      </c>
      <c r="C99" s="9">
        <f t="shared" si="29"/>
        <v>2.2999999999999998</v>
      </c>
      <c r="D99" s="9" t="e">
        <f t="shared" si="20"/>
        <v>#N/A</v>
      </c>
      <c r="E99" s="1">
        <v>0</v>
      </c>
      <c r="F99" s="1">
        <v>1</v>
      </c>
      <c r="G99" s="7">
        <v>0</v>
      </c>
      <c r="H99" s="7">
        <v>1</v>
      </c>
      <c r="I99" s="1">
        <f t="shared" si="21"/>
        <v>1</v>
      </c>
      <c r="J99" s="1">
        <f t="shared" si="22"/>
        <v>0</v>
      </c>
      <c r="K99" s="1">
        <f t="shared" si="23"/>
        <v>0</v>
      </c>
      <c r="L99" s="1">
        <f t="shared" si="24"/>
        <v>0</v>
      </c>
      <c r="M99" s="1">
        <v>1</v>
      </c>
      <c r="N99" s="1">
        <v>0</v>
      </c>
      <c r="O99" s="1" t="str">
        <f t="shared" si="25"/>
        <v>主动去库存</v>
      </c>
      <c r="P99" s="1" t="str">
        <f t="shared" si="26"/>
        <v>产能周期上行</v>
      </c>
      <c r="Q99" s="2" t="str">
        <f t="shared" si="27"/>
        <v>产能周期上行,主动去库存</v>
      </c>
      <c r="S99" s="12">
        <v>41274</v>
      </c>
      <c r="T99" s="13">
        <v>50.6</v>
      </c>
      <c r="V99" s="12">
        <v>42886</v>
      </c>
      <c r="W99" s="13">
        <v>9.3000000000000007</v>
      </c>
      <c r="Y99" s="12">
        <v>42460</v>
      </c>
      <c r="Z99" s="13">
        <v>35.200000000000003</v>
      </c>
    </row>
    <row r="100" spans="1:26" x14ac:dyDescent="0.35">
      <c r="A100" s="8">
        <v>43646</v>
      </c>
      <c r="B100" s="9">
        <f t="shared" si="28"/>
        <v>49.4</v>
      </c>
      <c r="C100" s="9">
        <f t="shared" si="29"/>
        <v>3.5</v>
      </c>
      <c r="D100" s="9">
        <f t="shared" si="20"/>
        <v>42.8</v>
      </c>
      <c r="E100" s="1">
        <v>0</v>
      </c>
      <c r="F100" s="1">
        <v>1</v>
      </c>
      <c r="G100" s="7">
        <v>0</v>
      </c>
      <c r="H100" s="7">
        <v>1</v>
      </c>
      <c r="I100" s="1">
        <f t="shared" si="21"/>
        <v>1</v>
      </c>
      <c r="J100" s="1">
        <f t="shared" si="22"/>
        <v>0</v>
      </c>
      <c r="K100" s="1">
        <f t="shared" si="23"/>
        <v>0</v>
      </c>
      <c r="L100" s="1">
        <f t="shared" si="24"/>
        <v>0</v>
      </c>
      <c r="M100" s="1">
        <v>1</v>
      </c>
      <c r="N100" s="1">
        <v>0</v>
      </c>
      <c r="O100" s="1" t="str">
        <f t="shared" si="25"/>
        <v>主动去库存</v>
      </c>
      <c r="P100" s="1" t="str">
        <f t="shared" si="26"/>
        <v>产能周期上行</v>
      </c>
      <c r="Q100" s="2" t="str">
        <f t="shared" si="27"/>
        <v>产能周期上行,主动去库存</v>
      </c>
      <c r="S100" s="12">
        <v>41305</v>
      </c>
      <c r="T100" s="13">
        <v>50.4</v>
      </c>
      <c r="V100" s="12">
        <v>42855</v>
      </c>
      <c r="W100" s="13">
        <v>10.4</v>
      </c>
      <c r="Y100" s="12">
        <v>42551</v>
      </c>
      <c r="Z100" s="13">
        <v>36.799999999999997</v>
      </c>
    </row>
    <row r="101" spans="1:26" x14ac:dyDescent="0.35">
      <c r="A101" s="8">
        <v>43616</v>
      </c>
      <c r="B101" s="9">
        <f t="shared" si="28"/>
        <v>49.4</v>
      </c>
      <c r="C101" s="9">
        <f t="shared" si="29"/>
        <v>4.0999999999999996</v>
      </c>
      <c r="D101" s="9" t="e">
        <f t="shared" ref="D101:D164" si="30">VLOOKUP(A101,Y:Z,2,FALSE)</f>
        <v>#N/A</v>
      </c>
      <c r="E101" s="1">
        <v>0</v>
      </c>
      <c r="F101" s="1">
        <v>1</v>
      </c>
      <c r="G101" s="7">
        <v>0</v>
      </c>
      <c r="H101" s="7">
        <v>1</v>
      </c>
      <c r="I101" s="1">
        <f t="shared" si="21"/>
        <v>1</v>
      </c>
      <c r="J101" s="1">
        <f t="shared" si="22"/>
        <v>0</v>
      </c>
      <c r="K101" s="1">
        <f t="shared" si="23"/>
        <v>0</v>
      </c>
      <c r="L101" s="1">
        <f t="shared" si="24"/>
        <v>0</v>
      </c>
      <c r="M101" s="1">
        <v>1</v>
      </c>
      <c r="N101" s="1">
        <v>0</v>
      </c>
      <c r="O101" s="1" t="str">
        <f t="shared" si="25"/>
        <v>主动去库存</v>
      </c>
      <c r="P101" s="1" t="str">
        <f t="shared" si="26"/>
        <v>产能周期上行</v>
      </c>
      <c r="Q101" s="2" t="str">
        <f t="shared" si="27"/>
        <v>产能周期上行,主动去库存</v>
      </c>
      <c r="S101" s="12">
        <v>41333</v>
      </c>
      <c r="T101" s="13">
        <v>50.1</v>
      </c>
      <c r="V101" s="12">
        <v>42825</v>
      </c>
      <c r="W101" s="13">
        <v>8.1999999999999993</v>
      </c>
      <c r="Y101" s="12">
        <v>42643</v>
      </c>
      <c r="Z101" s="13">
        <v>37.700000000000003</v>
      </c>
    </row>
    <row r="102" spans="1:26" x14ac:dyDescent="0.35">
      <c r="A102" s="8">
        <v>43585</v>
      </c>
      <c r="B102" s="9">
        <f t="shared" si="28"/>
        <v>50.1</v>
      </c>
      <c r="C102" s="9">
        <f t="shared" si="29"/>
        <v>4.9000000000000004</v>
      </c>
      <c r="D102" s="9" t="e">
        <f t="shared" si="30"/>
        <v>#N/A</v>
      </c>
      <c r="E102" s="1">
        <v>0</v>
      </c>
      <c r="F102" s="1">
        <v>1</v>
      </c>
      <c r="G102" s="7">
        <v>0</v>
      </c>
      <c r="H102" s="7">
        <v>1</v>
      </c>
      <c r="I102" s="1">
        <f t="shared" si="21"/>
        <v>1</v>
      </c>
      <c r="J102" s="1">
        <f t="shared" si="22"/>
        <v>0</v>
      </c>
      <c r="K102" s="1">
        <f t="shared" si="23"/>
        <v>0</v>
      </c>
      <c r="L102" s="1">
        <f t="shared" si="24"/>
        <v>0</v>
      </c>
      <c r="M102" s="1">
        <v>1</v>
      </c>
      <c r="N102" s="1">
        <v>0</v>
      </c>
      <c r="O102" s="1" t="str">
        <f t="shared" si="25"/>
        <v>主动去库存</v>
      </c>
      <c r="P102" s="1" t="str">
        <f t="shared" si="26"/>
        <v>产能周期上行</v>
      </c>
      <c r="Q102" s="2" t="str">
        <f t="shared" si="27"/>
        <v>产能周期上行,主动去库存</v>
      </c>
      <c r="S102" s="12">
        <v>41364</v>
      </c>
      <c r="T102" s="13">
        <v>50.9</v>
      </c>
      <c r="V102" s="12">
        <v>42794</v>
      </c>
      <c r="W102" s="13">
        <v>6.1</v>
      </c>
      <c r="Y102" s="12">
        <v>42735</v>
      </c>
      <c r="Z102" s="13">
        <v>40.1</v>
      </c>
    </row>
    <row r="103" spans="1:26" x14ac:dyDescent="0.35">
      <c r="A103" s="8">
        <v>43555</v>
      </c>
      <c r="B103" s="9">
        <f t="shared" si="28"/>
        <v>50.5</v>
      </c>
      <c r="C103" s="9">
        <f t="shared" si="29"/>
        <v>0.3</v>
      </c>
      <c r="D103" s="9">
        <f t="shared" si="30"/>
        <v>41.4</v>
      </c>
      <c r="E103" s="1">
        <v>0</v>
      </c>
      <c r="F103" s="1">
        <v>1</v>
      </c>
      <c r="G103" s="7">
        <v>0</v>
      </c>
      <c r="H103" s="7">
        <v>1</v>
      </c>
      <c r="I103" s="1">
        <f t="shared" si="21"/>
        <v>1</v>
      </c>
      <c r="J103" s="1">
        <f t="shared" si="22"/>
        <v>0</v>
      </c>
      <c r="K103" s="1">
        <f t="shared" si="23"/>
        <v>0</v>
      </c>
      <c r="L103" s="1">
        <f t="shared" si="24"/>
        <v>0</v>
      </c>
      <c r="M103" s="1">
        <v>1</v>
      </c>
      <c r="N103" s="1">
        <v>0</v>
      </c>
      <c r="O103" s="1" t="str">
        <f t="shared" si="25"/>
        <v>主动去库存</v>
      </c>
      <c r="P103" s="1" t="str">
        <f t="shared" si="26"/>
        <v>产能周期上行</v>
      </c>
      <c r="Q103" s="2" t="str">
        <f t="shared" si="27"/>
        <v>产能周期上行,主动去库存</v>
      </c>
      <c r="S103" s="12">
        <v>41394</v>
      </c>
      <c r="T103" s="13">
        <v>50.6</v>
      </c>
      <c r="V103" s="12">
        <v>42735</v>
      </c>
      <c r="W103" s="13">
        <v>3.2</v>
      </c>
      <c r="Y103" s="12">
        <v>42825</v>
      </c>
      <c r="Z103" s="13">
        <v>38.700000000000003</v>
      </c>
    </row>
    <row r="104" spans="1:26" x14ac:dyDescent="0.35">
      <c r="A104" s="8">
        <v>43524</v>
      </c>
      <c r="B104" s="9">
        <f t="shared" si="28"/>
        <v>49.2</v>
      </c>
      <c r="C104" s="9">
        <f t="shared" si="29"/>
        <v>6.2</v>
      </c>
      <c r="D104" s="9" t="e">
        <f t="shared" si="30"/>
        <v>#N/A</v>
      </c>
      <c r="E104" s="1">
        <v>0</v>
      </c>
      <c r="F104" s="1">
        <v>1</v>
      </c>
      <c r="G104" s="7">
        <v>0</v>
      </c>
      <c r="H104" s="7">
        <v>1</v>
      </c>
      <c r="I104" s="1">
        <f t="shared" si="21"/>
        <v>1</v>
      </c>
      <c r="J104" s="1">
        <f t="shared" si="22"/>
        <v>0</v>
      </c>
      <c r="K104" s="1">
        <f t="shared" si="23"/>
        <v>0</v>
      </c>
      <c r="L104" s="1">
        <f t="shared" si="24"/>
        <v>0</v>
      </c>
      <c r="M104" s="1">
        <v>1</v>
      </c>
      <c r="N104" s="1">
        <v>0</v>
      </c>
      <c r="O104" s="1" t="str">
        <f t="shared" si="25"/>
        <v>主动去库存</v>
      </c>
      <c r="P104" s="1" t="str">
        <f t="shared" si="26"/>
        <v>产能周期上行</v>
      </c>
      <c r="Q104" s="2" t="str">
        <f t="shared" si="27"/>
        <v>产能周期上行,主动去库存</v>
      </c>
      <c r="S104" s="12">
        <v>41425</v>
      </c>
      <c r="T104" s="13">
        <v>50.8</v>
      </c>
      <c r="V104" s="12">
        <v>42704</v>
      </c>
      <c r="W104" s="13">
        <v>0.5</v>
      </c>
      <c r="Y104" s="12">
        <v>42916</v>
      </c>
      <c r="Z104" s="13">
        <v>41.1</v>
      </c>
    </row>
    <row r="105" spans="1:26" x14ac:dyDescent="0.35">
      <c r="A105" s="8">
        <v>43496</v>
      </c>
      <c r="B105" s="9">
        <f t="shared" si="28"/>
        <v>49.5</v>
      </c>
      <c r="C105" s="9" t="e">
        <f t="shared" si="29"/>
        <v>#N/A</v>
      </c>
      <c r="D105" s="9" t="e">
        <f t="shared" si="30"/>
        <v>#N/A</v>
      </c>
      <c r="E105" s="1">
        <v>0</v>
      </c>
      <c r="F105" s="1">
        <v>1</v>
      </c>
      <c r="G105" s="7">
        <v>0</v>
      </c>
      <c r="H105" s="7">
        <v>1</v>
      </c>
      <c r="I105" s="1">
        <f t="shared" ref="I105:I168" si="31">INT(AND(H105=1,F105=1))</f>
        <v>1</v>
      </c>
      <c r="J105" s="1">
        <f t="shared" ref="J105:J168" si="32">INT(AND(H105=1,E105=1))</f>
        <v>0</v>
      </c>
      <c r="K105" s="1">
        <f t="shared" ref="K105:K168" si="33">INT(AND(G105=1,F105=1))</f>
        <v>0</v>
      </c>
      <c r="L105" s="1">
        <f t="shared" ref="L105:L168" si="34">INT(AND(G105=1,E105=1))</f>
        <v>0</v>
      </c>
      <c r="M105" s="1">
        <v>1</v>
      </c>
      <c r="N105" s="1">
        <v>0</v>
      </c>
      <c r="O105" s="1" t="str">
        <f t="shared" ref="O105:O168" si="35">INDEX($I$3:$L$3,1,MATCH(1,I105:L105,0))</f>
        <v>主动去库存</v>
      </c>
      <c r="P105" s="1" t="str">
        <f t="shared" ref="P105:P168" si="36">INDEX($M$3:$N$3,1,MATCH(1,M105:N105,0))</f>
        <v>产能周期上行</v>
      </c>
      <c r="Q105" s="2" t="str">
        <f t="shared" ref="Q105:Q168" si="37">TEXT(P105,"")&amp;","&amp;TEXT(O105,"")</f>
        <v>产能周期上行,主动去库存</v>
      </c>
      <c r="S105" s="12">
        <v>41455</v>
      </c>
      <c r="T105" s="13">
        <v>50.1</v>
      </c>
      <c r="V105" s="12">
        <v>42674</v>
      </c>
      <c r="W105" s="13">
        <v>-0.3</v>
      </c>
      <c r="Y105" s="12">
        <v>43008</v>
      </c>
      <c r="Z105" s="13">
        <v>41.3</v>
      </c>
    </row>
    <row r="106" spans="1:26" x14ac:dyDescent="0.35">
      <c r="A106" s="8">
        <v>43465</v>
      </c>
      <c r="B106" s="9">
        <f t="shared" si="28"/>
        <v>49.4</v>
      </c>
      <c r="C106" s="9">
        <f t="shared" si="29"/>
        <v>7.4</v>
      </c>
      <c r="D106" s="9">
        <f t="shared" si="30"/>
        <v>43.6</v>
      </c>
      <c r="E106" s="1">
        <v>0</v>
      </c>
      <c r="F106" s="1">
        <v>1</v>
      </c>
      <c r="G106" s="7">
        <v>0</v>
      </c>
      <c r="H106" s="7">
        <v>1</v>
      </c>
      <c r="I106" s="1">
        <f t="shared" si="31"/>
        <v>1</v>
      </c>
      <c r="J106" s="1">
        <f t="shared" si="32"/>
        <v>0</v>
      </c>
      <c r="K106" s="1">
        <f t="shared" si="33"/>
        <v>0</v>
      </c>
      <c r="L106" s="1">
        <f t="shared" si="34"/>
        <v>0</v>
      </c>
      <c r="M106" s="1">
        <v>1</v>
      </c>
      <c r="N106" s="1">
        <v>0</v>
      </c>
      <c r="O106" s="1" t="str">
        <f t="shared" si="35"/>
        <v>主动去库存</v>
      </c>
      <c r="P106" s="1" t="str">
        <f t="shared" si="36"/>
        <v>产能周期上行</v>
      </c>
      <c r="Q106" s="2" t="str">
        <f t="shared" si="37"/>
        <v>产能周期上行,主动去库存</v>
      </c>
      <c r="S106" s="12">
        <v>41486</v>
      </c>
      <c r="T106" s="13">
        <v>50.3</v>
      </c>
      <c r="V106" s="12">
        <v>42643</v>
      </c>
      <c r="W106" s="13">
        <v>-0.8</v>
      </c>
      <c r="Y106" s="12">
        <v>43100</v>
      </c>
      <c r="Z106" s="13">
        <v>43.8</v>
      </c>
    </row>
    <row r="107" spans="1:26" x14ac:dyDescent="0.35">
      <c r="A107" s="8">
        <v>43434</v>
      </c>
      <c r="B107" s="9">
        <f t="shared" si="28"/>
        <v>50</v>
      </c>
      <c r="C107" s="9">
        <f t="shared" si="29"/>
        <v>8.6</v>
      </c>
      <c r="D107" s="9" t="e">
        <f t="shared" si="30"/>
        <v>#N/A</v>
      </c>
      <c r="E107" s="1">
        <v>0</v>
      </c>
      <c r="F107" s="1">
        <v>1</v>
      </c>
      <c r="G107" s="7">
        <v>0</v>
      </c>
      <c r="H107" s="7">
        <v>1</v>
      </c>
      <c r="I107" s="1">
        <f t="shared" si="31"/>
        <v>1</v>
      </c>
      <c r="J107" s="1">
        <f t="shared" si="32"/>
        <v>0</v>
      </c>
      <c r="K107" s="1">
        <f t="shared" si="33"/>
        <v>0</v>
      </c>
      <c r="L107" s="1">
        <f t="shared" si="34"/>
        <v>0</v>
      </c>
      <c r="M107" s="1">
        <v>1</v>
      </c>
      <c r="N107" s="1">
        <v>0</v>
      </c>
      <c r="O107" s="1" t="str">
        <f t="shared" si="35"/>
        <v>主动去库存</v>
      </c>
      <c r="P107" s="1" t="str">
        <f t="shared" si="36"/>
        <v>产能周期上行</v>
      </c>
      <c r="Q107" s="2" t="str">
        <f t="shared" si="37"/>
        <v>产能周期上行,主动去库存</v>
      </c>
      <c r="S107" s="12">
        <v>41517</v>
      </c>
      <c r="T107" s="13">
        <v>51</v>
      </c>
      <c r="V107" s="12">
        <v>42613</v>
      </c>
      <c r="W107" s="13">
        <v>-1.6</v>
      </c>
      <c r="Y107" s="12">
        <v>43190</v>
      </c>
      <c r="Z107" s="13">
        <v>41.4</v>
      </c>
    </row>
    <row r="108" spans="1:26" x14ac:dyDescent="0.35">
      <c r="A108" s="8">
        <v>43404</v>
      </c>
      <c r="B108" s="9">
        <f t="shared" si="28"/>
        <v>50.2</v>
      </c>
      <c r="C108" s="9">
        <f t="shared" si="29"/>
        <v>9.5</v>
      </c>
      <c r="D108" s="9" t="e">
        <f t="shared" si="30"/>
        <v>#N/A</v>
      </c>
      <c r="E108" s="1">
        <v>0</v>
      </c>
      <c r="F108" s="1">
        <v>1</v>
      </c>
      <c r="G108" s="7">
        <v>0</v>
      </c>
      <c r="H108" s="7">
        <v>1</v>
      </c>
      <c r="I108" s="1">
        <f t="shared" si="31"/>
        <v>1</v>
      </c>
      <c r="J108" s="1">
        <f t="shared" si="32"/>
        <v>0</v>
      </c>
      <c r="K108" s="1">
        <f t="shared" si="33"/>
        <v>0</v>
      </c>
      <c r="L108" s="1">
        <f t="shared" si="34"/>
        <v>0</v>
      </c>
      <c r="M108" s="1">
        <v>1</v>
      </c>
      <c r="N108" s="1">
        <v>0</v>
      </c>
      <c r="O108" s="1" t="str">
        <f t="shared" si="35"/>
        <v>主动去库存</v>
      </c>
      <c r="P108" s="1" t="str">
        <f t="shared" si="36"/>
        <v>产能周期上行</v>
      </c>
      <c r="Q108" s="2" t="str">
        <f t="shared" si="37"/>
        <v>产能周期上行,主动去库存</v>
      </c>
      <c r="S108" s="12">
        <v>41547</v>
      </c>
      <c r="T108" s="13">
        <v>51.1</v>
      </c>
      <c r="V108" s="12">
        <v>42582</v>
      </c>
      <c r="W108" s="13">
        <v>-1.8</v>
      </c>
      <c r="Y108" s="12">
        <v>43281</v>
      </c>
      <c r="Z108" s="13">
        <v>43.7</v>
      </c>
    </row>
    <row r="109" spans="1:26" x14ac:dyDescent="0.35">
      <c r="A109" s="8">
        <v>43373</v>
      </c>
      <c r="B109" s="9">
        <f t="shared" si="28"/>
        <v>50.8</v>
      </c>
      <c r="C109" s="9">
        <f t="shared" si="29"/>
        <v>9.4</v>
      </c>
      <c r="D109" s="9">
        <f t="shared" si="30"/>
        <v>42.5</v>
      </c>
      <c r="E109" s="1">
        <v>0</v>
      </c>
      <c r="F109" s="1">
        <v>1</v>
      </c>
      <c r="G109" s="7">
        <v>0</v>
      </c>
      <c r="H109" s="7">
        <v>1</v>
      </c>
      <c r="I109" s="1">
        <f t="shared" si="31"/>
        <v>1</v>
      </c>
      <c r="J109" s="1">
        <f t="shared" si="32"/>
        <v>0</v>
      </c>
      <c r="K109" s="1">
        <f t="shared" si="33"/>
        <v>0</v>
      </c>
      <c r="L109" s="1">
        <f t="shared" si="34"/>
        <v>0</v>
      </c>
      <c r="M109" s="1">
        <v>1</v>
      </c>
      <c r="N109" s="1">
        <v>0</v>
      </c>
      <c r="O109" s="1" t="str">
        <f t="shared" si="35"/>
        <v>主动去库存</v>
      </c>
      <c r="P109" s="1" t="str">
        <f t="shared" si="36"/>
        <v>产能周期上行</v>
      </c>
      <c r="Q109" s="2" t="str">
        <f t="shared" si="37"/>
        <v>产能周期上行,主动去库存</v>
      </c>
      <c r="S109" s="12">
        <v>41578</v>
      </c>
      <c r="T109" s="13">
        <v>51.4</v>
      </c>
      <c r="V109" s="12">
        <v>42551</v>
      </c>
      <c r="W109" s="13">
        <v>-1.9</v>
      </c>
      <c r="Y109" s="12">
        <v>43373</v>
      </c>
      <c r="Z109" s="13">
        <v>42.5</v>
      </c>
    </row>
    <row r="110" spans="1:26" x14ac:dyDescent="0.35">
      <c r="A110" s="8">
        <v>43343</v>
      </c>
      <c r="B110" s="9">
        <f t="shared" si="28"/>
        <v>51.3</v>
      </c>
      <c r="C110" s="9">
        <f t="shared" si="29"/>
        <v>9.8000000000000007</v>
      </c>
      <c r="D110" s="9" t="e">
        <f t="shared" si="30"/>
        <v>#N/A</v>
      </c>
      <c r="E110" s="1">
        <v>0</v>
      </c>
      <c r="F110" s="1">
        <v>1</v>
      </c>
      <c r="G110" s="7">
        <v>0</v>
      </c>
      <c r="H110" s="7">
        <v>1</v>
      </c>
      <c r="I110" s="1">
        <f t="shared" si="31"/>
        <v>1</v>
      </c>
      <c r="J110" s="1">
        <f t="shared" si="32"/>
        <v>0</v>
      </c>
      <c r="K110" s="1">
        <f t="shared" si="33"/>
        <v>0</v>
      </c>
      <c r="L110" s="1">
        <f t="shared" si="34"/>
        <v>0</v>
      </c>
      <c r="M110" s="1">
        <v>1</v>
      </c>
      <c r="N110" s="1">
        <v>0</v>
      </c>
      <c r="O110" s="1" t="str">
        <f t="shared" si="35"/>
        <v>主动去库存</v>
      </c>
      <c r="P110" s="1" t="str">
        <f t="shared" si="36"/>
        <v>产能周期上行</v>
      </c>
      <c r="Q110" s="2" t="str">
        <f t="shared" si="37"/>
        <v>产能周期上行,主动去库存</v>
      </c>
      <c r="S110" s="12">
        <v>41608</v>
      </c>
      <c r="T110" s="13">
        <v>51.4</v>
      </c>
      <c r="V110" s="12">
        <v>42521</v>
      </c>
      <c r="W110" s="13">
        <v>-1.1000000000000001</v>
      </c>
      <c r="Y110" s="12">
        <v>43465</v>
      </c>
      <c r="Z110" s="13">
        <v>43.6</v>
      </c>
    </row>
    <row r="111" spans="1:26" x14ac:dyDescent="0.35">
      <c r="A111" s="8">
        <v>43312</v>
      </c>
      <c r="B111" s="9">
        <f t="shared" si="28"/>
        <v>51.2</v>
      </c>
      <c r="C111" s="9">
        <f t="shared" si="29"/>
        <v>9.5</v>
      </c>
      <c r="D111" s="9" t="e">
        <f t="shared" si="30"/>
        <v>#N/A</v>
      </c>
      <c r="E111" s="1">
        <v>0</v>
      </c>
      <c r="F111" s="1">
        <v>1</v>
      </c>
      <c r="G111" s="7">
        <v>0</v>
      </c>
      <c r="H111" s="7">
        <v>1</v>
      </c>
      <c r="I111" s="1">
        <f t="shared" si="31"/>
        <v>1</v>
      </c>
      <c r="J111" s="1">
        <f t="shared" si="32"/>
        <v>0</v>
      </c>
      <c r="K111" s="1">
        <f t="shared" si="33"/>
        <v>0</v>
      </c>
      <c r="L111" s="1">
        <f t="shared" si="34"/>
        <v>0</v>
      </c>
      <c r="M111" s="1">
        <v>1</v>
      </c>
      <c r="N111" s="1">
        <v>0</v>
      </c>
      <c r="O111" s="1" t="str">
        <f t="shared" si="35"/>
        <v>主动去库存</v>
      </c>
      <c r="P111" s="1" t="str">
        <f t="shared" si="36"/>
        <v>产能周期上行</v>
      </c>
      <c r="Q111" s="2" t="str">
        <f t="shared" si="37"/>
        <v>产能周期上行,主动去库存</v>
      </c>
      <c r="S111" s="12">
        <v>41639</v>
      </c>
      <c r="T111" s="13">
        <v>51</v>
      </c>
      <c r="V111" s="12">
        <v>42490</v>
      </c>
      <c r="W111" s="13">
        <v>-1.2</v>
      </c>
      <c r="Y111" s="12">
        <v>43555</v>
      </c>
      <c r="Z111" s="13">
        <v>41.4</v>
      </c>
    </row>
    <row r="112" spans="1:26" x14ac:dyDescent="0.35">
      <c r="A112" s="8">
        <v>43281</v>
      </c>
      <c r="B112" s="9">
        <f t="shared" si="28"/>
        <v>51.5</v>
      </c>
      <c r="C112" s="9">
        <f t="shared" si="29"/>
        <v>8.3000000000000007</v>
      </c>
      <c r="D112" s="9">
        <f t="shared" si="30"/>
        <v>43.7</v>
      </c>
      <c r="E112" s="1">
        <v>0</v>
      </c>
      <c r="F112" s="1">
        <v>1</v>
      </c>
      <c r="G112" s="7">
        <v>0</v>
      </c>
      <c r="H112" s="7">
        <v>1</v>
      </c>
      <c r="I112" s="1">
        <f t="shared" si="31"/>
        <v>1</v>
      </c>
      <c r="J112" s="1">
        <f t="shared" si="32"/>
        <v>0</v>
      </c>
      <c r="K112" s="1">
        <f t="shared" si="33"/>
        <v>0</v>
      </c>
      <c r="L112" s="1">
        <f t="shared" si="34"/>
        <v>0</v>
      </c>
      <c r="M112" s="1">
        <v>1</v>
      </c>
      <c r="N112" s="1">
        <v>0</v>
      </c>
      <c r="O112" s="1" t="str">
        <f t="shared" si="35"/>
        <v>主动去库存</v>
      </c>
      <c r="P112" s="1" t="str">
        <f t="shared" si="36"/>
        <v>产能周期上行</v>
      </c>
      <c r="Q112" s="2" t="str">
        <f t="shared" si="37"/>
        <v>产能周期上行,主动去库存</v>
      </c>
      <c r="S112" s="12">
        <v>41670</v>
      </c>
      <c r="T112" s="13">
        <v>50.5</v>
      </c>
      <c r="V112" s="12">
        <v>42460</v>
      </c>
      <c r="W112" s="13">
        <v>0</v>
      </c>
      <c r="Y112" s="12">
        <v>43646</v>
      </c>
      <c r="Z112" s="13">
        <v>42.8</v>
      </c>
    </row>
    <row r="113" spans="1:26" x14ac:dyDescent="0.35">
      <c r="A113" s="8">
        <v>43251</v>
      </c>
      <c r="B113" s="9">
        <f t="shared" si="28"/>
        <v>51.9</v>
      </c>
      <c r="C113" s="9">
        <f t="shared" si="29"/>
        <v>7.3</v>
      </c>
      <c r="D113" s="9" t="e">
        <f t="shared" si="30"/>
        <v>#N/A</v>
      </c>
      <c r="E113" s="1">
        <v>0</v>
      </c>
      <c r="F113" s="1">
        <v>1</v>
      </c>
      <c r="G113" s="7">
        <v>0</v>
      </c>
      <c r="H113" s="7">
        <v>1</v>
      </c>
      <c r="I113" s="1">
        <f t="shared" si="31"/>
        <v>1</v>
      </c>
      <c r="J113" s="1">
        <f t="shared" si="32"/>
        <v>0</v>
      </c>
      <c r="K113" s="1">
        <f t="shared" si="33"/>
        <v>0</v>
      </c>
      <c r="L113" s="1">
        <f t="shared" si="34"/>
        <v>0</v>
      </c>
      <c r="M113" s="1">
        <v>1</v>
      </c>
      <c r="N113" s="1">
        <v>0</v>
      </c>
      <c r="O113" s="1" t="str">
        <f t="shared" si="35"/>
        <v>主动去库存</v>
      </c>
      <c r="P113" s="1" t="str">
        <f t="shared" si="36"/>
        <v>产能周期上行</v>
      </c>
      <c r="Q113" s="2" t="str">
        <f t="shared" si="37"/>
        <v>产能周期上行,主动去库存</v>
      </c>
      <c r="S113" s="12">
        <v>41698</v>
      </c>
      <c r="T113" s="13">
        <v>50.2</v>
      </c>
      <c r="V113" s="12">
        <v>42429</v>
      </c>
      <c r="W113" s="13">
        <v>0.7</v>
      </c>
      <c r="Y113" s="12">
        <v>43738</v>
      </c>
      <c r="Z113" s="13">
        <v>41.4</v>
      </c>
    </row>
    <row r="114" spans="1:26" x14ac:dyDescent="0.35">
      <c r="A114" s="8">
        <v>43220</v>
      </c>
      <c r="B114" s="9">
        <f t="shared" si="28"/>
        <v>51.4</v>
      </c>
      <c r="C114" s="9">
        <f t="shared" si="29"/>
        <v>5.5</v>
      </c>
      <c r="D114" s="9" t="e">
        <f t="shared" si="30"/>
        <v>#N/A</v>
      </c>
      <c r="E114" s="1">
        <v>0</v>
      </c>
      <c r="F114" s="1">
        <v>1</v>
      </c>
      <c r="G114" s="7">
        <v>0</v>
      </c>
      <c r="H114" s="7">
        <v>1</v>
      </c>
      <c r="I114" s="1">
        <f t="shared" si="31"/>
        <v>1</v>
      </c>
      <c r="J114" s="1">
        <f t="shared" si="32"/>
        <v>0</v>
      </c>
      <c r="K114" s="1">
        <f t="shared" si="33"/>
        <v>0</v>
      </c>
      <c r="L114" s="1">
        <f t="shared" si="34"/>
        <v>0</v>
      </c>
      <c r="M114" s="1">
        <v>1</v>
      </c>
      <c r="N114" s="1">
        <v>0</v>
      </c>
      <c r="O114" s="1" t="str">
        <f t="shared" si="35"/>
        <v>主动去库存</v>
      </c>
      <c r="P114" s="1" t="str">
        <f t="shared" si="36"/>
        <v>产能周期上行</v>
      </c>
      <c r="Q114" s="2" t="str">
        <f t="shared" si="37"/>
        <v>产能周期上行,主动去库存</v>
      </c>
      <c r="S114" s="12">
        <v>41729</v>
      </c>
      <c r="T114" s="13">
        <v>50.3</v>
      </c>
      <c r="V114" s="12">
        <v>42369</v>
      </c>
      <c r="W114" s="13">
        <v>3.3</v>
      </c>
      <c r="Y114" s="12">
        <v>43830</v>
      </c>
      <c r="Z114" s="13">
        <v>42.7</v>
      </c>
    </row>
    <row r="115" spans="1:26" x14ac:dyDescent="0.35">
      <c r="A115" s="8">
        <v>43190</v>
      </c>
      <c r="B115" s="9">
        <f t="shared" si="28"/>
        <v>51.5</v>
      </c>
      <c r="C115" s="9">
        <f t="shared" si="29"/>
        <v>8.6999999999999993</v>
      </c>
      <c r="D115" s="9">
        <f t="shared" si="30"/>
        <v>41.4</v>
      </c>
      <c r="E115" s="1">
        <v>0</v>
      </c>
      <c r="F115" s="1">
        <v>1</v>
      </c>
      <c r="G115" s="7">
        <v>0</v>
      </c>
      <c r="H115" s="7">
        <v>1</v>
      </c>
      <c r="I115" s="1">
        <f t="shared" si="31"/>
        <v>1</v>
      </c>
      <c r="J115" s="1">
        <f t="shared" si="32"/>
        <v>0</v>
      </c>
      <c r="K115" s="1">
        <f t="shared" si="33"/>
        <v>0</v>
      </c>
      <c r="L115" s="1">
        <f t="shared" si="34"/>
        <v>0</v>
      </c>
      <c r="M115" s="1">
        <v>1</v>
      </c>
      <c r="N115" s="1">
        <v>0</v>
      </c>
      <c r="O115" s="1" t="str">
        <f t="shared" si="35"/>
        <v>主动去库存</v>
      </c>
      <c r="P115" s="1" t="str">
        <f t="shared" si="36"/>
        <v>产能周期上行</v>
      </c>
      <c r="Q115" s="2" t="str">
        <f t="shared" si="37"/>
        <v>产能周期上行,主动去库存</v>
      </c>
      <c r="S115" s="12">
        <v>41759</v>
      </c>
      <c r="T115" s="13">
        <v>50.4</v>
      </c>
      <c r="V115" s="12">
        <v>42338</v>
      </c>
      <c r="W115" s="13">
        <v>4.5999999999999996</v>
      </c>
      <c r="Y115" s="12">
        <v>43921</v>
      </c>
      <c r="Z115" s="13">
        <v>21.6</v>
      </c>
    </row>
    <row r="116" spans="1:26" x14ac:dyDescent="0.35">
      <c r="A116" s="8">
        <v>43159</v>
      </c>
      <c r="B116" s="9">
        <f t="shared" si="28"/>
        <v>50.3</v>
      </c>
      <c r="C116" s="9">
        <f t="shared" si="29"/>
        <v>8.6</v>
      </c>
      <c r="D116" s="9" t="e">
        <f t="shared" si="30"/>
        <v>#N/A</v>
      </c>
      <c r="E116" s="1">
        <v>0</v>
      </c>
      <c r="F116" s="1">
        <v>1</v>
      </c>
      <c r="G116" s="7">
        <v>0</v>
      </c>
      <c r="H116" s="7">
        <v>1</v>
      </c>
      <c r="I116" s="1">
        <f t="shared" si="31"/>
        <v>1</v>
      </c>
      <c r="J116" s="1">
        <f t="shared" si="32"/>
        <v>0</v>
      </c>
      <c r="K116" s="1">
        <f t="shared" si="33"/>
        <v>0</v>
      </c>
      <c r="L116" s="1">
        <f t="shared" si="34"/>
        <v>0</v>
      </c>
      <c r="M116" s="1">
        <v>1</v>
      </c>
      <c r="N116" s="1">
        <v>0</v>
      </c>
      <c r="O116" s="1" t="str">
        <f t="shared" si="35"/>
        <v>主动去库存</v>
      </c>
      <c r="P116" s="1" t="str">
        <f t="shared" si="36"/>
        <v>产能周期上行</v>
      </c>
      <c r="Q116" s="2" t="str">
        <f t="shared" si="37"/>
        <v>产能周期上行,主动去库存</v>
      </c>
      <c r="S116" s="12">
        <v>41790</v>
      </c>
      <c r="T116" s="13">
        <v>50.8</v>
      </c>
      <c r="V116" s="12">
        <v>42308</v>
      </c>
      <c r="W116" s="13">
        <v>4.5</v>
      </c>
      <c r="Y116" s="12">
        <v>44012</v>
      </c>
      <c r="Z116" s="13">
        <v>38.1</v>
      </c>
    </row>
    <row r="117" spans="1:26" x14ac:dyDescent="0.35">
      <c r="A117" s="8">
        <v>43131</v>
      </c>
      <c r="B117" s="9">
        <f t="shared" si="28"/>
        <v>51.3</v>
      </c>
      <c r="C117" s="9" t="e">
        <f t="shared" si="29"/>
        <v>#N/A</v>
      </c>
      <c r="D117" s="9" t="e">
        <f t="shared" si="30"/>
        <v>#N/A</v>
      </c>
      <c r="E117" s="1">
        <v>0</v>
      </c>
      <c r="F117" s="1">
        <v>1</v>
      </c>
      <c r="G117" s="7">
        <v>0</v>
      </c>
      <c r="H117" s="7">
        <v>1</v>
      </c>
      <c r="I117" s="1">
        <f t="shared" si="31"/>
        <v>1</v>
      </c>
      <c r="J117" s="1">
        <f t="shared" si="32"/>
        <v>0</v>
      </c>
      <c r="K117" s="1">
        <f t="shared" si="33"/>
        <v>0</v>
      </c>
      <c r="L117" s="1">
        <f t="shared" si="34"/>
        <v>0</v>
      </c>
      <c r="M117" s="1">
        <v>1</v>
      </c>
      <c r="N117" s="1">
        <v>0</v>
      </c>
      <c r="O117" s="1" t="str">
        <f t="shared" si="35"/>
        <v>主动去库存</v>
      </c>
      <c r="P117" s="1" t="str">
        <f t="shared" si="36"/>
        <v>产能周期上行</v>
      </c>
      <c r="Q117" s="2" t="str">
        <f t="shared" si="37"/>
        <v>产能周期上行,主动去库存</v>
      </c>
      <c r="S117" s="12">
        <v>41820</v>
      </c>
      <c r="T117" s="13">
        <v>51</v>
      </c>
      <c r="V117" s="12">
        <v>42277</v>
      </c>
      <c r="W117" s="13">
        <v>4.9000000000000004</v>
      </c>
      <c r="Y117" s="12">
        <v>44104</v>
      </c>
      <c r="Z117" s="13">
        <v>40.299999999999997</v>
      </c>
    </row>
    <row r="118" spans="1:26" x14ac:dyDescent="0.35">
      <c r="A118" s="8">
        <v>43100</v>
      </c>
      <c r="B118" s="9">
        <f t="shared" si="28"/>
        <v>51.6</v>
      </c>
      <c r="C118" s="9">
        <f t="shared" si="29"/>
        <v>8.5</v>
      </c>
      <c r="D118" s="9">
        <f t="shared" si="30"/>
        <v>43.8</v>
      </c>
      <c r="E118" s="1">
        <v>0</v>
      </c>
      <c r="F118" s="1">
        <v>1</v>
      </c>
      <c r="G118" s="7">
        <v>0</v>
      </c>
      <c r="H118" s="7">
        <v>1</v>
      </c>
      <c r="I118" s="1">
        <f t="shared" si="31"/>
        <v>1</v>
      </c>
      <c r="J118" s="1">
        <f t="shared" si="32"/>
        <v>0</v>
      </c>
      <c r="K118" s="1">
        <f t="shared" si="33"/>
        <v>0</v>
      </c>
      <c r="L118" s="1">
        <f t="shared" si="34"/>
        <v>0</v>
      </c>
      <c r="M118" s="1">
        <v>1</v>
      </c>
      <c r="N118" s="1">
        <v>0</v>
      </c>
      <c r="O118" s="1" t="str">
        <f t="shared" si="35"/>
        <v>主动去库存</v>
      </c>
      <c r="P118" s="1" t="str">
        <f t="shared" si="36"/>
        <v>产能周期上行</v>
      </c>
      <c r="Q118" s="2" t="str">
        <f t="shared" si="37"/>
        <v>产能周期上行,主动去库存</v>
      </c>
      <c r="S118" s="12">
        <v>41851</v>
      </c>
      <c r="T118" s="13">
        <v>51.7</v>
      </c>
      <c r="V118" s="12">
        <v>42247</v>
      </c>
      <c r="W118" s="13">
        <v>5.7</v>
      </c>
      <c r="Y118" s="12">
        <v>44196</v>
      </c>
      <c r="Z118" s="13">
        <v>44.4</v>
      </c>
    </row>
    <row r="119" spans="1:26" x14ac:dyDescent="0.35">
      <c r="A119" s="8">
        <v>43069</v>
      </c>
      <c r="B119" s="9">
        <f t="shared" si="28"/>
        <v>51.8</v>
      </c>
      <c r="C119" s="9">
        <f t="shared" si="29"/>
        <v>9</v>
      </c>
      <c r="D119" s="9" t="e">
        <f t="shared" si="30"/>
        <v>#N/A</v>
      </c>
      <c r="E119" s="1">
        <v>0</v>
      </c>
      <c r="F119" s="1">
        <v>1</v>
      </c>
      <c r="G119" s="7">
        <v>0</v>
      </c>
      <c r="H119" s="7">
        <v>1</v>
      </c>
      <c r="I119" s="1">
        <f t="shared" si="31"/>
        <v>1</v>
      </c>
      <c r="J119" s="1">
        <f t="shared" si="32"/>
        <v>0</v>
      </c>
      <c r="K119" s="1">
        <f t="shared" si="33"/>
        <v>0</v>
      </c>
      <c r="L119" s="1">
        <f t="shared" si="34"/>
        <v>0</v>
      </c>
      <c r="M119" s="1">
        <v>1</v>
      </c>
      <c r="N119" s="1">
        <v>0</v>
      </c>
      <c r="O119" s="1" t="str">
        <f t="shared" si="35"/>
        <v>主动去库存</v>
      </c>
      <c r="P119" s="1" t="str">
        <f t="shared" si="36"/>
        <v>产能周期上行</v>
      </c>
      <c r="Q119" s="2" t="str">
        <f t="shared" si="37"/>
        <v>产能周期上行,主动去库存</v>
      </c>
      <c r="S119" s="12">
        <v>41882</v>
      </c>
      <c r="T119" s="13">
        <v>51.1</v>
      </c>
      <c r="V119" s="12">
        <v>42216</v>
      </c>
      <c r="W119" s="13">
        <v>6.8</v>
      </c>
      <c r="Y119" s="12">
        <v>44286</v>
      </c>
      <c r="Z119" s="13">
        <v>42.4</v>
      </c>
    </row>
    <row r="120" spans="1:26" x14ac:dyDescent="0.35">
      <c r="A120" s="8">
        <v>43039</v>
      </c>
      <c r="B120" s="9">
        <f t="shared" si="28"/>
        <v>51.6</v>
      </c>
      <c r="C120" s="9">
        <f t="shared" si="29"/>
        <v>9</v>
      </c>
      <c r="D120" s="9" t="e">
        <f t="shared" si="30"/>
        <v>#N/A</v>
      </c>
      <c r="E120" s="1">
        <v>0</v>
      </c>
      <c r="F120" s="1">
        <v>1</v>
      </c>
      <c r="G120" s="7">
        <v>0</v>
      </c>
      <c r="H120" s="7">
        <v>1</v>
      </c>
      <c r="I120" s="1">
        <f t="shared" si="31"/>
        <v>1</v>
      </c>
      <c r="J120" s="1">
        <f t="shared" si="32"/>
        <v>0</v>
      </c>
      <c r="K120" s="1">
        <f t="shared" si="33"/>
        <v>0</v>
      </c>
      <c r="L120" s="1">
        <f t="shared" si="34"/>
        <v>0</v>
      </c>
      <c r="M120" s="1">
        <v>1</v>
      </c>
      <c r="N120" s="1">
        <v>0</v>
      </c>
      <c r="O120" s="1" t="str">
        <f t="shared" si="35"/>
        <v>主动去库存</v>
      </c>
      <c r="P120" s="1" t="str">
        <f t="shared" si="36"/>
        <v>产能周期上行</v>
      </c>
      <c r="Q120" s="2" t="str">
        <f t="shared" si="37"/>
        <v>产能周期上行,主动去库存</v>
      </c>
      <c r="S120" s="12">
        <v>41912</v>
      </c>
      <c r="T120" s="13">
        <v>51.1</v>
      </c>
      <c r="V120" s="12">
        <v>42185</v>
      </c>
      <c r="W120" s="13">
        <v>7.4</v>
      </c>
      <c r="Y120" s="12">
        <v>44377</v>
      </c>
      <c r="Z120" s="13">
        <v>45.8</v>
      </c>
    </row>
    <row r="121" spans="1:26" x14ac:dyDescent="0.35">
      <c r="A121" s="8">
        <v>43008</v>
      </c>
      <c r="B121" s="10">
        <f t="shared" si="28"/>
        <v>52.4</v>
      </c>
      <c r="C121" s="9">
        <f t="shared" si="29"/>
        <v>7.8</v>
      </c>
      <c r="D121" s="9">
        <f t="shared" si="30"/>
        <v>41.3</v>
      </c>
      <c r="E121" s="1">
        <v>0</v>
      </c>
      <c r="F121" s="1">
        <v>1</v>
      </c>
      <c r="G121" s="7">
        <v>0</v>
      </c>
      <c r="H121" s="7">
        <v>1</v>
      </c>
      <c r="I121" s="1">
        <f t="shared" si="31"/>
        <v>1</v>
      </c>
      <c r="J121" s="1">
        <f t="shared" si="32"/>
        <v>0</v>
      </c>
      <c r="K121" s="1">
        <f t="shared" si="33"/>
        <v>0</v>
      </c>
      <c r="L121" s="1">
        <f t="shared" si="34"/>
        <v>0</v>
      </c>
      <c r="M121" s="1">
        <v>1</v>
      </c>
      <c r="N121" s="1">
        <v>0</v>
      </c>
      <c r="O121" s="1" t="str">
        <f t="shared" si="35"/>
        <v>主动去库存</v>
      </c>
      <c r="P121" s="1" t="str">
        <f t="shared" si="36"/>
        <v>产能周期上行</v>
      </c>
      <c r="Q121" s="2" t="str">
        <f t="shared" si="37"/>
        <v>产能周期上行,主动去库存</v>
      </c>
      <c r="S121" s="12">
        <v>41943</v>
      </c>
      <c r="T121" s="13">
        <v>50.8</v>
      </c>
      <c r="V121" s="12">
        <v>42155</v>
      </c>
      <c r="W121" s="13">
        <v>7.1</v>
      </c>
      <c r="Y121" s="12">
        <v>44469</v>
      </c>
      <c r="Z121" s="13">
        <v>43.4</v>
      </c>
    </row>
    <row r="122" spans="1:26" x14ac:dyDescent="0.35">
      <c r="A122" s="8">
        <v>42978</v>
      </c>
      <c r="B122" s="9">
        <f t="shared" si="28"/>
        <v>51.7</v>
      </c>
      <c r="C122" s="9">
        <f t="shared" si="29"/>
        <v>7.9</v>
      </c>
      <c r="D122" s="9" t="e">
        <f t="shared" si="30"/>
        <v>#N/A</v>
      </c>
      <c r="E122" s="1">
        <v>0</v>
      </c>
      <c r="F122" s="1">
        <v>1</v>
      </c>
      <c r="G122" s="7">
        <v>1</v>
      </c>
      <c r="H122" s="7">
        <v>0</v>
      </c>
      <c r="I122" s="1">
        <f t="shared" si="31"/>
        <v>0</v>
      </c>
      <c r="J122" s="1">
        <f t="shared" si="32"/>
        <v>0</v>
      </c>
      <c r="K122" s="1">
        <f t="shared" si="33"/>
        <v>1</v>
      </c>
      <c r="L122" s="1">
        <f t="shared" si="34"/>
        <v>0</v>
      </c>
      <c r="M122" s="1">
        <v>1</v>
      </c>
      <c r="N122" s="1">
        <v>0</v>
      </c>
      <c r="O122" s="1" t="str">
        <f t="shared" si="35"/>
        <v>被动去库存</v>
      </c>
      <c r="P122" s="1" t="str">
        <f t="shared" si="36"/>
        <v>产能周期上行</v>
      </c>
      <c r="Q122" s="2" t="str">
        <f t="shared" si="37"/>
        <v>产能周期上行,被动去库存</v>
      </c>
      <c r="S122" s="12">
        <v>41973</v>
      </c>
      <c r="T122" s="13">
        <v>50.3</v>
      </c>
      <c r="V122" s="12">
        <v>42124</v>
      </c>
      <c r="W122" s="13">
        <v>7</v>
      </c>
      <c r="Y122" s="12">
        <v>44561</v>
      </c>
      <c r="Z122" s="13">
        <v>43.1</v>
      </c>
    </row>
    <row r="123" spans="1:26" x14ac:dyDescent="0.35">
      <c r="A123" s="8">
        <v>42947</v>
      </c>
      <c r="B123" s="9">
        <f t="shared" si="28"/>
        <v>51.4</v>
      </c>
      <c r="C123" s="9">
        <f t="shared" si="29"/>
        <v>8</v>
      </c>
      <c r="D123" s="9" t="e">
        <f t="shared" si="30"/>
        <v>#N/A</v>
      </c>
      <c r="E123" s="1">
        <v>0</v>
      </c>
      <c r="F123" s="1">
        <v>1</v>
      </c>
      <c r="G123" s="7">
        <v>1</v>
      </c>
      <c r="H123" s="7">
        <v>0</v>
      </c>
      <c r="I123" s="1">
        <f t="shared" si="31"/>
        <v>0</v>
      </c>
      <c r="J123" s="1">
        <f t="shared" si="32"/>
        <v>0</v>
      </c>
      <c r="K123" s="1">
        <f t="shared" si="33"/>
        <v>1</v>
      </c>
      <c r="L123" s="1">
        <f t="shared" si="34"/>
        <v>0</v>
      </c>
      <c r="M123" s="1">
        <v>1</v>
      </c>
      <c r="N123" s="1">
        <v>0</v>
      </c>
      <c r="O123" s="1" t="str">
        <f t="shared" si="35"/>
        <v>被动去库存</v>
      </c>
      <c r="P123" s="1" t="str">
        <f t="shared" si="36"/>
        <v>产能周期上行</v>
      </c>
      <c r="Q123" s="2" t="str">
        <f t="shared" si="37"/>
        <v>产能周期上行,被动去库存</v>
      </c>
      <c r="S123" s="12">
        <v>42004</v>
      </c>
      <c r="T123" s="13">
        <v>50.1</v>
      </c>
      <c r="V123" s="12">
        <v>42094</v>
      </c>
      <c r="W123" s="13">
        <v>7.7</v>
      </c>
      <c r="Y123" s="12">
        <v>44651</v>
      </c>
      <c r="Z123" s="13">
        <v>40.700000000000003</v>
      </c>
    </row>
    <row r="124" spans="1:26" x14ac:dyDescent="0.35">
      <c r="A124" s="8">
        <v>42916</v>
      </c>
      <c r="B124" s="9">
        <f t="shared" si="28"/>
        <v>51.7</v>
      </c>
      <c r="C124" s="9">
        <f t="shared" si="29"/>
        <v>8.6</v>
      </c>
      <c r="D124" s="9">
        <f t="shared" si="30"/>
        <v>41.1</v>
      </c>
      <c r="E124" s="1">
        <v>0</v>
      </c>
      <c r="F124" s="1">
        <v>1</v>
      </c>
      <c r="G124" s="7">
        <v>1</v>
      </c>
      <c r="H124" s="7">
        <v>0</v>
      </c>
      <c r="I124" s="1">
        <f t="shared" si="31"/>
        <v>0</v>
      </c>
      <c r="J124" s="1">
        <f t="shared" si="32"/>
        <v>0</v>
      </c>
      <c r="K124" s="1">
        <f t="shared" si="33"/>
        <v>1</v>
      </c>
      <c r="L124" s="1">
        <f t="shared" si="34"/>
        <v>0</v>
      </c>
      <c r="M124" s="1">
        <v>1</v>
      </c>
      <c r="N124" s="1">
        <v>0</v>
      </c>
      <c r="O124" s="1" t="str">
        <f t="shared" si="35"/>
        <v>被动去库存</v>
      </c>
      <c r="P124" s="1" t="str">
        <f t="shared" si="36"/>
        <v>产能周期上行</v>
      </c>
      <c r="Q124" s="2" t="str">
        <f t="shared" si="37"/>
        <v>产能周期上行,被动去库存</v>
      </c>
      <c r="S124" s="12">
        <v>42035</v>
      </c>
      <c r="T124" s="13">
        <v>49.8</v>
      </c>
      <c r="V124" s="12">
        <v>42063</v>
      </c>
      <c r="W124" s="13">
        <v>8.5</v>
      </c>
      <c r="Y124" s="12">
        <v>44742</v>
      </c>
      <c r="Z124" s="13">
        <v>37.200000000000003</v>
      </c>
    </row>
    <row r="125" spans="1:26" x14ac:dyDescent="0.35">
      <c r="A125" s="8">
        <v>42886</v>
      </c>
      <c r="B125" s="9">
        <f t="shared" si="28"/>
        <v>51.2</v>
      </c>
      <c r="C125" s="9">
        <f t="shared" si="29"/>
        <v>9.3000000000000007</v>
      </c>
      <c r="D125" s="9" t="e">
        <f t="shared" si="30"/>
        <v>#N/A</v>
      </c>
      <c r="E125" s="1">
        <v>0</v>
      </c>
      <c r="F125" s="1">
        <v>1</v>
      </c>
      <c r="G125" s="7">
        <v>1</v>
      </c>
      <c r="H125" s="7">
        <v>0</v>
      </c>
      <c r="I125" s="1">
        <f t="shared" si="31"/>
        <v>0</v>
      </c>
      <c r="J125" s="1">
        <f t="shared" si="32"/>
        <v>0</v>
      </c>
      <c r="K125" s="1">
        <f t="shared" si="33"/>
        <v>1</v>
      </c>
      <c r="L125" s="1">
        <f t="shared" si="34"/>
        <v>0</v>
      </c>
      <c r="M125" s="1">
        <v>1</v>
      </c>
      <c r="N125" s="1">
        <v>0</v>
      </c>
      <c r="O125" s="1" t="str">
        <f t="shared" si="35"/>
        <v>被动去库存</v>
      </c>
      <c r="P125" s="1" t="str">
        <f t="shared" si="36"/>
        <v>产能周期上行</v>
      </c>
      <c r="Q125" s="2" t="str">
        <f t="shared" si="37"/>
        <v>产能周期上行,被动去库存</v>
      </c>
      <c r="S125" s="12">
        <v>42063</v>
      </c>
      <c r="T125" s="13">
        <v>49.9</v>
      </c>
      <c r="V125" s="12">
        <v>42004</v>
      </c>
      <c r="W125" s="13">
        <v>12.6</v>
      </c>
      <c r="Y125" s="12">
        <v>44834</v>
      </c>
      <c r="Z125" s="13">
        <v>37.200000000000003</v>
      </c>
    </row>
    <row r="126" spans="1:26" x14ac:dyDescent="0.35">
      <c r="A126" s="8">
        <v>42855</v>
      </c>
      <c r="B126" s="9">
        <f t="shared" si="28"/>
        <v>51.2</v>
      </c>
      <c r="C126" s="9">
        <f t="shared" si="29"/>
        <v>10.4</v>
      </c>
      <c r="D126" s="9" t="e">
        <f t="shared" si="30"/>
        <v>#N/A</v>
      </c>
      <c r="E126" s="1">
        <v>1</v>
      </c>
      <c r="F126" s="1">
        <v>0</v>
      </c>
      <c r="G126" s="7">
        <v>1</v>
      </c>
      <c r="H126" s="7">
        <v>0</v>
      </c>
      <c r="I126" s="1">
        <f t="shared" si="31"/>
        <v>0</v>
      </c>
      <c r="J126" s="1">
        <f t="shared" si="32"/>
        <v>0</v>
      </c>
      <c r="K126" s="1">
        <f t="shared" si="33"/>
        <v>0</v>
      </c>
      <c r="L126" s="1">
        <f t="shared" si="34"/>
        <v>1</v>
      </c>
      <c r="M126" s="1">
        <v>1</v>
      </c>
      <c r="N126" s="1">
        <v>0</v>
      </c>
      <c r="O126" s="1" t="str">
        <f t="shared" si="35"/>
        <v>主动补库存</v>
      </c>
      <c r="P126" s="1" t="str">
        <f t="shared" si="36"/>
        <v>产能周期上行</v>
      </c>
      <c r="Q126" s="2" t="str">
        <f t="shared" si="37"/>
        <v>产能周期上行,主动补库存</v>
      </c>
      <c r="S126" s="12">
        <v>42094</v>
      </c>
      <c r="T126" s="13">
        <v>50.1</v>
      </c>
      <c r="V126" s="12">
        <v>41973</v>
      </c>
      <c r="W126" s="13">
        <v>13.6</v>
      </c>
      <c r="Y126" s="12">
        <v>44926</v>
      </c>
      <c r="Z126" s="13">
        <v>36.4</v>
      </c>
    </row>
    <row r="127" spans="1:26" x14ac:dyDescent="0.35">
      <c r="A127" s="8">
        <v>42825</v>
      </c>
      <c r="B127" s="9">
        <f t="shared" si="28"/>
        <v>51.8</v>
      </c>
      <c r="C127" s="9">
        <f t="shared" si="29"/>
        <v>8.1999999999999993</v>
      </c>
      <c r="D127" s="9">
        <f t="shared" si="30"/>
        <v>38.700000000000003</v>
      </c>
      <c r="E127" s="1">
        <v>1</v>
      </c>
      <c r="F127" s="1">
        <v>0</v>
      </c>
      <c r="G127" s="7">
        <v>1</v>
      </c>
      <c r="H127" s="7">
        <v>0</v>
      </c>
      <c r="I127" s="1">
        <f t="shared" si="31"/>
        <v>0</v>
      </c>
      <c r="J127" s="1">
        <f t="shared" si="32"/>
        <v>0</v>
      </c>
      <c r="K127" s="1">
        <f t="shared" si="33"/>
        <v>0</v>
      </c>
      <c r="L127" s="1">
        <f t="shared" si="34"/>
        <v>1</v>
      </c>
      <c r="M127" s="1">
        <v>1</v>
      </c>
      <c r="N127" s="1">
        <v>0</v>
      </c>
      <c r="O127" s="1" t="str">
        <f t="shared" si="35"/>
        <v>主动补库存</v>
      </c>
      <c r="P127" s="1" t="str">
        <f t="shared" si="36"/>
        <v>产能周期上行</v>
      </c>
      <c r="Q127" s="2" t="str">
        <f t="shared" si="37"/>
        <v>产能周期上行,主动补库存</v>
      </c>
      <c r="S127" s="12">
        <v>42124</v>
      </c>
      <c r="T127" s="13">
        <v>50.1</v>
      </c>
      <c r="V127" s="12">
        <v>41943</v>
      </c>
      <c r="W127" s="13">
        <v>14.4</v>
      </c>
      <c r="Y127" s="12">
        <v>45016</v>
      </c>
      <c r="Z127" s="13">
        <v>37.700000000000003</v>
      </c>
    </row>
    <row r="128" spans="1:26" x14ac:dyDescent="0.35">
      <c r="A128" s="8">
        <v>42794</v>
      </c>
      <c r="B128" s="9">
        <f t="shared" si="28"/>
        <v>51.6</v>
      </c>
      <c r="C128" s="9">
        <f t="shared" si="29"/>
        <v>6.1</v>
      </c>
      <c r="D128" s="9" t="e">
        <f t="shared" si="30"/>
        <v>#N/A</v>
      </c>
      <c r="E128" s="1">
        <v>1</v>
      </c>
      <c r="F128" s="1">
        <v>0</v>
      </c>
      <c r="G128" s="7">
        <v>1</v>
      </c>
      <c r="H128" s="7">
        <v>0</v>
      </c>
      <c r="I128" s="1">
        <f t="shared" si="31"/>
        <v>0</v>
      </c>
      <c r="J128" s="1">
        <f t="shared" si="32"/>
        <v>0</v>
      </c>
      <c r="K128" s="1">
        <f t="shared" si="33"/>
        <v>0</v>
      </c>
      <c r="L128" s="1">
        <f t="shared" si="34"/>
        <v>1</v>
      </c>
      <c r="M128" s="1">
        <v>1</v>
      </c>
      <c r="N128" s="1">
        <v>0</v>
      </c>
      <c r="O128" s="1" t="str">
        <f t="shared" si="35"/>
        <v>主动补库存</v>
      </c>
      <c r="P128" s="1" t="str">
        <f t="shared" si="36"/>
        <v>产能周期上行</v>
      </c>
      <c r="Q128" s="2" t="str">
        <f t="shared" si="37"/>
        <v>产能周期上行,主动补库存</v>
      </c>
      <c r="S128" s="12">
        <v>42155</v>
      </c>
      <c r="T128" s="13">
        <v>50.2</v>
      </c>
      <c r="V128" s="12">
        <v>41912</v>
      </c>
      <c r="W128" s="13">
        <v>15.1</v>
      </c>
      <c r="Y128" s="12">
        <v>45107</v>
      </c>
      <c r="Z128" s="13">
        <v>38.9</v>
      </c>
    </row>
    <row r="129" spans="1:26" x14ac:dyDescent="0.35">
      <c r="A129" s="8">
        <v>42766</v>
      </c>
      <c r="B129" s="9">
        <f t="shared" si="28"/>
        <v>51.3</v>
      </c>
      <c r="C129" s="9" t="e">
        <f t="shared" si="29"/>
        <v>#N/A</v>
      </c>
      <c r="D129" s="9" t="e">
        <f t="shared" si="30"/>
        <v>#N/A</v>
      </c>
      <c r="E129" s="1">
        <v>1</v>
      </c>
      <c r="F129" s="1">
        <v>0</v>
      </c>
      <c r="G129" s="7">
        <v>1</v>
      </c>
      <c r="H129" s="7">
        <v>0</v>
      </c>
      <c r="I129" s="1">
        <f t="shared" si="31"/>
        <v>0</v>
      </c>
      <c r="J129" s="1">
        <f t="shared" si="32"/>
        <v>0</v>
      </c>
      <c r="K129" s="1">
        <f t="shared" si="33"/>
        <v>0</v>
      </c>
      <c r="L129" s="1">
        <f t="shared" si="34"/>
        <v>1</v>
      </c>
      <c r="M129" s="1">
        <v>1</v>
      </c>
      <c r="N129" s="1">
        <v>0</v>
      </c>
      <c r="O129" s="1" t="str">
        <f t="shared" si="35"/>
        <v>主动补库存</v>
      </c>
      <c r="P129" s="1" t="str">
        <f t="shared" si="36"/>
        <v>产能周期上行</v>
      </c>
      <c r="Q129" s="2" t="str">
        <f t="shared" si="37"/>
        <v>产能周期上行,主动补库存</v>
      </c>
      <c r="S129" s="12">
        <v>42185</v>
      </c>
      <c r="T129" s="13">
        <v>50.2</v>
      </c>
      <c r="V129" s="12">
        <v>41882</v>
      </c>
      <c r="W129" s="13">
        <v>15.6</v>
      </c>
      <c r="Y129" s="12">
        <v>45199</v>
      </c>
      <c r="Z129" s="13">
        <v>38.799999999999997</v>
      </c>
    </row>
    <row r="130" spans="1:26" x14ac:dyDescent="0.35">
      <c r="A130" s="8">
        <v>42735</v>
      </c>
      <c r="B130" s="9">
        <f t="shared" si="28"/>
        <v>51.4</v>
      </c>
      <c r="C130" s="9">
        <f t="shared" si="29"/>
        <v>3.2</v>
      </c>
      <c r="D130" s="9">
        <f t="shared" si="30"/>
        <v>40.1</v>
      </c>
      <c r="E130" s="1">
        <v>1</v>
      </c>
      <c r="F130" s="1">
        <v>0</v>
      </c>
      <c r="G130" s="7">
        <v>1</v>
      </c>
      <c r="H130" s="7">
        <v>0</v>
      </c>
      <c r="I130" s="1">
        <f t="shared" si="31"/>
        <v>0</v>
      </c>
      <c r="J130" s="1">
        <f t="shared" si="32"/>
        <v>0</v>
      </c>
      <c r="K130" s="1">
        <f t="shared" si="33"/>
        <v>0</v>
      </c>
      <c r="L130" s="1">
        <f t="shared" si="34"/>
        <v>1</v>
      </c>
      <c r="M130" s="1">
        <v>1</v>
      </c>
      <c r="N130" s="1">
        <v>0</v>
      </c>
      <c r="O130" s="1" t="str">
        <f t="shared" si="35"/>
        <v>主动补库存</v>
      </c>
      <c r="P130" s="1" t="str">
        <f t="shared" si="36"/>
        <v>产能周期上行</v>
      </c>
      <c r="Q130" s="2" t="str">
        <f t="shared" si="37"/>
        <v>产能周期上行,主动补库存</v>
      </c>
      <c r="S130" s="12">
        <v>42216</v>
      </c>
      <c r="T130" s="13">
        <v>50</v>
      </c>
      <c r="V130" s="12">
        <v>41851</v>
      </c>
      <c r="W130" s="13">
        <v>14.6</v>
      </c>
      <c r="Y130" s="12">
        <v>45291</v>
      </c>
      <c r="Z130" s="13">
        <v>40.1</v>
      </c>
    </row>
    <row r="131" spans="1:26" x14ac:dyDescent="0.35">
      <c r="A131" s="8">
        <v>42704</v>
      </c>
      <c r="B131" s="9">
        <f t="shared" si="28"/>
        <v>51.7</v>
      </c>
      <c r="C131" s="9">
        <f t="shared" si="29"/>
        <v>0.5</v>
      </c>
      <c r="D131" s="9" t="e">
        <f t="shared" si="30"/>
        <v>#N/A</v>
      </c>
      <c r="E131" s="1">
        <v>1</v>
      </c>
      <c r="F131" s="1">
        <v>0</v>
      </c>
      <c r="G131" s="7">
        <v>1</v>
      </c>
      <c r="H131" s="7">
        <v>0</v>
      </c>
      <c r="I131" s="1">
        <f t="shared" si="31"/>
        <v>0</v>
      </c>
      <c r="J131" s="1">
        <f t="shared" si="32"/>
        <v>0</v>
      </c>
      <c r="K131" s="1">
        <f t="shared" si="33"/>
        <v>0</v>
      </c>
      <c r="L131" s="1">
        <f t="shared" si="34"/>
        <v>1</v>
      </c>
      <c r="M131" s="1">
        <v>1</v>
      </c>
      <c r="N131" s="1">
        <v>0</v>
      </c>
      <c r="O131" s="1" t="str">
        <f t="shared" si="35"/>
        <v>主动补库存</v>
      </c>
      <c r="P131" s="1" t="str">
        <f t="shared" si="36"/>
        <v>产能周期上行</v>
      </c>
      <c r="Q131" s="2" t="str">
        <f t="shared" si="37"/>
        <v>产能周期上行,主动补库存</v>
      </c>
      <c r="S131" s="12">
        <v>42247</v>
      </c>
      <c r="T131" s="13">
        <v>49.7</v>
      </c>
      <c r="V131" s="12">
        <v>41820</v>
      </c>
      <c r="W131" s="13">
        <v>12.6</v>
      </c>
      <c r="Y131" s="12">
        <v>45382</v>
      </c>
      <c r="Z131" s="13">
        <v>38</v>
      </c>
    </row>
    <row r="132" spans="1:26" x14ac:dyDescent="0.35">
      <c r="A132" s="8">
        <v>42674</v>
      </c>
      <c r="B132" s="9">
        <f t="shared" si="28"/>
        <v>51.2</v>
      </c>
      <c r="C132" s="9">
        <f t="shared" si="29"/>
        <v>-0.3</v>
      </c>
      <c r="D132" s="9" t="e">
        <f t="shared" si="30"/>
        <v>#N/A</v>
      </c>
      <c r="E132" s="1">
        <v>1</v>
      </c>
      <c r="F132" s="1">
        <v>0</v>
      </c>
      <c r="G132" s="7">
        <v>1</v>
      </c>
      <c r="H132" s="7">
        <v>0</v>
      </c>
      <c r="I132" s="1">
        <f t="shared" si="31"/>
        <v>0</v>
      </c>
      <c r="J132" s="1">
        <f t="shared" si="32"/>
        <v>0</v>
      </c>
      <c r="K132" s="1">
        <f t="shared" si="33"/>
        <v>0</v>
      </c>
      <c r="L132" s="1">
        <f t="shared" si="34"/>
        <v>1</v>
      </c>
      <c r="M132" s="1">
        <v>1</v>
      </c>
      <c r="N132" s="1">
        <v>0</v>
      </c>
      <c r="O132" s="1" t="str">
        <f t="shared" si="35"/>
        <v>主动补库存</v>
      </c>
      <c r="P132" s="1" t="str">
        <f t="shared" si="36"/>
        <v>产能周期上行</v>
      </c>
      <c r="Q132" s="2" t="str">
        <f t="shared" si="37"/>
        <v>产能周期上行,主动补库存</v>
      </c>
      <c r="S132" s="12">
        <v>42277</v>
      </c>
      <c r="T132" s="13">
        <v>49.8</v>
      </c>
      <c r="V132" s="12">
        <v>41790</v>
      </c>
      <c r="W132" s="13">
        <v>12.5</v>
      </c>
      <c r="Y132" s="12">
        <v>45473</v>
      </c>
      <c r="Z132" s="13">
        <v>40</v>
      </c>
    </row>
    <row r="133" spans="1:26" x14ac:dyDescent="0.35">
      <c r="A133" s="8">
        <v>42643</v>
      </c>
      <c r="B133" s="9">
        <f t="shared" si="28"/>
        <v>50.4</v>
      </c>
      <c r="C133" s="9">
        <f t="shared" si="29"/>
        <v>-0.8</v>
      </c>
      <c r="D133" s="9">
        <f t="shared" si="30"/>
        <v>37.700000000000003</v>
      </c>
      <c r="E133" s="1">
        <v>1</v>
      </c>
      <c r="F133" s="1">
        <v>0</v>
      </c>
      <c r="G133" s="7">
        <v>1</v>
      </c>
      <c r="H133" s="7">
        <v>0</v>
      </c>
      <c r="I133" s="1">
        <f t="shared" si="31"/>
        <v>0</v>
      </c>
      <c r="J133" s="1">
        <f t="shared" si="32"/>
        <v>0</v>
      </c>
      <c r="K133" s="1">
        <f t="shared" si="33"/>
        <v>0</v>
      </c>
      <c r="L133" s="1">
        <f t="shared" si="34"/>
        <v>1</v>
      </c>
      <c r="M133" s="1">
        <v>1</v>
      </c>
      <c r="N133" s="1">
        <v>0</v>
      </c>
      <c r="O133" s="1" t="str">
        <f t="shared" si="35"/>
        <v>主动补库存</v>
      </c>
      <c r="P133" s="1" t="str">
        <f t="shared" si="36"/>
        <v>产能周期上行</v>
      </c>
      <c r="Q133" s="2" t="str">
        <f t="shared" si="37"/>
        <v>产能周期上行,主动补库存</v>
      </c>
      <c r="S133" s="12">
        <v>42308</v>
      </c>
      <c r="T133" s="13">
        <v>49.8</v>
      </c>
      <c r="V133" s="12">
        <v>41759</v>
      </c>
      <c r="W133" s="13">
        <v>12</v>
      </c>
      <c r="Y133" s="12">
        <v>45565</v>
      </c>
      <c r="Z133" s="13">
        <v>39</v>
      </c>
    </row>
    <row r="134" spans="1:26" x14ac:dyDescent="0.35">
      <c r="A134" s="8">
        <v>42613</v>
      </c>
      <c r="B134" s="9">
        <f t="shared" si="28"/>
        <v>50.4</v>
      </c>
      <c r="C134" s="9">
        <f t="shared" si="29"/>
        <v>-1.6</v>
      </c>
      <c r="D134" s="9" t="e">
        <f t="shared" si="30"/>
        <v>#N/A</v>
      </c>
      <c r="E134" s="1">
        <v>1</v>
      </c>
      <c r="F134" s="1">
        <v>0</v>
      </c>
      <c r="G134" s="7">
        <v>1</v>
      </c>
      <c r="H134" s="7">
        <v>0</v>
      </c>
      <c r="I134" s="1">
        <f t="shared" si="31"/>
        <v>0</v>
      </c>
      <c r="J134" s="1">
        <f t="shared" si="32"/>
        <v>0</v>
      </c>
      <c r="K134" s="1">
        <f t="shared" si="33"/>
        <v>0</v>
      </c>
      <c r="L134" s="1">
        <f t="shared" si="34"/>
        <v>1</v>
      </c>
      <c r="M134" s="1">
        <v>1</v>
      </c>
      <c r="N134" s="1">
        <v>0</v>
      </c>
      <c r="O134" s="1" t="str">
        <f t="shared" si="35"/>
        <v>主动补库存</v>
      </c>
      <c r="P134" s="1" t="str">
        <f t="shared" si="36"/>
        <v>产能周期上行</v>
      </c>
      <c r="Q134" s="2" t="str">
        <f t="shared" si="37"/>
        <v>产能周期上行,主动补库存</v>
      </c>
      <c r="S134" s="12">
        <v>42338</v>
      </c>
      <c r="T134" s="13">
        <v>49.6</v>
      </c>
      <c r="V134" s="12">
        <v>41729</v>
      </c>
      <c r="W134" s="13">
        <v>10.7</v>
      </c>
      <c r="Y134" s="12">
        <v>45657</v>
      </c>
    </row>
    <row r="135" spans="1:26" x14ac:dyDescent="0.35">
      <c r="A135" s="8">
        <v>42582</v>
      </c>
      <c r="B135" s="9">
        <f t="shared" si="28"/>
        <v>49.9</v>
      </c>
      <c r="C135" s="9">
        <f t="shared" si="29"/>
        <v>-1.8</v>
      </c>
      <c r="D135" s="9" t="e">
        <f t="shared" si="30"/>
        <v>#N/A</v>
      </c>
      <c r="E135" s="1">
        <v>1</v>
      </c>
      <c r="F135" s="1">
        <v>0</v>
      </c>
      <c r="G135" s="7">
        <v>1</v>
      </c>
      <c r="H135" s="7">
        <v>0</v>
      </c>
      <c r="I135" s="1">
        <f t="shared" si="31"/>
        <v>0</v>
      </c>
      <c r="J135" s="1">
        <f t="shared" si="32"/>
        <v>0</v>
      </c>
      <c r="K135" s="1">
        <f t="shared" si="33"/>
        <v>0</v>
      </c>
      <c r="L135" s="1">
        <f t="shared" si="34"/>
        <v>1</v>
      </c>
      <c r="M135" s="1">
        <v>1</v>
      </c>
      <c r="N135" s="1">
        <v>0</v>
      </c>
      <c r="O135" s="1" t="str">
        <f t="shared" si="35"/>
        <v>主动补库存</v>
      </c>
      <c r="P135" s="1" t="str">
        <f t="shared" si="36"/>
        <v>产能周期上行</v>
      </c>
      <c r="Q135" s="2" t="str">
        <f t="shared" si="37"/>
        <v>产能周期上行,主动补库存</v>
      </c>
      <c r="S135" s="12">
        <v>42369</v>
      </c>
      <c r="T135" s="13">
        <v>49.7</v>
      </c>
      <c r="V135" s="12">
        <v>41698</v>
      </c>
      <c r="W135" s="13">
        <v>10.19</v>
      </c>
      <c r="Y135" s="12">
        <v>45747</v>
      </c>
    </row>
    <row r="136" spans="1:26" x14ac:dyDescent="0.35">
      <c r="A136" s="8">
        <v>42551</v>
      </c>
      <c r="B136" s="9">
        <f t="shared" si="28"/>
        <v>50</v>
      </c>
      <c r="C136" s="9">
        <f t="shared" si="29"/>
        <v>-1.9</v>
      </c>
      <c r="D136" s="9">
        <f t="shared" si="30"/>
        <v>36.799999999999997</v>
      </c>
      <c r="E136" s="1">
        <v>1</v>
      </c>
      <c r="F136" s="1">
        <v>0</v>
      </c>
      <c r="G136" s="7">
        <v>1</v>
      </c>
      <c r="H136" s="7">
        <v>0</v>
      </c>
      <c r="I136" s="1">
        <f t="shared" si="31"/>
        <v>0</v>
      </c>
      <c r="J136" s="1">
        <f t="shared" si="32"/>
        <v>0</v>
      </c>
      <c r="K136" s="1">
        <f t="shared" si="33"/>
        <v>0</v>
      </c>
      <c r="L136" s="1">
        <f t="shared" si="34"/>
        <v>1</v>
      </c>
      <c r="M136" s="1">
        <v>1</v>
      </c>
      <c r="N136" s="1">
        <v>0</v>
      </c>
      <c r="O136" s="1" t="str">
        <f t="shared" si="35"/>
        <v>主动补库存</v>
      </c>
      <c r="P136" s="1" t="str">
        <f t="shared" si="36"/>
        <v>产能周期上行</v>
      </c>
      <c r="Q136" s="2" t="str">
        <f t="shared" si="37"/>
        <v>产能周期上行,主动补库存</v>
      </c>
      <c r="S136" s="12">
        <v>42400</v>
      </c>
      <c r="T136" s="13">
        <v>49.4</v>
      </c>
      <c r="V136" s="12">
        <v>41639</v>
      </c>
      <c r="W136" s="13">
        <v>6.83</v>
      </c>
      <c r="Y136" s="12">
        <v>45838</v>
      </c>
    </row>
    <row r="137" spans="1:26" x14ac:dyDescent="0.35">
      <c r="A137" s="8">
        <v>42521</v>
      </c>
      <c r="B137" s="9">
        <f t="shared" si="28"/>
        <v>50.1</v>
      </c>
      <c r="C137" s="9">
        <f t="shared" si="29"/>
        <v>-1.1000000000000001</v>
      </c>
      <c r="D137" s="9" t="e">
        <f t="shared" si="30"/>
        <v>#N/A</v>
      </c>
      <c r="E137" s="1">
        <v>0</v>
      </c>
      <c r="F137" s="1">
        <v>1</v>
      </c>
      <c r="G137" s="7">
        <v>1</v>
      </c>
      <c r="H137" s="7">
        <v>0</v>
      </c>
      <c r="I137" s="1">
        <f t="shared" si="31"/>
        <v>0</v>
      </c>
      <c r="J137" s="1">
        <f t="shared" si="32"/>
        <v>0</v>
      </c>
      <c r="K137" s="1">
        <f t="shared" si="33"/>
        <v>1</v>
      </c>
      <c r="L137" s="1">
        <f t="shared" si="34"/>
        <v>0</v>
      </c>
      <c r="M137" s="1">
        <v>1</v>
      </c>
      <c r="N137" s="1">
        <v>0</v>
      </c>
      <c r="O137" s="1" t="str">
        <f t="shared" si="35"/>
        <v>被动去库存</v>
      </c>
      <c r="P137" s="1" t="str">
        <f t="shared" si="36"/>
        <v>产能周期上行</v>
      </c>
      <c r="Q137" s="2" t="str">
        <f t="shared" si="37"/>
        <v>产能周期上行,被动去库存</v>
      </c>
      <c r="S137" s="12">
        <v>42429</v>
      </c>
      <c r="T137" s="13">
        <v>49</v>
      </c>
      <c r="V137" s="12">
        <v>41608</v>
      </c>
      <c r="W137" s="13">
        <v>6.56</v>
      </c>
      <c r="Y137" s="12">
        <v>45930</v>
      </c>
    </row>
    <row r="138" spans="1:26" x14ac:dyDescent="0.35">
      <c r="A138" s="8">
        <v>42490</v>
      </c>
      <c r="B138" s="9">
        <f t="shared" si="28"/>
        <v>50.1</v>
      </c>
      <c r="C138" s="9">
        <f t="shared" si="29"/>
        <v>-1.2</v>
      </c>
      <c r="D138" s="9" t="e">
        <f t="shared" si="30"/>
        <v>#N/A</v>
      </c>
      <c r="E138" s="1">
        <v>0</v>
      </c>
      <c r="F138" s="1">
        <v>1</v>
      </c>
      <c r="G138" s="7">
        <v>1</v>
      </c>
      <c r="H138" s="7">
        <v>0</v>
      </c>
      <c r="I138" s="1">
        <f t="shared" si="31"/>
        <v>0</v>
      </c>
      <c r="J138" s="1">
        <f t="shared" si="32"/>
        <v>0</v>
      </c>
      <c r="K138" s="1">
        <f t="shared" si="33"/>
        <v>1</v>
      </c>
      <c r="L138" s="1">
        <f t="shared" si="34"/>
        <v>0</v>
      </c>
      <c r="M138" s="1">
        <v>1</v>
      </c>
      <c r="N138" s="1">
        <v>0</v>
      </c>
      <c r="O138" s="1" t="str">
        <f t="shared" si="35"/>
        <v>被动去库存</v>
      </c>
      <c r="P138" s="1" t="str">
        <f t="shared" si="36"/>
        <v>产能周期上行</v>
      </c>
      <c r="Q138" s="2" t="str">
        <f t="shared" si="37"/>
        <v>产能周期上行,被动去库存</v>
      </c>
      <c r="S138" s="12">
        <v>42460</v>
      </c>
      <c r="T138" s="13">
        <v>50.2</v>
      </c>
      <c r="V138" s="12">
        <v>41578</v>
      </c>
      <c r="W138" s="13">
        <v>6.23</v>
      </c>
      <c r="Y138" s="12">
        <v>46022</v>
      </c>
    </row>
    <row r="139" spans="1:26" x14ac:dyDescent="0.35">
      <c r="A139" s="8">
        <v>42460</v>
      </c>
      <c r="B139" s="9">
        <f t="shared" si="28"/>
        <v>50.2</v>
      </c>
      <c r="C139" s="9">
        <f t="shared" si="29"/>
        <v>0</v>
      </c>
      <c r="D139" s="9">
        <f t="shared" si="30"/>
        <v>35.200000000000003</v>
      </c>
      <c r="E139" s="1">
        <v>0</v>
      </c>
      <c r="F139" s="1">
        <v>1</v>
      </c>
      <c r="G139" s="7">
        <v>1</v>
      </c>
      <c r="H139" s="7">
        <v>0</v>
      </c>
      <c r="I139" s="1">
        <f t="shared" si="31"/>
        <v>0</v>
      </c>
      <c r="J139" s="1">
        <f t="shared" si="32"/>
        <v>0</v>
      </c>
      <c r="K139" s="1">
        <f t="shared" si="33"/>
        <v>1</v>
      </c>
      <c r="L139" s="1">
        <f t="shared" si="34"/>
        <v>0</v>
      </c>
      <c r="M139" s="1">
        <v>1</v>
      </c>
      <c r="N139" s="1">
        <v>0</v>
      </c>
      <c r="O139" s="1" t="str">
        <f t="shared" si="35"/>
        <v>被动去库存</v>
      </c>
      <c r="P139" s="1" t="str">
        <f t="shared" si="36"/>
        <v>产能周期上行</v>
      </c>
      <c r="Q139" s="2" t="str">
        <f t="shared" si="37"/>
        <v>产能周期上行,被动去库存</v>
      </c>
      <c r="S139" s="12">
        <v>42490</v>
      </c>
      <c r="T139" s="13">
        <v>50.1</v>
      </c>
      <c r="V139" s="12">
        <v>41547</v>
      </c>
      <c r="W139" s="13">
        <v>6.03</v>
      </c>
    </row>
    <row r="140" spans="1:26" x14ac:dyDescent="0.35">
      <c r="A140" s="8">
        <v>42429</v>
      </c>
      <c r="B140" s="9">
        <f t="shared" si="28"/>
        <v>49</v>
      </c>
      <c r="C140" s="9">
        <f t="shared" si="29"/>
        <v>0.7</v>
      </c>
      <c r="D140" s="9" t="e">
        <f t="shared" si="30"/>
        <v>#N/A</v>
      </c>
      <c r="E140" s="1">
        <v>0</v>
      </c>
      <c r="F140" s="1">
        <v>1</v>
      </c>
      <c r="G140" s="7">
        <v>1</v>
      </c>
      <c r="H140" s="7">
        <v>0</v>
      </c>
      <c r="I140" s="1">
        <f t="shared" si="31"/>
        <v>0</v>
      </c>
      <c r="J140" s="1">
        <f t="shared" si="32"/>
        <v>0</v>
      </c>
      <c r="K140" s="1">
        <f t="shared" si="33"/>
        <v>1</v>
      </c>
      <c r="L140" s="1">
        <f t="shared" si="34"/>
        <v>0</v>
      </c>
      <c r="M140" s="1">
        <v>0</v>
      </c>
      <c r="N140" s="1">
        <v>1</v>
      </c>
      <c r="O140" s="1" t="str">
        <f t="shared" si="35"/>
        <v>被动去库存</v>
      </c>
      <c r="P140" s="1" t="str">
        <f t="shared" si="36"/>
        <v>产能周期下行</v>
      </c>
      <c r="Q140" s="2" t="str">
        <f t="shared" si="37"/>
        <v>产能周期下行,被动去库存</v>
      </c>
      <c r="S140" s="12">
        <v>42521</v>
      </c>
      <c r="T140" s="13">
        <v>50.1</v>
      </c>
      <c r="V140" s="12">
        <v>41517</v>
      </c>
      <c r="W140" s="13">
        <v>5.73</v>
      </c>
    </row>
    <row r="141" spans="1:26" x14ac:dyDescent="0.35">
      <c r="A141" s="8">
        <v>42400</v>
      </c>
      <c r="B141" s="9">
        <f t="shared" si="28"/>
        <v>49.4</v>
      </c>
      <c r="C141" s="9" t="e">
        <f t="shared" si="29"/>
        <v>#N/A</v>
      </c>
      <c r="D141" s="9" t="e">
        <f t="shared" si="30"/>
        <v>#N/A</v>
      </c>
      <c r="E141" s="1">
        <v>0</v>
      </c>
      <c r="F141" s="1">
        <v>1</v>
      </c>
      <c r="G141" s="7">
        <v>0</v>
      </c>
      <c r="H141" s="7">
        <v>1</v>
      </c>
      <c r="I141" s="1">
        <f t="shared" si="31"/>
        <v>1</v>
      </c>
      <c r="J141" s="1">
        <f t="shared" si="32"/>
        <v>0</v>
      </c>
      <c r="K141" s="1">
        <f t="shared" si="33"/>
        <v>0</v>
      </c>
      <c r="L141" s="1">
        <f t="shared" si="34"/>
        <v>0</v>
      </c>
      <c r="M141" s="1">
        <v>0</v>
      </c>
      <c r="N141" s="1">
        <v>1</v>
      </c>
      <c r="O141" s="1" t="str">
        <f t="shared" si="35"/>
        <v>主动去库存</v>
      </c>
      <c r="P141" s="1" t="str">
        <f t="shared" si="36"/>
        <v>产能周期下行</v>
      </c>
      <c r="Q141" s="2" t="str">
        <f t="shared" si="37"/>
        <v>产能周期下行,主动去库存</v>
      </c>
      <c r="S141" s="12">
        <v>42551</v>
      </c>
      <c r="T141" s="13">
        <v>50</v>
      </c>
      <c r="V141" s="12">
        <v>41486</v>
      </c>
      <c r="W141" s="13">
        <v>6.1</v>
      </c>
    </row>
    <row r="142" spans="1:26" x14ac:dyDescent="0.35">
      <c r="A142" s="8">
        <v>42369</v>
      </c>
      <c r="B142" s="9">
        <f t="shared" si="28"/>
        <v>49.7</v>
      </c>
      <c r="C142" s="9">
        <f t="shared" si="29"/>
        <v>3.3</v>
      </c>
      <c r="D142" s="9">
        <f t="shared" si="30"/>
        <v>36.9</v>
      </c>
      <c r="E142" s="1">
        <v>0</v>
      </c>
      <c r="F142" s="1">
        <v>1</v>
      </c>
      <c r="G142" s="7">
        <v>0</v>
      </c>
      <c r="H142" s="7">
        <v>1</v>
      </c>
      <c r="I142" s="1">
        <f t="shared" si="31"/>
        <v>1</v>
      </c>
      <c r="J142" s="1">
        <f t="shared" si="32"/>
        <v>0</v>
      </c>
      <c r="K142" s="1">
        <f t="shared" si="33"/>
        <v>0</v>
      </c>
      <c r="L142" s="1">
        <f t="shared" si="34"/>
        <v>0</v>
      </c>
      <c r="M142" s="1">
        <v>0</v>
      </c>
      <c r="N142" s="1">
        <v>1</v>
      </c>
      <c r="O142" s="1" t="str">
        <f t="shared" si="35"/>
        <v>主动去库存</v>
      </c>
      <c r="P142" s="1" t="str">
        <f t="shared" si="36"/>
        <v>产能周期下行</v>
      </c>
      <c r="Q142" s="2" t="str">
        <f t="shared" si="37"/>
        <v>产能周期下行,主动去库存</v>
      </c>
      <c r="S142" s="12">
        <v>42582</v>
      </c>
      <c r="T142" s="13">
        <v>49.9</v>
      </c>
      <c r="V142" s="12">
        <v>41455</v>
      </c>
      <c r="W142" s="13">
        <v>7.2</v>
      </c>
    </row>
    <row r="143" spans="1:26" x14ac:dyDescent="0.35">
      <c r="A143" s="8">
        <v>42338</v>
      </c>
      <c r="B143" s="9">
        <f t="shared" si="28"/>
        <v>49.6</v>
      </c>
      <c r="C143" s="9">
        <f t="shared" si="29"/>
        <v>4.5999999999999996</v>
      </c>
      <c r="D143" s="9" t="e">
        <f t="shared" si="30"/>
        <v>#N/A</v>
      </c>
      <c r="E143" s="1">
        <v>0</v>
      </c>
      <c r="F143" s="1">
        <v>1</v>
      </c>
      <c r="G143" s="7">
        <v>0</v>
      </c>
      <c r="H143" s="7">
        <v>1</v>
      </c>
      <c r="I143" s="1">
        <f t="shared" si="31"/>
        <v>1</v>
      </c>
      <c r="J143" s="1">
        <f t="shared" si="32"/>
        <v>0</v>
      </c>
      <c r="K143" s="1">
        <f t="shared" si="33"/>
        <v>0</v>
      </c>
      <c r="L143" s="1">
        <f t="shared" si="34"/>
        <v>0</v>
      </c>
      <c r="M143" s="1">
        <v>0</v>
      </c>
      <c r="N143" s="1">
        <v>1</v>
      </c>
      <c r="O143" s="1" t="str">
        <f t="shared" si="35"/>
        <v>主动去库存</v>
      </c>
      <c r="P143" s="1" t="str">
        <f t="shared" si="36"/>
        <v>产能周期下行</v>
      </c>
      <c r="Q143" s="2" t="str">
        <f t="shared" si="37"/>
        <v>产能周期下行,主动去库存</v>
      </c>
      <c r="S143" s="12">
        <v>42613</v>
      </c>
      <c r="T143" s="13">
        <v>50.4</v>
      </c>
      <c r="V143" s="12">
        <v>41425</v>
      </c>
      <c r="W143" s="13">
        <v>7.1</v>
      </c>
    </row>
    <row r="144" spans="1:26" x14ac:dyDescent="0.35">
      <c r="A144" s="8">
        <v>42308</v>
      </c>
      <c r="B144" s="9">
        <f t="shared" si="28"/>
        <v>49.8</v>
      </c>
      <c r="C144" s="9">
        <f t="shared" si="29"/>
        <v>4.5</v>
      </c>
      <c r="D144" s="9" t="e">
        <f t="shared" si="30"/>
        <v>#N/A</v>
      </c>
      <c r="E144" s="1">
        <v>0</v>
      </c>
      <c r="F144" s="1">
        <v>1</v>
      </c>
      <c r="G144" s="7">
        <v>0</v>
      </c>
      <c r="H144" s="7">
        <v>1</v>
      </c>
      <c r="I144" s="1">
        <f t="shared" si="31"/>
        <v>1</v>
      </c>
      <c r="J144" s="1">
        <f t="shared" si="32"/>
        <v>0</v>
      </c>
      <c r="K144" s="1">
        <f t="shared" si="33"/>
        <v>0</v>
      </c>
      <c r="L144" s="1">
        <f t="shared" si="34"/>
        <v>0</v>
      </c>
      <c r="M144" s="1">
        <v>0</v>
      </c>
      <c r="N144" s="1">
        <v>1</v>
      </c>
      <c r="O144" s="1" t="str">
        <f t="shared" si="35"/>
        <v>主动去库存</v>
      </c>
      <c r="P144" s="1" t="str">
        <f t="shared" si="36"/>
        <v>产能周期下行</v>
      </c>
      <c r="Q144" s="2" t="str">
        <f t="shared" si="37"/>
        <v>产能周期下行,主动去库存</v>
      </c>
      <c r="S144" s="12">
        <v>42643</v>
      </c>
      <c r="T144" s="13">
        <v>50.4</v>
      </c>
      <c r="V144" s="12">
        <v>41394</v>
      </c>
      <c r="W144" s="13">
        <v>8</v>
      </c>
    </row>
    <row r="145" spans="1:23" x14ac:dyDescent="0.35">
      <c r="A145" s="8">
        <v>42277</v>
      </c>
      <c r="B145" s="9">
        <f t="shared" si="28"/>
        <v>49.8</v>
      </c>
      <c r="C145" s="9">
        <f t="shared" si="29"/>
        <v>4.9000000000000004</v>
      </c>
      <c r="D145" s="9">
        <f t="shared" si="30"/>
        <v>37.200000000000003</v>
      </c>
      <c r="E145" s="1">
        <v>0</v>
      </c>
      <c r="F145" s="1">
        <v>1</v>
      </c>
      <c r="G145" s="7">
        <v>0</v>
      </c>
      <c r="H145" s="7">
        <v>1</v>
      </c>
      <c r="I145" s="1">
        <f t="shared" si="31"/>
        <v>1</v>
      </c>
      <c r="J145" s="1">
        <f t="shared" si="32"/>
        <v>0</v>
      </c>
      <c r="K145" s="1">
        <f t="shared" si="33"/>
        <v>0</v>
      </c>
      <c r="L145" s="1">
        <f t="shared" si="34"/>
        <v>0</v>
      </c>
      <c r="M145" s="1">
        <v>0</v>
      </c>
      <c r="N145" s="1">
        <v>1</v>
      </c>
      <c r="O145" s="1" t="str">
        <f t="shared" si="35"/>
        <v>主动去库存</v>
      </c>
      <c r="P145" s="1" t="str">
        <f t="shared" si="36"/>
        <v>产能周期下行</v>
      </c>
      <c r="Q145" s="2" t="str">
        <f t="shared" si="37"/>
        <v>产能周期下行,主动去库存</v>
      </c>
      <c r="S145" s="12">
        <v>42674</v>
      </c>
      <c r="T145" s="13">
        <v>51.2</v>
      </c>
      <c r="V145" s="12">
        <v>41364</v>
      </c>
      <c r="W145" s="13">
        <v>8.82</v>
      </c>
    </row>
    <row r="146" spans="1:23" x14ac:dyDescent="0.35">
      <c r="A146" s="8">
        <v>42247</v>
      </c>
      <c r="B146" s="9">
        <f t="shared" si="28"/>
        <v>49.7</v>
      </c>
      <c r="C146" s="9">
        <f t="shared" si="29"/>
        <v>5.7</v>
      </c>
      <c r="D146" s="9" t="e">
        <f t="shared" si="30"/>
        <v>#N/A</v>
      </c>
      <c r="E146" s="1">
        <v>0</v>
      </c>
      <c r="F146" s="1">
        <v>1</v>
      </c>
      <c r="G146" s="7">
        <v>0</v>
      </c>
      <c r="H146" s="7">
        <v>1</v>
      </c>
      <c r="I146" s="1">
        <f t="shared" si="31"/>
        <v>1</v>
      </c>
      <c r="J146" s="1">
        <f t="shared" si="32"/>
        <v>0</v>
      </c>
      <c r="K146" s="1">
        <f t="shared" si="33"/>
        <v>0</v>
      </c>
      <c r="L146" s="1">
        <f t="shared" si="34"/>
        <v>0</v>
      </c>
      <c r="M146" s="1">
        <v>0</v>
      </c>
      <c r="N146" s="1">
        <v>1</v>
      </c>
      <c r="O146" s="1" t="str">
        <f t="shared" si="35"/>
        <v>主动去库存</v>
      </c>
      <c r="P146" s="1" t="str">
        <f t="shared" si="36"/>
        <v>产能周期下行</v>
      </c>
      <c r="Q146" s="2" t="str">
        <f t="shared" si="37"/>
        <v>产能周期下行,主动去库存</v>
      </c>
      <c r="S146" s="12">
        <v>42704</v>
      </c>
      <c r="T146" s="13">
        <v>51.7</v>
      </c>
      <c r="V146" s="12">
        <v>41333</v>
      </c>
      <c r="W146" s="13">
        <v>7.51</v>
      </c>
    </row>
    <row r="147" spans="1:23" x14ac:dyDescent="0.35">
      <c r="A147" s="8">
        <v>42216</v>
      </c>
      <c r="B147" s="9">
        <f t="shared" si="28"/>
        <v>50</v>
      </c>
      <c r="C147" s="9">
        <f t="shared" si="29"/>
        <v>6.8</v>
      </c>
      <c r="D147" s="9" t="e">
        <f t="shared" si="30"/>
        <v>#N/A</v>
      </c>
      <c r="E147" s="1">
        <v>0</v>
      </c>
      <c r="F147" s="1">
        <v>1</v>
      </c>
      <c r="G147" s="7">
        <v>0</v>
      </c>
      <c r="H147" s="7">
        <v>1</v>
      </c>
      <c r="I147" s="1">
        <f t="shared" si="31"/>
        <v>1</v>
      </c>
      <c r="J147" s="1">
        <f t="shared" si="32"/>
        <v>0</v>
      </c>
      <c r="K147" s="1">
        <f t="shared" si="33"/>
        <v>0</v>
      </c>
      <c r="L147" s="1">
        <f t="shared" si="34"/>
        <v>0</v>
      </c>
      <c r="M147" s="1">
        <v>0</v>
      </c>
      <c r="N147" s="1">
        <v>1</v>
      </c>
      <c r="O147" s="1" t="str">
        <f t="shared" si="35"/>
        <v>主动去库存</v>
      </c>
      <c r="P147" s="1" t="str">
        <f t="shared" si="36"/>
        <v>产能周期下行</v>
      </c>
      <c r="Q147" s="2" t="str">
        <f t="shared" si="37"/>
        <v>产能周期下行,主动去库存</v>
      </c>
      <c r="S147" s="12">
        <v>42735</v>
      </c>
      <c r="T147" s="13">
        <v>51.4</v>
      </c>
      <c r="V147" s="12">
        <v>41274</v>
      </c>
      <c r="W147" s="13">
        <v>7.19</v>
      </c>
    </row>
    <row r="148" spans="1:23" x14ac:dyDescent="0.35">
      <c r="A148" s="8">
        <v>42185</v>
      </c>
      <c r="B148" s="9">
        <f t="shared" si="28"/>
        <v>50.2</v>
      </c>
      <c r="C148" s="9">
        <f t="shared" si="29"/>
        <v>7.4</v>
      </c>
      <c r="D148" s="9">
        <f t="shared" si="30"/>
        <v>39.200000000000003</v>
      </c>
      <c r="E148" s="1">
        <v>0</v>
      </c>
      <c r="F148" s="1">
        <v>1</v>
      </c>
      <c r="G148" s="7">
        <v>0</v>
      </c>
      <c r="H148" s="7">
        <v>1</v>
      </c>
      <c r="I148" s="1">
        <f t="shared" si="31"/>
        <v>1</v>
      </c>
      <c r="J148" s="1">
        <f t="shared" si="32"/>
        <v>0</v>
      </c>
      <c r="K148" s="1">
        <f t="shared" si="33"/>
        <v>0</v>
      </c>
      <c r="L148" s="1">
        <f t="shared" si="34"/>
        <v>0</v>
      </c>
      <c r="M148" s="1">
        <v>0</v>
      </c>
      <c r="N148" s="1">
        <v>1</v>
      </c>
      <c r="O148" s="1" t="str">
        <f t="shared" si="35"/>
        <v>主动去库存</v>
      </c>
      <c r="P148" s="1" t="str">
        <f t="shared" si="36"/>
        <v>产能周期下行</v>
      </c>
      <c r="Q148" s="2" t="str">
        <f t="shared" si="37"/>
        <v>产能周期下行,主动去库存</v>
      </c>
      <c r="S148" s="12">
        <v>42766</v>
      </c>
      <c r="T148" s="13">
        <v>51.3</v>
      </c>
      <c r="V148" s="12">
        <v>41243</v>
      </c>
      <c r="W148" s="13">
        <v>7.86</v>
      </c>
    </row>
    <row r="149" spans="1:23" x14ac:dyDescent="0.35">
      <c r="A149" s="8">
        <v>42155</v>
      </c>
      <c r="B149" s="9">
        <f t="shared" si="28"/>
        <v>50.2</v>
      </c>
      <c r="C149" s="9">
        <f t="shared" si="29"/>
        <v>7.1</v>
      </c>
      <c r="D149" s="9" t="e">
        <f t="shared" si="30"/>
        <v>#N/A</v>
      </c>
      <c r="E149" s="1">
        <v>0</v>
      </c>
      <c r="F149" s="1">
        <v>1</v>
      </c>
      <c r="G149" s="7">
        <v>0</v>
      </c>
      <c r="H149" s="7">
        <v>1</v>
      </c>
      <c r="I149" s="1">
        <f t="shared" si="31"/>
        <v>1</v>
      </c>
      <c r="J149" s="1">
        <f t="shared" si="32"/>
        <v>0</v>
      </c>
      <c r="K149" s="1">
        <f t="shared" si="33"/>
        <v>0</v>
      </c>
      <c r="L149" s="1">
        <f t="shared" si="34"/>
        <v>0</v>
      </c>
      <c r="M149" s="1">
        <v>0</v>
      </c>
      <c r="N149" s="1">
        <v>1</v>
      </c>
      <c r="O149" s="1" t="str">
        <f t="shared" si="35"/>
        <v>主动去库存</v>
      </c>
      <c r="P149" s="1" t="str">
        <f t="shared" si="36"/>
        <v>产能周期下行</v>
      </c>
      <c r="Q149" s="2" t="str">
        <f t="shared" si="37"/>
        <v>产能周期下行,主动去库存</v>
      </c>
      <c r="S149" s="12">
        <v>42794</v>
      </c>
      <c r="T149" s="13">
        <v>51.6</v>
      </c>
      <c r="V149" s="12">
        <v>41213</v>
      </c>
      <c r="W149" s="13">
        <v>8.32</v>
      </c>
    </row>
    <row r="150" spans="1:23" x14ac:dyDescent="0.35">
      <c r="A150" s="8">
        <v>42124</v>
      </c>
      <c r="B150" s="9">
        <f t="shared" si="28"/>
        <v>50.1</v>
      </c>
      <c r="C150" s="9">
        <f t="shared" si="29"/>
        <v>7</v>
      </c>
      <c r="D150" s="9" t="e">
        <f t="shared" si="30"/>
        <v>#N/A</v>
      </c>
      <c r="E150" s="1">
        <v>0</v>
      </c>
      <c r="F150" s="1">
        <v>1</v>
      </c>
      <c r="G150" s="7">
        <v>0</v>
      </c>
      <c r="H150" s="7">
        <v>1</v>
      </c>
      <c r="I150" s="1">
        <f t="shared" si="31"/>
        <v>1</v>
      </c>
      <c r="J150" s="1">
        <f t="shared" si="32"/>
        <v>0</v>
      </c>
      <c r="K150" s="1">
        <f t="shared" si="33"/>
        <v>0</v>
      </c>
      <c r="L150" s="1">
        <f t="shared" si="34"/>
        <v>0</v>
      </c>
      <c r="M150" s="1">
        <v>0</v>
      </c>
      <c r="N150" s="1">
        <v>1</v>
      </c>
      <c r="O150" s="1" t="str">
        <f t="shared" si="35"/>
        <v>主动去库存</v>
      </c>
      <c r="P150" s="1" t="str">
        <f t="shared" si="36"/>
        <v>产能周期下行</v>
      </c>
      <c r="Q150" s="2" t="str">
        <f t="shared" si="37"/>
        <v>产能周期下行,主动去库存</v>
      </c>
      <c r="S150" s="12">
        <v>42825</v>
      </c>
      <c r="T150" s="13">
        <v>51.8</v>
      </c>
      <c r="V150" s="12">
        <v>41182</v>
      </c>
      <c r="W150" s="13">
        <v>10.050000000000001</v>
      </c>
    </row>
    <row r="151" spans="1:23" x14ac:dyDescent="0.35">
      <c r="A151" s="8">
        <v>42094</v>
      </c>
      <c r="B151" s="9">
        <f t="shared" si="28"/>
        <v>50.1</v>
      </c>
      <c r="C151" s="9">
        <f t="shared" si="29"/>
        <v>7.7</v>
      </c>
      <c r="D151" s="9">
        <f t="shared" si="30"/>
        <v>39</v>
      </c>
      <c r="E151" s="1">
        <v>0</v>
      </c>
      <c r="F151" s="1">
        <v>1</v>
      </c>
      <c r="G151" s="7">
        <v>0</v>
      </c>
      <c r="H151" s="7">
        <v>1</v>
      </c>
      <c r="I151" s="1">
        <f t="shared" si="31"/>
        <v>1</v>
      </c>
      <c r="J151" s="1">
        <f t="shared" si="32"/>
        <v>0</v>
      </c>
      <c r="K151" s="1">
        <f t="shared" si="33"/>
        <v>0</v>
      </c>
      <c r="L151" s="1">
        <f t="shared" si="34"/>
        <v>0</v>
      </c>
      <c r="M151" s="1">
        <v>0</v>
      </c>
      <c r="N151" s="1">
        <v>1</v>
      </c>
      <c r="O151" s="1" t="str">
        <f t="shared" si="35"/>
        <v>主动去库存</v>
      </c>
      <c r="P151" s="1" t="str">
        <f t="shared" si="36"/>
        <v>产能周期下行</v>
      </c>
      <c r="Q151" s="2" t="str">
        <f t="shared" si="37"/>
        <v>产能周期下行,主动去库存</v>
      </c>
      <c r="S151" s="12">
        <v>42855</v>
      </c>
      <c r="T151" s="13">
        <v>51.2</v>
      </c>
      <c r="V151" s="12">
        <v>41152</v>
      </c>
      <c r="W151" s="13">
        <v>11.26</v>
      </c>
    </row>
    <row r="152" spans="1:23" x14ac:dyDescent="0.35">
      <c r="A152" s="8">
        <v>42063</v>
      </c>
      <c r="B152" s="9">
        <f t="shared" si="28"/>
        <v>49.9</v>
      </c>
      <c r="C152" s="9">
        <f t="shared" si="29"/>
        <v>8.5</v>
      </c>
      <c r="D152" s="9" t="e">
        <f t="shared" si="30"/>
        <v>#N/A</v>
      </c>
      <c r="E152" s="1">
        <v>0</v>
      </c>
      <c r="F152" s="1">
        <v>1</v>
      </c>
      <c r="G152" s="7">
        <v>0</v>
      </c>
      <c r="H152" s="7">
        <v>1</v>
      </c>
      <c r="I152" s="1">
        <f t="shared" si="31"/>
        <v>1</v>
      </c>
      <c r="J152" s="1">
        <f t="shared" si="32"/>
        <v>0</v>
      </c>
      <c r="K152" s="1">
        <f t="shared" si="33"/>
        <v>0</v>
      </c>
      <c r="L152" s="1">
        <f t="shared" si="34"/>
        <v>0</v>
      </c>
      <c r="M152" s="1">
        <v>0</v>
      </c>
      <c r="N152" s="1">
        <v>1</v>
      </c>
      <c r="O152" s="1" t="str">
        <f t="shared" si="35"/>
        <v>主动去库存</v>
      </c>
      <c r="P152" s="1" t="str">
        <f t="shared" si="36"/>
        <v>产能周期下行</v>
      </c>
      <c r="Q152" s="2" t="str">
        <f t="shared" si="37"/>
        <v>产能周期下行,主动去库存</v>
      </c>
      <c r="S152" s="12">
        <v>42886</v>
      </c>
      <c r="T152" s="13">
        <v>51.2</v>
      </c>
      <c r="V152" s="12">
        <v>41121</v>
      </c>
      <c r="W152" s="13">
        <v>12.5</v>
      </c>
    </row>
    <row r="153" spans="1:23" x14ac:dyDescent="0.35">
      <c r="A153" s="8">
        <v>42035</v>
      </c>
      <c r="B153" s="9">
        <f t="shared" si="28"/>
        <v>49.8</v>
      </c>
      <c r="C153" s="9" t="e">
        <f t="shared" si="29"/>
        <v>#N/A</v>
      </c>
      <c r="D153" s="9" t="e">
        <f t="shared" si="30"/>
        <v>#N/A</v>
      </c>
      <c r="E153" s="1">
        <v>0</v>
      </c>
      <c r="F153" s="1">
        <v>1</v>
      </c>
      <c r="G153" s="7">
        <v>0</v>
      </c>
      <c r="H153" s="7">
        <v>1</v>
      </c>
      <c r="I153" s="1">
        <f t="shared" si="31"/>
        <v>1</v>
      </c>
      <c r="J153" s="1">
        <f t="shared" si="32"/>
        <v>0</v>
      </c>
      <c r="K153" s="1">
        <f t="shared" si="33"/>
        <v>0</v>
      </c>
      <c r="L153" s="1">
        <f t="shared" si="34"/>
        <v>0</v>
      </c>
      <c r="M153" s="1">
        <v>0</v>
      </c>
      <c r="N153" s="1">
        <v>1</v>
      </c>
      <c r="O153" s="1" t="str">
        <f t="shared" si="35"/>
        <v>主动去库存</v>
      </c>
      <c r="P153" s="1" t="str">
        <f t="shared" si="36"/>
        <v>产能周期下行</v>
      </c>
      <c r="Q153" s="2" t="str">
        <f t="shared" si="37"/>
        <v>产能周期下行,主动去库存</v>
      </c>
      <c r="S153" s="12">
        <v>42916</v>
      </c>
      <c r="T153" s="13">
        <v>51.7</v>
      </c>
      <c r="V153" s="12">
        <v>41090</v>
      </c>
      <c r="W153" s="13">
        <v>12.9</v>
      </c>
    </row>
    <row r="154" spans="1:23" x14ac:dyDescent="0.35">
      <c r="A154" s="8">
        <v>42004</v>
      </c>
      <c r="B154" s="9">
        <f t="shared" si="28"/>
        <v>50.1</v>
      </c>
      <c r="C154" s="9">
        <f t="shared" si="29"/>
        <v>12.6</v>
      </c>
      <c r="D154" s="9">
        <f t="shared" si="30"/>
        <v>40.4</v>
      </c>
      <c r="E154" s="1">
        <v>0</v>
      </c>
      <c r="F154" s="1">
        <v>1</v>
      </c>
      <c r="G154" s="7">
        <v>0</v>
      </c>
      <c r="H154" s="7">
        <v>1</v>
      </c>
      <c r="I154" s="1">
        <f t="shared" si="31"/>
        <v>1</v>
      </c>
      <c r="J154" s="1">
        <f t="shared" si="32"/>
        <v>0</v>
      </c>
      <c r="K154" s="1">
        <f t="shared" si="33"/>
        <v>0</v>
      </c>
      <c r="L154" s="1">
        <f t="shared" si="34"/>
        <v>0</v>
      </c>
      <c r="M154" s="1">
        <v>0</v>
      </c>
      <c r="N154" s="1">
        <v>1</v>
      </c>
      <c r="O154" s="1" t="str">
        <f t="shared" si="35"/>
        <v>主动去库存</v>
      </c>
      <c r="P154" s="1" t="str">
        <f t="shared" si="36"/>
        <v>产能周期下行</v>
      </c>
      <c r="Q154" s="2" t="str">
        <f t="shared" si="37"/>
        <v>产能周期下行,主动去库存</v>
      </c>
      <c r="S154" s="12">
        <v>42947</v>
      </c>
      <c r="T154" s="13">
        <v>51.4</v>
      </c>
      <c r="V154" s="12">
        <v>41060</v>
      </c>
      <c r="W154" s="13">
        <v>14.3</v>
      </c>
    </row>
    <row r="155" spans="1:23" x14ac:dyDescent="0.35">
      <c r="A155" s="8">
        <v>41973</v>
      </c>
      <c r="B155" s="9">
        <f t="shared" si="28"/>
        <v>50.3</v>
      </c>
      <c r="C155" s="9">
        <f t="shared" si="29"/>
        <v>13.6</v>
      </c>
      <c r="D155" s="9" t="e">
        <f t="shared" si="30"/>
        <v>#N/A</v>
      </c>
      <c r="E155" s="1">
        <v>0</v>
      </c>
      <c r="F155" s="1">
        <v>1</v>
      </c>
      <c r="G155" s="7">
        <v>0</v>
      </c>
      <c r="H155" s="7">
        <v>1</v>
      </c>
      <c r="I155" s="1">
        <f t="shared" si="31"/>
        <v>1</v>
      </c>
      <c r="J155" s="1">
        <f t="shared" si="32"/>
        <v>0</v>
      </c>
      <c r="K155" s="1">
        <f t="shared" si="33"/>
        <v>0</v>
      </c>
      <c r="L155" s="1">
        <f t="shared" si="34"/>
        <v>0</v>
      </c>
      <c r="M155" s="1">
        <v>0</v>
      </c>
      <c r="N155" s="1">
        <v>1</v>
      </c>
      <c r="O155" s="1" t="str">
        <f t="shared" si="35"/>
        <v>主动去库存</v>
      </c>
      <c r="P155" s="1" t="str">
        <f t="shared" si="36"/>
        <v>产能周期下行</v>
      </c>
      <c r="Q155" s="2" t="str">
        <f t="shared" si="37"/>
        <v>产能周期下行,主动去库存</v>
      </c>
      <c r="S155" s="12">
        <v>42978</v>
      </c>
      <c r="T155" s="13">
        <v>51.7</v>
      </c>
      <c r="V155" s="12">
        <v>41029</v>
      </c>
      <c r="W155" s="13">
        <v>15.8</v>
      </c>
    </row>
    <row r="156" spans="1:23" x14ac:dyDescent="0.35">
      <c r="A156" s="8">
        <v>41943</v>
      </c>
      <c r="B156" s="9">
        <f t="shared" si="28"/>
        <v>50.8</v>
      </c>
      <c r="C156" s="9">
        <f t="shared" si="29"/>
        <v>14.4</v>
      </c>
      <c r="D156" s="9" t="e">
        <f t="shared" si="30"/>
        <v>#N/A</v>
      </c>
      <c r="E156" s="1">
        <v>0</v>
      </c>
      <c r="F156" s="1">
        <v>1</v>
      </c>
      <c r="G156" s="7">
        <v>0</v>
      </c>
      <c r="H156" s="7">
        <v>1</v>
      </c>
      <c r="I156" s="1">
        <f t="shared" si="31"/>
        <v>1</v>
      </c>
      <c r="J156" s="1">
        <f t="shared" si="32"/>
        <v>0</v>
      </c>
      <c r="K156" s="1">
        <f t="shared" si="33"/>
        <v>0</v>
      </c>
      <c r="L156" s="1">
        <f t="shared" si="34"/>
        <v>0</v>
      </c>
      <c r="M156" s="1">
        <v>0</v>
      </c>
      <c r="N156" s="1">
        <v>1</v>
      </c>
      <c r="O156" s="1" t="str">
        <f t="shared" si="35"/>
        <v>主动去库存</v>
      </c>
      <c r="P156" s="1" t="str">
        <f t="shared" si="36"/>
        <v>产能周期下行</v>
      </c>
      <c r="Q156" s="2" t="str">
        <f t="shared" si="37"/>
        <v>产能周期下行,主动去库存</v>
      </c>
      <c r="S156" s="12">
        <v>43008</v>
      </c>
      <c r="T156" s="13">
        <v>52.4</v>
      </c>
      <c r="V156" s="12">
        <v>40999</v>
      </c>
      <c r="W156" s="13">
        <v>16.420000000000002</v>
      </c>
    </row>
    <row r="157" spans="1:23" x14ac:dyDescent="0.35">
      <c r="A157" s="8">
        <v>41912</v>
      </c>
      <c r="B157" s="9">
        <f t="shared" si="28"/>
        <v>51.1</v>
      </c>
      <c r="C157" s="9">
        <f t="shared" si="29"/>
        <v>15.1</v>
      </c>
      <c r="D157" s="9">
        <f t="shared" si="30"/>
        <v>40.6</v>
      </c>
      <c r="E157" s="1">
        <v>0</v>
      </c>
      <c r="F157" s="1">
        <v>1</v>
      </c>
      <c r="G157" s="7">
        <v>0</v>
      </c>
      <c r="H157" s="7">
        <v>1</v>
      </c>
      <c r="I157" s="1">
        <f t="shared" si="31"/>
        <v>1</v>
      </c>
      <c r="J157" s="1">
        <f t="shared" si="32"/>
        <v>0</v>
      </c>
      <c r="K157" s="1">
        <f t="shared" si="33"/>
        <v>0</v>
      </c>
      <c r="L157" s="1">
        <f t="shared" si="34"/>
        <v>0</v>
      </c>
      <c r="M157" s="1">
        <v>0</v>
      </c>
      <c r="N157" s="1">
        <v>1</v>
      </c>
      <c r="O157" s="1" t="str">
        <f t="shared" si="35"/>
        <v>主动去库存</v>
      </c>
      <c r="P157" s="1" t="str">
        <f t="shared" si="36"/>
        <v>产能周期下行</v>
      </c>
      <c r="Q157" s="2" t="str">
        <f t="shared" si="37"/>
        <v>产能周期下行,主动去库存</v>
      </c>
      <c r="S157" s="12">
        <v>43039</v>
      </c>
      <c r="T157" s="13">
        <v>51.6</v>
      </c>
      <c r="V157" s="12">
        <v>40968</v>
      </c>
      <c r="W157" s="13">
        <v>18.3</v>
      </c>
    </row>
    <row r="158" spans="1:23" x14ac:dyDescent="0.35">
      <c r="A158" s="8">
        <v>41882</v>
      </c>
      <c r="B158" s="9">
        <f t="shared" si="28"/>
        <v>51.1</v>
      </c>
      <c r="C158" s="9">
        <f t="shared" si="29"/>
        <v>15.6</v>
      </c>
      <c r="D158" s="9" t="e">
        <f t="shared" si="30"/>
        <v>#N/A</v>
      </c>
      <c r="E158" s="1">
        <v>0</v>
      </c>
      <c r="F158" s="1">
        <v>1</v>
      </c>
      <c r="G158" s="7">
        <v>0</v>
      </c>
      <c r="H158" s="7">
        <v>1</v>
      </c>
      <c r="I158" s="1">
        <f t="shared" si="31"/>
        <v>1</v>
      </c>
      <c r="J158" s="1">
        <f t="shared" si="32"/>
        <v>0</v>
      </c>
      <c r="K158" s="1">
        <f t="shared" si="33"/>
        <v>0</v>
      </c>
      <c r="L158" s="1">
        <f t="shared" si="34"/>
        <v>0</v>
      </c>
      <c r="M158" s="1">
        <v>0</v>
      </c>
      <c r="N158" s="1">
        <v>1</v>
      </c>
      <c r="O158" s="1" t="str">
        <f t="shared" si="35"/>
        <v>主动去库存</v>
      </c>
      <c r="P158" s="1" t="str">
        <f t="shared" si="36"/>
        <v>产能周期下行</v>
      </c>
      <c r="Q158" s="2" t="str">
        <f t="shared" si="37"/>
        <v>产能周期下行,主动去库存</v>
      </c>
      <c r="S158" s="12">
        <v>43069</v>
      </c>
      <c r="T158" s="13">
        <v>51.8</v>
      </c>
      <c r="V158" s="12">
        <v>40908</v>
      </c>
      <c r="W158" s="13">
        <v>20.78</v>
      </c>
    </row>
    <row r="159" spans="1:23" x14ac:dyDescent="0.35">
      <c r="A159" s="8">
        <v>41851</v>
      </c>
      <c r="B159" s="9">
        <f t="shared" si="28"/>
        <v>51.7</v>
      </c>
      <c r="C159" s="9">
        <f t="shared" si="29"/>
        <v>14.6</v>
      </c>
      <c r="D159" s="9" t="e">
        <f t="shared" si="30"/>
        <v>#N/A</v>
      </c>
      <c r="E159" s="1">
        <v>1</v>
      </c>
      <c r="F159" s="1">
        <v>0</v>
      </c>
      <c r="G159" s="7">
        <v>0</v>
      </c>
      <c r="H159" s="7">
        <v>1</v>
      </c>
      <c r="I159" s="1">
        <f t="shared" si="31"/>
        <v>0</v>
      </c>
      <c r="J159" s="1">
        <f t="shared" si="32"/>
        <v>1</v>
      </c>
      <c r="K159" s="1">
        <f t="shared" si="33"/>
        <v>0</v>
      </c>
      <c r="L159" s="1">
        <f t="shared" si="34"/>
        <v>0</v>
      </c>
      <c r="M159" s="1">
        <v>0</v>
      </c>
      <c r="N159" s="1">
        <v>1</v>
      </c>
      <c r="O159" s="1" t="str">
        <f t="shared" si="35"/>
        <v>被动补库存</v>
      </c>
      <c r="P159" s="1" t="str">
        <f t="shared" si="36"/>
        <v>产能周期下行</v>
      </c>
      <c r="Q159" s="2" t="str">
        <f t="shared" si="37"/>
        <v>产能周期下行,被动补库存</v>
      </c>
      <c r="S159" s="12">
        <v>43100</v>
      </c>
      <c r="T159" s="13">
        <v>51.6</v>
      </c>
      <c r="V159" s="12">
        <v>40877</v>
      </c>
      <c r="W159" s="13">
        <v>22.79</v>
      </c>
    </row>
    <row r="160" spans="1:23" x14ac:dyDescent="0.35">
      <c r="A160" s="8">
        <v>41820</v>
      </c>
      <c r="B160" s="9">
        <f t="shared" si="28"/>
        <v>51</v>
      </c>
      <c r="C160" s="9">
        <f t="shared" si="29"/>
        <v>12.6</v>
      </c>
      <c r="D160" s="9">
        <f t="shared" si="30"/>
        <v>40.6</v>
      </c>
      <c r="E160" s="1">
        <v>1</v>
      </c>
      <c r="F160" s="1">
        <v>0</v>
      </c>
      <c r="G160" s="7">
        <v>1</v>
      </c>
      <c r="H160" s="7">
        <v>0</v>
      </c>
      <c r="I160" s="1">
        <f t="shared" si="31"/>
        <v>0</v>
      </c>
      <c r="J160" s="1">
        <f t="shared" si="32"/>
        <v>0</v>
      </c>
      <c r="K160" s="1">
        <f t="shared" si="33"/>
        <v>0</v>
      </c>
      <c r="L160" s="1">
        <f t="shared" si="34"/>
        <v>1</v>
      </c>
      <c r="M160" s="1">
        <v>0</v>
      </c>
      <c r="N160" s="1">
        <v>1</v>
      </c>
      <c r="O160" s="1" t="str">
        <f t="shared" si="35"/>
        <v>主动补库存</v>
      </c>
      <c r="P160" s="1" t="str">
        <f t="shared" si="36"/>
        <v>产能周期下行</v>
      </c>
      <c r="Q160" s="2" t="str">
        <f t="shared" si="37"/>
        <v>产能周期下行,主动补库存</v>
      </c>
      <c r="S160" s="12">
        <v>43131</v>
      </c>
      <c r="T160" s="13">
        <v>51.3</v>
      </c>
      <c r="V160" s="12">
        <v>40847</v>
      </c>
      <c r="W160" s="13">
        <v>24.17</v>
      </c>
    </row>
    <row r="161" spans="1:23" x14ac:dyDescent="0.35">
      <c r="A161" s="8">
        <v>41790</v>
      </c>
      <c r="B161" s="9">
        <f t="shared" si="28"/>
        <v>50.8</v>
      </c>
      <c r="C161" s="9">
        <f t="shared" si="29"/>
        <v>12.5</v>
      </c>
      <c r="D161" s="9" t="e">
        <f t="shared" si="30"/>
        <v>#N/A</v>
      </c>
      <c r="E161" s="1">
        <v>1</v>
      </c>
      <c r="F161" s="1">
        <v>0</v>
      </c>
      <c r="G161" s="7">
        <v>1</v>
      </c>
      <c r="H161" s="7">
        <v>0</v>
      </c>
      <c r="I161" s="1">
        <f t="shared" si="31"/>
        <v>0</v>
      </c>
      <c r="J161" s="1">
        <f t="shared" si="32"/>
        <v>0</v>
      </c>
      <c r="K161" s="1">
        <f t="shared" si="33"/>
        <v>0</v>
      </c>
      <c r="L161" s="1">
        <f t="shared" si="34"/>
        <v>1</v>
      </c>
      <c r="M161" s="1">
        <v>0</v>
      </c>
      <c r="N161" s="1">
        <v>1</v>
      </c>
      <c r="O161" s="1" t="str">
        <f t="shared" si="35"/>
        <v>主动补库存</v>
      </c>
      <c r="P161" s="1" t="str">
        <f t="shared" si="36"/>
        <v>产能周期下行</v>
      </c>
      <c r="Q161" s="2" t="str">
        <f t="shared" si="37"/>
        <v>产能周期下行,主动补库存</v>
      </c>
      <c r="S161" s="12">
        <v>43159</v>
      </c>
      <c r="T161" s="13">
        <v>50.3</v>
      </c>
      <c r="V161" s="12">
        <v>40816</v>
      </c>
      <c r="W161" s="13">
        <v>24.15</v>
      </c>
    </row>
    <row r="162" spans="1:23" x14ac:dyDescent="0.35">
      <c r="A162" s="8">
        <v>41759</v>
      </c>
      <c r="B162" s="9">
        <f t="shared" ref="B162:B225" si="38">VLOOKUP(A162,S:T,2,0)</f>
        <v>50.4</v>
      </c>
      <c r="C162" s="9">
        <f t="shared" ref="C162:C225" si="39">VLOOKUP(A162,V:W,2,0)</f>
        <v>12</v>
      </c>
      <c r="D162" s="9" t="e">
        <f t="shared" si="30"/>
        <v>#N/A</v>
      </c>
      <c r="E162" s="1">
        <v>1</v>
      </c>
      <c r="F162" s="1">
        <v>0</v>
      </c>
      <c r="G162" s="7">
        <v>1</v>
      </c>
      <c r="H162" s="7">
        <v>0</v>
      </c>
      <c r="I162" s="1">
        <f t="shared" si="31"/>
        <v>0</v>
      </c>
      <c r="J162" s="1">
        <f t="shared" si="32"/>
        <v>0</v>
      </c>
      <c r="K162" s="1">
        <f t="shared" si="33"/>
        <v>0</v>
      </c>
      <c r="L162" s="1">
        <f t="shared" si="34"/>
        <v>1</v>
      </c>
      <c r="M162" s="1">
        <v>0</v>
      </c>
      <c r="N162" s="1">
        <v>1</v>
      </c>
      <c r="O162" s="1" t="str">
        <f t="shared" si="35"/>
        <v>主动补库存</v>
      </c>
      <c r="P162" s="1" t="str">
        <f t="shared" si="36"/>
        <v>产能周期下行</v>
      </c>
      <c r="Q162" s="2" t="str">
        <f t="shared" si="37"/>
        <v>产能周期下行,主动补库存</v>
      </c>
      <c r="S162" s="12">
        <v>43190</v>
      </c>
      <c r="T162" s="13">
        <v>51.5</v>
      </c>
      <c r="V162" s="12">
        <v>40786</v>
      </c>
      <c r="W162" s="13">
        <v>23.38</v>
      </c>
    </row>
    <row r="163" spans="1:23" x14ac:dyDescent="0.35">
      <c r="A163" s="8">
        <v>41729</v>
      </c>
      <c r="B163" s="9">
        <f t="shared" si="38"/>
        <v>50.3</v>
      </c>
      <c r="C163" s="9">
        <f t="shared" si="39"/>
        <v>10.7</v>
      </c>
      <c r="D163" s="9">
        <f t="shared" si="30"/>
        <v>39.200000000000003</v>
      </c>
      <c r="E163" s="1">
        <v>1</v>
      </c>
      <c r="F163" s="1">
        <v>0</v>
      </c>
      <c r="G163" s="7">
        <v>1</v>
      </c>
      <c r="H163" s="7">
        <v>0</v>
      </c>
      <c r="I163" s="1">
        <f t="shared" si="31"/>
        <v>0</v>
      </c>
      <c r="J163" s="1">
        <f t="shared" si="32"/>
        <v>0</v>
      </c>
      <c r="K163" s="1">
        <f t="shared" si="33"/>
        <v>0</v>
      </c>
      <c r="L163" s="1">
        <f t="shared" si="34"/>
        <v>1</v>
      </c>
      <c r="M163" s="1">
        <v>0</v>
      </c>
      <c r="N163" s="1">
        <v>1</v>
      </c>
      <c r="O163" s="1" t="str">
        <f t="shared" si="35"/>
        <v>主动补库存</v>
      </c>
      <c r="P163" s="1" t="str">
        <f t="shared" si="36"/>
        <v>产能周期下行</v>
      </c>
      <c r="Q163" s="2" t="str">
        <f t="shared" si="37"/>
        <v>产能周期下行,主动补库存</v>
      </c>
      <c r="S163" s="12">
        <v>43220</v>
      </c>
      <c r="T163" s="13">
        <v>51.4</v>
      </c>
      <c r="V163" s="12">
        <v>40755</v>
      </c>
      <c r="W163" s="13">
        <v>22.51</v>
      </c>
    </row>
    <row r="164" spans="1:23" x14ac:dyDescent="0.35">
      <c r="A164" s="8">
        <v>41698</v>
      </c>
      <c r="B164" s="9">
        <f t="shared" si="38"/>
        <v>50.2</v>
      </c>
      <c r="C164" s="9">
        <f t="shared" si="39"/>
        <v>10.19</v>
      </c>
      <c r="D164" s="9" t="e">
        <f t="shared" si="30"/>
        <v>#N/A</v>
      </c>
      <c r="E164" s="1">
        <v>1</v>
      </c>
      <c r="F164" s="1">
        <v>0</v>
      </c>
      <c r="G164" s="7">
        <v>1</v>
      </c>
      <c r="H164" s="7">
        <v>0</v>
      </c>
      <c r="I164" s="1">
        <f t="shared" si="31"/>
        <v>0</v>
      </c>
      <c r="J164" s="1">
        <f t="shared" si="32"/>
        <v>0</v>
      </c>
      <c r="K164" s="1">
        <f t="shared" si="33"/>
        <v>0</v>
      </c>
      <c r="L164" s="1">
        <f t="shared" si="34"/>
        <v>1</v>
      </c>
      <c r="M164" s="1">
        <v>0</v>
      </c>
      <c r="N164" s="1">
        <v>1</v>
      </c>
      <c r="O164" s="1" t="str">
        <f t="shared" si="35"/>
        <v>主动补库存</v>
      </c>
      <c r="P164" s="1" t="str">
        <f t="shared" si="36"/>
        <v>产能周期下行</v>
      </c>
      <c r="Q164" s="2" t="str">
        <f t="shared" si="37"/>
        <v>产能周期下行,主动补库存</v>
      </c>
      <c r="S164" s="12">
        <v>43251</v>
      </c>
      <c r="T164" s="13">
        <v>51.9</v>
      </c>
      <c r="V164" s="12">
        <v>40724</v>
      </c>
      <c r="W164" s="13">
        <v>21.74</v>
      </c>
    </row>
    <row r="165" spans="1:23" x14ac:dyDescent="0.35">
      <c r="A165" s="8">
        <v>41670</v>
      </c>
      <c r="B165" s="9">
        <f t="shared" si="38"/>
        <v>50.5</v>
      </c>
      <c r="C165" s="9" t="e">
        <f t="shared" si="39"/>
        <v>#N/A</v>
      </c>
      <c r="D165" s="9" t="e">
        <f t="shared" ref="D165:D228" si="40">VLOOKUP(A165,Y:Z,2,FALSE)</f>
        <v>#N/A</v>
      </c>
      <c r="E165" s="1">
        <v>1</v>
      </c>
      <c r="F165" s="1">
        <v>0</v>
      </c>
      <c r="G165" s="7">
        <v>1</v>
      </c>
      <c r="H165" s="7">
        <v>0</v>
      </c>
      <c r="I165" s="1">
        <f t="shared" si="31"/>
        <v>0</v>
      </c>
      <c r="J165" s="1">
        <f t="shared" si="32"/>
        <v>0</v>
      </c>
      <c r="K165" s="1">
        <f t="shared" si="33"/>
        <v>0</v>
      </c>
      <c r="L165" s="1">
        <f t="shared" si="34"/>
        <v>1</v>
      </c>
      <c r="M165" s="1">
        <v>0</v>
      </c>
      <c r="N165" s="1">
        <v>1</v>
      </c>
      <c r="O165" s="1" t="str">
        <f t="shared" si="35"/>
        <v>主动补库存</v>
      </c>
      <c r="P165" s="1" t="str">
        <f t="shared" si="36"/>
        <v>产能周期下行</v>
      </c>
      <c r="Q165" s="2" t="str">
        <f t="shared" si="37"/>
        <v>产能周期下行,主动补库存</v>
      </c>
      <c r="S165" s="12">
        <v>43281</v>
      </c>
      <c r="T165" s="13">
        <v>51.5</v>
      </c>
      <c r="V165" s="12">
        <v>40694</v>
      </c>
      <c r="W165" s="13">
        <v>22.62</v>
      </c>
    </row>
    <row r="166" spans="1:23" x14ac:dyDescent="0.35">
      <c r="A166" s="8">
        <v>41639</v>
      </c>
      <c r="B166" s="9">
        <f t="shared" si="38"/>
        <v>51</v>
      </c>
      <c r="C166" s="9">
        <f t="shared" si="39"/>
        <v>6.83</v>
      </c>
      <c r="D166" s="9">
        <f t="shared" si="40"/>
        <v>41.2</v>
      </c>
      <c r="E166" s="1">
        <v>1</v>
      </c>
      <c r="F166" s="1">
        <v>0</v>
      </c>
      <c r="G166" s="7">
        <v>1</v>
      </c>
      <c r="H166" s="7">
        <v>0</v>
      </c>
      <c r="I166" s="1">
        <f t="shared" si="31"/>
        <v>0</v>
      </c>
      <c r="J166" s="1">
        <f t="shared" si="32"/>
        <v>0</v>
      </c>
      <c r="K166" s="1">
        <f t="shared" si="33"/>
        <v>0</v>
      </c>
      <c r="L166" s="1">
        <f t="shared" si="34"/>
        <v>1</v>
      </c>
      <c r="M166" s="1">
        <v>0</v>
      </c>
      <c r="N166" s="1">
        <v>1</v>
      </c>
      <c r="O166" s="1" t="str">
        <f t="shared" si="35"/>
        <v>主动补库存</v>
      </c>
      <c r="P166" s="1" t="str">
        <f t="shared" si="36"/>
        <v>产能周期下行</v>
      </c>
      <c r="Q166" s="2" t="str">
        <f t="shared" si="37"/>
        <v>产能周期下行,主动补库存</v>
      </c>
      <c r="S166" s="12">
        <v>43312</v>
      </c>
      <c r="T166" s="13">
        <v>51.2</v>
      </c>
      <c r="V166" s="12">
        <v>40663</v>
      </c>
      <c r="W166" s="13">
        <v>23.16</v>
      </c>
    </row>
    <row r="167" spans="1:23" x14ac:dyDescent="0.35">
      <c r="A167" s="8">
        <v>41608</v>
      </c>
      <c r="B167" s="9">
        <f t="shared" si="38"/>
        <v>51.4</v>
      </c>
      <c r="C167" s="9">
        <f t="shared" si="39"/>
        <v>6.56</v>
      </c>
      <c r="D167" s="9" t="e">
        <f t="shared" si="40"/>
        <v>#N/A</v>
      </c>
      <c r="E167" s="1">
        <v>1</v>
      </c>
      <c r="F167" s="1">
        <v>0</v>
      </c>
      <c r="G167" s="7">
        <v>1</v>
      </c>
      <c r="H167" s="7">
        <v>0</v>
      </c>
      <c r="I167" s="1">
        <f t="shared" si="31"/>
        <v>0</v>
      </c>
      <c r="J167" s="1">
        <f t="shared" si="32"/>
        <v>0</v>
      </c>
      <c r="K167" s="1">
        <f t="shared" si="33"/>
        <v>0</v>
      </c>
      <c r="L167" s="1">
        <f t="shared" si="34"/>
        <v>1</v>
      </c>
      <c r="M167" s="1">
        <v>0</v>
      </c>
      <c r="N167" s="1">
        <v>1</v>
      </c>
      <c r="O167" s="1" t="str">
        <f t="shared" si="35"/>
        <v>主动补库存</v>
      </c>
      <c r="P167" s="1" t="str">
        <f t="shared" si="36"/>
        <v>产能周期下行</v>
      </c>
      <c r="Q167" s="2" t="str">
        <f t="shared" si="37"/>
        <v>产能周期下行,主动补库存</v>
      </c>
      <c r="S167" s="12">
        <v>43343</v>
      </c>
      <c r="T167" s="13">
        <v>51.3</v>
      </c>
      <c r="V167" s="12">
        <v>40633</v>
      </c>
      <c r="W167" s="13">
        <v>23.15</v>
      </c>
    </row>
    <row r="168" spans="1:23" x14ac:dyDescent="0.35">
      <c r="A168" s="8">
        <v>41578</v>
      </c>
      <c r="B168" s="9">
        <f t="shared" si="38"/>
        <v>51.4</v>
      </c>
      <c r="C168" s="9">
        <f t="shared" si="39"/>
        <v>6.23</v>
      </c>
      <c r="D168" s="9" t="e">
        <f t="shared" si="40"/>
        <v>#N/A</v>
      </c>
      <c r="E168" s="1">
        <v>1</v>
      </c>
      <c r="F168" s="1">
        <v>0</v>
      </c>
      <c r="G168" s="7">
        <v>1</v>
      </c>
      <c r="H168" s="7">
        <v>0</v>
      </c>
      <c r="I168" s="1">
        <f t="shared" si="31"/>
        <v>0</v>
      </c>
      <c r="J168" s="1">
        <f t="shared" si="32"/>
        <v>0</v>
      </c>
      <c r="K168" s="1">
        <f t="shared" si="33"/>
        <v>0</v>
      </c>
      <c r="L168" s="1">
        <f t="shared" si="34"/>
        <v>1</v>
      </c>
      <c r="M168" s="1">
        <v>0</v>
      </c>
      <c r="N168" s="1">
        <v>1</v>
      </c>
      <c r="O168" s="1" t="str">
        <f t="shared" si="35"/>
        <v>主动补库存</v>
      </c>
      <c r="P168" s="1" t="str">
        <f t="shared" si="36"/>
        <v>产能周期下行</v>
      </c>
      <c r="Q168" s="2" t="str">
        <f t="shared" si="37"/>
        <v>产能周期下行,主动补库存</v>
      </c>
      <c r="S168" s="12">
        <v>43373</v>
      </c>
      <c r="T168" s="13">
        <v>50.8</v>
      </c>
      <c r="V168" s="12">
        <v>40602</v>
      </c>
      <c r="W168" s="13">
        <v>22.04</v>
      </c>
    </row>
    <row r="169" spans="1:23" x14ac:dyDescent="0.35">
      <c r="A169" s="8">
        <v>41547</v>
      </c>
      <c r="B169" s="9">
        <f t="shared" si="38"/>
        <v>51.1</v>
      </c>
      <c r="C169" s="9">
        <f t="shared" si="39"/>
        <v>6.03</v>
      </c>
      <c r="D169" s="9">
        <f t="shared" si="40"/>
        <v>39.799999999999997</v>
      </c>
      <c r="E169" s="1">
        <v>1</v>
      </c>
      <c r="F169" s="1">
        <v>0</v>
      </c>
      <c r="G169" s="7">
        <v>1</v>
      </c>
      <c r="H169" s="7">
        <v>0</v>
      </c>
      <c r="I169" s="1">
        <f t="shared" ref="I169:I232" si="41">INT(AND(H169=1,F169=1))</f>
        <v>0</v>
      </c>
      <c r="J169" s="1">
        <f t="shared" ref="J169:J232" si="42">INT(AND(H169=1,E169=1))</f>
        <v>0</v>
      </c>
      <c r="K169" s="1">
        <f t="shared" ref="K169:K232" si="43">INT(AND(G169=1,F169=1))</f>
        <v>0</v>
      </c>
      <c r="L169" s="1">
        <f t="shared" ref="L169:L232" si="44">INT(AND(G169=1,E169=1))</f>
        <v>1</v>
      </c>
      <c r="M169" s="1">
        <v>0</v>
      </c>
      <c r="N169" s="1">
        <v>1</v>
      </c>
      <c r="O169" s="1" t="str">
        <f t="shared" ref="O169:O232" si="45">INDEX($I$3:$L$3,1,MATCH(1,I169:L169,0))</f>
        <v>主动补库存</v>
      </c>
      <c r="P169" s="1" t="str">
        <f t="shared" ref="P169:P232" si="46">INDEX($M$3:$N$3,1,MATCH(1,M169:N169,0))</f>
        <v>产能周期下行</v>
      </c>
      <c r="Q169" s="2" t="str">
        <f t="shared" ref="Q169:Q232" si="47">TEXT(P169,"")&amp;","&amp;TEXT(O169,"")</f>
        <v>产能周期下行,主动补库存</v>
      </c>
      <c r="S169" s="12">
        <v>43404</v>
      </c>
      <c r="T169" s="13">
        <v>50.2</v>
      </c>
      <c r="V169" s="12">
        <v>40512</v>
      </c>
      <c r="W169" s="13">
        <v>11.22</v>
      </c>
    </row>
    <row r="170" spans="1:23" x14ac:dyDescent="0.35">
      <c r="A170" s="8">
        <v>41517</v>
      </c>
      <c r="B170" s="9">
        <f t="shared" si="38"/>
        <v>51</v>
      </c>
      <c r="C170" s="9">
        <f t="shared" si="39"/>
        <v>5.73</v>
      </c>
      <c r="D170" s="9" t="e">
        <f t="shared" si="40"/>
        <v>#N/A</v>
      </c>
      <c r="E170" s="1">
        <v>1</v>
      </c>
      <c r="F170" s="1">
        <v>0</v>
      </c>
      <c r="G170" s="7">
        <v>1</v>
      </c>
      <c r="H170" s="7">
        <v>0</v>
      </c>
      <c r="I170" s="1">
        <f t="shared" si="41"/>
        <v>0</v>
      </c>
      <c r="J170" s="1">
        <f t="shared" si="42"/>
        <v>0</v>
      </c>
      <c r="K170" s="1">
        <f t="shared" si="43"/>
        <v>0</v>
      </c>
      <c r="L170" s="1">
        <f t="shared" si="44"/>
        <v>1</v>
      </c>
      <c r="M170" s="1">
        <v>0</v>
      </c>
      <c r="N170" s="1">
        <v>1</v>
      </c>
      <c r="O170" s="1" t="str">
        <f t="shared" si="45"/>
        <v>主动补库存</v>
      </c>
      <c r="P170" s="1" t="str">
        <f t="shared" si="46"/>
        <v>产能周期下行</v>
      </c>
      <c r="Q170" s="2" t="str">
        <f t="shared" si="47"/>
        <v>产能周期下行,主动补库存</v>
      </c>
      <c r="S170" s="12">
        <v>43434</v>
      </c>
      <c r="T170" s="13">
        <v>50</v>
      </c>
      <c r="V170" s="12">
        <v>40421</v>
      </c>
      <c r="W170" s="13">
        <v>9.0299999999999994</v>
      </c>
    </row>
    <row r="171" spans="1:23" x14ac:dyDescent="0.35">
      <c r="A171" s="8">
        <v>41486</v>
      </c>
      <c r="B171" s="9">
        <f t="shared" si="38"/>
        <v>50.3</v>
      </c>
      <c r="C171" s="9">
        <f t="shared" si="39"/>
        <v>6.1</v>
      </c>
      <c r="D171" s="9" t="e">
        <f t="shared" si="40"/>
        <v>#N/A</v>
      </c>
      <c r="E171" s="1">
        <v>0</v>
      </c>
      <c r="F171" s="1">
        <v>1</v>
      </c>
      <c r="G171" s="7">
        <v>1</v>
      </c>
      <c r="H171" s="7">
        <v>0</v>
      </c>
      <c r="I171" s="1">
        <f t="shared" si="41"/>
        <v>0</v>
      </c>
      <c r="J171" s="1">
        <f t="shared" si="42"/>
        <v>0</v>
      </c>
      <c r="K171" s="1">
        <f t="shared" si="43"/>
        <v>1</v>
      </c>
      <c r="L171" s="1">
        <f t="shared" si="44"/>
        <v>0</v>
      </c>
      <c r="M171" s="1">
        <v>0</v>
      </c>
      <c r="N171" s="1">
        <v>1</v>
      </c>
      <c r="O171" s="1" t="str">
        <f t="shared" si="45"/>
        <v>被动去库存</v>
      </c>
      <c r="P171" s="1" t="str">
        <f t="shared" si="46"/>
        <v>产能周期下行</v>
      </c>
      <c r="Q171" s="2" t="str">
        <f t="shared" si="47"/>
        <v>产能周期下行,被动去库存</v>
      </c>
      <c r="S171" s="12">
        <v>43465</v>
      </c>
      <c r="T171" s="13">
        <v>49.4</v>
      </c>
      <c r="V171" s="12">
        <v>40329</v>
      </c>
      <c r="W171" s="13">
        <v>9.49</v>
      </c>
    </row>
    <row r="172" spans="1:23" x14ac:dyDescent="0.35">
      <c r="A172" s="8">
        <v>41455</v>
      </c>
      <c r="B172" s="9">
        <f t="shared" si="38"/>
        <v>50.1</v>
      </c>
      <c r="C172" s="9">
        <f t="shared" si="39"/>
        <v>7.2</v>
      </c>
      <c r="D172" s="9">
        <f t="shared" si="40"/>
        <v>40.6</v>
      </c>
      <c r="E172" s="1">
        <v>0</v>
      </c>
      <c r="F172" s="1">
        <v>1</v>
      </c>
      <c r="G172" s="7">
        <v>1</v>
      </c>
      <c r="H172" s="7">
        <v>0</v>
      </c>
      <c r="I172" s="1">
        <f t="shared" si="41"/>
        <v>0</v>
      </c>
      <c r="J172" s="1">
        <f t="shared" si="42"/>
        <v>0</v>
      </c>
      <c r="K172" s="1">
        <f t="shared" si="43"/>
        <v>1</v>
      </c>
      <c r="L172" s="1">
        <f t="shared" si="44"/>
        <v>0</v>
      </c>
      <c r="M172" s="1">
        <v>0</v>
      </c>
      <c r="N172" s="1">
        <v>1</v>
      </c>
      <c r="O172" s="1" t="str">
        <f t="shared" si="45"/>
        <v>被动去库存</v>
      </c>
      <c r="P172" s="1" t="str">
        <f t="shared" si="46"/>
        <v>产能周期下行</v>
      </c>
      <c r="Q172" s="2" t="str">
        <f t="shared" si="47"/>
        <v>产能周期下行,被动去库存</v>
      </c>
      <c r="S172" s="12">
        <v>43496</v>
      </c>
      <c r="T172" s="13">
        <v>49.5</v>
      </c>
      <c r="V172" s="12">
        <v>40237</v>
      </c>
      <c r="W172" s="13">
        <v>5.19</v>
      </c>
    </row>
    <row r="173" spans="1:23" x14ac:dyDescent="0.35">
      <c r="A173" s="8">
        <v>41425</v>
      </c>
      <c r="B173" s="9">
        <f t="shared" si="38"/>
        <v>50.8</v>
      </c>
      <c r="C173" s="9">
        <f t="shared" si="39"/>
        <v>7.1</v>
      </c>
      <c r="D173" s="9" t="e">
        <f t="shared" si="40"/>
        <v>#N/A</v>
      </c>
      <c r="E173" s="1">
        <v>0</v>
      </c>
      <c r="F173" s="1">
        <v>1</v>
      </c>
      <c r="G173" s="7">
        <v>1</v>
      </c>
      <c r="H173" s="7">
        <v>0</v>
      </c>
      <c r="I173" s="1">
        <f t="shared" si="41"/>
        <v>0</v>
      </c>
      <c r="J173" s="1">
        <f t="shared" si="42"/>
        <v>0</v>
      </c>
      <c r="K173" s="1">
        <f t="shared" si="43"/>
        <v>1</v>
      </c>
      <c r="L173" s="1">
        <f t="shared" si="44"/>
        <v>0</v>
      </c>
      <c r="M173" s="1">
        <v>0</v>
      </c>
      <c r="N173" s="1">
        <v>1</v>
      </c>
      <c r="O173" s="1" t="str">
        <f t="shared" si="45"/>
        <v>被动去库存</v>
      </c>
      <c r="P173" s="1" t="str">
        <f t="shared" si="46"/>
        <v>产能周期下行</v>
      </c>
      <c r="Q173" s="2" t="str">
        <f t="shared" si="47"/>
        <v>产能周期下行,被动去库存</v>
      </c>
      <c r="S173" s="12">
        <v>43524</v>
      </c>
      <c r="T173" s="13">
        <v>49.2</v>
      </c>
      <c r="V173" s="12">
        <v>40147</v>
      </c>
      <c r="W173" s="13">
        <v>0.24</v>
      </c>
    </row>
    <row r="174" spans="1:23" x14ac:dyDescent="0.35">
      <c r="A174" s="8">
        <v>41394</v>
      </c>
      <c r="B174" s="9">
        <f t="shared" si="38"/>
        <v>50.6</v>
      </c>
      <c r="C174" s="9">
        <f t="shared" si="39"/>
        <v>8</v>
      </c>
      <c r="D174" s="9" t="e">
        <f t="shared" si="40"/>
        <v>#N/A</v>
      </c>
      <c r="E174" s="1">
        <v>0</v>
      </c>
      <c r="F174" s="1">
        <v>1</v>
      </c>
      <c r="G174" s="7">
        <v>1</v>
      </c>
      <c r="H174" s="7">
        <v>0</v>
      </c>
      <c r="I174" s="1">
        <f t="shared" si="41"/>
        <v>0</v>
      </c>
      <c r="J174" s="1">
        <f t="shared" si="42"/>
        <v>0</v>
      </c>
      <c r="K174" s="1">
        <f t="shared" si="43"/>
        <v>1</v>
      </c>
      <c r="L174" s="1">
        <f t="shared" si="44"/>
        <v>0</v>
      </c>
      <c r="M174" s="1">
        <v>0</v>
      </c>
      <c r="N174" s="1">
        <v>1</v>
      </c>
      <c r="O174" s="1" t="str">
        <f t="shared" si="45"/>
        <v>被动去库存</v>
      </c>
      <c r="P174" s="1" t="str">
        <f t="shared" si="46"/>
        <v>产能周期下行</v>
      </c>
      <c r="Q174" s="2" t="str">
        <f t="shared" si="47"/>
        <v>产能周期下行,被动去库存</v>
      </c>
      <c r="S174" s="12">
        <v>43555</v>
      </c>
      <c r="T174" s="13">
        <v>50.5</v>
      </c>
      <c r="V174" s="12">
        <v>40056</v>
      </c>
      <c r="W174" s="13">
        <v>-0.76</v>
      </c>
    </row>
    <row r="175" spans="1:23" x14ac:dyDescent="0.35">
      <c r="A175" s="8">
        <v>41364</v>
      </c>
      <c r="B175" s="9">
        <f t="shared" si="38"/>
        <v>50.9</v>
      </c>
      <c r="C175" s="9">
        <f t="shared" si="39"/>
        <v>8.82</v>
      </c>
      <c r="D175" s="9">
        <f t="shared" si="40"/>
        <v>39.299999999999997</v>
      </c>
      <c r="E175" s="1">
        <v>0</v>
      </c>
      <c r="F175" s="1">
        <v>1</v>
      </c>
      <c r="G175" s="7">
        <v>1</v>
      </c>
      <c r="H175" s="7">
        <v>0</v>
      </c>
      <c r="I175" s="1">
        <f t="shared" si="41"/>
        <v>0</v>
      </c>
      <c r="J175" s="1">
        <f t="shared" si="42"/>
        <v>0</v>
      </c>
      <c r="K175" s="1">
        <f t="shared" si="43"/>
        <v>1</v>
      </c>
      <c r="L175" s="1">
        <f t="shared" si="44"/>
        <v>0</v>
      </c>
      <c r="M175" s="1">
        <v>0</v>
      </c>
      <c r="N175" s="1">
        <v>1</v>
      </c>
      <c r="O175" s="1" t="str">
        <f t="shared" si="45"/>
        <v>被动去库存</v>
      </c>
      <c r="P175" s="1" t="str">
        <f t="shared" si="46"/>
        <v>产能周期下行</v>
      </c>
      <c r="Q175" s="2" t="str">
        <f t="shared" si="47"/>
        <v>产能周期下行,被动去库存</v>
      </c>
      <c r="S175" s="12">
        <v>43585</v>
      </c>
      <c r="T175" s="13">
        <v>50.1</v>
      </c>
      <c r="V175" s="12">
        <v>39964</v>
      </c>
      <c r="W175" s="13">
        <v>4.24</v>
      </c>
    </row>
    <row r="176" spans="1:23" x14ac:dyDescent="0.35">
      <c r="A176" s="8">
        <v>41333</v>
      </c>
      <c r="B176" s="9">
        <f t="shared" si="38"/>
        <v>50.1</v>
      </c>
      <c r="C176" s="9">
        <f t="shared" si="39"/>
        <v>7.51</v>
      </c>
      <c r="D176" s="9" t="e">
        <f t="shared" si="40"/>
        <v>#N/A</v>
      </c>
      <c r="E176" s="1">
        <v>0</v>
      </c>
      <c r="F176" s="1">
        <v>1</v>
      </c>
      <c r="G176" s="7">
        <v>1</v>
      </c>
      <c r="H176" s="7">
        <v>0</v>
      </c>
      <c r="I176" s="1">
        <f t="shared" si="41"/>
        <v>0</v>
      </c>
      <c r="J176" s="1">
        <f t="shared" si="42"/>
        <v>0</v>
      </c>
      <c r="K176" s="1">
        <f t="shared" si="43"/>
        <v>1</v>
      </c>
      <c r="L176" s="1">
        <f t="shared" si="44"/>
        <v>0</v>
      </c>
      <c r="M176" s="1">
        <v>0</v>
      </c>
      <c r="N176" s="1">
        <v>1</v>
      </c>
      <c r="O176" s="1" t="str">
        <f t="shared" si="45"/>
        <v>被动去库存</v>
      </c>
      <c r="P176" s="1" t="str">
        <f t="shared" si="46"/>
        <v>产能周期下行</v>
      </c>
      <c r="Q176" s="2" t="str">
        <f t="shared" si="47"/>
        <v>产能周期下行,被动去库存</v>
      </c>
      <c r="S176" s="12">
        <v>43616</v>
      </c>
      <c r="T176" s="13">
        <v>49.4</v>
      </c>
      <c r="V176" s="12">
        <v>39872</v>
      </c>
      <c r="W176" s="13">
        <v>11.7</v>
      </c>
    </row>
    <row r="177" spans="1:23" x14ac:dyDescent="0.35">
      <c r="A177" s="8">
        <v>41305</v>
      </c>
      <c r="B177" s="9">
        <f t="shared" si="38"/>
        <v>50.4</v>
      </c>
      <c r="C177" s="9" t="e">
        <f t="shared" si="39"/>
        <v>#N/A</v>
      </c>
      <c r="D177" s="9" t="e">
        <f t="shared" si="40"/>
        <v>#N/A</v>
      </c>
      <c r="E177" s="1">
        <v>0</v>
      </c>
      <c r="F177" s="1">
        <v>1</v>
      </c>
      <c r="G177" s="7">
        <v>1</v>
      </c>
      <c r="H177" s="7">
        <v>0</v>
      </c>
      <c r="I177" s="1">
        <f t="shared" si="41"/>
        <v>0</v>
      </c>
      <c r="J177" s="1">
        <f t="shared" si="42"/>
        <v>0</v>
      </c>
      <c r="K177" s="1">
        <f t="shared" si="43"/>
        <v>1</v>
      </c>
      <c r="L177" s="1">
        <f t="shared" si="44"/>
        <v>0</v>
      </c>
      <c r="M177" s="1">
        <v>0</v>
      </c>
      <c r="N177" s="1">
        <v>1</v>
      </c>
      <c r="O177" s="1" t="str">
        <f t="shared" si="45"/>
        <v>被动去库存</v>
      </c>
      <c r="P177" s="1" t="str">
        <f t="shared" si="46"/>
        <v>产能周期下行</v>
      </c>
      <c r="Q177" s="2" t="str">
        <f t="shared" si="47"/>
        <v>产能周期下行,被动去库存</v>
      </c>
      <c r="S177" s="12">
        <v>43646</v>
      </c>
      <c r="T177" s="13">
        <v>49.4</v>
      </c>
      <c r="V177" s="12">
        <v>39782</v>
      </c>
      <c r="W177" s="13">
        <v>25.01</v>
      </c>
    </row>
    <row r="178" spans="1:23" x14ac:dyDescent="0.35">
      <c r="A178" s="8">
        <v>41274</v>
      </c>
      <c r="B178" s="9">
        <f t="shared" si="38"/>
        <v>50.6</v>
      </c>
      <c r="C178" s="9">
        <f t="shared" si="39"/>
        <v>7.19</v>
      </c>
      <c r="D178" s="9">
        <f t="shared" si="40"/>
        <v>40</v>
      </c>
      <c r="E178" s="1">
        <v>0</v>
      </c>
      <c r="F178" s="1">
        <v>1</v>
      </c>
      <c r="G178" s="7">
        <v>1</v>
      </c>
      <c r="H178" s="7">
        <v>0</v>
      </c>
      <c r="I178" s="1">
        <f t="shared" si="41"/>
        <v>0</v>
      </c>
      <c r="J178" s="1">
        <f t="shared" si="42"/>
        <v>0</v>
      </c>
      <c r="K178" s="1">
        <f t="shared" si="43"/>
        <v>1</v>
      </c>
      <c r="L178" s="1">
        <f t="shared" si="44"/>
        <v>0</v>
      </c>
      <c r="M178" s="1">
        <v>0</v>
      </c>
      <c r="N178" s="1">
        <v>1</v>
      </c>
      <c r="O178" s="1" t="str">
        <f t="shared" si="45"/>
        <v>被动去库存</v>
      </c>
      <c r="P178" s="1" t="str">
        <f t="shared" si="46"/>
        <v>产能周期下行</v>
      </c>
      <c r="Q178" s="2" t="str">
        <f t="shared" si="47"/>
        <v>产能周期下行,被动去库存</v>
      </c>
      <c r="S178" s="12">
        <v>43677</v>
      </c>
      <c r="T178" s="13">
        <v>49.7</v>
      </c>
      <c r="V178" s="12">
        <v>39691</v>
      </c>
      <c r="W178" s="13">
        <v>28.54</v>
      </c>
    </row>
    <row r="179" spans="1:23" x14ac:dyDescent="0.35">
      <c r="A179" s="8">
        <v>41243</v>
      </c>
      <c r="B179" s="9">
        <f t="shared" si="38"/>
        <v>50.6</v>
      </c>
      <c r="C179" s="9">
        <f t="shared" si="39"/>
        <v>7.86</v>
      </c>
      <c r="D179" s="9" t="e">
        <f t="shared" si="40"/>
        <v>#N/A</v>
      </c>
      <c r="E179" s="1">
        <v>0</v>
      </c>
      <c r="F179" s="1">
        <v>1</v>
      </c>
      <c r="G179" s="7">
        <v>1</v>
      </c>
      <c r="H179" s="7">
        <v>0</v>
      </c>
      <c r="I179" s="1">
        <f t="shared" si="41"/>
        <v>0</v>
      </c>
      <c r="J179" s="1">
        <f t="shared" si="42"/>
        <v>0</v>
      </c>
      <c r="K179" s="1">
        <f t="shared" si="43"/>
        <v>1</v>
      </c>
      <c r="L179" s="1">
        <f t="shared" si="44"/>
        <v>0</v>
      </c>
      <c r="M179" s="1">
        <v>0</v>
      </c>
      <c r="N179" s="1">
        <v>1</v>
      </c>
      <c r="O179" s="1" t="str">
        <f t="shared" si="45"/>
        <v>被动去库存</v>
      </c>
      <c r="P179" s="1" t="str">
        <f t="shared" si="46"/>
        <v>产能周期下行</v>
      </c>
      <c r="Q179" s="2" t="str">
        <f t="shared" si="47"/>
        <v>产能周期下行,被动去库存</v>
      </c>
      <c r="S179" s="12">
        <v>43708</v>
      </c>
      <c r="T179" s="13">
        <v>49.5</v>
      </c>
      <c r="V179" s="12">
        <v>39599</v>
      </c>
      <c r="W179" s="13">
        <v>26.07</v>
      </c>
    </row>
    <row r="180" spans="1:23" x14ac:dyDescent="0.35">
      <c r="A180" s="8">
        <v>41213</v>
      </c>
      <c r="B180" s="9">
        <f t="shared" si="38"/>
        <v>50.2</v>
      </c>
      <c r="C180" s="9">
        <f t="shared" si="39"/>
        <v>8.32</v>
      </c>
      <c r="D180" s="9" t="e">
        <f t="shared" si="40"/>
        <v>#N/A</v>
      </c>
      <c r="E180" s="1">
        <v>0</v>
      </c>
      <c r="F180" s="1">
        <v>1</v>
      </c>
      <c r="G180" s="7">
        <v>1</v>
      </c>
      <c r="H180" s="7">
        <v>0</v>
      </c>
      <c r="I180" s="1">
        <f t="shared" si="41"/>
        <v>0</v>
      </c>
      <c r="J180" s="1">
        <f t="shared" si="42"/>
        <v>0</v>
      </c>
      <c r="K180" s="1">
        <f t="shared" si="43"/>
        <v>1</v>
      </c>
      <c r="L180" s="1">
        <f t="shared" si="44"/>
        <v>0</v>
      </c>
      <c r="M180" s="1">
        <v>0</v>
      </c>
      <c r="N180" s="1">
        <v>1</v>
      </c>
      <c r="O180" s="1" t="str">
        <f t="shared" si="45"/>
        <v>被动去库存</v>
      </c>
      <c r="P180" s="1" t="str">
        <f t="shared" si="46"/>
        <v>产能周期下行</v>
      </c>
      <c r="Q180" s="2" t="str">
        <f t="shared" si="47"/>
        <v>产能周期下行,被动去库存</v>
      </c>
      <c r="S180" s="12">
        <v>43738</v>
      </c>
      <c r="T180" s="13">
        <v>49.8</v>
      </c>
      <c r="V180" s="12">
        <v>39507</v>
      </c>
      <c r="W180" s="13">
        <v>21.18</v>
      </c>
    </row>
    <row r="181" spans="1:23" x14ac:dyDescent="0.35">
      <c r="A181" s="8">
        <v>41182</v>
      </c>
      <c r="B181" s="9">
        <f t="shared" si="38"/>
        <v>49.8</v>
      </c>
      <c r="C181" s="9">
        <f t="shared" si="39"/>
        <v>10.050000000000001</v>
      </c>
      <c r="D181" s="9">
        <f t="shared" si="40"/>
        <v>39.700000000000003</v>
      </c>
      <c r="E181" s="1">
        <v>0</v>
      </c>
      <c r="F181" s="1">
        <v>1</v>
      </c>
      <c r="G181" s="7">
        <v>1</v>
      </c>
      <c r="H181" s="7">
        <v>0</v>
      </c>
      <c r="I181" s="1">
        <f t="shared" si="41"/>
        <v>0</v>
      </c>
      <c r="J181" s="1">
        <f t="shared" si="42"/>
        <v>0</v>
      </c>
      <c r="K181" s="1">
        <f t="shared" si="43"/>
        <v>1</v>
      </c>
      <c r="L181" s="1">
        <f t="shared" si="44"/>
        <v>0</v>
      </c>
      <c r="M181" s="1">
        <v>0</v>
      </c>
      <c r="N181" s="1">
        <v>1</v>
      </c>
      <c r="O181" s="1" t="str">
        <f t="shared" si="45"/>
        <v>被动去库存</v>
      </c>
      <c r="P181" s="1" t="str">
        <f t="shared" si="46"/>
        <v>产能周期下行</v>
      </c>
      <c r="Q181" s="2" t="str">
        <f t="shared" si="47"/>
        <v>产能周期下行,被动去库存</v>
      </c>
      <c r="S181" s="12">
        <v>43769</v>
      </c>
      <c r="T181" s="13">
        <v>49.3</v>
      </c>
      <c r="V181" s="12">
        <v>39416</v>
      </c>
      <c r="W181" s="13">
        <v>21.8</v>
      </c>
    </row>
    <row r="182" spans="1:23" x14ac:dyDescent="0.35">
      <c r="A182" s="8">
        <v>41152</v>
      </c>
      <c r="B182" s="9">
        <f t="shared" si="38"/>
        <v>49.2</v>
      </c>
      <c r="C182" s="9">
        <f t="shared" si="39"/>
        <v>11.26</v>
      </c>
      <c r="D182" s="9" t="e">
        <f t="shared" si="40"/>
        <v>#N/A</v>
      </c>
      <c r="E182" s="1">
        <v>0</v>
      </c>
      <c r="F182" s="1">
        <v>1</v>
      </c>
      <c r="G182" s="7">
        <v>0</v>
      </c>
      <c r="H182" s="7">
        <v>1</v>
      </c>
      <c r="I182" s="1">
        <f t="shared" si="41"/>
        <v>1</v>
      </c>
      <c r="J182" s="1">
        <f t="shared" si="42"/>
        <v>0</v>
      </c>
      <c r="K182" s="1">
        <f t="shared" si="43"/>
        <v>0</v>
      </c>
      <c r="L182" s="1">
        <f t="shared" si="44"/>
        <v>0</v>
      </c>
      <c r="M182" s="1">
        <v>0</v>
      </c>
      <c r="N182" s="1">
        <v>1</v>
      </c>
      <c r="O182" s="1" t="str">
        <f t="shared" si="45"/>
        <v>主动去库存</v>
      </c>
      <c r="P182" s="1" t="str">
        <f t="shared" si="46"/>
        <v>产能周期下行</v>
      </c>
      <c r="Q182" s="2" t="str">
        <f t="shared" si="47"/>
        <v>产能周期下行,主动去库存</v>
      </c>
      <c r="S182" s="12">
        <v>43799</v>
      </c>
      <c r="T182" s="13">
        <v>50.2</v>
      </c>
      <c r="V182" s="12">
        <v>39325</v>
      </c>
      <c r="W182" s="13">
        <v>20.079999999999998</v>
      </c>
    </row>
    <row r="183" spans="1:23" x14ac:dyDescent="0.35">
      <c r="A183" s="8">
        <v>41121</v>
      </c>
      <c r="B183" s="9">
        <f t="shared" si="38"/>
        <v>50.1</v>
      </c>
      <c r="C183" s="9">
        <f t="shared" si="39"/>
        <v>12.5</v>
      </c>
      <c r="D183" s="9" t="e">
        <f t="shared" si="40"/>
        <v>#N/A</v>
      </c>
      <c r="E183" s="1">
        <v>0</v>
      </c>
      <c r="F183" s="1">
        <v>1</v>
      </c>
      <c r="G183" s="7">
        <v>0</v>
      </c>
      <c r="H183" s="7">
        <v>1</v>
      </c>
      <c r="I183" s="1">
        <f t="shared" si="41"/>
        <v>1</v>
      </c>
      <c r="J183" s="1">
        <f t="shared" si="42"/>
        <v>0</v>
      </c>
      <c r="K183" s="1">
        <f t="shared" si="43"/>
        <v>0</v>
      </c>
      <c r="L183" s="1">
        <f t="shared" si="44"/>
        <v>0</v>
      </c>
      <c r="M183" s="1">
        <v>0</v>
      </c>
      <c r="N183" s="1">
        <v>1</v>
      </c>
      <c r="O183" s="1" t="str">
        <f t="shared" si="45"/>
        <v>主动去库存</v>
      </c>
      <c r="P183" s="1" t="str">
        <f t="shared" si="46"/>
        <v>产能周期下行</v>
      </c>
      <c r="Q183" s="2" t="str">
        <f t="shared" si="47"/>
        <v>产能周期下行,主动去库存</v>
      </c>
      <c r="S183" s="12">
        <v>43830</v>
      </c>
      <c r="T183" s="13">
        <v>50.2</v>
      </c>
      <c r="V183" s="12">
        <v>39233</v>
      </c>
      <c r="W183" s="13">
        <v>20.09</v>
      </c>
    </row>
    <row r="184" spans="1:23" x14ac:dyDescent="0.35">
      <c r="A184" s="8">
        <v>41090</v>
      </c>
      <c r="B184" s="9">
        <f t="shared" si="38"/>
        <v>50.2</v>
      </c>
      <c r="C184" s="9">
        <f t="shared" si="39"/>
        <v>12.9</v>
      </c>
      <c r="D184" s="9">
        <f t="shared" si="40"/>
        <v>40.9</v>
      </c>
      <c r="E184" s="1">
        <v>0</v>
      </c>
      <c r="F184" s="1">
        <v>1</v>
      </c>
      <c r="G184" s="7">
        <v>0</v>
      </c>
      <c r="H184" s="7">
        <v>1</v>
      </c>
      <c r="I184" s="1">
        <f t="shared" si="41"/>
        <v>1</v>
      </c>
      <c r="J184" s="1">
        <f t="shared" si="42"/>
        <v>0</v>
      </c>
      <c r="K184" s="1">
        <f t="shared" si="43"/>
        <v>0</v>
      </c>
      <c r="L184" s="1">
        <f t="shared" si="44"/>
        <v>0</v>
      </c>
      <c r="M184" s="1">
        <v>0</v>
      </c>
      <c r="N184" s="1">
        <v>1</v>
      </c>
      <c r="O184" s="1" t="str">
        <f t="shared" si="45"/>
        <v>主动去库存</v>
      </c>
      <c r="P184" s="1" t="str">
        <f t="shared" si="46"/>
        <v>产能周期下行</v>
      </c>
      <c r="Q184" s="2" t="str">
        <f t="shared" si="47"/>
        <v>产能周期下行,主动去库存</v>
      </c>
      <c r="S184" s="12">
        <v>43861</v>
      </c>
      <c r="T184" s="13">
        <v>50</v>
      </c>
      <c r="V184" s="12">
        <v>39141</v>
      </c>
      <c r="W184" s="13">
        <v>18.440000000000001</v>
      </c>
    </row>
    <row r="185" spans="1:23" x14ac:dyDescent="0.35">
      <c r="A185" s="8">
        <v>41060</v>
      </c>
      <c r="B185" s="9">
        <f t="shared" si="38"/>
        <v>50.4</v>
      </c>
      <c r="C185" s="9">
        <f t="shared" si="39"/>
        <v>14.3</v>
      </c>
      <c r="D185" s="9" t="e">
        <f t="shared" si="40"/>
        <v>#N/A</v>
      </c>
      <c r="E185" s="1">
        <v>0</v>
      </c>
      <c r="F185" s="1">
        <v>1</v>
      </c>
      <c r="G185" s="7">
        <v>0</v>
      </c>
      <c r="H185" s="7">
        <v>1</v>
      </c>
      <c r="I185" s="1">
        <f t="shared" si="41"/>
        <v>1</v>
      </c>
      <c r="J185" s="1">
        <f t="shared" si="42"/>
        <v>0</v>
      </c>
      <c r="K185" s="1">
        <f t="shared" si="43"/>
        <v>0</v>
      </c>
      <c r="L185" s="1">
        <f t="shared" si="44"/>
        <v>0</v>
      </c>
      <c r="M185" s="1">
        <v>0</v>
      </c>
      <c r="N185" s="1">
        <v>1</v>
      </c>
      <c r="O185" s="1" t="str">
        <f t="shared" si="45"/>
        <v>主动去库存</v>
      </c>
      <c r="P185" s="1" t="str">
        <f t="shared" si="46"/>
        <v>产能周期下行</v>
      </c>
      <c r="Q185" s="2" t="str">
        <f t="shared" si="47"/>
        <v>产能周期下行,主动去库存</v>
      </c>
      <c r="S185" s="12">
        <v>43890</v>
      </c>
      <c r="T185" s="13">
        <v>35.700000000000003</v>
      </c>
      <c r="V185" s="12">
        <v>39082</v>
      </c>
      <c r="W185" s="13">
        <v>18.34</v>
      </c>
    </row>
    <row r="186" spans="1:23" x14ac:dyDescent="0.35">
      <c r="A186" s="8">
        <v>41029</v>
      </c>
      <c r="B186" s="9">
        <f t="shared" si="38"/>
        <v>53.3</v>
      </c>
      <c r="C186" s="9">
        <f t="shared" si="39"/>
        <v>15.8</v>
      </c>
      <c r="D186" s="9" t="e">
        <f t="shared" si="40"/>
        <v>#N/A</v>
      </c>
      <c r="E186" s="1">
        <v>0</v>
      </c>
      <c r="F186" s="1">
        <v>1</v>
      </c>
      <c r="G186" s="7">
        <v>0</v>
      </c>
      <c r="H186" s="7">
        <v>1</v>
      </c>
      <c r="I186" s="1">
        <f t="shared" si="41"/>
        <v>1</v>
      </c>
      <c r="J186" s="1">
        <f t="shared" si="42"/>
        <v>0</v>
      </c>
      <c r="K186" s="1">
        <f t="shared" si="43"/>
        <v>0</v>
      </c>
      <c r="L186" s="1">
        <f t="shared" si="44"/>
        <v>0</v>
      </c>
      <c r="M186" s="1">
        <v>0</v>
      </c>
      <c r="N186" s="1">
        <v>1</v>
      </c>
      <c r="O186" s="1" t="str">
        <f t="shared" si="45"/>
        <v>主动去库存</v>
      </c>
      <c r="P186" s="1" t="str">
        <f t="shared" si="46"/>
        <v>产能周期下行</v>
      </c>
      <c r="Q186" s="2" t="str">
        <f t="shared" si="47"/>
        <v>产能周期下行,主动去库存</v>
      </c>
      <c r="S186" s="12">
        <v>43921</v>
      </c>
      <c r="T186" s="13">
        <v>52</v>
      </c>
      <c r="V186" s="12">
        <v>39051</v>
      </c>
      <c r="W186" s="13">
        <v>18.079999999999998</v>
      </c>
    </row>
    <row r="187" spans="1:23" x14ac:dyDescent="0.35">
      <c r="A187" s="8">
        <v>40999</v>
      </c>
      <c r="B187" s="9">
        <f t="shared" si="38"/>
        <v>53.1</v>
      </c>
      <c r="C187" s="9">
        <f t="shared" si="39"/>
        <v>16.420000000000002</v>
      </c>
      <c r="D187" s="9">
        <f t="shared" si="40"/>
        <v>40.4</v>
      </c>
      <c r="E187" s="1">
        <v>0</v>
      </c>
      <c r="F187" s="1">
        <v>1</v>
      </c>
      <c r="G187" s="7">
        <v>0</v>
      </c>
      <c r="H187" s="7">
        <v>1</v>
      </c>
      <c r="I187" s="1">
        <f t="shared" si="41"/>
        <v>1</v>
      </c>
      <c r="J187" s="1">
        <f t="shared" si="42"/>
        <v>0</v>
      </c>
      <c r="K187" s="1">
        <f t="shared" si="43"/>
        <v>0</v>
      </c>
      <c r="L187" s="1">
        <f t="shared" si="44"/>
        <v>0</v>
      </c>
      <c r="M187" s="1">
        <v>0</v>
      </c>
      <c r="N187" s="1">
        <v>1</v>
      </c>
      <c r="O187" s="1" t="str">
        <f t="shared" si="45"/>
        <v>主动去库存</v>
      </c>
      <c r="P187" s="1" t="str">
        <f t="shared" si="46"/>
        <v>产能周期下行</v>
      </c>
      <c r="Q187" s="2" t="str">
        <f t="shared" si="47"/>
        <v>产能周期下行,主动去库存</v>
      </c>
      <c r="S187" s="12">
        <v>43951</v>
      </c>
      <c r="T187" s="13">
        <v>50.8</v>
      </c>
      <c r="V187" s="12">
        <v>39021</v>
      </c>
      <c r="W187" s="13">
        <v>17.25</v>
      </c>
    </row>
    <row r="188" spans="1:23" x14ac:dyDescent="0.35">
      <c r="A188" s="8">
        <v>40968</v>
      </c>
      <c r="B188" s="9">
        <f t="shared" si="38"/>
        <v>51</v>
      </c>
      <c r="C188" s="9">
        <f t="shared" si="39"/>
        <v>18.3</v>
      </c>
      <c r="D188" s="9" t="e">
        <f t="shared" si="40"/>
        <v>#N/A</v>
      </c>
      <c r="E188" s="1">
        <v>0</v>
      </c>
      <c r="F188" s="1">
        <v>1</v>
      </c>
      <c r="G188" s="7">
        <v>0</v>
      </c>
      <c r="H188" s="7">
        <v>1</v>
      </c>
      <c r="I188" s="1">
        <f t="shared" si="41"/>
        <v>1</v>
      </c>
      <c r="J188" s="1">
        <f t="shared" si="42"/>
        <v>0</v>
      </c>
      <c r="K188" s="1">
        <f t="shared" si="43"/>
        <v>0</v>
      </c>
      <c r="L188" s="1">
        <f t="shared" si="44"/>
        <v>0</v>
      </c>
      <c r="M188" s="1">
        <v>0</v>
      </c>
      <c r="N188" s="1">
        <v>1</v>
      </c>
      <c r="O188" s="1" t="str">
        <f t="shared" si="45"/>
        <v>主动去库存</v>
      </c>
      <c r="P188" s="1" t="str">
        <f t="shared" si="46"/>
        <v>产能周期下行</v>
      </c>
      <c r="Q188" s="2" t="str">
        <f t="shared" si="47"/>
        <v>产能周期下行,主动去库存</v>
      </c>
      <c r="S188" s="12">
        <v>43982</v>
      </c>
      <c r="T188" s="13">
        <v>50.6</v>
      </c>
      <c r="V188" s="12">
        <v>38990</v>
      </c>
      <c r="W188" s="13">
        <v>17.62</v>
      </c>
    </row>
    <row r="189" spans="1:23" x14ac:dyDescent="0.35">
      <c r="A189" s="8">
        <v>40939</v>
      </c>
      <c r="B189" s="9">
        <f t="shared" si="38"/>
        <v>50.5</v>
      </c>
      <c r="C189" s="9" t="e">
        <f t="shared" si="39"/>
        <v>#N/A</v>
      </c>
      <c r="D189" s="9" t="e">
        <f t="shared" si="40"/>
        <v>#N/A</v>
      </c>
      <c r="E189" s="1">
        <v>0</v>
      </c>
      <c r="F189" s="1">
        <v>1</v>
      </c>
      <c r="G189" s="7">
        <v>0</v>
      </c>
      <c r="H189" s="7">
        <v>1</v>
      </c>
      <c r="I189" s="1">
        <f t="shared" si="41"/>
        <v>1</v>
      </c>
      <c r="J189" s="1">
        <f t="shared" si="42"/>
        <v>0</v>
      </c>
      <c r="K189" s="1">
        <f t="shared" si="43"/>
        <v>0</v>
      </c>
      <c r="L189" s="1">
        <f t="shared" si="44"/>
        <v>0</v>
      </c>
      <c r="M189" s="1">
        <v>0</v>
      </c>
      <c r="N189" s="1">
        <v>1</v>
      </c>
      <c r="O189" s="1" t="str">
        <f t="shared" si="45"/>
        <v>主动去库存</v>
      </c>
      <c r="P189" s="1" t="str">
        <f t="shared" si="46"/>
        <v>产能周期下行</v>
      </c>
      <c r="Q189" s="2" t="str">
        <f t="shared" si="47"/>
        <v>产能周期下行,主动去库存</v>
      </c>
      <c r="S189" s="12">
        <v>44012</v>
      </c>
      <c r="T189" s="13">
        <v>50.9</v>
      </c>
      <c r="V189" s="12">
        <v>38960</v>
      </c>
      <c r="W189" s="13">
        <v>17.34</v>
      </c>
    </row>
    <row r="190" spans="1:23" x14ac:dyDescent="0.35">
      <c r="A190" s="8">
        <v>40908</v>
      </c>
      <c r="B190" s="9">
        <f t="shared" si="38"/>
        <v>50.3</v>
      </c>
      <c r="C190" s="9">
        <f t="shared" si="39"/>
        <v>20.78</v>
      </c>
      <c r="D190" s="9">
        <f t="shared" si="40"/>
        <v>42.39</v>
      </c>
      <c r="E190" s="1">
        <v>0</v>
      </c>
      <c r="F190" s="1">
        <v>1</v>
      </c>
      <c r="G190" s="7">
        <v>0</v>
      </c>
      <c r="H190" s="7">
        <v>1</v>
      </c>
      <c r="I190" s="1">
        <f t="shared" si="41"/>
        <v>1</v>
      </c>
      <c r="J190" s="1">
        <f t="shared" si="42"/>
        <v>0</v>
      </c>
      <c r="K190" s="1">
        <f t="shared" si="43"/>
        <v>0</v>
      </c>
      <c r="L190" s="1">
        <f t="shared" si="44"/>
        <v>0</v>
      </c>
      <c r="M190" s="1">
        <v>0</v>
      </c>
      <c r="N190" s="1">
        <v>1</v>
      </c>
      <c r="O190" s="1" t="str">
        <f t="shared" si="45"/>
        <v>主动去库存</v>
      </c>
      <c r="P190" s="1" t="str">
        <f t="shared" si="46"/>
        <v>产能周期下行</v>
      </c>
      <c r="Q190" s="2" t="str">
        <f t="shared" si="47"/>
        <v>产能周期下行,主动去库存</v>
      </c>
      <c r="S190" s="12">
        <v>44043</v>
      </c>
      <c r="T190" s="13">
        <v>51.1</v>
      </c>
      <c r="V190" s="12">
        <v>38929</v>
      </c>
      <c r="W190" s="13">
        <v>17</v>
      </c>
    </row>
    <row r="191" spans="1:23" x14ac:dyDescent="0.35">
      <c r="A191" s="8">
        <v>40877</v>
      </c>
      <c r="B191" s="9">
        <f t="shared" si="38"/>
        <v>49</v>
      </c>
      <c r="C191" s="9">
        <f t="shared" si="39"/>
        <v>22.79</v>
      </c>
      <c r="D191" s="9" t="e">
        <f t="shared" si="40"/>
        <v>#N/A</v>
      </c>
      <c r="E191" s="1">
        <v>0</v>
      </c>
      <c r="F191" s="1">
        <v>1</v>
      </c>
      <c r="G191" s="7">
        <v>0</v>
      </c>
      <c r="H191" s="7">
        <v>1</v>
      </c>
      <c r="I191" s="1">
        <f t="shared" si="41"/>
        <v>1</v>
      </c>
      <c r="J191" s="1">
        <f t="shared" si="42"/>
        <v>0</v>
      </c>
      <c r="K191" s="1">
        <f t="shared" si="43"/>
        <v>0</v>
      </c>
      <c r="L191" s="1">
        <f t="shared" si="44"/>
        <v>0</v>
      </c>
      <c r="M191" s="1">
        <v>0</v>
      </c>
      <c r="N191" s="1">
        <v>1</v>
      </c>
      <c r="O191" s="1" t="str">
        <f t="shared" si="45"/>
        <v>主动去库存</v>
      </c>
      <c r="P191" s="1" t="str">
        <f t="shared" si="46"/>
        <v>产能周期下行</v>
      </c>
      <c r="Q191" s="2" t="str">
        <f t="shared" si="47"/>
        <v>产能周期下行,主动去库存</v>
      </c>
      <c r="S191" s="12">
        <v>44074</v>
      </c>
      <c r="T191" s="13">
        <v>51</v>
      </c>
      <c r="V191" s="12">
        <v>38898</v>
      </c>
      <c r="W191" s="13">
        <v>16.02</v>
      </c>
    </row>
    <row r="192" spans="1:23" x14ac:dyDescent="0.35">
      <c r="A192" s="8">
        <v>40847</v>
      </c>
      <c r="B192" s="9">
        <f t="shared" si="38"/>
        <v>50.4</v>
      </c>
      <c r="C192" s="9">
        <f t="shared" si="39"/>
        <v>24.17</v>
      </c>
      <c r="D192" s="9" t="e">
        <f t="shared" si="40"/>
        <v>#N/A</v>
      </c>
      <c r="E192" s="1">
        <v>0</v>
      </c>
      <c r="F192" s="1">
        <v>1</v>
      </c>
      <c r="G192" s="7">
        <v>0</v>
      </c>
      <c r="H192" s="7">
        <v>1</v>
      </c>
      <c r="I192" s="1">
        <f t="shared" si="41"/>
        <v>1</v>
      </c>
      <c r="J192" s="1">
        <f t="shared" si="42"/>
        <v>0</v>
      </c>
      <c r="K192" s="1">
        <f t="shared" si="43"/>
        <v>0</v>
      </c>
      <c r="L192" s="1">
        <f t="shared" si="44"/>
        <v>0</v>
      </c>
      <c r="M192" s="1">
        <v>0</v>
      </c>
      <c r="N192" s="1">
        <v>1</v>
      </c>
      <c r="O192" s="1" t="str">
        <f t="shared" si="45"/>
        <v>主动去库存</v>
      </c>
      <c r="P192" s="1" t="str">
        <f t="shared" si="46"/>
        <v>产能周期下行</v>
      </c>
      <c r="Q192" s="2" t="str">
        <f t="shared" si="47"/>
        <v>产能周期下行,主动去库存</v>
      </c>
      <c r="S192" s="12">
        <v>44104</v>
      </c>
      <c r="T192" s="13">
        <v>51.5</v>
      </c>
      <c r="V192" s="12">
        <v>38868</v>
      </c>
      <c r="W192" s="13">
        <v>15.64</v>
      </c>
    </row>
    <row r="193" spans="1:23" x14ac:dyDescent="0.35">
      <c r="A193" s="8">
        <v>40816</v>
      </c>
      <c r="B193" s="9">
        <f t="shared" si="38"/>
        <v>51.2</v>
      </c>
      <c r="C193" s="9">
        <f t="shared" si="39"/>
        <v>24.15</v>
      </c>
      <c r="D193" s="9">
        <f t="shared" si="40"/>
        <v>42.95</v>
      </c>
      <c r="E193" s="1">
        <v>0</v>
      </c>
      <c r="F193" s="1">
        <v>1</v>
      </c>
      <c r="G193" s="7">
        <v>0</v>
      </c>
      <c r="H193" s="7">
        <v>1</v>
      </c>
      <c r="I193" s="1">
        <f t="shared" si="41"/>
        <v>1</v>
      </c>
      <c r="J193" s="1">
        <f t="shared" si="42"/>
        <v>0</v>
      </c>
      <c r="K193" s="1">
        <f t="shared" si="43"/>
        <v>0</v>
      </c>
      <c r="L193" s="1">
        <f t="shared" si="44"/>
        <v>0</v>
      </c>
      <c r="M193" s="1">
        <v>0</v>
      </c>
      <c r="N193" s="1">
        <v>1</v>
      </c>
      <c r="O193" s="1" t="str">
        <f t="shared" si="45"/>
        <v>主动去库存</v>
      </c>
      <c r="P193" s="1" t="str">
        <f t="shared" si="46"/>
        <v>产能周期下行</v>
      </c>
      <c r="Q193" s="2" t="str">
        <f t="shared" si="47"/>
        <v>产能周期下行,主动去库存</v>
      </c>
      <c r="S193" s="12">
        <v>44135</v>
      </c>
      <c r="T193" s="13">
        <v>51.4</v>
      </c>
      <c r="V193" s="12">
        <v>38837</v>
      </c>
      <c r="W193" s="13">
        <v>17.170000000000002</v>
      </c>
    </row>
    <row r="194" spans="1:23" x14ac:dyDescent="0.35">
      <c r="A194" s="8">
        <v>40786</v>
      </c>
      <c r="B194" s="9">
        <f t="shared" si="38"/>
        <v>50.9</v>
      </c>
      <c r="C194" s="9">
        <f t="shared" si="39"/>
        <v>23.38</v>
      </c>
      <c r="D194" s="9" t="e">
        <f t="shared" si="40"/>
        <v>#N/A</v>
      </c>
      <c r="E194" s="1">
        <v>1</v>
      </c>
      <c r="F194" s="1">
        <v>0</v>
      </c>
      <c r="G194" s="7">
        <v>0</v>
      </c>
      <c r="H194" s="7">
        <v>1</v>
      </c>
      <c r="I194" s="1">
        <f t="shared" si="41"/>
        <v>0</v>
      </c>
      <c r="J194" s="1">
        <f t="shared" si="42"/>
        <v>1</v>
      </c>
      <c r="K194" s="1">
        <f t="shared" si="43"/>
        <v>0</v>
      </c>
      <c r="L194" s="1">
        <f t="shared" si="44"/>
        <v>0</v>
      </c>
      <c r="M194" s="1">
        <v>0</v>
      </c>
      <c r="N194" s="1">
        <v>1</v>
      </c>
      <c r="O194" s="1" t="str">
        <f t="shared" si="45"/>
        <v>被动补库存</v>
      </c>
      <c r="P194" s="1" t="str">
        <f t="shared" si="46"/>
        <v>产能周期下行</v>
      </c>
      <c r="Q194" s="2" t="str">
        <f t="shared" si="47"/>
        <v>产能周期下行,被动补库存</v>
      </c>
      <c r="S194" s="12">
        <v>44165</v>
      </c>
      <c r="T194" s="13">
        <v>52.1</v>
      </c>
      <c r="V194" s="12">
        <v>38807</v>
      </c>
      <c r="W194" s="13">
        <v>17.71</v>
      </c>
    </row>
    <row r="195" spans="1:23" x14ac:dyDescent="0.35">
      <c r="A195" s="8">
        <v>40755</v>
      </c>
      <c r="B195" s="9">
        <f t="shared" si="38"/>
        <v>50.7</v>
      </c>
      <c r="C195" s="9">
        <f t="shared" si="39"/>
        <v>22.51</v>
      </c>
      <c r="D195" s="9" t="e">
        <f t="shared" si="40"/>
        <v>#N/A</v>
      </c>
      <c r="E195" s="1">
        <v>1</v>
      </c>
      <c r="F195" s="1">
        <v>0</v>
      </c>
      <c r="G195" s="7">
        <v>0</v>
      </c>
      <c r="H195" s="7">
        <v>1</v>
      </c>
      <c r="I195" s="1">
        <f t="shared" si="41"/>
        <v>0</v>
      </c>
      <c r="J195" s="1">
        <f t="shared" si="42"/>
        <v>1</v>
      </c>
      <c r="K195" s="1">
        <f t="shared" si="43"/>
        <v>0</v>
      </c>
      <c r="L195" s="1">
        <f t="shared" si="44"/>
        <v>0</v>
      </c>
      <c r="M195" s="1">
        <v>0</v>
      </c>
      <c r="N195" s="1">
        <v>1</v>
      </c>
      <c r="O195" s="1" t="str">
        <f t="shared" si="45"/>
        <v>被动补库存</v>
      </c>
      <c r="P195" s="1" t="str">
        <f t="shared" si="46"/>
        <v>产能周期下行</v>
      </c>
      <c r="Q195" s="2" t="str">
        <f t="shared" si="47"/>
        <v>产能周期下行,被动补库存</v>
      </c>
      <c r="S195" s="12">
        <v>44196</v>
      </c>
      <c r="T195" s="13">
        <v>51.9</v>
      </c>
      <c r="V195" s="12">
        <v>38776</v>
      </c>
      <c r="W195" s="13">
        <v>17.39</v>
      </c>
    </row>
    <row r="196" spans="1:23" x14ac:dyDescent="0.35">
      <c r="A196" s="8">
        <v>40724</v>
      </c>
      <c r="B196" s="9">
        <f t="shared" si="38"/>
        <v>50.9</v>
      </c>
      <c r="C196" s="9">
        <f t="shared" si="39"/>
        <v>21.74</v>
      </c>
      <c r="D196" s="9">
        <f t="shared" si="40"/>
        <v>43.76</v>
      </c>
      <c r="E196" s="1">
        <v>1</v>
      </c>
      <c r="F196" s="1">
        <v>0</v>
      </c>
      <c r="G196" s="7">
        <v>0</v>
      </c>
      <c r="H196" s="7">
        <v>1</v>
      </c>
      <c r="I196" s="1">
        <f t="shared" si="41"/>
        <v>0</v>
      </c>
      <c r="J196" s="1">
        <f t="shared" si="42"/>
        <v>1</v>
      </c>
      <c r="K196" s="1">
        <f t="shared" si="43"/>
        <v>0</v>
      </c>
      <c r="L196" s="1">
        <f t="shared" si="44"/>
        <v>0</v>
      </c>
      <c r="M196" s="1">
        <v>0</v>
      </c>
      <c r="N196" s="1">
        <v>1</v>
      </c>
      <c r="O196" s="1" t="str">
        <f t="shared" si="45"/>
        <v>被动补库存</v>
      </c>
      <c r="P196" s="1" t="str">
        <f t="shared" si="46"/>
        <v>产能周期下行</v>
      </c>
      <c r="Q196" s="2" t="str">
        <f t="shared" si="47"/>
        <v>产能周期下行,被动补库存</v>
      </c>
      <c r="S196" s="12">
        <v>44227</v>
      </c>
      <c r="T196" s="13">
        <v>51.3</v>
      </c>
      <c r="V196" s="12">
        <v>38717</v>
      </c>
      <c r="W196" s="13">
        <v>17.940000000000001</v>
      </c>
    </row>
    <row r="197" spans="1:23" x14ac:dyDescent="0.35">
      <c r="A197" s="8">
        <v>40694</v>
      </c>
      <c r="B197" s="9">
        <f t="shared" si="38"/>
        <v>52</v>
      </c>
      <c r="C197" s="9">
        <f t="shared" si="39"/>
        <v>22.62</v>
      </c>
      <c r="D197" s="9" t="e">
        <f t="shared" si="40"/>
        <v>#N/A</v>
      </c>
      <c r="E197" s="1">
        <v>1</v>
      </c>
      <c r="F197" s="1">
        <v>0</v>
      </c>
      <c r="G197" s="7">
        <v>0</v>
      </c>
      <c r="H197" s="7">
        <v>1</v>
      </c>
      <c r="I197" s="1">
        <f t="shared" si="41"/>
        <v>0</v>
      </c>
      <c r="J197" s="1">
        <f t="shared" si="42"/>
        <v>1</v>
      </c>
      <c r="K197" s="1">
        <f t="shared" si="43"/>
        <v>0</v>
      </c>
      <c r="L197" s="1">
        <f t="shared" si="44"/>
        <v>0</v>
      </c>
      <c r="M197" s="1">
        <v>0</v>
      </c>
      <c r="N197" s="1">
        <v>1</v>
      </c>
      <c r="O197" s="1" t="str">
        <f t="shared" si="45"/>
        <v>被动补库存</v>
      </c>
      <c r="P197" s="1" t="str">
        <f t="shared" si="46"/>
        <v>产能周期下行</v>
      </c>
      <c r="Q197" s="2" t="str">
        <f t="shared" si="47"/>
        <v>产能周期下行,被动补库存</v>
      </c>
      <c r="S197" s="12">
        <v>44255</v>
      </c>
      <c r="T197" s="13">
        <v>50.6</v>
      </c>
      <c r="V197" s="12">
        <v>38686</v>
      </c>
      <c r="W197" s="13">
        <v>17.8</v>
      </c>
    </row>
    <row r="198" spans="1:23" x14ac:dyDescent="0.35">
      <c r="A198" s="8">
        <v>40663</v>
      </c>
      <c r="B198" s="9">
        <f t="shared" si="38"/>
        <v>52.9</v>
      </c>
      <c r="C198" s="9">
        <f t="shared" si="39"/>
        <v>23.16</v>
      </c>
      <c r="D198" s="9" t="e">
        <f t="shared" si="40"/>
        <v>#N/A</v>
      </c>
      <c r="E198" s="1">
        <v>1</v>
      </c>
      <c r="F198" s="1">
        <v>0</v>
      </c>
      <c r="G198" s="7">
        <v>0</v>
      </c>
      <c r="H198" s="7">
        <v>1</v>
      </c>
      <c r="I198" s="1">
        <f t="shared" si="41"/>
        <v>0</v>
      </c>
      <c r="J198" s="1">
        <f t="shared" si="42"/>
        <v>1</v>
      </c>
      <c r="K198" s="1">
        <f t="shared" si="43"/>
        <v>0</v>
      </c>
      <c r="L198" s="1">
        <f t="shared" si="44"/>
        <v>0</v>
      </c>
      <c r="M198" s="1">
        <v>0</v>
      </c>
      <c r="N198" s="1">
        <v>1</v>
      </c>
      <c r="O198" s="1" t="str">
        <f t="shared" si="45"/>
        <v>被动补库存</v>
      </c>
      <c r="P198" s="1" t="str">
        <f t="shared" si="46"/>
        <v>产能周期下行</v>
      </c>
      <c r="Q198" s="2" t="str">
        <f t="shared" si="47"/>
        <v>产能周期下行,被动补库存</v>
      </c>
      <c r="S198" s="12">
        <v>44286</v>
      </c>
      <c r="T198" s="13">
        <v>51.9</v>
      </c>
      <c r="V198" s="12">
        <v>38656</v>
      </c>
      <c r="W198" s="13">
        <v>19.32</v>
      </c>
    </row>
    <row r="199" spans="1:23" x14ac:dyDescent="0.35">
      <c r="A199" s="8">
        <v>40633</v>
      </c>
      <c r="B199" s="9">
        <f t="shared" si="38"/>
        <v>53.4</v>
      </c>
      <c r="C199" s="9">
        <f t="shared" si="39"/>
        <v>23.15</v>
      </c>
      <c r="D199" s="9">
        <f t="shared" si="40"/>
        <v>43.12</v>
      </c>
      <c r="E199" s="1">
        <v>1</v>
      </c>
      <c r="F199" s="1">
        <v>0</v>
      </c>
      <c r="G199" s="7">
        <v>0</v>
      </c>
      <c r="H199" s="7">
        <v>1</v>
      </c>
      <c r="I199" s="1">
        <f t="shared" si="41"/>
        <v>0</v>
      </c>
      <c r="J199" s="1">
        <f t="shared" si="42"/>
        <v>1</v>
      </c>
      <c r="K199" s="1">
        <f t="shared" si="43"/>
        <v>0</v>
      </c>
      <c r="L199" s="1">
        <f t="shared" si="44"/>
        <v>0</v>
      </c>
      <c r="M199" s="1">
        <v>0</v>
      </c>
      <c r="N199" s="1">
        <v>1</v>
      </c>
      <c r="O199" s="1" t="str">
        <f t="shared" si="45"/>
        <v>被动补库存</v>
      </c>
      <c r="P199" s="1" t="str">
        <f t="shared" si="46"/>
        <v>产能周期下行</v>
      </c>
      <c r="Q199" s="2" t="str">
        <f t="shared" si="47"/>
        <v>产能周期下行,被动补库存</v>
      </c>
      <c r="S199" s="12">
        <v>44316</v>
      </c>
      <c r="T199" s="13">
        <v>51.1</v>
      </c>
      <c r="V199" s="12">
        <v>38625</v>
      </c>
      <c r="W199" s="13">
        <v>18.78</v>
      </c>
    </row>
    <row r="200" spans="1:23" x14ac:dyDescent="0.35">
      <c r="A200" s="8">
        <v>40602</v>
      </c>
      <c r="B200" s="9">
        <f t="shared" si="38"/>
        <v>52.2</v>
      </c>
      <c r="C200" s="9">
        <f t="shared" si="39"/>
        <v>22.04</v>
      </c>
      <c r="D200" s="9" t="e">
        <f t="shared" si="40"/>
        <v>#N/A</v>
      </c>
      <c r="E200" s="1">
        <v>1</v>
      </c>
      <c r="F200" s="1">
        <v>0</v>
      </c>
      <c r="G200" s="7">
        <v>0</v>
      </c>
      <c r="H200" s="7">
        <v>1</v>
      </c>
      <c r="I200" s="1">
        <f t="shared" si="41"/>
        <v>0</v>
      </c>
      <c r="J200" s="1">
        <f t="shared" si="42"/>
        <v>1</v>
      </c>
      <c r="K200" s="1">
        <f t="shared" si="43"/>
        <v>0</v>
      </c>
      <c r="L200" s="1">
        <f t="shared" si="44"/>
        <v>0</v>
      </c>
      <c r="M200" s="1">
        <v>0</v>
      </c>
      <c r="N200" s="1">
        <v>1</v>
      </c>
      <c r="O200" s="1" t="str">
        <f t="shared" si="45"/>
        <v>被动补库存</v>
      </c>
      <c r="P200" s="1" t="str">
        <f t="shared" si="46"/>
        <v>产能周期下行</v>
      </c>
      <c r="Q200" s="2" t="str">
        <f t="shared" si="47"/>
        <v>产能周期下行,被动补库存</v>
      </c>
      <c r="S200" s="12">
        <v>44347</v>
      </c>
      <c r="T200" s="13">
        <v>51</v>
      </c>
      <c r="V200" s="12">
        <v>38595</v>
      </c>
      <c r="W200" s="13">
        <v>18.940000000000001</v>
      </c>
    </row>
    <row r="201" spans="1:23" x14ac:dyDescent="0.35">
      <c r="A201" s="8">
        <v>40574</v>
      </c>
      <c r="B201" s="9">
        <f t="shared" si="38"/>
        <v>52.9</v>
      </c>
      <c r="C201" s="9" t="e">
        <f t="shared" si="39"/>
        <v>#N/A</v>
      </c>
      <c r="D201" s="9" t="e">
        <f t="shared" si="40"/>
        <v>#N/A</v>
      </c>
      <c r="E201" s="1">
        <v>1</v>
      </c>
      <c r="F201" s="1">
        <v>0</v>
      </c>
      <c r="G201" s="7">
        <v>0</v>
      </c>
      <c r="H201" s="7">
        <v>1</v>
      </c>
      <c r="I201" s="1">
        <f t="shared" si="41"/>
        <v>0</v>
      </c>
      <c r="J201" s="1">
        <f t="shared" si="42"/>
        <v>1</v>
      </c>
      <c r="K201" s="1">
        <f t="shared" si="43"/>
        <v>0</v>
      </c>
      <c r="L201" s="1">
        <f t="shared" si="44"/>
        <v>0</v>
      </c>
      <c r="M201" s="1">
        <v>0</v>
      </c>
      <c r="N201" s="1">
        <v>1</v>
      </c>
      <c r="O201" s="1" t="str">
        <f t="shared" si="45"/>
        <v>被动补库存</v>
      </c>
      <c r="P201" s="1" t="str">
        <f t="shared" si="46"/>
        <v>产能周期下行</v>
      </c>
      <c r="Q201" s="2" t="str">
        <f t="shared" si="47"/>
        <v>产能周期下行,被动补库存</v>
      </c>
      <c r="S201" s="12">
        <v>44377</v>
      </c>
      <c r="T201" s="13">
        <v>50.9</v>
      </c>
      <c r="V201" s="12">
        <v>38564</v>
      </c>
      <c r="W201" s="13">
        <v>19.09</v>
      </c>
    </row>
    <row r="202" spans="1:23" x14ac:dyDescent="0.35">
      <c r="A202" s="8">
        <v>40543</v>
      </c>
      <c r="B202" s="9">
        <f t="shared" si="38"/>
        <v>53.9</v>
      </c>
      <c r="C202" s="9" t="e">
        <f t="shared" si="39"/>
        <v>#N/A</v>
      </c>
      <c r="D202" s="9">
        <f t="shared" si="40"/>
        <v>43.8</v>
      </c>
      <c r="E202" s="1">
        <v>1</v>
      </c>
      <c r="F202" s="1">
        <v>0</v>
      </c>
      <c r="G202" s="7">
        <v>0</v>
      </c>
      <c r="H202" s="7">
        <v>1</v>
      </c>
      <c r="I202" s="1">
        <f t="shared" si="41"/>
        <v>0</v>
      </c>
      <c r="J202" s="1">
        <f t="shared" si="42"/>
        <v>1</v>
      </c>
      <c r="K202" s="1">
        <f t="shared" si="43"/>
        <v>0</v>
      </c>
      <c r="L202" s="1">
        <f t="shared" si="44"/>
        <v>0</v>
      </c>
      <c r="M202" s="1">
        <v>0</v>
      </c>
      <c r="N202" s="1">
        <v>1</v>
      </c>
      <c r="O202" s="1" t="str">
        <f t="shared" si="45"/>
        <v>被动补库存</v>
      </c>
      <c r="P202" s="1" t="str">
        <f t="shared" si="46"/>
        <v>产能周期下行</v>
      </c>
      <c r="Q202" s="2" t="str">
        <f t="shared" si="47"/>
        <v>产能周期下行,被动补库存</v>
      </c>
      <c r="S202" s="12">
        <v>44408</v>
      </c>
      <c r="T202" s="13">
        <v>50.4</v>
      </c>
      <c r="V202" s="12">
        <v>38533</v>
      </c>
      <c r="W202" s="13">
        <v>19.47</v>
      </c>
    </row>
    <row r="203" spans="1:23" x14ac:dyDescent="0.35">
      <c r="A203" s="8">
        <v>40512</v>
      </c>
      <c r="B203" s="9">
        <f t="shared" si="38"/>
        <v>55.2</v>
      </c>
      <c r="C203" s="9">
        <f t="shared" si="39"/>
        <v>11.22</v>
      </c>
      <c r="D203" s="9" t="e">
        <f t="shared" si="40"/>
        <v>#N/A</v>
      </c>
      <c r="E203" s="1">
        <v>1</v>
      </c>
      <c r="F203" s="1">
        <v>0</v>
      </c>
      <c r="G203" s="7">
        <v>0</v>
      </c>
      <c r="H203" s="7">
        <v>1</v>
      </c>
      <c r="I203" s="1">
        <f t="shared" si="41"/>
        <v>0</v>
      </c>
      <c r="J203" s="1">
        <f t="shared" si="42"/>
        <v>1</v>
      </c>
      <c r="K203" s="1">
        <f t="shared" si="43"/>
        <v>0</v>
      </c>
      <c r="L203" s="1">
        <f t="shared" si="44"/>
        <v>0</v>
      </c>
      <c r="M203" s="1">
        <v>1</v>
      </c>
      <c r="N203" s="1">
        <v>0</v>
      </c>
      <c r="O203" s="1" t="str">
        <f t="shared" si="45"/>
        <v>被动补库存</v>
      </c>
      <c r="P203" s="1" t="str">
        <f t="shared" si="46"/>
        <v>产能周期上行</v>
      </c>
      <c r="Q203" s="2" t="str">
        <f t="shared" si="47"/>
        <v>产能周期上行,被动补库存</v>
      </c>
      <c r="S203" s="12">
        <v>44439</v>
      </c>
      <c r="T203" s="13">
        <v>50.1</v>
      </c>
      <c r="V203" s="12">
        <v>38503</v>
      </c>
      <c r="W203" s="13">
        <v>19.36</v>
      </c>
    </row>
    <row r="204" spans="1:23" x14ac:dyDescent="0.35">
      <c r="A204" s="8">
        <v>40482</v>
      </c>
      <c r="B204" s="9">
        <f t="shared" si="38"/>
        <v>54.7</v>
      </c>
      <c r="C204" s="9" t="e">
        <f t="shared" si="39"/>
        <v>#N/A</v>
      </c>
      <c r="D204" s="9" t="e">
        <f t="shared" si="40"/>
        <v>#N/A</v>
      </c>
      <c r="E204" s="1">
        <v>1</v>
      </c>
      <c r="F204" s="1">
        <v>0</v>
      </c>
      <c r="G204" s="7">
        <v>0</v>
      </c>
      <c r="H204" s="7">
        <v>1</v>
      </c>
      <c r="I204" s="1">
        <f t="shared" si="41"/>
        <v>0</v>
      </c>
      <c r="J204" s="1">
        <f t="shared" si="42"/>
        <v>1</v>
      </c>
      <c r="K204" s="1">
        <f t="shared" si="43"/>
        <v>0</v>
      </c>
      <c r="L204" s="1">
        <f t="shared" si="44"/>
        <v>0</v>
      </c>
      <c r="M204" s="1">
        <v>1</v>
      </c>
      <c r="N204" s="1">
        <v>0</v>
      </c>
      <c r="O204" s="1" t="str">
        <f t="shared" si="45"/>
        <v>被动补库存</v>
      </c>
      <c r="P204" s="1" t="str">
        <f t="shared" si="46"/>
        <v>产能周期上行</v>
      </c>
      <c r="Q204" s="2" t="str">
        <f t="shared" si="47"/>
        <v>产能周期上行,被动补库存</v>
      </c>
      <c r="S204" s="12">
        <v>44469</v>
      </c>
      <c r="T204" s="13">
        <v>49.6</v>
      </c>
      <c r="V204" s="12">
        <v>38472</v>
      </c>
      <c r="W204" s="13">
        <v>19.5</v>
      </c>
    </row>
    <row r="205" spans="1:23" x14ac:dyDescent="0.35">
      <c r="A205" s="8">
        <v>40451</v>
      </c>
      <c r="B205" s="9">
        <f t="shared" si="38"/>
        <v>53.8</v>
      </c>
      <c r="C205" s="9" t="e">
        <f t="shared" si="39"/>
        <v>#N/A</v>
      </c>
      <c r="D205" s="9">
        <f t="shared" si="40"/>
        <v>43.64</v>
      </c>
      <c r="E205" s="1">
        <v>1</v>
      </c>
      <c r="F205" s="1">
        <v>0</v>
      </c>
      <c r="G205" s="7">
        <v>0</v>
      </c>
      <c r="H205" s="7">
        <v>1</v>
      </c>
      <c r="I205" s="1">
        <f t="shared" si="41"/>
        <v>0</v>
      </c>
      <c r="J205" s="1">
        <f t="shared" si="42"/>
        <v>1</v>
      </c>
      <c r="K205" s="1">
        <f t="shared" si="43"/>
        <v>0</v>
      </c>
      <c r="L205" s="1">
        <f t="shared" si="44"/>
        <v>0</v>
      </c>
      <c r="M205" s="1">
        <v>1</v>
      </c>
      <c r="N205" s="1">
        <v>0</v>
      </c>
      <c r="O205" s="1" t="str">
        <f t="shared" si="45"/>
        <v>被动补库存</v>
      </c>
      <c r="P205" s="1" t="str">
        <f t="shared" si="46"/>
        <v>产能周期上行</v>
      </c>
      <c r="Q205" s="2" t="str">
        <f t="shared" si="47"/>
        <v>产能周期上行,被动补库存</v>
      </c>
      <c r="S205" s="12">
        <v>44500</v>
      </c>
      <c r="T205" s="13">
        <v>49.2</v>
      </c>
      <c r="V205" s="12">
        <v>38442</v>
      </c>
      <c r="W205" s="13">
        <v>20.34</v>
      </c>
    </row>
    <row r="206" spans="1:23" x14ac:dyDescent="0.35">
      <c r="A206" s="8">
        <v>40421</v>
      </c>
      <c r="B206" s="9">
        <f t="shared" si="38"/>
        <v>51.7</v>
      </c>
      <c r="C206" s="9">
        <f t="shared" si="39"/>
        <v>9.0299999999999994</v>
      </c>
      <c r="D206" s="9" t="e">
        <f t="shared" si="40"/>
        <v>#N/A</v>
      </c>
      <c r="E206" s="1">
        <v>1</v>
      </c>
      <c r="F206" s="1">
        <v>0</v>
      </c>
      <c r="G206" s="7">
        <v>0</v>
      </c>
      <c r="H206" s="7">
        <v>1</v>
      </c>
      <c r="I206" s="1">
        <f t="shared" si="41"/>
        <v>0</v>
      </c>
      <c r="J206" s="1">
        <f t="shared" si="42"/>
        <v>1</v>
      </c>
      <c r="K206" s="1">
        <f t="shared" si="43"/>
        <v>0</v>
      </c>
      <c r="L206" s="1">
        <f t="shared" si="44"/>
        <v>0</v>
      </c>
      <c r="M206" s="1">
        <v>1</v>
      </c>
      <c r="N206" s="1">
        <v>0</v>
      </c>
      <c r="O206" s="1" t="str">
        <f t="shared" si="45"/>
        <v>被动补库存</v>
      </c>
      <c r="P206" s="1" t="str">
        <f t="shared" si="46"/>
        <v>产能周期上行</v>
      </c>
      <c r="Q206" s="2" t="str">
        <f t="shared" si="47"/>
        <v>产能周期上行,被动补库存</v>
      </c>
      <c r="S206" s="12">
        <v>44530</v>
      </c>
      <c r="T206" s="13">
        <v>50.1</v>
      </c>
      <c r="V206" s="12">
        <v>38411</v>
      </c>
      <c r="W206" s="13">
        <v>22.22</v>
      </c>
    </row>
    <row r="207" spans="1:23" x14ac:dyDescent="0.35">
      <c r="A207" s="8">
        <v>40390</v>
      </c>
      <c r="B207" s="9">
        <f t="shared" si="38"/>
        <v>51.2</v>
      </c>
      <c r="C207" s="9" t="e">
        <f t="shared" si="39"/>
        <v>#N/A</v>
      </c>
      <c r="D207" s="9" t="e">
        <f t="shared" si="40"/>
        <v>#N/A</v>
      </c>
      <c r="E207" s="1">
        <v>1</v>
      </c>
      <c r="F207" s="1">
        <v>0</v>
      </c>
      <c r="G207" s="7">
        <v>0</v>
      </c>
      <c r="H207" s="7">
        <v>1</v>
      </c>
      <c r="I207" s="1">
        <f t="shared" si="41"/>
        <v>0</v>
      </c>
      <c r="J207" s="1">
        <f t="shared" si="42"/>
        <v>1</v>
      </c>
      <c r="K207" s="1">
        <f t="shared" si="43"/>
        <v>0</v>
      </c>
      <c r="L207" s="1">
        <f t="shared" si="44"/>
        <v>0</v>
      </c>
      <c r="M207" s="1">
        <v>1</v>
      </c>
      <c r="N207" s="1">
        <v>0</v>
      </c>
      <c r="O207" s="1" t="str">
        <f t="shared" si="45"/>
        <v>被动补库存</v>
      </c>
      <c r="P207" s="1" t="str">
        <f t="shared" si="46"/>
        <v>产能周期上行</v>
      </c>
      <c r="Q207" s="2" t="str">
        <f t="shared" si="47"/>
        <v>产能周期上行,被动补库存</v>
      </c>
      <c r="S207" s="12">
        <v>44561</v>
      </c>
      <c r="T207" s="13">
        <v>50.3</v>
      </c>
      <c r="V207" s="12">
        <v>38352</v>
      </c>
      <c r="W207" s="13">
        <v>24.65</v>
      </c>
    </row>
    <row r="208" spans="1:23" x14ac:dyDescent="0.35">
      <c r="A208" s="8">
        <v>40359</v>
      </c>
      <c r="B208" s="9">
        <f t="shared" si="38"/>
        <v>52.1</v>
      </c>
      <c r="C208" s="9" t="e">
        <f t="shared" si="39"/>
        <v>#N/A</v>
      </c>
      <c r="D208" s="9">
        <f t="shared" si="40"/>
        <v>43.64</v>
      </c>
      <c r="E208" s="1">
        <v>1</v>
      </c>
      <c r="F208" s="1">
        <v>0</v>
      </c>
      <c r="G208" s="7">
        <v>0</v>
      </c>
      <c r="H208" s="7">
        <v>1</v>
      </c>
      <c r="I208" s="1">
        <f t="shared" si="41"/>
        <v>0</v>
      </c>
      <c r="J208" s="1">
        <f t="shared" si="42"/>
        <v>1</v>
      </c>
      <c r="K208" s="1">
        <f t="shared" si="43"/>
        <v>0</v>
      </c>
      <c r="L208" s="1">
        <f t="shared" si="44"/>
        <v>0</v>
      </c>
      <c r="M208" s="1">
        <v>1</v>
      </c>
      <c r="N208" s="1">
        <v>0</v>
      </c>
      <c r="O208" s="1" t="str">
        <f t="shared" si="45"/>
        <v>被动补库存</v>
      </c>
      <c r="P208" s="1" t="str">
        <f t="shared" si="46"/>
        <v>产能周期上行</v>
      </c>
      <c r="Q208" s="2" t="str">
        <f t="shared" si="47"/>
        <v>产能周期上行,被动补库存</v>
      </c>
      <c r="S208" s="12">
        <v>44592</v>
      </c>
      <c r="T208" s="13">
        <v>50.1</v>
      </c>
      <c r="V208" s="12">
        <v>38321</v>
      </c>
      <c r="W208" s="13">
        <v>23.03</v>
      </c>
    </row>
    <row r="209" spans="1:23" x14ac:dyDescent="0.35">
      <c r="A209" s="8">
        <v>40329</v>
      </c>
      <c r="B209" s="9">
        <f t="shared" si="38"/>
        <v>53.9</v>
      </c>
      <c r="C209" s="9">
        <f t="shared" si="39"/>
        <v>9.49</v>
      </c>
      <c r="D209" s="9" t="e">
        <f t="shared" si="40"/>
        <v>#N/A</v>
      </c>
      <c r="E209" s="1">
        <v>1</v>
      </c>
      <c r="F209" s="1">
        <v>0</v>
      </c>
      <c r="G209" s="7">
        <v>0</v>
      </c>
      <c r="H209" s="7">
        <v>1</v>
      </c>
      <c r="I209" s="1">
        <f t="shared" si="41"/>
        <v>0</v>
      </c>
      <c r="J209" s="1">
        <f t="shared" si="42"/>
        <v>1</v>
      </c>
      <c r="K209" s="1">
        <f t="shared" si="43"/>
        <v>0</v>
      </c>
      <c r="L209" s="1">
        <f t="shared" si="44"/>
        <v>0</v>
      </c>
      <c r="M209" s="1">
        <v>1</v>
      </c>
      <c r="N209" s="1">
        <v>0</v>
      </c>
      <c r="O209" s="1" t="str">
        <f t="shared" si="45"/>
        <v>被动补库存</v>
      </c>
      <c r="P209" s="1" t="str">
        <f t="shared" si="46"/>
        <v>产能周期上行</v>
      </c>
      <c r="Q209" s="2" t="str">
        <f t="shared" si="47"/>
        <v>产能周期上行,被动补库存</v>
      </c>
      <c r="S209" s="12">
        <v>44620</v>
      </c>
      <c r="T209" s="13">
        <v>50.2</v>
      </c>
      <c r="V209" s="12">
        <v>38291</v>
      </c>
      <c r="W209" s="13">
        <v>22.22</v>
      </c>
    </row>
    <row r="210" spans="1:23" x14ac:dyDescent="0.35">
      <c r="A210" s="8">
        <v>40298</v>
      </c>
      <c r="B210" s="9">
        <f t="shared" si="38"/>
        <v>55.7</v>
      </c>
      <c r="C210" s="9" t="e">
        <f t="shared" si="39"/>
        <v>#N/A</v>
      </c>
      <c r="D210" s="9" t="e">
        <f t="shared" si="40"/>
        <v>#N/A</v>
      </c>
      <c r="E210" s="1">
        <v>1</v>
      </c>
      <c r="F210" s="1">
        <v>0</v>
      </c>
      <c r="G210" s="7">
        <v>0</v>
      </c>
      <c r="H210" s="7">
        <v>1</v>
      </c>
      <c r="I210" s="1">
        <f t="shared" si="41"/>
        <v>0</v>
      </c>
      <c r="J210" s="1">
        <f t="shared" si="42"/>
        <v>1</v>
      </c>
      <c r="K210" s="1">
        <f t="shared" si="43"/>
        <v>0</v>
      </c>
      <c r="L210" s="1">
        <f t="shared" si="44"/>
        <v>0</v>
      </c>
      <c r="M210" s="1">
        <v>1</v>
      </c>
      <c r="N210" s="1">
        <v>0</v>
      </c>
      <c r="O210" s="1" t="str">
        <f t="shared" si="45"/>
        <v>被动补库存</v>
      </c>
      <c r="P210" s="1" t="str">
        <f t="shared" si="46"/>
        <v>产能周期上行</v>
      </c>
      <c r="Q210" s="2" t="str">
        <f t="shared" si="47"/>
        <v>产能周期上行,被动补库存</v>
      </c>
      <c r="S210" s="12">
        <v>44651</v>
      </c>
      <c r="T210" s="13">
        <v>49.5</v>
      </c>
      <c r="V210" s="12">
        <v>38260</v>
      </c>
      <c r="W210" s="13">
        <v>21.53</v>
      </c>
    </row>
    <row r="211" spans="1:23" x14ac:dyDescent="0.35">
      <c r="A211" s="8">
        <v>40268</v>
      </c>
      <c r="B211" s="9">
        <f t="shared" si="38"/>
        <v>55.1</v>
      </c>
      <c r="C211" s="9" t="e">
        <f t="shared" si="39"/>
        <v>#N/A</v>
      </c>
      <c r="D211" s="9">
        <f t="shared" si="40"/>
        <v>42.01</v>
      </c>
      <c r="E211" s="1">
        <v>1</v>
      </c>
      <c r="F211" s="1">
        <v>0</v>
      </c>
      <c r="G211" s="7">
        <v>0</v>
      </c>
      <c r="H211" s="7">
        <v>1</v>
      </c>
      <c r="I211" s="1">
        <f t="shared" si="41"/>
        <v>0</v>
      </c>
      <c r="J211" s="1">
        <f t="shared" si="42"/>
        <v>1</v>
      </c>
      <c r="K211" s="1">
        <f t="shared" si="43"/>
        <v>0</v>
      </c>
      <c r="L211" s="1">
        <f t="shared" si="44"/>
        <v>0</v>
      </c>
      <c r="M211" s="1">
        <v>1</v>
      </c>
      <c r="N211" s="1">
        <v>0</v>
      </c>
      <c r="O211" s="1" t="str">
        <f t="shared" si="45"/>
        <v>被动补库存</v>
      </c>
      <c r="P211" s="1" t="str">
        <f t="shared" si="46"/>
        <v>产能周期上行</v>
      </c>
      <c r="Q211" s="2" t="str">
        <f t="shared" si="47"/>
        <v>产能周期上行,被动补库存</v>
      </c>
      <c r="S211" s="12">
        <v>44681</v>
      </c>
      <c r="T211" s="13">
        <v>47.4</v>
      </c>
      <c r="V211" s="12">
        <v>38230</v>
      </c>
      <c r="W211" s="13">
        <v>20.46</v>
      </c>
    </row>
    <row r="212" spans="1:23" x14ac:dyDescent="0.35">
      <c r="A212" s="8">
        <v>40237</v>
      </c>
      <c r="B212" s="9">
        <f t="shared" si="38"/>
        <v>52</v>
      </c>
      <c r="C212" s="9">
        <f t="shared" si="39"/>
        <v>5.19</v>
      </c>
      <c r="D212" s="9" t="e">
        <f t="shared" si="40"/>
        <v>#N/A</v>
      </c>
      <c r="E212" s="1">
        <v>1</v>
      </c>
      <c r="F212" s="1">
        <v>0</v>
      </c>
      <c r="G212" s="7">
        <v>0</v>
      </c>
      <c r="H212" s="7">
        <v>1</v>
      </c>
      <c r="I212" s="1">
        <f t="shared" si="41"/>
        <v>0</v>
      </c>
      <c r="J212" s="1">
        <f t="shared" si="42"/>
        <v>1</v>
      </c>
      <c r="K212" s="1">
        <f t="shared" si="43"/>
        <v>0</v>
      </c>
      <c r="L212" s="1">
        <f t="shared" si="44"/>
        <v>0</v>
      </c>
      <c r="M212" s="1">
        <v>1</v>
      </c>
      <c r="N212" s="1">
        <v>0</v>
      </c>
      <c r="O212" s="1" t="str">
        <f t="shared" si="45"/>
        <v>被动补库存</v>
      </c>
      <c r="P212" s="1" t="str">
        <f t="shared" si="46"/>
        <v>产能周期上行</v>
      </c>
      <c r="Q212" s="2" t="str">
        <f t="shared" si="47"/>
        <v>产能周期上行,被动补库存</v>
      </c>
      <c r="S212" s="12">
        <v>44712</v>
      </c>
      <c r="T212" s="13">
        <v>49.6</v>
      </c>
      <c r="V212" s="12">
        <v>38199</v>
      </c>
      <c r="W212" s="13">
        <v>19.78</v>
      </c>
    </row>
    <row r="213" spans="1:23" x14ac:dyDescent="0.35">
      <c r="A213" s="8">
        <v>40209</v>
      </c>
      <c r="B213" s="9">
        <f t="shared" si="38"/>
        <v>55.8</v>
      </c>
      <c r="C213" s="9" t="e">
        <f t="shared" si="39"/>
        <v>#N/A</v>
      </c>
      <c r="D213" s="9" t="e">
        <f t="shared" si="40"/>
        <v>#N/A</v>
      </c>
      <c r="E213" s="1">
        <v>1</v>
      </c>
      <c r="F213" s="1">
        <v>0</v>
      </c>
      <c r="G213" s="7">
        <v>0</v>
      </c>
      <c r="H213" s="7">
        <v>1</v>
      </c>
      <c r="I213" s="1">
        <f t="shared" si="41"/>
        <v>0</v>
      </c>
      <c r="J213" s="1">
        <f t="shared" si="42"/>
        <v>1</v>
      </c>
      <c r="K213" s="1">
        <f t="shared" si="43"/>
        <v>0</v>
      </c>
      <c r="L213" s="1">
        <f t="shared" si="44"/>
        <v>0</v>
      </c>
      <c r="M213" s="1">
        <v>1</v>
      </c>
      <c r="N213" s="1">
        <v>0</v>
      </c>
      <c r="O213" s="1" t="str">
        <f t="shared" si="45"/>
        <v>被动补库存</v>
      </c>
      <c r="P213" s="1" t="str">
        <f t="shared" si="46"/>
        <v>产能周期上行</v>
      </c>
      <c r="Q213" s="2" t="str">
        <f t="shared" si="47"/>
        <v>产能周期上行,被动补库存</v>
      </c>
      <c r="S213" s="12">
        <v>44742</v>
      </c>
      <c r="T213" s="13">
        <v>50.2</v>
      </c>
      <c r="V213" s="12">
        <v>38168</v>
      </c>
      <c r="W213" s="13">
        <v>19.86</v>
      </c>
    </row>
    <row r="214" spans="1:23" x14ac:dyDescent="0.35">
      <c r="A214" s="8">
        <v>40178</v>
      </c>
      <c r="B214" s="9">
        <f t="shared" si="38"/>
        <v>56.6</v>
      </c>
      <c r="C214" s="9" t="e">
        <f t="shared" si="39"/>
        <v>#N/A</v>
      </c>
      <c r="D214" s="9">
        <f t="shared" si="40"/>
        <v>41.54</v>
      </c>
      <c r="E214" s="1">
        <v>1</v>
      </c>
      <c r="F214" s="1">
        <v>0</v>
      </c>
      <c r="G214" s="7">
        <v>0</v>
      </c>
      <c r="H214" s="7">
        <v>1</v>
      </c>
      <c r="I214" s="1">
        <f t="shared" si="41"/>
        <v>0</v>
      </c>
      <c r="J214" s="1">
        <f t="shared" si="42"/>
        <v>1</v>
      </c>
      <c r="K214" s="1">
        <f t="shared" si="43"/>
        <v>0</v>
      </c>
      <c r="L214" s="1">
        <f t="shared" si="44"/>
        <v>0</v>
      </c>
      <c r="M214" s="1">
        <v>1</v>
      </c>
      <c r="N214" s="1">
        <v>0</v>
      </c>
      <c r="O214" s="1" t="str">
        <f t="shared" si="45"/>
        <v>被动补库存</v>
      </c>
      <c r="P214" s="1" t="str">
        <f t="shared" si="46"/>
        <v>产能周期上行</v>
      </c>
      <c r="Q214" s="2" t="str">
        <f t="shared" si="47"/>
        <v>产能周期上行,被动补库存</v>
      </c>
      <c r="S214" s="12">
        <v>44773</v>
      </c>
      <c r="T214" s="13">
        <v>49</v>
      </c>
      <c r="V214" s="12">
        <v>38138</v>
      </c>
      <c r="W214" s="13">
        <v>19.77</v>
      </c>
    </row>
    <row r="215" spans="1:23" x14ac:dyDescent="0.35">
      <c r="A215" s="8">
        <v>40147</v>
      </c>
      <c r="B215" s="9">
        <f t="shared" si="38"/>
        <v>55.2</v>
      </c>
      <c r="C215" s="9">
        <f t="shared" si="39"/>
        <v>0.24</v>
      </c>
      <c r="D215" s="9" t="e">
        <f t="shared" si="40"/>
        <v>#N/A</v>
      </c>
      <c r="E215" s="1">
        <v>1</v>
      </c>
      <c r="F215" s="1">
        <v>0</v>
      </c>
      <c r="G215" s="7">
        <v>1</v>
      </c>
      <c r="H215" s="7">
        <v>0</v>
      </c>
      <c r="I215" s="1">
        <f t="shared" si="41"/>
        <v>0</v>
      </c>
      <c r="J215" s="1">
        <f t="shared" si="42"/>
        <v>0</v>
      </c>
      <c r="K215" s="1">
        <f t="shared" si="43"/>
        <v>0</v>
      </c>
      <c r="L215" s="1">
        <f t="shared" si="44"/>
        <v>1</v>
      </c>
      <c r="M215" s="1">
        <v>1</v>
      </c>
      <c r="N215" s="1">
        <v>0</v>
      </c>
      <c r="O215" s="1" t="str">
        <f t="shared" si="45"/>
        <v>主动补库存</v>
      </c>
      <c r="P215" s="1" t="str">
        <f t="shared" si="46"/>
        <v>产能周期上行</v>
      </c>
      <c r="Q215" s="2" t="str">
        <f t="shared" si="47"/>
        <v>产能周期上行,主动补库存</v>
      </c>
      <c r="S215" s="12">
        <v>44804</v>
      </c>
      <c r="T215" s="13">
        <v>49.4</v>
      </c>
      <c r="V215" s="12">
        <v>38107</v>
      </c>
      <c r="W215" s="13">
        <v>18.87</v>
      </c>
    </row>
    <row r="216" spans="1:23" x14ac:dyDescent="0.35">
      <c r="A216" s="8">
        <v>40117</v>
      </c>
      <c r="B216" s="9">
        <f t="shared" si="38"/>
        <v>55.2</v>
      </c>
      <c r="C216" s="9" t="e">
        <f t="shared" si="39"/>
        <v>#N/A</v>
      </c>
      <c r="D216" s="9" t="e">
        <f t="shared" si="40"/>
        <v>#N/A</v>
      </c>
      <c r="E216" s="1">
        <v>1</v>
      </c>
      <c r="F216" s="1">
        <v>0</v>
      </c>
      <c r="G216" s="7">
        <v>1</v>
      </c>
      <c r="H216" s="7">
        <v>0</v>
      </c>
      <c r="I216" s="1">
        <f t="shared" si="41"/>
        <v>0</v>
      </c>
      <c r="J216" s="1">
        <f t="shared" si="42"/>
        <v>0</v>
      </c>
      <c r="K216" s="1">
        <f t="shared" si="43"/>
        <v>0</v>
      </c>
      <c r="L216" s="1">
        <f t="shared" si="44"/>
        <v>1</v>
      </c>
      <c r="M216" s="1">
        <v>1</v>
      </c>
      <c r="N216" s="1">
        <v>0</v>
      </c>
      <c r="O216" s="1" t="str">
        <f t="shared" si="45"/>
        <v>主动补库存</v>
      </c>
      <c r="P216" s="1" t="str">
        <f t="shared" si="46"/>
        <v>产能周期上行</v>
      </c>
      <c r="Q216" s="2" t="str">
        <f t="shared" si="47"/>
        <v>产能周期上行,主动补库存</v>
      </c>
      <c r="S216" s="12">
        <v>44834</v>
      </c>
      <c r="T216" s="13">
        <v>50.1</v>
      </c>
      <c r="V216" s="12">
        <v>38077</v>
      </c>
      <c r="W216" s="13">
        <v>17.829999999999998</v>
      </c>
    </row>
    <row r="217" spans="1:23" x14ac:dyDescent="0.35">
      <c r="A217" s="8">
        <v>40086</v>
      </c>
      <c r="B217" s="9">
        <f t="shared" si="38"/>
        <v>54.3</v>
      </c>
      <c r="C217" s="9" t="e">
        <f t="shared" si="39"/>
        <v>#N/A</v>
      </c>
      <c r="D217" s="9">
        <f t="shared" si="40"/>
        <v>39.1</v>
      </c>
      <c r="E217" s="1">
        <v>1</v>
      </c>
      <c r="F217" s="1">
        <v>0</v>
      </c>
      <c r="G217" s="7">
        <v>1</v>
      </c>
      <c r="H217" s="7">
        <v>0</v>
      </c>
      <c r="I217" s="1">
        <f t="shared" si="41"/>
        <v>0</v>
      </c>
      <c r="J217" s="1">
        <f t="shared" si="42"/>
        <v>0</v>
      </c>
      <c r="K217" s="1">
        <f t="shared" si="43"/>
        <v>0</v>
      </c>
      <c r="L217" s="1">
        <f t="shared" si="44"/>
        <v>1</v>
      </c>
      <c r="M217" s="1">
        <v>1</v>
      </c>
      <c r="N217" s="1">
        <v>0</v>
      </c>
      <c r="O217" s="1" t="str">
        <f t="shared" si="45"/>
        <v>主动补库存</v>
      </c>
      <c r="P217" s="1" t="str">
        <f t="shared" si="46"/>
        <v>产能周期上行</v>
      </c>
      <c r="Q217" s="2" t="str">
        <f t="shared" si="47"/>
        <v>产能周期上行,主动补库存</v>
      </c>
      <c r="S217" s="12">
        <v>44865</v>
      </c>
      <c r="T217" s="13">
        <v>49.2</v>
      </c>
      <c r="V217" s="12">
        <v>38046</v>
      </c>
      <c r="W217" s="13">
        <v>15.73</v>
      </c>
    </row>
    <row r="218" spans="1:23" x14ac:dyDescent="0.35">
      <c r="A218" s="8">
        <v>40056</v>
      </c>
      <c r="B218" s="9">
        <f t="shared" si="38"/>
        <v>54</v>
      </c>
      <c r="C218" s="9">
        <f t="shared" si="39"/>
        <v>-0.76</v>
      </c>
      <c r="D218" s="9" t="e">
        <f t="shared" si="40"/>
        <v>#N/A</v>
      </c>
      <c r="E218" s="1">
        <v>1</v>
      </c>
      <c r="F218" s="1">
        <v>0</v>
      </c>
      <c r="G218" s="7">
        <v>1</v>
      </c>
      <c r="H218" s="7">
        <v>0</v>
      </c>
      <c r="I218" s="1">
        <f t="shared" si="41"/>
        <v>0</v>
      </c>
      <c r="J218" s="1">
        <f t="shared" si="42"/>
        <v>0</v>
      </c>
      <c r="K218" s="1">
        <f t="shared" si="43"/>
        <v>0</v>
      </c>
      <c r="L218" s="1">
        <f t="shared" si="44"/>
        <v>1</v>
      </c>
      <c r="M218" s="1">
        <v>1</v>
      </c>
      <c r="N218" s="1">
        <v>0</v>
      </c>
      <c r="O218" s="1" t="str">
        <f t="shared" si="45"/>
        <v>主动补库存</v>
      </c>
      <c r="P218" s="1" t="str">
        <f t="shared" si="46"/>
        <v>产能周期上行</v>
      </c>
      <c r="Q218" s="2" t="str">
        <f t="shared" si="47"/>
        <v>产能周期上行,主动补库存</v>
      </c>
      <c r="S218" s="12">
        <v>44895</v>
      </c>
      <c r="T218" s="13">
        <v>48</v>
      </c>
      <c r="V218" s="12">
        <v>37986</v>
      </c>
      <c r="W218" s="13">
        <v>11.74</v>
      </c>
    </row>
    <row r="219" spans="1:23" x14ac:dyDescent="0.35">
      <c r="A219" s="8">
        <v>40025</v>
      </c>
      <c r="B219" s="9">
        <f t="shared" si="38"/>
        <v>53.3</v>
      </c>
      <c r="C219" s="9" t="e">
        <f t="shared" si="39"/>
        <v>#N/A</v>
      </c>
      <c r="D219" s="9" t="e">
        <f t="shared" si="40"/>
        <v>#N/A</v>
      </c>
      <c r="E219" s="1">
        <v>0</v>
      </c>
      <c r="F219" s="1">
        <v>1</v>
      </c>
      <c r="G219" s="7">
        <v>1</v>
      </c>
      <c r="H219" s="7">
        <v>0</v>
      </c>
      <c r="I219" s="1">
        <f t="shared" si="41"/>
        <v>0</v>
      </c>
      <c r="J219" s="1">
        <f t="shared" si="42"/>
        <v>0</v>
      </c>
      <c r="K219" s="1">
        <f t="shared" si="43"/>
        <v>1</v>
      </c>
      <c r="L219" s="1">
        <f t="shared" si="44"/>
        <v>0</v>
      </c>
      <c r="M219" s="1">
        <v>1</v>
      </c>
      <c r="N219" s="1">
        <v>0</v>
      </c>
      <c r="O219" s="1" t="str">
        <f t="shared" si="45"/>
        <v>被动去库存</v>
      </c>
      <c r="P219" s="1" t="str">
        <f t="shared" si="46"/>
        <v>产能周期上行</v>
      </c>
      <c r="Q219" s="2" t="str">
        <f t="shared" si="47"/>
        <v>产能周期上行,被动去库存</v>
      </c>
      <c r="S219" s="12">
        <v>44926</v>
      </c>
      <c r="T219" s="13">
        <v>47</v>
      </c>
      <c r="V219" s="12">
        <v>37955</v>
      </c>
      <c r="W219" s="13">
        <v>11.82</v>
      </c>
    </row>
    <row r="220" spans="1:23" x14ac:dyDescent="0.35">
      <c r="A220" s="8">
        <v>39994</v>
      </c>
      <c r="B220" s="9">
        <f t="shared" si="38"/>
        <v>53.2</v>
      </c>
      <c r="C220" s="9" t="e">
        <f t="shared" si="39"/>
        <v>#N/A</v>
      </c>
      <c r="D220" s="9">
        <f t="shared" si="40"/>
        <v>37.79</v>
      </c>
      <c r="E220" s="1">
        <v>0</v>
      </c>
      <c r="F220" s="1">
        <v>1</v>
      </c>
      <c r="G220" s="7">
        <v>1</v>
      </c>
      <c r="H220" s="7">
        <v>0</v>
      </c>
      <c r="I220" s="1">
        <f t="shared" si="41"/>
        <v>0</v>
      </c>
      <c r="J220" s="1">
        <f t="shared" si="42"/>
        <v>0</v>
      </c>
      <c r="K220" s="1">
        <f t="shared" si="43"/>
        <v>1</v>
      </c>
      <c r="L220" s="1">
        <f t="shared" si="44"/>
        <v>0</v>
      </c>
      <c r="M220" s="1">
        <v>1</v>
      </c>
      <c r="N220" s="1">
        <v>0</v>
      </c>
      <c r="O220" s="1" t="str">
        <f t="shared" si="45"/>
        <v>被动去库存</v>
      </c>
      <c r="P220" s="1" t="str">
        <f t="shared" si="46"/>
        <v>产能周期上行</v>
      </c>
      <c r="Q220" s="2" t="str">
        <f t="shared" si="47"/>
        <v>产能周期上行,被动去库存</v>
      </c>
      <c r="S220" s="12">
        <v>44957</v>
      </c>
      <c r="T220" s="13">
        <v>50.1</v>
      </c>
      <c r="V220" s="12">
        <v>37925</v>
      </c>
      <c r="W220" s="13">
        <v>11.5</v>
      </c>
    </row>
    <row r="221" spans="1:23" x14ac:dyDescent="0.35">
      <c r="A221" s="8">
        <v>39964</v>
      </c>
      <c r="B221" s="9">
        <f t="shared" si="38"/>
        <v>53.1</v>
      </c>
      <c r="C221" s="9">
        <f t="shared" si="39"/>
        <v>4.24</v>
      </c>
      <c r="D221" s="9" t="e">
        <f t="shared" si="40"/>
        <v>#N/A</v>
      </c>
      <c r="E221" s="1">
        <v>0</v>
      </c>
      <c r="F221" s="1">
        <v>1</v>
      </c>
      <c r="G221" s="7">
        <v>1</v>
      </c>
      <c r="H221" s="7">
        <v>0</v>
      </c>
      <c r="I221" s="1">
        <f t="shared" si="41"/>
        <v>0</v>
      </c>
      <c r="J221" s="1">
        <f t="shared" si="42"/>
        <v>0</v>
      </c>
      <c r="K221" s="1">
        <f t="shared" si="43"/>
        <v>1</v>
      </c>
      <c r="L221" s="1">
        <f t="shared" si="44"/>
        <v>0</v>
      </c>
      <c r="M221" s="1">
        <v>1</v>
      </c>
      <c r="N221" s="1">
        <v>0</v>
      </c>
      <c r="O221" s="1" t="str">
        <f t="shared" si="45"/>
        <v>被动去库存</v>
      </c>
      <c r="P221" s="1" t="str">
        <f t="shared" si="46"/>
        <v>产能周期上行</v>
      </c>
      <c r="Q221" s="2" t="str">
        <f t="shared" si="47"/>
        <v>产能周期上行,被动去库存</v>
      </c>
      <c r="S221" s="12">
        <v>44985</v>
      </c>
      <c r="T221" s="13">
        <v>52.6</v>
      </c>
      <c r="V221" s="12">
        <v>37894</v>
      </c>
      <c r="W221" s="13">
        <v>11.65</v>
      </c>
    </row>
    <row r="222" spans="1:23" x14ac:dyDescent="0.35">
      <c r="A222" s="8">
        <v>39933</v>
      </c>
      <c r="B222" s="9">
        <f t="shared" si="38"/>
        <v>53.5</v>
      </c>
      <c r="C222" s="9" t="e">
        <f t="shared" si="39"/>
        <v>#N/A</v>
      </c>
      <c r="D222" s="9" t="e">
        <f t="shared" si="40"/>
        <v>#N/A</v>
      </c>
      <c r="E222" s="1">
        <v>0</v>
      </c>
      <c r="F222" s="1">
        <v>1</v>
      </c>
      <c r="G222" s="7">
        <v>1</v>
      </c>
      <c r="H222" s="7">
        <v>0</v>
      </c>
      <c r="I222" s="1">
        <f t="shared" si="41"/>
        <v>0</v>
      </c>
      <c r="J222" s="1">
        <f t="shared" si="42"/>
        <v>0</v>
      </c>
      <c r="K222" s="1">
        <f t="shared" si="43"/>
        <v>1</v>
      </c>
      <c r="L222" s="1">
        <f t="shared" si="44"/>
        <v>0</v>
      </c>
      <c r="M222" s="1">
        <v>1</v>
      </c>
      <c r="N222" s="1">
        <v>0</v>
      </c>
      <c r="O222" s="1" t="str">
        <f t="shared" si="45"/>
        <v>被动去库存</v>
      </c>
      <c r="P222" s="1" t="str">
        <f t="shared" si="46"/>
        <v>产能周期上行</v>
      </c>
      <c r="Q222" s="2" t="str">
        <f t="shared" si="47"/>
        <v>产能周期上行,被动去库存</v>
      </c>
      <c r="S222" s="12">
        <v>45016</v>
      </c>
      <c r="T222" s="13">
        <v>51.9</v>
      </c>
      <c r="V222" s="12">
        <v>37864</v>
      </c>
      <c r="W222" s="13">
        <v>11.37</v>
      </c>
    </row>
    <row r="223" spans="1:23" x14ac:dyDescent="0.35">
      <c r="A223" s="8">
        <v>39903</v>
      </c>
      <c r="B223" s="9">
        <f t="shared" si="38"/>
        <v>52.4</v>
      </c>
      <c r="C223" s="9" t="e">
        <f t="shared" si="39"/>
        <v>#N/A</v>
      </c>
      <c r="D223" s="9">
        <f t="shared" si="40"/>
        <v>36.28</v>
      </c>
      <c r="E223" s="1">
        <v>0</v>
      </c>
      <c r="F223" s="1">
        <v>1</v>
      </c>
      <c r="G223" s="7">
        <v>1</v>
      </c>
      <c r="H223" s="7">
        <v>0</v>
      </c>
      <c r="I223" s="1">
        <f t="shared" si="41"/>
        <v>0</v>
      </c>
      <c r="J223" s="1">
        <f t="shared" si="42"/>
        <v>0</v>
      </c>
      <c r="K223" s="1">
        <f t="shared" si="43"/>
        <v>1</v>
      </c>
      <c r="L223" s="1">
        <f t="shared" si="44"/>
        <v>0</v>
      </c>
      <c r="M223" s="1">
        <v>1</v>
      </c>
      <c r="N223" s="1">
        <v>0</v>
      </c>
      <c r="O223" s="1" t="str">
        <f t="shared" si="45"/>
        <v>被动去库存</v>
      </c>
      <c r="P223" s="1" t="str">
        <f t="shared" si="46"/>
        <v>产能周期上行</v>
      </c>
      <c r="Q223" s="2" t="str">
        <f t="shared" si="47"/>
        <v>产能周期上行,被动去库存</v>
      </c>
      <c r="S223" s="12">
        <v>45046</v>
      </c>
      <c r="T223" s="13">
        <v>49.2</v>
      </c>
      <c r="V223" s="12">
        <v>37833</v>
      </c>
      <c r="W223" s="13">
        <v>11.18</v>
      </c>
    </row>
    <row r="224" spans="1:23" x14ac:dyDescent="0.35">
      <c r="A224" s="8">
        <v>39872</v>
      </c>
      <c r="B224" s="9">
        <f t="shared" si="38"/>
        <v>49</v>
      </c>
      <c r="C224" s="9">
        <f t="shared" si="39"/>
        <v>11.7</v>
      </c>
      <c r="D224" s="9" t="e">
        <f t="shared" si="40"/>
        <v>#N/A</v>
      </c>
      <c r="E224" s="1">
        <v>0</v>
      </c>
      <c r="F224" s="1">
        <v>1</v>
      </c>
      <c r="G224" s="7">
        <v>1</v>
      </c>
      <c r="H224" s="7">
        <v>0</v>
      </c>
      <c r="I224" s="1">
        <f t="shared" si="41"/>
        <v>0</v>
      </c>
      <c r="J224" s="1">
        <f t="shared" si="42"/>
        <v>0</v>
      </c>
      <c r="K224" s="1">
        <f t="shared" si="43"/>
        <v>1</v>
      </c>
      <c r="L224" s="1">
        <f t="shared" si="44"/>
        <v>0</v>
      </c>
      <c r="M224" s="1">
        <v>0</v>
      </c>
      <c r="N224" s="1">
        <v>1</v>
      </c>
      <c r="O224" s="1" t="str">
        <f t="shared" si="45"/>
        <v>被动去库存</v>
      </c>
      <c r="P224" s="1" t="str">
        <f t="shared" si="46"/>
        <v>产能周期下行</v>
      </c>
      <c r="Q224" s="2" t="str">
        <f t="shared" si="47"/>
        <v>产能周期下行,被动去库存</v>
      </c>
      <c r="S224" s="12">
        <v>45077</v>
      </c>
      <c r="T224" s="13">
        <v>48.8</v>
      </c>
      <c r="V224" s="12">
        <v>37802</v>
      </c>
      <c r="W224" s="13">
        <v>10.35</v>
      </c>
    </row>
    <row r="225" spans="1:23" x14ac:dyDescent="0.35">
      <c r="A225" s="8">
        <v>39844</v>
      </c>
      <c r="B225" s="9">
        <f t="shared" si="38"/>
        <v>45.3</v>
      </c>
      <c r="C225" s="9" t="e">
        <f t="shared" si="39"/>
        <v>#N/A</v>
      </c>
      <c r="D225" s="9" t="e">
        <f t="shared" si="40"/>
        <v>#N/A</v>
      </c>
      <c r="E225" s="1">
        <v>0</v>
      </c>
      <c r="F225" s="1">
        <v>1</v>
      </c>
      <c r="G225" s="7">
        <v>1</v>
      </c>
      <c r="H225" s="7">
        <v>0</v>
      </c>
      <c r="I225" s="1">
        <f t="shared" si="41"/>
        <v>0</v>
      </c>
      <c r="J225" s="1">
        <f t="shared" si="42"/>
        <v>0</v>
      </c>
      <c r="K225" s="1">
        <f t="shared" si="43"/>
        <v>1</v>
      </c>
      <c r="L225" s="1">
        <f t="shared" si="44"/>
        <v>0</v>
      </c>
      <c r="M225" s="1">
        <v>0</v>
      </c>
      <c r="N225" s="1">
        <v>1</v>
      </c>
      <c r="O225" s="1" t="str">
        <f t="shared" si="45"/>
        <v>被动去库存</v>
      </c>
      <c r="P225" s="1" t="str">
        <f t="shared" si="46"/>
        <v>产能周期下行</v>
      </c>
      <c r="Q225" s="2" t="str">
        <f t="shared" si="47"/>
        <v>产能周期下行,被动去库存</v>
      </c>
      <c r="S225" s="12">
        <v>45107</v>
      </c>
      <c r="T225" s="13">
        <v>49</v>
      </c>
      <c r="V225" s="12">
        <v>37772</v>
      </c>
      <c r="W225" s="13">
        <v>10.34</v>
      </c>
    </row>
    <row r="226" spans="1:23" x14ac:dyDescent="0.35">
      <c r="A226" s="8">
        <v>39813</v>
      </c>
      <c r="B226" s="9">
        <f t="shared" ref="B226:B289" si="48">VLOOKUP(A226,S:T,2,0)</f>
        <v>41.2</v>
      </c>
      <c r="C226" s="9" t="e">
        <f t="shared" ref="C226:C289" si="49">VLOOKUP(A226,V:W,2,0)</f>
        <v>#N/A</v>
      </c>
      <c r="D226" s="9">
        <f t="shared" si="40"/>
        <v>38.520000000000003</v>
      </c>
      <c r="E226" s="1">
        <v>0</v>
      </c>
      <c r="F226" s="1">
        <v>1</v>
      </c>
      <c r="G226" s="7">
        <v>1</v>
      </c>
      <c r="H226" s="7">
        <v>0</v>
      </c>
      <c r="I226" s="1">
        <f t="shared" si="41"/>
        <v>0</v>
      </c>
      <c r="J226" s="1">
        <f t="shared" si="42"/>
        <v>0</v>
      </c>
      <c r="K226" s="1">
        <f t="shared" si="43"/>
        <v>1</v>
      </c>
      <c r="L226" s="1">
        <f t="shared" si="44"/>
        <v>0</v>
      </c>
      <c r="M226" s="1">
        <v>0</v>
      </c>
      <c r="N226" s="1">
        <v>1</v>
      </c>
      <c r="O226" s="1" t="str">
        <f t="shared" si="45"/>
        <v>被动去库存</v>
      </c>
      <c r="P226" s="1" t="str">
        <f t="shared" si="46"/>
        <v>产能周期下行</v>
      </c>
      <c r="Q226" s="2" t="str">
        <f t="shared" si="47"/>
        <v>产能周期下行,被动去库存</v>
      </c>
      <c r="S226" s="12">
        <v>45138</v>
      </c>
      <c r="T226" s="13">
        <v>49.3</v>
      </c>
      <c r="V226" s="12">
        <v>37741</v>
      </c>
      <c r="W226" s="13">
        <v>9.92</v>
      </c>
    </row>
    <row r="227" spans="1:23" x14ac:dyDescent="0.35">
      <c r="A227" s="8">
        <v>39782</v>
      </c>
      <c r="B227" s="9">
        <f t="shared" si="48"/>
        <v>38.799999999999997</v>
      </c>
      <c r="C227" s="9">
        <f t="shared" si="49"/>
        <v>25.01</v>
      </c>
      <c r="D227" s="9" t="e">
        <f t="shared" si="40"/>
        <v>#N/A</v>
      </c>
      <c r="E227" s="1">
        <v>0</v>
      </c>
      <c r="F227" s="1">
        <v>1</v>
      </c>
      <c r="G227" s="7">
        <v>1</v>
      </c>
      <c r="H227" s="7">
        <v>0</v>
      </c>
      <c r="I227" s="1">
        <f t="shared" si="41"/>
        <v>0</v>
      </c>
      <c r="J227" s="1">
        <f t="shared" si="42"/>
        <v>0</v>
      </c>
      <c r="K227" s="1">
        <f t="shared" si="43"/>
        <v>1</v>
      </c>
      <c r="L227" s="1">
        <f t="shared" si="44"/>
        <v>0</v>
      </c>
      <c r="M227" s="1">
        <v>0</v>
      </c>
      <c r="N227" s="1">
        <v>1</v>
      </c>
      <c r="O227" s="1" t="str">
        <f t="shared" si="45"/>
        <v>被动去库存</v>
      </c>
      <c r="P227" s="1" t="str">
        <f t="shared" si="46"/>
        <v>产能周期下行</v>
      </c>
      <c r="Q227" s="2" t="str">
        <f t="shared" si="47"/>
        <v>产能周期下行,被动去库存</v>
      </c>
      <c r="S227" s="12">
        <v>45169</v>
      </c>
      <c r="T227" s="13">
        <v>49.7</v>
      </c>
      <c r="V227" s="12">
        <v>37711</v>
      </c>
      <c r="W227" s="13">
        <v>8.27</v>
      </c>
    </row>
    <row r="228" spans="1:23" x14ac:dyDescent="0.35">
      <c r="A228" s="8">
        <v>39752</v>
      </c>
      <c r="B228" s="9">
        <f t="shared" si="48"/>
        <v>44.6</v>
      </c>
      <c r="C228" s="9" t="e">
        <f t="shared" si="49"/>
        <v>#N/A</v>
      </c>
      <c r="D228" s="9" t="e">
        <f t="shared" si="40"/>
        <v>#N/A</v>
      </c>
      <c r="E228" s="1">
        <v>0</v>
      </c>
      <c r="F228" s="1">
        <v>1</v>
      </c>
      <c r="G228" s="7">
        <v>0</v>
      </c>
      <c r="H228" s="7">
        <v>1</v>
      </c>
      <c r="I228" s="1">
        <f t="shared" si="41"/>
        <v>1</v>
      </c>
      <c r="J228" s="1">
        <f t="shared" si="42"/>
        <v>0</v>
      </c>
      <c r="K228" s="1">
        <f t="shared" si="43"/>
        <v>0</v>
      </c>
      <c r="L228" s="1">
        <f t="shared" si="44"/>
        <v>0</v>
      </c>
      <c r="M228" s="1">
        <v>0</v>
      </c>
      <c r="N228" s="1">
        <v>1</v>
      </c>
      <c r="O228" s="1" t="str">
        <f t="shared" si="45"/>
        <v>主动去库存</v>
      </c>
      <c r="P228" s="1" t="str">
        <f t="shared" si="46"/>
        <v>产能周期下行</v>
      </c>
      <c r="Q228" s="2" t="str">
        <f t="shared" si="47"/>
        <v>产能周期下行,主动去库存</v>
      </c>
      <c r="S228" s="12">
        <v>45199</v>
      </c>
      <c r="T228" s="13">
        <v>50.2</v>
      </c>
      <c r="V228" s="12">
        <v>37680</v>
      </c>
      <c r="W228" s="13">
        <v>7.59</v>
      </c>
    </row>
    <row r="229" spans="1:23" x14ac:dyDescent="0.35">
      <c r="A229" s="8">
        <v>39721</v>
      </c>
      <c r="B229" s="9">
        <f t="shared" si="48"/>
        <v>51.2</v>
      </c>
      <c r="C229" s="9" t="e">
        <f t="shared" si="49"/>
        <v>#N/A</v>
      </c>
      <c r="D229" s="9">
        <f t="shared" ref="D229:D292" si="50">VLOOKUP(A229,Y:Z,2,FALSE)</f>
        <v>43.1</v>
      </c>
      <c r="E229" s="1">
        <v>0</v>
      </c>
      <c r="F229" s="1">
        <v>1</v>
      </c>
      <c r="G229" s="7">
        <v>0</v>
      </c>
      <c r="H229" s="7">
        <v>1</v>
      </c>
      <c r="I229" s="1">
        <f t="shared" si="41"/>
        <v>1</v>
      </c>
      <c r="J229" s="1">
        <f t="shared" si="42"/>
        <v>0</v>
      </c>
      <c r="K229" s="1">
        <f t="shared" si="43"/>
        <v>0</v>
      </c>
      <c r="L229" s="1">
        <f t="shared" si="44"/>
        <v>0</v>
      </c>
      <c r="M229" s="1">
        <v>0</v>
      </c>
      <c r="N229" s="1">
        <v>1</v>
      </c>
      <c r="O229" s="1" t="str">
        <f t="shared" si="45"/>
        <v>主动去库存</v>
      </c>
      <c r="P229" s="1" t="str">
        <f t="shared" si="46"/>
        <v>产能周期下行</v>
      </c>
      <c r="Q229" s="2" t="str">
        <f t="shared" si="47"/>
        <v>产能周期下行,主动去库存</v>
      </c>
      <c r="S229" s="12">
        <v>45230</v>
      </c>
      <c r="T229" s="13">
        <v>49.5</v>
      </c>
      <c r="V229" s="12">
        <v>37621</v>
      </c>
      <c r="W229" s="13">
        <v>5.24</v>
      </c>
    </row>
    <row r="230" spans="1:23" x14ac:dyDescent="0.35">
      <c r="A230" s="8">
        <v>39691</v>
      </c>
      <c r="B230" s="9">
        <f t="shared" si="48"/>
        <v>48.4</v>
      </c>
      <c r="C230" s="9">
        <f t="shared" si="49"/>
        <v>28.54</v>
      </c>
      <c r="D230" s="9" t="e">
        <f t="shared" si="50"/>
        <v>#N/A</v>
      </c>
      <c r="E230" s="1">
        <v>0</v>
      </c>
      <c r="F230" s="1">
        <v>1</v>
      </c>
      <c r="G230" s="7">
        <v>0</v>
      </c>
      <c r="H230" s="7">
        <v>1</v>
      </c>
      <c r="I230" s="1">
        <f t="shared" si="41"/>
        <v>1</v>
      </c>
      <c r="J230" s="1">
        <f t="shared" si="42"/>
        <v>0</v>
      </c>
      <c r="K230" s="1">
        <f t="shared" si="43"/>
        <v>0</v>
      </c>
      <c r="L230" s="1">
        <f t="shared" si="44"/>
        <v>0</v>
      </c>
      <c r="M230" s="1">
        <v>0</v>
      </c>
      <c r="N230" s="1">
        <v>1</v>
      </c>
      <c r="O230" s="1" t="str">
        <f t="shared" si="45"/>
        <v>主动去库存</v>
      </c>
      <c r="P230" s="1" t="str">
        <f t="shared" si="46"/>
        <v>产能周期下行</v>
      </c>
      <c r="Q230" s="2" t="str">
        <f t="shared" si="47"/>
        <v>产能周期下行,主动去库存</v>
      </c>
      <c r="S230" s="12">
        <v>45260</v>
      </c>
      <c r="T230" s="13">
        <v>49.4</v>
      </c>
      <c r="V230" s="12">
        <v>37590</v>
      </c>
      <c r="W230" s="13">
        <v>2.82</v>
      </c>
    </row>
    <row r="231" spans="1:23" x14ac:dyDescent="0.35">
      <c r="A231" s="8">
        <v>39660</v>
      </c>
      <c r="B231" s="9">
        <f t="shared" si="48"/>
        <v>48.4</v>
      </c>
      <c r="C231" s="9" t="e">
        <f t="shared" si="49"/>
        <v>#N/A</v>
      </c>
      <c r="D231" s="9" t="e">
        <f t="shared" si="50"/>
        <v>#N/A</v>
      </c>
      <c r="E231" s="1">
        <v>1</v>
      </c>
      <c r="F231" s="1">
        <v>0</v>
      </c>
      <c r="G231" s="7">
        <v>0</v>
      </c>
      <c r="H231" s="7">
        <v>1</v>
      </c>
      <c r="I231" s="1">
        <f t="shared" si="41"/>
        <v>0</v>
      </c>
      <c r="J231" s="1">
        <f t="shared" si="42"/>
        <v>1</v>
      </c>
      <c r="K231" s="1">
        <f t="shared" si="43"/>
        <v>0</v>
      </c>
      <c r="L231" s="1">
        <f t="shared" si="44"/>
        <v>0</v>
      </c>
      <c r="M231" s="1">
        <v>0</v>
      </c>
      <c r="N231" s="1">
        <v>1</v>
      </c>
      <c r="O231" s="1" t="str">
        <f t="shared" si="45"/>
        <v>被动补库存</v>
      </c>
      <c r="P231" s="1" t="str">
        <f t="shared" si="46"/>
        <v>产能周期下行</v>
      </c>
      <c r="Q231" s="2" t="str">
        <f t="shared" si="47"/>
        <v>产能周期下行,被动补库存</v>
      </c>
      <c r="S231" s="12">
        <v>45291</v>
      </c>
      <c r="T231" s="13">
        <v>49</v>
      </c>
      <c r="V231" s="12">
        <v>37560</v>
      </c>
      <c r="W231" s="13">
        <v>2.21</v>
      </c>
    </row>
    <row r="232" spans="1:23" x14ac:dyDescent="0.35">
      <c r="A232" s="8">
        <v>39629</v>
      </c>
      <c r="B232" s="9">
        <f t="shared" si="48"/>
        <v>52</v>
      </c>
      <c r="C232" s="9" t="e">
        <f t="shared" si="49"/>
        <v>#N/A</v>
      </c>
      <c r="D232" s="9">
        <f t="shared" si="50"/>
        <v>44.42</v>
      </c>
      <c r="E232" s="1">
        <v>1</v>
      </c>
      <c r="F232" s="1">
        <v>0</v>
      </c>
      <c r="G232" s="7">
        <v>0</v>
      </c>
      <c r="H232" s="7">
        <v>1</v>
      </c>
      <c r="I232" s="1">
        <f t="shared" si="41"/>
        <v>0</v>
      </c>
      <c r="J232" s="1">
        <f t="shared" si="42"/>
        <v>1</v>
      </c>
      <c r="K232" s="1">
        <f t="shared" si="43"/>
        <v>0</v>
      </c>
      <c r="L232" s="1">
        <f t="shared" si="44"/>
        <v>0</v>
      </c>
      <c r="M232" s="1">
        <v>0</v>
      </c>
      <c r="N232" s="1">
        <v>1</v>
      </c>
      <c r="O232" s="1" t="str">
        <f t="shared" si="45"/>
        <v>被动补库存</v>
      </c>
      <c r="P232" s="1" t="str">
        <f t="shared" si="46"/>
        <v>产能周期下行</v>
      </c>
      <c r="Q232" s="2" t="str">
        <f t="shared" si="47"/>
        <v>产能周期下行,被动补库存</v>
      </c>
      <c r="S232" s="12">
        <v>45322</v>
      </c>
      <c r="T232" s="13">
        <v>49.2</v>
      </c>
      <c r="V232" s="12">
        <v>37529</v>
      </c>
      <c r="W232" s="13">
        <v>2.42</v>
      </c>
    </row>
    <row r="233" spans="1:23" x14ac:dyDescent="0.35">
      <c r="A233" s="8">
        <v>39599</v>
      </c>
      <c r="B233" s="9">
        <f t="shared" si="48"/>
        <v>53.3</v>
      </c>
      <c r="C233" s="9">
        <f t="shared" si="49"/>
        <v>26.07</v>
      </c>
      <c r="D233" s="9" t="e">
        <f t="shared" si="50"/>
        <v>#N/A</v>
      </c>
      <c r="E233" s="1">
        <v>1</v>
      </c>
      <c r="F233" s="1">
        <v>0</v>
      </c>
      <c r="G233" s="7">
        <v>0</v>
      </c>
      <c r="H233" s="7">
        <v>1</v>
      </c>
      <c r="I233" s="1">
        <f t="shared" ref="I233:I296" si="51">INT(AND(H233=1,F233=1))</f>
        <v>0</v>
      </c>
      <c r="J233" s="1">
        <f t="shared" ref="J233:J296" si="52">INT(AND(H233=1,E233=1))</f>
        <v>1</v>
      </c>
      <c r="K233" s="1">
        <f t="shared" ref="K233:K296" si="53">INT(AND(G233=1,F233=1))</f>
        <v>0</v>
      </c>
      <c r="L233" s="1">
        <f t="shared" ref="L233:L296" si="54">INT(AND(G233=1,E233=1))</f>
        <v>0</v>
      </c>
      <c r="M233" s="1">
        <v>0</v>
      </c>
      <c r="N233" s="1">
        <v>1</v>
      </c>
      <c r="O233" s="1" t="str">
        <f t="shared" ref="O233:O296" si="55">INDEX($I$3:$L$3,1,MATCH(1,I233:L233,0))</f>
        <v>被动补库存</v>
      </c>
      <c r="P233" s="1" t="str">
        <f t="shared" ref="P233:P296" si="56">INDEX($M$3:$N$3,1,MATCH(1,M233:N233,0))</f>
        <v>产能周期下行</v>
      </c>
      <c r="Q233" s="2" t="str">
        <f t="shared" ref="Q233:Q296" si="57">TEXT(P233,"")&amp;","&amp;TEXT(O233,"")</f>
        <v>产能周期下行,被动补库存</v>
      </c>
      <c r="S233" s="12">
        <v>45351</v>
      </c>
      <c r="T233" s="13">
        <v>49.1</v>
      </c>
      <c r="V233" s="12">
        <v>37499</v>
      </c>
      <c r="W233" s="13">
        <v>2.9</v>
      </c>
    </row>
    <row r="234" spans="1:23" x14ac:dyDescent="0.35">
      <c r="A234" s="8">
        <v>39568</v>
      </c>
      <c r="B234" s="9">
        <f t="shared" si="48"/>
        <v>59.2</v>
      </c>
      <c r="C234" s="9" t="e">
        <f t="shared" si="49"/>
        <v>#N/A</v>
      </c>
      <c r="D234" s="9" t="e">
        <f t="shared" si="50"/>
        <v>#N/A</v>
      </c>
      <c r="E234" s="1">
        <v>1</v>
      </c>
      <c r="F234" s="1">
        <v>0</v>
      </c>
      <c r="G234" s="7">
        <v>0</v>
      </c>
      <c r="H234" s="7">
        <v>1</v>
      </c>
      <c r="I234" s="1">
        <f t="shared" si="51"/>
        <v>0</v>
      </c>
      <c r="J234" s="1">
        <f t="shared" si="52"/>
        <v>1</v>
      </c>
      <c r="K234" s="1">
        <f t="shared" si="53"/>
        <v>0</v>
      </c>
      <c r="L234" s="1">
        <f t="shared" si="54"/>
        <v>0</v>
      </c>
      <c r="M234" s="1">
        <v>0</v>
      </c>
      <c r="N234" s="1">
        <v>1</v>
      </c>
      <c r="O234" s="1" t="str">
        <f t="shared" si="55"/>
        <v>被动补库存</v>
      </c>
      <c r="P234" s="1" t="str">
        <f t="shared" si="56"/>
        <v>产能周期下行</v>
      </c>
      <c r="Q234" s="2" t="str">
        <f t="shared" si="57"/>
        <v>产能周期下行,被动补库存</v>
      </c>
      <c r="S234" s="12">
        <v>45382</v>
      </c>
      <c r="T234" s="13">
        <v>50.8</v>
      </c>
      <c r="V234" s="12">
        <v>37468</v>
      </c>
      <c r="W234" s="13">
        <v>2.27</v>
      </c>
    </row>
    <row r="235" spans="1:23" x14ac:dyDescent="0.35">
      <c r="A235" s="8">
        <v>39538</v>
      </c>
      <c r="B235" s="9">
        <f t="shared" si="48"/>
        <v>58.4</v>
      </c>
      <c r="C235" s="9" t="e">
        <f t="shared" si="49"/>
        <v>#N/A</v>
      </c>
      <c r="D235" s="9">
        <f t="shared" si="50"/>
        <v>43.36</v>
      </c>
      <c r="E235" s="1">
        <v>1</v>
      </c>
      <c r="F235" s="1">
        <v>0</v>
      </c>
      <c r="G235" s="7">
        <v>0</v>
      </c>
      <c r="H235" s="7">
        <v>1</v>
      </c>
      <c r="I235" s="1">
        <f t="shared" si="51"/>
        <v>0</v>
      </c>
      <c r="J235" s="1">
        <f t="shared" si="52"/>
        <v>1</v>
      </c>
      <c r="K235" s="1">
        <f t="shared" si="53"/>
        <v>0</v>
      </c>
      <c r="L235" s="1">
        <f t="shared" si="54"/>
        <v>0</v>
      </c>
      <c r="M235" s="1">
        <v>0</v>
      </c>
      <c r="N235" s="1">
        <v>1</v>
      </c>
      <c r="O235" s="1" t="str">
        <f t="shared" si="55"/>
        <v>被动补库存</v>
      </c>
      <c r="P235" s="1" t="str">
        <f t="shared" si="56"/>
        <v>产能周期下行</v>
      </c>
      <c r="Q235" s="2" t="str">
        <f t="shared" si="57"/>
        <v>产能周期下行,被动补库存</v>
      </c>
      <c r="S235" s="12">
        <v>45412</v>
      </c>
      <c r="T235" s="13">
        <v>50.4</v>
      </c>
      <c r="V235" s="12">
        <v>37437</v>
      </c>
      <c r="W235" s="13">
        <v>4.0999999999999996</v>
      </c>
    </row>
    <row r="236" spans="1:23" x14ac:dyDescent="0.35">
      <c r="A236" s="8">
        <v>39507</v>
      </c>
      <c r="B236" s="9">
        <f t="shared" si="48"/>
        <v>53.4</v>
      </c>
      <c r="C236" s="9">
        <f t="shared" si="49"/>
        <v>21.18</v>
      </c>
      <c r="D236" s="9" t="e">
        <f t="shared" si="50"/>
        <v>#N/A</v>
      </c>
      <c r="E236" s="1">
        <v>1</v>
      </c>
      <c r="F236" s="1">
        <v>0</v>
      </c>
      <c r="G236" s="7">
        <v>0</v>
      </c>
      <c r="H236" s="7">
        <v>1</v>
      </c>
      <c r="I236" s="1">
        <f t="shared" si="51"/>
        <v>0</v>
      </c>
      <c r="J236" s="1">
        <f t="shared" si="52"/>
        <v>1</v>
      </c>
      <c r="K236" s="1">
        <f t="shared" si="53"/>
        <v>0</v>
      </c>
      <c r="L236" s="1">
        <f t="shared" si="54"/>
        <v>0</v>
      </c>
      <c r="M236" s="1">
        <v>0</v>
      </c>
      <c r="N236" s="1">
        <v>1</v>
      </c>
      <c r="O236" s="1" t="str">
        <f t="shared" si="55"/>
        <v>被动补库存</v>
      </c>
      <c r="P236" s="1" t="str">
        <f t="shared" si="56"/>
        <v>产能周期下行</v>
      </c>
      <c r="Q236" s="2" t="str">
        <f t="shared" si="57"/>
        <v>产能周期下行,被动补库存</v>
      </c>
      <c r="S236" s="12">
        <v>45443</v>
      </c>
      <c r="T236" s="13">
        <v>49.5</v>
      </c>
      <c r="V236" s="12">
        <v>37407</v>
      </c>
      <c r="W236" s="13">
        <v>4.1900000000000004</v>
      </c>
    </row>
    <row r="237" spans="1:23" x14ac:dyDescent="0.35">
      <c r="A237" s="8">
        <v>39478</v>
      </c>
      <c r="B237" s="9">
        <f t="shared" si="48"/>
        <v>53</v>
      </c>
      <c r="C237" s="9" t="e">
        <f t="shared" si="49"/>
        <v>#N/A</v>
      </c>
      <c r="D237" s="9" t="e">
        <f t="shared" si="50"/>
        <v>#N/A</v>
      </c>
      <c r="E237" s="1">
        <v>1</v>
      </c>
      <c r="F237" s="1">
        <v>0</v>
      </c>
      <c r="G237" s="7">
        <v>0</v>
      </c>
      <c r="H237" s="7">
        <v>1</v>
      </c>
      <c r="I237" s="1">
        <f t="shared" si="51"/>
        <v>0</v>
      </c>
      <c r="J237" s="1">
        <f t="shared" si="52"/>
        <v>1</v>
      </c>
      <c r="K237" s="1">
        <f t="shared" si="53"/>
        <v>0</v>
      </c>
      <c r="L237" s="1">
        <f t="shared" si="54"/>
        <v>0</v>
      </c>
      <c r="M237" s="1">
        <v>0</v>
      </c>
      <c r="N237" s="1">
        <v>1</v>
      </c>
      <c r="O237" s="1" t="str">
        <f t="shared" si="55"/>
        <v>被动补库存</v>
      </c>
      <c r="P237" s="1" t="str">
        <f t="shared" si="56"/>
        <v>产能周期下行</v>
      </c>
      <c r="Q237" s="2" t="str">
        <f t="shared" si="57"/>
        <v>产能周期下行,被动补库存</v>
      </c>
      <c r="S237" s="12">
        <v>45473</v>
      </c>
      <c r="T237" s="13">
        <v>49.5</v>
      </c>
      <c r="V237" s="12">
        <v>37376</v>
      </c>
      <c r="W237" s="13">
        <v>3.43</v>
      </c>
    </row>
    <row r="238" spans="1:23" x14ac:dyDescent="0.35">
      <c r="A238" s="8">
        <v>39447</v>
      </c>
      <c r="B238" s="9">
        <f t="shared" si="48"/>
        <v>55.3</v>
      </c>
      <c r="C238" s="9" t="e">
        <f t="shared" si="49"/>
        <v>#N/A</v>
      </c>
      <c r="D238" s="9">
        <f t="shared" si="50"/>
        <v>45.5</v>
      </c>
      <c r="E238" s="1">
        <v>1</v>
      </c>
      <c r="F238" s="1">
        <v>0</v>
      </c>
      <c r="G238" s="7">
        <v>0</v>
      </c>
      <c r="H238" s="7">
        <v>1</v>
      </c>
      <c r="I238" s="1">
        <f t="shared" si="51"/>
        <v>0</v>
      </c>
      <c r="J238" s="1">
        <f t="shared" si="52"/>
        <v>1</v>
      </c>
      <c r="K238" s="1">
        <f t="shared" si="53"/>
        <v>0</v>
      </c>
      <c r="L238" s="1">
        <f t="shared" si="54"/>
        <v>0</v>
      </c>
      <c r="M238" s="1">
        <v>0</v>
      </c>
      <c r="N238" s="1">
        <v>1</v>
      </c>
      <c r="O238" s="1" t="str">
        <f t="shared" si="55"/>
        <v>被动补库存</v>
      </c>
      <c r="P238" s="1" t="str">
        <f t="shared" si="56"/>
        <v>产能周期下行</v>
      </c>
      <c r="Q238" s="2" t="str">
        <f t="shared" si="57"/>
        <v>产能周期下行,被动补库存</v>
      </c>
      <c r="S238" s="12">
        <v>45504</v>
      </c>
      <c r="T238" s="13">
        <v>49.4</v>
      </c>
      <c r="V238" s="12">
        <v>37346</v>
      </c>
      <c r="W238" s="13">
        <v>3.5</v>
      </c>
    </row>
    <row r="239" spans="1:23" x14ac:dyDescent="0.35">
      <c r="A239" s="8">
        <v>39416</v>
      </c>
      <c r="B239" s="9">
        <f t="shared" si="48"/>
        <v>55.4</v>
      </c>
      <c r="C239" s="9">
        <f t="shared" si="49"/>
        <v>21.8</v>
      </c>
      <c r="D239" s="9" t="e">
        <f t="shared" si="50"/>
        <v>#N/A</v>
      </c>
      <c r="E239" s="1">
        <v>1</v>
      </c>
      <c r="F239" s="1">
        <v>0</v>
      </c>
      <c r="G239" s="7">
        <v>0</v>
      </c>
      <c r="H239" s="7">
        <v>1</v>
      </c>
      <c r="I239" s="1">
        <f t="shared" si="51"/>
        <v>0</v>
      </c>
      <c r="J239" s="1">
        <f t="shared" si="52"/>
        <v>1</v>
      </c>
      <c r="K239" s="1">
        <f t="shared" si="53"/>
        <v>0</v>
      </c>
      <c r="L239" s="1">
        <f t="shared" si="54"/>
        <v>0</v>
      </c>
      <c r="M239" s="1">
        <v>1</v>
      </c>
      <c r="N239" s="1">
        <v>0</v>
      </c>
      <c r="O239" s="1" t="str">
        <f t="shared" si="55"/>
        <v>被动补库存</v>
      </c>
      <c r="P239" s="1" t="str">
        <f t="shared" si="56"/>
        <v>产能周期上行</v>
      </c>
      <c r="Q239" s="2" t="str">
        <f t="shared" si="57"/>
        <v>产能周期上行,被动补库存</v>
      </c>
      <c r="S239" s="12">
        <v>45535</v>
      </c>
      <c r="T239" s="13">
        <v>49.1</v>
      </c>
      <c r="V239" s="12">
        <v>37315</v>
      </c>
      <c r="W239" s="13">
        <v>3.7</v>
      </c>
    </row>
    <row r="240" spans="1:23" x14ac:dyDescent="0.35">
      <c r="A240" s="8">
        <v>39386</v>
      </c>
      <c r="B240" s="9">
        <f t="shared" si="48"/>
        <v>53.2</v>
      </c>
      <c r="C240" s="9" t="e">
        <f t="shared" si="49"/>
        <v>#N/A</v>
      </c>
      <c r="D240" s="9" t="e">
        <f t="shared" si="50"/>
        <v>#N/A</v>
      </c>
      <c r="E240" s="1">
        <v>1</v>
      </c>
      <c r="F240" s="1">
        <v>0</v>
      </c>
      <c r="I240" s="1">
        <f t="shared" si="51"/>
        <v>0</v>
      </c>
      <c r="J240" s="1">
        <f t="shared" si="52"/>
        <v>0</v>
      </c>
      <c r="K240" s="1">
        <f t="shared" si="53"/>
        <v>0</v>
      </c>
      <c r="L240" s="1">
        <f t="shared" si="54"/>
        <v>0</v>
      </c>
      <c r="M240" s="1">
        <v>1</v>
      </c>
      <c r="N240" s="1">
        <v>0</v>
      </c>
      <c r="O240" s="1" t="e">
        <f t="shared" si="55"/>
        <v>#N/A</v>
      </c>
      <c r="P240" s="1" t="str">
        <f t="shared" si="56"/>
        <v>产能周期上行</v>
      </c>
      <c r="Q240" s="2" t="e">
        <f t="shared" si="57"/>
        <v>#N/A</v>
      </c>
      <c r="S240" s="12">
        <v>45565</v>
      </c>
      <c r="T240" s="13">
        <v>49.8</v>
      </c>
      <c r="V240" s="12">
        <v>37256</v>
      </c>
      <c r="W240" s="13">
        <v>6.64</v>
      </c>
    </row>
    <row r="241" spans="1:23" x14ac:dyDescent="0.35">
      <c r="A241" s="8">
        <v>39355</v>
      </c>
      <c r="B241" s="9">
        <f t="shared" si="48"/>
        <v>56.1</v>
      </c>
      <c r="C241" s="9" t="e">
        <f t="shared" si="49"/>
        <v>#N/A</v>
      </c>
      <c r="D241" s="9">
        <f t="shared" si="50"/>
        <v>45.1</v>
      </c>
      <c r="E241" s="1">
        <v>1</v>
      </c>
      <c r="F241" s="1">
        <v>0</v>
      </c>
      <c r="I241" s="1">
        <f t="shared" si="51"/>
        <v>0</v>
      </c>
      <c r="J241" s="1">
        <f t="shared" si="52"/>
        <v>0</v>
      </c>
      <c r="K241" s="1">
        <f t="shared" si="53"/>
        <v>0</v>
      </c>
      <c r="L241" s="1">
        <f t="shared" si="54"/>
        <v>0</v>
      </c>
      <c r="M241" s="1">
        <v>1</v>
      </c>
      <c r="N241" s="1">
        <v>0</v>
      </c>
      <c r="O241" s="1" t="e">
        <f t="shared" si="55"/>
        <v>#N/A</v>
      </c>
      <c r="P241" s="1" t="str">
        <f t="shared" si="56"/>
        <v>产能周期上行</v>
      </c>
      <c r="Q241" s="2" t="e">
        <f t="shared" si="57"/>
        <v>#N/A</v>
      </c>
      <c r="S241" s="12">
        <v>45596</v>
      </c>
      <c r="T241" s="13">
        <v>50.1</v>
      </c>
      <c r="V241" s="12">
        <v>37225</v>
      </c>
      <c r="W241" s="13">
        <v>5.44</v>
      </c>
    </row>
    <row r="242" spans="1:23" x14ac:dyDescent="0.35">
      <c r="A242" s="8">
        <v>39325</v>
      </c>
      <c r="B242" s="9">
        <f t="shared" si="48"/>
        <v>54</v>
      </c>
      <c r="C242" s="9">
        <f t="shared" si="49"/>
        <v>20.079999999999998</v>
      </c>
      <c r="D242" s="9" t="e">
        <f t="shared" si="50"/>
        <v>#N/A</v>
      </c>
      <c r="E242" s="1">
        <v>1</v>
      </c>
      <c r="F242" s="1">
        <v>0</v>
      </c>
      <c r="I242" s="1">
        <f t="shared" si="51"/>
        <v>0</v>
      </c>
      <c r="J242" s="1">
        <f t="shared" si="52"/>
        <v>0</v>
      </c>
      <c r="K242" s="1">
        <f t="shared" si="53"/>
        <v>0</v>
      </c>
      <c r="L242" s="1">
        <f t="shared" si="54"/>
        <v>0</v>
      </c>
      <c r="M242" s="1">
        <v>1</v>
      </c>
      <c r="N242" s="1">
        <v>0</v>
      </c>
      <c r="O242" s="1" t="e">
        <f t="shared" si="55"/>
        <v>#N/A</v>
      </c>
      <c r="P242" s="1" t="str">
        <f t="shared" si="56"/>
        <v>产能周期上行</v>
      </c>
      <c r="Q242" s="2" t="e">
        <f t="shared" si="57"/>
        <v>#N/A</v>
      </c>
      <c r="S242" s="12">
        <v>45626</v>
      </c>
      <c r="T242" s="13">
        <v>50.3</v>
      </c>
      <c r="V242" s="12">
        <v>37195</v>
      </c>
      <c r="W242" s="13">
        <v>6.53</v>
      </c>
    </row>
    <row r="243" spans="1:23" x14ac:dyDescent="0.35">
      <c r="A243" s="8">
        <v>39294</v>
      </c>
      <c r="B243" s="9">
        <f t="shared" si="48"/>
        <v>53.3</v>
      </c>
      <c r="C243" s="9" t="e">
        <f t="shared" si="49"/>
        <v>#N/A</v>
      </c>
      <c r="D243" s="9" t="e">
        <f t="shared" si="50"/>
        <v>#N/A</v>
      </c>
      <c r="E243" s="1">
        <v>1</v>
      </c>
      <c r="F243" s="1">
        <v>0</v>
      </c>
      <c r="I243" s="1">
        <f t="shared" si="51"/>
        <v>0</v>
      </c>
      <c r="J243" s="1">
        <f t="shared" si="52"/>
        <v>0</v>
      </c>
      <c r="K243" s="1">
        <f t="shared" si="53"/>
        <v>0</v>
      </c>
      <c r="L243" s="1">
        <f t="shared" si="54"/>
        <v>0</v>
      </c>
      <c r="M243" s="1">
        <v>1</v>
      </c>
      <c r="N243" s="1">
        <v>0</v>
      </c>
      <c r="O243" s="1" t="e">
        <f t="shared" si="55"/>
        <v>#N/A</v>
      </c>
      <c r="P243" s="1" t="str">
        <f t="shared" si="56"/>
        <v>产能周期上行</v>
      </c>
      <c r="Q243" s="2" t="e">
        <f t="shared" si="57"/>
        <v>#N/A</v>
      </c>
      <c r="S243" s="12">
        <v>45657</v>
      </c>
      <c r="T243" s="13">
        <v>50.1</v>
      </c>
      <c r="V243" s="12">
        <v>37164</v>
      </c>
      <c r="W243" s="13">
        <v>6.67</v>
      </c>
    </row>
    <row r="244" spans="1:23" x14ac:dyDescent="0.35">
      <c r="A244" s="8">
        <v>39263</v>
      </c>
      <c r="B244" s="9">
        <f t="shared" si="48"/>
        <v>54.5</v>
      </c>
      <c r="C244" s="9" t="e">
        <f t="shared" si="49"/>
        <v>#N/A</v>
      </c>
      <c r="D244" s="9">
        <f t="shared" si="50"/>
        <v>45.2</v>
      </c>
      <c r="E244" s="1">
        <v>1</v>
      </c>
      <c r="F244" s="1">
        <v>0</v>
      </c>
      <c r="I244" s="1">
        <f t="shared" si="51"/>
        <v>0</v>
      </c>
      <c r="J244" s="1">
        <f t="shared" si="52"/>
        <v>0</v>
      </c>
      <c r="K244" s="1">
        <f t="shared" si="53"/>
        <v>0</v>
      </c>
      <c r="L244" s="1">
        <f t="shared" si="54"/>
        <v>0</v>
      </c>
      <c r="M244" s="1">
        <v>1</v>
      </c>
      <c r="N244" s="1">
        <v>0</v>
      </c>
      <c r="O244" s="1" t="e">
        <f t="shared" si="55"/>
        <v>#N/A</v>
      </c>
      <c r="P244" s="1" t="str">
        <f t="shared" si="56"/>
        <v>产能周期上行</v>
      </c>
      <c r="Q244" s="2" t="e">
        <f t="shared" si="57"/>
        <v>#N/A</v>
      </c>
      <c r="S244" s="12">
        <v>45688</v>
      </c>
      <c r="T244" s="13">
        <v>49.1</v>
      </c>
      <c r="V244" s="12">
        <v>37134</v>
      </c>
      <c r="W244" s="13">
        <v>7.7</v>
      </c>
    </row>
    <row r="245" spans="1:23" x14ac:dyDescent="0.35">
      <c r="A245" s="8">
        <v>39233</v>
      </c>
      <c r="B245" s="9">
        <f t="shared" si="48"/>
        <v>55.7</v>
      </c>
      <c r="C245" s="9">
        <f t="shared" si="49"/>
        <v>20.09</v>
      </c>
      <c r="D245" s="9" t="e">
        <f t="shared" si="50"/>
        <v>#N/A</v>
      </c>
      <c r="E245" s="1">
        <v>1</v>
      </c>
      <c r="F245" s="1">
        <v>0</v>
      </c>
      <c r="I245" s="1">
        <f t="shared" si="51"/>
        <v>0</v>
      </c>
      <c r="J245" s="1">
        <f t="shared" si="52"/>
        <v>0</v>
      </c>
      <c r="K245" s="1">
        <f t="shared" si="53"/>
        <v>0</v>
      </c>
      <c r="L245" s="1">
        <f t="shared" si="54"/>
        <v>0</v>
      </c>
      <c r="M245" s="1">
        <v>1</v>
      </c>
      <c r="N245" s="1">
        <v>0</v>
      </c>
      <c r="O245" s="1" t="e">
        <f t="shared" si="55"/>
        <v>#N/A</v>
      </c>
      <c r="P245" s="1" t="str">
        <f t="shared" si="56"/>
        <v>产能周期上行</v>
      </c>
      <c r="Q245" s="2" t="e">
        <f t="shared" si="57"/>
        <v>#N/A</v>
      </c>
      <c r="S245" s="12">
        <v>45716</v>
      </c>
      <c r="T245" s="13">
        <v>50.2</v>
      </c>
      <c r="V245" s="12">
        <v>37103</v>
      </c>
      <c r="W245" s="13">
        <v>8.59</v>
      </c>
    </row>
    <row r="246" spans="1:23" x14ac:dyDescent="0.35">
      <c r="A246" s="8">
        <v>39202</v>
      </c>
      <c r="B246" s="9">
        <f t="shared" si="48"/>
        <v>58.6</v>
      </c>
      <c r="C246" s="9" t="e">
        <f t="shared" si="49"/>
        <v>#N/A</v>
      </c>
      <c r="D246" s="9" t="e">
        <f t="shared" si="50"/>
        <v>#N/A</v>
      </c>
      <c r="E246" s="1">
        <v>1</v>
      </c>
      <c r="F246" s="1">
        <v>0</v>
      </c>
      <c r="I246" s="1">
        <f t="shared" si="51"/>
        <v>0</v>
      </c>
      <c r="J246" s="1">
        <f t="shared" si="52"/>
        <v>0</v>
      </c>
      <c r="K246" s="1">
        <f t="shared" si="53"/>
        <v>0</v>
      </c>
      <c r="L246" s="1">
        <f t="shared" si="54"/>
        <v>0</v>
      </c>
      <c r="M246" s="1">
        <v>1</v>
      </c>
      <c r="N246" s="1">
        <v>0</v>
      </c>
      <c r="O246" s="1" t="e">
        <f t="shared" si="55"/>
        <v>#N/A</v>
      </c>
      <c r="P246" s="1" t="str">
        <f t="shared" si="56"/>
        <v>产能周期上行</v>
      </c>
      <c r="Q246" s="2" t="e">
        <f t="shared" si="57"/>
        <v>#N/A</v>
      </c>
      <c r="S246" s="12">
        <v>45747</v>
      </c>
      <c r="T246" s="13">
        <v>50.5</v>
      </c>
      <c r="V246" s="12">
        <v>37072</v>
      </c>
      <c r="W246" s="13">
        <v>8.7200000000000006</v>
      </c>
    </row>
    <row r="247" spans="1:23" x14ac:dyDescent="0.35">
      <c r="A247" s="8">
        <v>39172</v>
      </c>
      <c r="B247" s="9">
        <f t="shared" si="48"/>
        <v>56.1</v>
      </c>
      <c r="C247" s="9" t="e">
        <f t="shared" si="49"/>
        <v>#N/A</v>
      </c>
      <c r="D247" s="9">
        <f t="shared" si="50"/>
        <v>44.1</v>
      </c>
      <c r="E247" s="1">
        <v>1</v>
      </c>
      <c r="F247" s="1">
        <v>0</v>
      </c>
      <c r="I247" s="1">
        <f t="shared" si="51"/>
        <v>0</v>
      </c>
      <c r="J247" s="1">
        <f t="shared" si="52"/>
        <v>0</v>
      </c>
      <c r="K247" s="1">
        <f t="shared" si="53"/>
        <v>0</v>
      </c>
      <c r="L247" s="1">
        <f t="shared" si="54"/>
        <v>0</v>
      </c>
      <c r="M247" s="1">
        <v>1</v>
      </c>
      <c r="N247" s="1">
        <v>0</v>
      </c>
      <c r="O247" s="1" t="e">
        <f t="shared" si="55"/>
        <v>#N/A</v>
      </c>
      <c r="P247" s="1" t="str">
        <f t="shared" si="56"/>
        <v>产能周期上行</v>
      </c>
      <c r="Q247" s="2" t="e">
        <f t="shared" si="57"/>
        <v>#N/A</v>
      </c>
      <c r="S247" s="12">
        <v>45777</v>
      </c>
      <c r="T247" s="13">
        <v>49</v>
      </c>
      <c r="V247" s="12">
        <v>37042</v>
      </c>
      <c r="W247" s="13">
        <v>7.6</v>
      </c>
    </row>
    <row r="248" spans="1:23" x14ac:dyDescent="0.35">
      <c r="A248" s="8">
        <v>39141</v>
      </c>
      <c r="B248" s="9">
        <f t="shared" si="48"/>
        <v>53.1</v>
      </c>
      <c r="C248" s="9">
        <f t="shared" si="49"/>
        <v>18.440000000000001</v>
      </c>
      <c r="D248" s="9" t="e">
        <f t="shared" si="50"/>
        <v>#N/A</v>
      </c>
      <c r="E248" s="1">
        <v>1</v>
      </c>
      <c r="F248" s="1">
        <v>0</v>
      </c>
      <c r="I248" s="1">
        <f t="shared" si="51"/>
        <v>0</v>
      </c>
      <c r="J248" s="1">
        <f t="shared" si="52"/>
        <v>0</v>
      </c>
      <c r="K248" s="1">
        <f t="shared" si="53"/>
        <v>0</v>
      </c>
      <c r="L248" s="1">
        <f t="shared" si="54"/>
        <v>0</v>
      </c>
      <c r="M248" s="1">
        <v>1</v>
      </c>
      <c r="N248" s="1">
        <v>0</v>
      </c>
      <c r="O248" s="1" t="e">
        <f t="shared" si="55"/>
        <v>#N/A</v>
      </c>
      <c r="P248" s="1" t="str">
        <f t="shared" si="56"/>
        <v>产能周期上行</v>
      </c>
      <c r="Q248" s="2" t="e">
        <f t="shared" si="57"/>
        <v>#N/A</v>
      </c>
      <c r="S248" s="12">
        <v>45808</v>
      </c>
      <c r="T248" s="13">
        <v>49.5</v>
      </c>
      <c r="V248" s="12">
        <v>37011</v>
      </c>
      <c r="W248" s="13">
        <v>7.56</v>
      </c>
    </row>
    <row r="249" spans="1:23" x14ac:dyDescent="0.35">
      <c r="A249" s="8">
        <v>39113</v>
      </c>
      <c r="B249" s="9">
        <f t="shared" si="48"/>
        <v>55.1</v>
      </c>
      <c r="C249" s="9" t="e">
        <f t="shared" si="49"/>
        <v>#N/A</v>
      </c>
      <c r="D249" s="9" t="e">
        <f t="shared" si="50"/>
        <v>#N/A</v>
      </c>
      <c r="E249" s="1">
        <v>1</v>
      </c>
      <c r="F249" s="1">
        <v>0</v>
      </c>
      <c r="I249" s="1">
        <f t="shared" si="51"/>
        <v>0</v>
      </c>
      <c r="J249" s="1">
        <f t="shared" si="52"/>
        <v>0</v>
      </c>
      <c r="K249" s="1">
        <f t="shared" si="53"/>
        <v>0</v>
      </c>
      <c r="L249" s="1">
        <f t="shared" si="54"/>
        <v>0</v>
      </c>
      <c r="M249" s="1">
        <v>1</v>
      </c>
      <c r="N249" s="1">
        <v>0</v>
      </c>
      <c r="O249" s="1" t="e">
        <f t="shared" si="55"/>
        <v>#N/A</v>
      </c>
      <c r="P249" s="1" t="str">
        <f t="shared" si="56"/>
        <v>产能周期上行</v>
      </c>
      <c r="Q249" s="2" t="e">
        <f t="shared" si="57"/>
        <v>#N/A</v>
      </c>
      <c r="S249" s="12">
        <v>45838</v>
      </c>
      <c r="T249" s="13">
        <v>49.7</v>
      </c>
      <c r="V249" s="12">
        <v>36981</v>
      </c>
      <c r="W249" s="13">
        <v>7.73</v>
      </c>
    </row>
    <row r="250" spans="1:23" x14ac:dyDescent="0.35">
      <c r="A250" s="8">
        <v>39082</v>
      </c>
      <c r="B250" s="9">
        <f t="shared" si="48"/>
        <v>54.8</v>
      </c>
      <c r="C250" s="9">
        <f t="shared" si="49"/>
        <v>18.34</v>
      </c>
      <c r="D250" s="9">
        <f t="shared" si="50"/>
        <v>45.1</v>
      </c>
      <c r="E250" s="1">
        <v>1</v>
      </c>
      <c r="F250" s="1">
        <v>0</v>
      </c>
      <c r="I250" s="1">
        <f t="shared" si="51"/>
        <v>0</v>
      </c>
      <c r="J250" s="1">
        <f t="shared" si="52"/>
        <v>0</v>
      </c>
      <c r="K250" s="1">
        <f t="shared" si="53"/>
        <v>0</v>
      </c>
      <c r="L250" s="1">
        <f t="shared" si="54"/>
        <v>0</v>
      </c>
      <c r="M250" s="1">
        <v>1</v>
      </c>
      <c r="N250" s="1">
        <v>0</v>
      </c>
      <c r="O250" s="1" t="e">
        <f t="shared" si="55"/>
        <v>#N/A</v>
      </c>
      <c r="P250" s="1" t="str">
        <f t="shared" si="56"/>
        <v>产能周期上行</v>
      </c>
      <c r="Q250" s="2" t="e">
        <f t="shared" si="57"/>
        <v>#N/A</v>
      </c>
      <c r="S250" s="12">
        <v>45869</v>
      </c>
      <c r="T250" s="13">
        <v>49.3</v>
      </c>
      <c r="V250" s="12">
        <v>36950</v>
      </c>
      <c r="W250" s="13">
        <v>5.9</v>
      </c>
    </row>
    <row r="251" spans="1:23" x14ac:dyDescent="0.35">
      <c r="A251" s="8">
        <v>39051</v>
      </c>
      <c r="B251" s="9">
        <f t="shared" si="48"/>
        <v>55.3</v>
      </c>
      <c r="C251" s="9">
        <f t="shared" si="49"/>
        <v>18.079999999999998</v>
      </c>
      <c r="D251" s="9" t="e">
        <f t="shared" si="50"/>
        <v>#N/A</v>
      </c>
      <c r="E251" s="1">
        <v>1</v>
      </c>
      <c r="F251" s="1">
        <v>0</v>
      </c>
      <c r="I251" s="1">
        <f t="shared" si="51"/>
        <v>0</v>
      </c>
      <c r="J251" s="1">
        <f t="shared" si="52"/>
        <v>0</v>
      </c>
      <c r="K251" s="1">
        <f t="shared" si="53"/>
        <v>0</v>
      </c>
      <c r="L251" s="1">
        <f t="shared" si="54"/>
        <v>0</v>
      </c>
      <c r="M251" s="1">
        <v>1</v>
      </c>
      <c r="N251" s="1">
        <v>0</v>
      </c>
      <c r="O251" s="1" t="e">
        <f t="shared" si="55"/>
        <v>#N/A</v>
      </c>
      <c r="P251" s="1" t="str">
        <f t="shared" si="56"/>
        <v>产能周期上行</v>
      </c>
      <c r="Q251" s="2" t="e">
        <f t="shared" si="57"/>
        <v>#N/A</v>
      </c>
      <c r="S251" s="12">
        <v>45900</v>
      </c>
      <c r="T251" s="13">
        <v>49.4</v>
      </c>
      <c r="V251" s="12">
        <v>36891</v>
      </c>
      <c r="W251" s="13">
        <v>6.85</v>
      </c>
    </row>
    <row r="252" spans="1:23" x14ac:dyDescent="0.35">
      <c r="A252" s="8">
        <v>39021</v>
      </c>
      <c r="B252" s="9">
        <f t="shared" si="48"/>
        <v>54.7</v>
      </c>
      <c r="C252" s="9">
        <f t="shared" si="49"/>
        <v>17.25</v>
      </c>
      <c r="D252" s="9" t="e">
        <f t="shared" si="50"/>
        <v>#N/A</v>
      </c>
      <c r="E252" s="1">
        <v>1</v>
      </c>
      <c r="F252" s="1">
        <v>0</v>
      </c>
      <c r="I252" s="1">
        <f t="shared" si="51"/>
        <v>0</v>
      </c>
      <c r="J252" s="1">
        <f t="shared" si="52"/>
        <v>0</v>
      </c>
      <c r="K252" s="1">
        <f t="shared" si="53"/>
        <v>0</v>
      </c>
      <c r="L252" s="1">
        <f t="shared" si="54"/>
        <v>0</v>
      </c>
      <c r="M252" s="1">
        <v>1</v>
      </c>
      <c r="N252" s="1">
        <v>0</v>
      </c>
      <c r="O252" s="1" t="e">
        <f t="shared" si="55"/>
        <v>#N/A</v>
      </c>
      <c r="P252" s="1" t="str">
        <f t="shared" si="56"/>
        <v>产能周期上行</v>
      </c>
      <c r="Q252" s="2" t="e">
        <f t="shared" si="57"/>
        <v>#N/A</v>
      </c>
      <c r="S252" s="12">
        <v>45930</v>
      </c>
      <c r="T252" s="13">
        <v>49.8</v>
      </c>
      <c r="V252" s="12">
        <v>36860</v>
      </c>
      <c r="W252" s="13">
        <v>4.6399999999999997</v>
      </c>
    </row>
    <row r="253" spans="1:23" x14ac:dyDescent="0.35">
      <c r="A253" s="8">
        <v>38990</v>
      </c>
      <c r="B253" s="9">
        <f t="shared" si="48"/>
        <v>57</v>
      </c>
      <c r="C253" s="9">
        <f t="shared" si="49"/>
        <v>17.62</v>
      </c>
      <c r="D253" s="9">
        <f t="shared" si="50"/>
        <v>44.4</v>
      </c>
      <c r="E253" s="1">
        <v>1</v>
      </c>
      <c r="F253" s="1">
        <v>0</v>
      </c>
      <c r="I253" s="1">
        <f t="shared" si="51"/>
        <v>0</v>
      </c>
      <c r="J253" s="1">
        <f t="shared" si="52"/>
        <v>0</v>
      </c>
      <c r="K253" s="1">
        <f t="shared" si="53"/>
        <v>0</v>
      </c>
      <c r="L253" s="1">
        <f t="shared" si="54"/>
        <v>0</v>
      </c>
      <c r="M253" s="1">
        <v>1</v>
      </c>
      <c r="N253" s="1">
        <v>0</v>
      </c>
      <c r="O253" s="1" t="e">
        <f t="shared" si="55"/>
        <v>#N/A</v>
      </c>
      <c r="P253" s="1" t="str">
        <f t="shared" si="56"/>
        <v>产能周期上行</v>
      </c>
      <c r="Q253" s="2" t="e">
        <f t="shared" si="57"/>
        <v>#N/A</v>
      </c>
      <c r="S253" s="12">
        <v>45961</v>
      </c>
      <c r="T253" s="13">
        <v>49</v>
      </c>
      <c r="V253" s="12">
        <v>36830</v>
      </c>
      <c r="W253" s="13">
        <v>3.8</v>
      </c>
    </row>
    <row r="254" spans="1:23" x14ac:dyDescent="0.35">
      <c r="A254" s="8">
        <v>38960</v>
      </c>
      <c r="B254" s="9">
        <f t="shared" si="48"/>
        <v>53.1</v>
      </c>
      <c r="C254" s="9">
        <f t="shared" si="49"/>
        <v>17.34</v>
      </c>
      <c r="D254" s="9" t="e">
        <f t="shared" si="50"/>
        <v>#N/A</v>
      </c>
      <c r="E254" s="1">
        <v>1</v>
      </c>
      <c r="F254" s="1">
        <v>0</v>
      </c>
      <c r="I254" s="1">
        <f t="shared" si="51"/>
        <v>0</v>
      </c>
      <c r="J254" s="1">
        <f t="shared" si="52"/>
        <v>0</v>
      </c>
      <c r="K254" s="1">
        <f t="shared" si="53"/>
        <v>0</v>
      </c>
      <c r="L254" s="1">
        <f t="shared" si="54"/>
        <v>0</v>
      </c>
      <c r="M254" s="1">
        <v>1</v>
      </c>
      <c r="N254" s="1">
        <v>0</v>
      </c>
      <c r="O254" s="1" t="e">
        <f t="shared" si="55"/>
        <v>#N/A</v>
      </c>
      <c r="P254" s="1" t="str">
        <f t="shared" si="56"/>
        <v>产能周期上行</v>
      </c>
      <c r="Q254" s="2" t="e">
        <f t="shared" si="57"/>
        <v>#N/A</v>
      </c>
      <c r="S254" s="12">
        <v>45991</v>
      </c>
      <c r="T254" s="13">
        <v>49.2</v>
      </c>
      <c r="V254" s="12">
        <v>36799</v>
      </c>
      <c r="W254" s="13">
        <v>3.64</v>
      </c>
    </row>
    <row r="255" spans="1:23" x14ac:dyDescent="0.35">
      <c r="A255" s="8">
        <v>38929</v>
      </c>
      <c r="B255" s="9">
        <f t="shared" si="48"/>
        <v>52.4</v>
      </c>
      <c r="C255" s="9">
        <f t="shared" si="49"/>
        <v>17</v>
      </c>
      <c r="D255" s="9" t="e">
        <f t="shared" si="50"/>
        <v>#N/A</v>
      </c>
      <c r="E255" s="1">
        <v>1</v>
      </c>
      <c r="F255" s="1">
        <v>0</v>
      </c>
      <c r="I255" s="1">
        <f t="shared" si="51"/>
        <v>0</v>
      </c>
      <c r="J255" s="1">
        <f t="shared" si="52"/>
        <v>0</v>
      </c>
      <c r="K255" s="1">
        <f t="shared" si="53"/>
        <v>0</v>
      </c>
      <c r="L255" s="1">
        <f t="shared" si="54"/>
        <v>0</v>
      </c>
      <c r="M255" s="1">
        <v>1</v>
      </c>
      <c r="N255" s="1">
        <v>0</v>
      </c>
      <c r="O255" s="1" t="e">
        <f t="shared" si="55"/>
        <v>#N/A</v>
      </c>
      <c r="P255" s="1" t="str">
        <f t="shared" si="56"/>
        <v>产能周期上行</v>
      </c>
      <c r="Q255" s="2" t="e">
        <f t="shared" si="57"/>
        <v>#N/A</v>
      </c>
      <c r="S255" s="12">
        <v>46022</v>
      </c>
      <c r="T255" s="13">
        <v>50.1</v>
      </c>
      <c r="V255" s="12">
        <v>36769</v>
      </c>
      <c r="W255" s="13">
        <v>3.34</v>
      </c>
    </row>
    <row r="256" spans="1:23" x14ac:dyDescent="0.35">
      <c r="A256" s="8">
        <v>38898</v>
      </c>
      <c r="B256" s="9">
        <f t="shared" si="48"/>
        <v>54.1</v>
      </c>
      <c r="C256" s="9">
        <f t="shared" si="49"/>
        <v>16.02</v>
      </c>
      <c r="D256" s="9">
        <f t="shared" si="50"/>
        <v>44.8</v>
      </c>
      <c r="E256" s="1">
        <v>1</v>
      </c>
      <c r="F256" s="1">
        <v>0</v>
      </c>
      <c r="I256" s="1">
        <f t="shared" si="51"/>
        <v>0</v>
      </c>
      <c r="J256" s="1">
        <f t="shared" si="52"/>
        <v>0</v>
      </c>
      <c r="K256" s="1">
        <f t="shared" si="53"/>
        <v>0</v>
      </c>
      <c r="L256" s="1">
        <f t="shared" si="54"/>
        <v>0</v>
      </c>
      <c r="M256" s="1">
        <v>1</v>
      </c>
      <c r="N256" s="1">
        <v>0</v>
      </c>
      <c r="O256" s="1" t="e">
        <f t="shared" si="55"/>
        <v>#N/A</v>
      </c>
      <c r="P256" s="1" t="str">
        <f t="shared" si="56"/>
        <v>产能周期上行</v>
      </c>
      <c r="Q256" s="2" t="e">
        <f t="shared" si="57"/>
        <v>#N/A</v>
      </c>
      <c r="S256" s="12"/>
      <c r="T256" s="13"/>
      <c r="V256" s="12">
        <v>36738</v>
      </c>
      <c r="W256" s="13">
        <v>2.42</v>
      </c>
    </row>
    <row r="257" spans="1:23" x14ac:dyDescent="0.35">
      <c r="A257" s="8">
        <v>38868</v>
      </c>
      <c r="B257" s="9">
        <f t="shared" si="48"/>
        <v>54.8</v>
      </c>
      <c r="C257" s="9">
        <f t="shared" si="49"/>
        <v>15.64</v>
      </c>
      <c r="D257" s="9" t="e">
        <f t="shared" si="50"/>
        <v>#N/A</v>
      </c>
      <c r="E257" s="1">
        <v>1</v>
      </c>
      <c r="F257" s="1">
        <v>0</v>
      </c>
      <c r="I257" s="1">
        <f t="shared" si="51"/>
        <v>0</v>
      </c>
      <c r="J257" s="1">
        <f t="shared" si="52"/>
        <v>0</v>
      </c>
      <c r="K257" s="1">
        <f t="shared" si="53"/>
        <v>0</v>
      </c>
      <c r="L257" s="1">
        <f t="shared" si="54"/>
        <v>0</v>
      </c>
      <c r="M257" s="1">
        <v>1</v>
      </c>
      <c r="N257" s="1">
        <v>0</v>
      </c>
      <c r="O257" s="1" t="e">
        <f t="shared" si="55"/>
        <v>#N/A</v>
      </c>
      <c r="P257" s="1" t="str">
        <f t="shared" si="56"/>
        <v>产能周期上行</v>
      </c>
      <c r="Q257" s="2" t="e">
        <f t="shared" si="57"/>
        <v>#N/A</v>
      </c>
      <c r="S257" s="12"/>
      <c r="T257" s="13"/>
      <c r="V257" s="12">
        <v>36707</v>
      </c>
      <c r="W257" s="13">
        <v>2.0699999999999998</v>
      </c>
    </row>
    <row r="258" spans="1:23" x14ac:dyDescent="0.35">
      <c r="A258" s="8">
        <v>38837</v>
      </c>
      <c r="B258" s="9">
        <f t="shared" si="48"/>
        <v>58.1</v>
      </c>
      <c r="C258" s="9">
        <f t="shared" si="49"/>
        <v>17.170000000000002</v>
      </c>
      <c r="D258" s="9" t="e">
        <f t="shared" si="50"/>
        <v>#N/A</v>
      </c>
      <c r="E258" s="1">
        <v>0</v>
      </c>
      <c r="F258" s="1">
        <v>1</v>
      </c>
      <c r="I258" s="1">
        <f t="shared" si="51"/>
        <v>0</v>
      </c>
      <c r="J258" s="1">
        <f t="shared" si="52"/>
        <v>0</v>
      </c>
      <c r="K258" s="1">
        <f t="shared" si="53"/>
        <v>0</v>
      </c>
      <c r="L258" s="1">
        <f t="shared" si="54"/>
        <v>0</v>
      </c>
      <c r="M258" s="1">
        <v>1</v>
      </c>
      <c r="N258" s="1">
        <v>0</v>
      </c>
      <c r="O258" s="1" t="e">
        <f t="shared" si="55"/>
        <v>#N/A</v>
      </c>
      <c r="P258" s="1" t="str">
        <f t="shared" si="56"/>
        <v>产能周期上行</v>
      </c>
      <c r="Q258" s="2" t="e">
        <f t="shared" si="57"/>
        <v>#N/A</v>
      </c>
      <c r="S258" s="12"/>
      <c r="T258" s="13"/>
      <c r="V258" s="12">
        <v>36677</v>
      </c>
      <c r="W258" s="13">
        <v>1.39</v>
      </c>
    </row>
    <row r="259" spans="1:23" x14ac:dyDescent="0.35">
      <c r="A259" s="8">
        <v>38807</v>
      </c>
      <c r="B259" s="9">
        <f t="shared" si="48"/>
        <v>55.3</v>
      </c>
      <c r="C259" s="9">
        <f t="shared" si="49"/>
        <v>17.71</v>
      </c>
      <c r="D259" s="9">
        <f t="shared" si="50"/>
        <v>43.5</v>
      </c>
      <c r="E259" s="1">
        <v>0</v>
      </c>
      <c r="F259" s="1">
        <v>1</v>
      </c>
      <c r="I259" s="1">
        <f t="shared" si="51"/>
        <v>0</v>
      </c>
      <c r="J259" s="1">
        <f t="shared" si="52"/>
        <v>0</v>
      </c>
      <c r="K259" s="1">
        <f t="shared" si="53"/>
        <v>0</v>
      </c>
      <c r="L259" s="1">
        <f t="shared" si="54"/>
        <v>0</v>
      </c>
      <c r="M259" s="1">
        <v>1</v>
      </c>
      <c r="N259" s="1">
        <v>0</v>
      </c>
      <c r="O259" s="1" t="e">
        <f t="shared" si="55"/>
        <v>#N/A</v>
      </c>
      <c r="P259" s="1" t="str">
        <f t="shared" si="56"/>
        <v>产能周期上行</v>
      </c>
      <c r="Q259" s="2" t="e">
        <f t="shared" si="57"/>
        <v>#N/A</v>
      </c>
      <c r="S259" s="12"/>
      <c r="T259" s="13"/>
      <c r="V259" s="12">
        <v>36646</v>
      </c>
      <c r="W259" s="13">
        <v>1.43</v>
      </c>
    </row>
    <row r="260" spans="1:23" x14ac:dyDescent="0.35">
      <c r="A260" s="8">
        <v>38776</v>
      </c>
      <c r="B260" s="9">
        <f t="shared" si="48"/>
        <v>52.1</v>
      </c>
      <c r="C260" s="9">
        <f t="shared" si="49"/>
        <v>17.39</v>
      </c>
      <c r="D260" s="9" t="e">
        <f t="shared" si="50"/>
        <v>#N/A</v>
      </c>
      <c r="E260" s="1">
        <v>0</v>
      </c>
      <c r="F260" s="1">
        <v>1</v>
      </c>
      <c r="I260" s="1">
        <f t="shared" si="51"/>
        <v>0</v>
      </c>
      <c r="J260" s="1">
        <f t="shared" si="52"/>
        <v>0</v>
      </c>
      <c r="K260" s="1">
        <f t="shared" si="53"/>
        <v>0</v>
      </c>
      <c r="L260" s="1">
        <f t="shared" si="54"/>
        <v>0</v>
      </c>
      <c r="M260" s="1">
        <v>1</v>
      </c>
      <c r="N260" s="1">
        <v>0</v>
      </c>
      <c r="O260" s="1" t="e">
        <f t="shared" si="55"/>
        <v>#N/A</v>
      </c>
      <c r="P260" s="1" t="str">
        <f t="shared" si="56"/>
        <v>产能周期上行</v>
      </c>
      <c r="Q260" s="2" t="e">
        <f t="shared" si="57"/>
        <v>#N/A</v>
      </c>
      <c r="S260" s="12"/>
      <c r="T260" s="13"/>
      <c r="V260" s="12">
        <v>36616</v>
      </c>
      <c r="W260" s="13">
        <v>2.54</v>
      </c>
    </row>
    <row r="261" spans="1:23" x14ac:dyDescent="0.35">
      <c r="A261" s="8">
        <v>38748</v>
      </c>
      <c r="B261" s="9">
        <f t="shared" si="48"/>
        <v>52.1</v>
      </c>
      <c r="C261" s="9" t="e">
        <f t="shared" si="49"/>
        <v>#N/A</v>
      </c>
      <c r="D261" s="9" t="e">
        <f t="shared" si="50"/>
        <v>#N/A</v>
      </c>
      <c r="E261" s="1">
        <v>0</v>
      </c>
      <c r="F261" s="1">
        <v>1</v>
      </c>
      <c r="I261" s="1">
        <f t="shared" si="51"/>
        <v>0</v>
      </c>
      <c r="J261" s="1">
        <f t="shared" si="52"/>
        <v>0</v>
      </c>
      <c r="K261" s="1">
        <f t="shared" si="53"/>
        <v>0</v>
      </c>
      <c r="L261" s="1">
        <f t="shared" si="54"/>
        <v>0</v>
      </c>
      <c r="M261" s="1">
        <v>1</v>
      </c>
      <c r="N261" s="1">
        <v>0</v>
      </c>
      <c r="O261" s="1" t="e">
        <f t="shared" si="55"/>
        <v>#N/A</v>
      </c>
      <c r="P261" s="1" t="str">
        <f t="shared" si="56"/>
        <v>产能周期上行</v>
      </c>
      <c r="Q261" s="2" t="e">
        <f t="shared" si="57"/>
        <v>#N/A</v>
      </c>
      <c r="S261" s="12"/>
      <c r="T261" s="13"/>
      <c r="V261" s="12">
        <v>36585</v>
      </c>
      <c r="W261" s="13">
        <v>2.61</v>
      </c>
    </row>
    <row r="262" spans="1:23" x14ac:dyDescent="0.35">
      <c r="A262" s="8">
        <v>38717</v>
      </c>
      <c r="B262" s="9">
        <f t="shared" si="48"/>
        <v>54.3</v>
      </c>
      <c r="C262" s="9">
        <f t="shared" si="49"/>
        <v>17.940000000000001</v>
      </c>
      <c r="D262" s="9">
        <f t="shared" si="50"/>
        <v>43.9</v>
      </c>
      <c r="E262" s="1">
        <v>0</v>
      </c>
      <c r="F262" s="1">
        <v>1</v>
      </c>
      <c r="I262" s="1">
        <f t="shared" si="51"/>
        <v>0</v>
      </c>
      <c r="J262" s="1">
        <f t="shared" si="52"/>
        <v>0</v>
      </c>
      <c r="K262" s="1">
        <f t="shared" si="53"/>
        <v>0</v>
      </c>
      <c r="L262" s="1">
        <f t="shared" si="54"/>
        <v>0</v>
      </c>
      <c r="M262" s="1">
        <v>1</v>
      </c>
      <c r="N262" s="1">
        <v>0</v>
      </c>
      <c r="O262" s="1" t="e">
        <f t="shared" si="55"/>
        <v>#N/A</v>
      </c>
      <c r="P262" s="1" t="str">
        <f t="shared" si="56"/>
        <v>产能周期上行</v>
      </c>
      <c r="Q262" s="2" t="e">
        <f t="shared" si="57"/>
        <v>#N/A</v>
      </c>
      <c r="S262" s="12"/>
      <c r="T262" s="13"/>
      <c r="V262" s="12">
        <v>36525</v>
      </c>
      <c r="W262" s="13">
        <v>4.55</v>
      </c>
    </row>
    <row r="263" spans="1:23" x14ac:dyDescent="0.35">
      <c r="A263" s="8">
        <v>38686</v>
      </c>
      <c r="B263" s="9">
        <f t="shared" si="48"/>
        <v>54.1</v>
      </c>
      <c r="C263" s="9">
        <f t="shared" si="49"/>
        <v>17.8</v>
      </c>
      <c r="D263" s="9" t="e">
        <f t="shared" si="50"/>
        <v>#N/A</v>
      </c>
      <c r="E263" s="1">
        <v>0</v>
      </c>
      <c r="F263" s="1">
        <v>1</v>
      </c>
      <c r="I263" s="1">
        <f t="shared" si="51"/>
        <v>0</v>
      </c>
      <c r="J263" s="1">
        <f t="shared" si="52"/>
        <v>0</v>
      </c>
      <c r="K263" s="1">
        <f t="shared" si="53"/>
        <v>0</v>
      </c>
      <c r="L263" s="1">
        <f t="shared" si="54"/>
        <v>0</v>
      </c>
      <c r="M263" s="1">
        <v>1</v>
      </c>
      <c r="N263" s="1">
        <v>0</v>
      </c>
      <c r="O263" s="1" t="e">
        <f t="shared" si="55"/>
        <v>#N/A</v>
      </c>
      <c r="P263" s="1" t="str">
        <f t="shared" si="56"/>
        <v>产能周期上行</v>
      </c>
      <c r="Q263" s="2" t="e">
        <f t="shared" si="57"/>
        <v>#N/A</v>
      </c>
      <c r="S263" s="12"/>
      <c r="T263" s="13"/>
      <c r="V263" s="12">
        <v>36494</v>
      </c>
      <c r="W263" s="13">
        <v>4.4800000000000004</v>
      </c>
    </row>
    <row r="264" spans="1:23" x14ac:dyDescent="0.35">
      <c r="A264" s="8">
        <v>38656</v>
      </c>
      <c r="B264" s="9">
        <f t="shared" si="48"/>
        <v>54.1</v>
      </c>
      <c r="C264" s="9">
        <f t="shared" si="49"/>
        <v>19.32</v>
      </c>
      <c r="D264" s="9" t="e">
        <f t="shared" si="50"/>
        <v>#N/A</v>
      </c>
      <c r="E264" s="1">
        <v>0</v>
      </c>
      <c r="F264" s="1">
        <v>1</v>
      </c>
      <c r="I264" s="1">
        <f t="shared" si="51"/>
        <v>0</v>
      </c>
      <c r="J264" s="1">
        <f t="shared" si="52"/>
        <v>0</v>
      </c>
      <c r="K264" s="1">
        <f t="shared" si="53"/>
        <v>0</v>
      </c>
      <c r="L264" s="1">
        <f t="shared" si="54"/>
        <v>0</v>
      </c>
      <c r="M264" s="1">
        <v>1</v>
      </c>
      <c r="N264" s="1">
        <v>0</v>
      </c>
      <c r="O264" s="1" t="e">
        <f t="shared" si="55"/>
        <v>#N/A</v>
      </c>
      <c r="P264" s="1" t="str">
        <f t="shared" si="56"/>
        <v>产能周期上行</v>
      </c>
      <c r="Q264" s="2" t="e">
        <f t="shared" si="57"/>
        <v>#N/A</v>
      </c>
      <c r="S264" s="12"/>
      <c r="T264" s="13"/>
      <c r="V264" s="12">
        <v>36464</v>
      </c>
      <c r="W264" s="13">
        <v>3.58</v>
      </c>
    </row>
    <row r="265" spans="1:23" x14ac:dyDescent="0.35">
      <c r="A265" s="8">
        <v>38625</v>
      </c>
      <c r="B265" s="9">
        <f t="shared" si="48"/>
        <v>55.1</v>
      </c>
      <c r="C265" s="9">
        <f t="shared" si="49"/>
        <v>18.78</v>
      </c>
      <c r="D265" s="9">
        <f t="shared" si="50"/>
        <v>43.85</v>
      </c>
      <c r="E265" s="1">
        <v>0</v>
      </c>
      <c r="F265" s="1">
        <v>1</v>
      </c>
      <c r="I265" s="1">
        <f t="shared" si="51"/>
        <v>0</v>
      </c>
      <c r="J265" s="1">
        <f t="shared" si="52"/>
        <v>0</v>
      </c>
      <c r="K265" s="1">
        <f t="shared" si="53"/>
        <v>0</v>
      </c>
      <c r="L265" s="1">
        <f t="shared" si="54"/>
        <v>0</v>
      </c>
      <c r="M265" s="1">
        <v>1</v>
      </c>
      <c r="N265" s="1">
        <v>0</v>
      </c>
      <c r="O265" s="1" t="e">
        <f t="shared" si="55"/>
        <v>#N/A</v>
      </c>
      <c r="P265" s="1" t="str">
        <f t="shared" si="56"/>
        <v>产能周期上行</v>
      </c>
      <c r="Q265" s="2" t="e">
        <f t="shared" si="57"/>
        <v>#N/A</v>
      </c>
      <c r="S265" s="12"/>
      <c r="T265" s="13"/>
      <c r="V265" s="12">
        <v>36433</v>
      </c>
      <c r="W265" s="13">
        <v>3.66</v>
      </c>
    </row>
    <row r="266" spans="1:23" x14ac:dyDescent="0.35">
      <c r="A266" s="8">
        <v>38595</v>
      </c>
      <c r="B266" s="9">
        <f t="shared" si="48"/>
        <v>52.6</v>
      </c>
      <c r="C266" s="9">
        <f t="shared" si="49"/>
        <v>18.940000000000001</v>
      </c>
      <c r="D266" s="9" t="e">
        <f t="shared" si="50"/>
        <v>#N/A</v>
      </c>
      <c r="E266" s="1">
        <v>0</v>
      </c>
      <c r="F266" s="1">
        <v>1</v>
      </c>
      <c r="I266" s="1">
        <f t="shared" si="51"/>
        <v>0</v>
      </c>
      <c r="J266" s="1">
        <f t="shared" si="52"/>
        <v>0</v>
      </c>
      <c r="K266" s="1">
        <f t="shared" si="53"/>
        <v>0</v>
      </c>
      <c r="L266" s="1">
        <f t="shared" si="54"/>
        <v>0</v>
      </c>
      <c r="M266" s="1">
        <v>1</v>
      </c>
      <c r="N266" s="1">
        <v>0</v>
      </c>
      <c r="O266" s="1" t="e">
        <f t="shared" si="55"/>
        <v>#N/A</v>
      </c>
      <c r="P266" s="1" t="str">
        <f t="shared" si="56"/>
        <v>产能周期上行</v>
      </c>
      <c r="Q266" s="2" t="e">
        <f t="shared" si="57"/>
        <v>#N/A</v>
      </c>
      <c r="S266" s="12"/>
      <c r="T266" s="13"/>
      <c r="V266" s="12">
        <v>36403</v>
      </c>
      <c r="W266" s="13">
        <v>3.71</v>
      </c>
    </row>
    <row r="267" spans="1:23" x14ac:dyDescent="0.35">
      <c r="A267" s="8">
        <v>38564</v>
      </c>
      <c r="B267" s="9">
        <f t="shared" si="48"/>
        <v>51.1</v>
      </c>
      <c r="C267" s="9">
        <f t="shared" si="49"/>
        <v>19.09</v>
      </c>
      <c r="D267" s="9" t="e">
        <f t="shared" si="50"/>
        <v>#N/A</v>
      </c>
      <c r="E267" s="1">
        <v>0</v>
      </c>
      <c r="F267" s="1">
        <v>1</v>
      </c>
      <c r="I267" s="1">
        <f t="shared" si="51"/>
        <v>0</v>
      </c>
      <c r="J267" s="1">
        <f t="shared" si="52"/>
        <v>0</v>
      </c>
      <c r="K267" s="1">
        <f t="shared" si="53"/>
        <v>0</v>
      </c>
      <c r="L267" s="1">
        <f t="shared" si="54"/>
        <v>0</v>
      </c>
      <c r="M267" s="1">
        <v>1</v>
      </c>
      <c r="N267" s="1">
        <v>0</v>
      </c>
      <c r="O267" s="1" t="e">
        <f t="shared" si="55"/>
        <v>#N/A</v>
      </c>
      <c r="P267" s="1" t="str">
        <f t="shared" si="56"/>
        <v>产能周期上行</v>
      </c>
      <c r="Q267" s="2" t="e">
        <f t="shared" si="57"/>
        <v>#N/A</v>
      </c>
      <c r="S267" s="12"/>
      <c r="T267" s="13"/>
      <c r="V267" s="12">
        <v>36372</v>
      </c>
      <c r="W267" s="13">
        <v>3.44</v>
      </c>
    </row>
    <row r="268" spans="1:23" x14ac:dyDescent="0.35">
      <c r="A268" s="8">
        <v>38533</v>
      </c>
      <c r="B268" s="9">
        <f t="shared" si="48"/>
        <v>51.7</v>
      </c>
      <c r="C268" s="9">
        <f t="shared" si="49"/>
        <v>19.47</v>
      </c>
      <c r="D268" s="9">
        <f t="shared" si="50"/>
        <v>43.65</v>
      </c>
      <c r="E268" s="1">
        <v>0</v>
      </c>
      <c r="F268" s="1">
        <v>1</v>
      </c>
      <c r="I268" s="1">
        <f t="shared" si="51"/>
        <v>0</v>
      </c>
      <c r="J268" s="1">
        <f t="shared" si="52"/>
        <v>0</v>
      </c>
      <c r="K268" s="1">
        <f t="shared" si="53"/>
        <v>0</v>
      </c>
      <c r="L268" s="1">
        <f t="shared" si="54"/>
        <v>0</v>
      </c>
      <c r="M268" s="1">
        <v>1</v>
      </c>
      <c r="N268" s="1">
        <v>0</v>
      </c>
      <c r="O268" s="1" t="e">
        <f t="shared" si="55"/>
        <v>#N/A</v>
      </c>
      <c r="P268" s="1" t="str">
        <f t="shared" si="56"/>
        <v>产能周期上行</v>
      </c>
      <c r="Q268" s="2" t="e">
        <f t="shared" si="57"/>
        <v>#N/A</v>
      </c>
      <c r="S268" s="12"/>
      <c r="T268" s="13"/>
      <c r="V268" s="12">
        <v>36341</v>
      </c>
      <c r="W268" s="13">
        <v>3.94</v>
      </c>
    </row>
    <row r="269" spans="1:23" x14ac:dyDescent="0.35">
      <c r="A269" s="8">
        <v>38503</v>
      </c>
      <c r="B269" s="9">
        <f t="shared" si="48"/>
        <v>52.9</v>
      </c>
      <c r="C269" s="9">
        <f t="shared" si="49"/>
        <v>19.36</v>
      </c>
      <c r="D269" s="9" t="e">
        <f t="shared" si="50"/>
        <v>#N/A</v>
      </c>
      <c r="E269" s="1">
        <v>0</v>
      </c>
      <c r="F269" s="1">
        <v>1</v>
      </c>
      <c r="I269" s="1">
        <f t="shared" si="51"/>
        <v>0</v>
      </c>
      <c r="J269" s="1">
        <f t="shared" si="52"/>
        <v>0</v>
      </c>
      <c r="K269" s="1">
        <f t="shared" si="53"/>
        <v>0</v>
      </c>
      <c r="L269" s="1">
        <f t="shared" si="54"/>
        <v>0</v>
      </c>
      <c r="M269" s="1">
        <v>1</v>
      </c>
      <c r="N269" s="1">
        <v>0</v>
      </c>
      <c r="O269" s="1" t="e">
        <f t="shared" si="55"/>
        <v>#N/A</v>
      </c>
      <c r="P269" s="1" t="str">
        <f t="shared" si="56"/>
        <v>产能周期上行</v>
      </c>
      <c r="Q269" s="2" t="e">
        <f t="shared" si="57"/>
        <v>#N/A</v>
      </c>
      <c r="S269" s="12"/>
      <c r="T269" s="13"/>
      <c r="V269" s="12">
        <v>36311</v>
      </c>
      <c r="W269" s="13">
        <v>4.55</v>
      </c>
    </row>
    <row r="270" spans="1:23" x14ac:dyDescent="0.35">
      <c r="A270" s="8">
        <v>38472</v>
      </c>
      <c r="B270" s="9">
        <f t="shared" si="48"/>
        <v>56.7</v>
      </c>
      <c r="C270" s="9">
        <f t="shared" si="49"/>
        <v>19.5</v>
      </c>
      <c r="D270" s="9" t="e">
        <f t="shared" si="50"/>
        <v>#N/A</v>
      </c>
      <c r="E270" s="1">
        <v>0</v>
      </c>
      <c r="F270" s="1">
        <v>1</v>
      </c>
      <c r="I270" s="1">
        <f t="shared" si="51"/>
        <v>0</v>
      </c>
      <c r="J270" s="1">
        <f t="shared" si="52"/>
        <v>0</v>
      </c>
      <c r="K270" s="1">
        <f t="shared" si="53"/>
        <v>0</v>
      </c>
      <c r="L270" s="1">
        <f t="shared" si="54"/>
        <v>0</v>
      </c>
      <c r="M270" s="1">
        <v>1</v>
      </c>
      <c r="N270" s="1">
        <v>0</v>
      </c>
      <c r="O270" s="1" t="e">
        <f t="shared" si="55"/>
        <v>#N/A</v>
      </c>
      <c r="P270" s="1" t="str">
        <f t="shared" si="56"/>
        <v>产能周期上行</v>
      </c>
      <c r="Q270" s="2" t="e">
        <f t="shared" si="57"/>
        <v>#N/A</v>
      </c>
      <c r="S270" s="12"/>
      <c r="T270" s="13"/>
      <c r="V270" s="12">
        <v>36280</v>
      </c>
      <c r="W270" s="13">
        <v>5.05</v>
      </c>
    </row>
    <row r="271" spans="1:23" x14ac:dyDescent="0.35">
      <c r="A271" s="8">
        <v>38442</v>
      </c>
      <c r="B271" s="9">
        <f t="shared" si="48"/>
        <v>57.9</v>
      </c>
      <c r="C271" s="9">
        <f t="shared" si="49"/>
        <v>20.34</v>
      </c>
      <c r="D271" s="9">
        <f t="shared" si="50"/>
        <v>42.35</v>
      </c>
      <c r="E271" s="1">
        <v>0</v>
      </c>
      <c r="F271" s="1">
        <v>1</v>
      </c>
      <c r="I271" s="1">
        <f t="shared" si="51"/>
        <v>0</v>
      </c>
      <c r="J271" s="1">
        <f t="shared" si="52"/>
        <v>0</v>
      </c>
      <c r="K271" s="1">
        <f t="shared" si="53"/>
        <v>0</v>
      </c>
      <c r="L271" s="1">
        <f t="shared" si="54"/>
        <v>0</v>
      </c>
      <c r="M271" s="1">
        <v>1</v>
      </c>
      <c r="N271" s="1">
        <v>0</v>
      </c>
      <c r="O271" s="1" t="e">
        <f t="shared" si="55"/>
        <v>#N/A</v>
      </c>
      <c r="P271" s="1" t="str">
        <f t="shared" si="56"/>
        <v>产能周期上行</v>
      </c>
      <c r="Q271" s="2" t="e">
        <f t="shared" si="57"/>
        <v>#N/A</v>
      </c>
      <c r="S271" s="12"/>
      <c r="T271" s="13"/>
      <c r="V271" s="12">
        <v>36250</v>
      </c>
      <c r="W271" s="13">
        <v>5.38</v>
      </c>
    </row>
    <row r="272" spans="1:23" x14ac:dyDescent="0.35">
      <c r="A272" s="8">
        <v>38411</v>
      </c>
      <c r="B272" s="9">
        <f t="shared" si="48"/>
        <v>54.5</v>
      </c>
      <c r="C272" s="9">
        <f t="shared" si="49"/>
        <v>22.22</v>
      </c>
      <c r="D272" s="9" t="e">
        <f t="shared" si="50"/>
        <v>#N/A</v>
      </c>
      <c r="E272" s="1">
        <v>0</v>
      </c>
      <c r="F272" s="1">
        <v>1</v>
      </c>
      <c r="I272" s="1">
        <f t="shared" si="51"/>
        <v>0</v>
      </c>
      <c r="J272" s="1">
        <f t="shared" si="52"/>
        <v>0</v>
      </c>
      <c r="K272" s="1">
        <f t="shared" si="53"/>
        <v>0</v>
      </c>
      <c r="L272" s="1">
        <f t="shared" si="54"/>
        <v>0</v>
      </c>
      <c r="M272" s="1">
        <v>1</v>
      </c>
      <c r="N272" s="1">
        <v>0</v>
      </c>
      <c r="O272" s="1" t="e">
        <f t="shared" si="55"/>
        <v>#N/A</v>
      </c>
      <c r="P272" s="1" t="str">
        <f t="shared" si="56"/>
        <v>产能周期上行</v>
      </c>
      <c r="Q272" s="2" t="e">
        <f t="shared" si="57"/>
        <v>#N/A</v>
      </c>
      <c r="S272" s="12"/>
      <c r="T272" s="13"/>
      <c r="V272" s="12">
        <v>36219</v>
      </c>
      <c r="W272" s="13">
        <v>7.37</v>
      </c>
    </row>
    <row r="273" spans="1:23" x14ac:dyDescent="0.35">
      <c r="A273" s="8">
        <v>38383</v>
      </c>
      <c r="B273" s="9">
        <f t="shared" si="48"/>
        <v>54.7</v>
      </c>
      <c r="C273" s="9" t="e">
        <f t="shared" si="49"/>
        <v>#N/A</v>
      </c>
      <c r="D273" s="9" t="e">
        <f t="shared" si="50"/>
        <v>#N/A</v>
      </c>
      <c r="E273" s="1">
        <v>0</v>
      </c>
      <c r="F273" s="1">
        <v>1</v>
      </c>
      <c r="I273" s="1">
        <f t="shared" si="51"/>
        <v>0</v>
      </c>
      <c r="J273" s="1">
        <f t="shared" si="52"/>
        <v>0</v>
      </c>
      <c r="K273" s="1">
        <f t="shared" si="53"/>
        <v>0</v>
      </c>
      <c r="L273" s="1">
        <f t="shared" si="54"/>
        <v>0</v>
      </c>
      <c r="M273" s="1">
        <v>1</v>
      </c>
      <c r="N273" s="1">
        <v>0</v>
      </c>
      <c r="O273" s="1" t="e">
        <f t="shared" si="55"/>
        <v>#N/A</v>
      </c>
      <c r="P273" s="1" t="str">
        <f t="shared" si="56"/>
        <v>产能周期上行</v>
      </c>
      <c r="Q273" s="2" t="e">
        <f t="shared" si="57"/>
        <v>#N/A</v>
      </c>
      <c r="S273" s="12"/>
      <c r="T273" s="13"/>
      <c r="V273" s="12">
        <v>36160</v>
      </c>
      <c r="W273" s="13">
        <v>5.5</v>
      </c>
    </row>
    <row r="274" spans="1:23" x14ac:dyDescent="0.35">
      <c r="A274" s="8">
        <v>38352</v>
      </c>
      <c r="B274" s="9" t="e">
        <f t="shared" ref="B274:B337" si="58">NA()</f>
        <v>#N/A</v>
      </c>
      <c r="C274" s="9">
        <f t="shared" si="49"/>
        <v>24.65</v>
      </c>
      <c r="D274" s="9">
        <f t="shared" si="50"/>
        <v>43</v>
      </c>
      <c r="E274" s="1">
        <v>0</v>
      </c>
      <c r="F274" s="1">
        <v>1</v>
      </c>
      <c r="I274" s="1">
        <f t="shared" si="51"/>
        <v>0</v>
      </c>
      <c r="J274" s="1">
        <f t="shared" si="52"/>
        <v>0</v>
      </c>
      <c r="K274" s="1">
        <f t="shared" si="53"/>
        <v>0</v>
      </c>
      <c r="L274" s="1">
        <f t="shared" si="54"/>
        <v>0</v>
      </c>
      <c r="M274" s="1">
        <v>1</v>
      </c>
      <c r="N274" s="1">
        <v>0</v>
      </c>
      <c r="O274" s="1" t="e">
        <f t="shared" si="55"/>
        <v>#N/A</v>
      </c>
      <c r="P274" s="1" t="str">
        <f t="shared" si="56"/>
        <v>产能周期上行</v>
      </c>
      <c r="Q274" s="2" t="e">
        <f t="shared" si="57"/>
        <v>#N/A</v>
      </c>
      <c r="S274" s="12"/>
      <c r="T274" s="13"/>
      <c r="V274" s="12">
        <v>36129</v>
      </c>
      <c r="W274" s="13">
        <v>5.5</v>
      </c>
    </row>
    <row r="275" spans="1:23" x14ac:dyDescent="0.35">
      <c r="A275" s="8">
        <v>38321</v>
      </c>
      <c r="B275" s="9" t="e">
        <f t="shared" si="58"/>
        <v>#N/A</v>
      </c>
      <c r="C275" s="9">
        <f t="shared" si="49"/>
        <v>23.03</v>
      </c>
      <c r="D275" s="9" t="e">
        <f t="shared" si="50"/>
        <v>#N/A</v>
      </c>
      <c r="E275" s="1">
        <v>1</v>
      </c>
      <c r="F275" s="1">
        <v>0</v>
      </c>
      <c r="I275" s="1">
        <f t="shared" si="51"/>
        <v>0</v>
      </c>
      <c r="J275" s="1">
        <f t="shared" si="52"/>
        <v>0</v>
      </c>
      <c r="K275" s="1">
        <f t="shared" si="53"/>
        <v>0</v>
      </c>
      <c r="L275" s="1">
        <f t="shared" si="54"/>
        <v>0</v>
      </c>
      <c r="M275" s="1">
        <v>1</v>
      </c>
      <c r="N275" s="1">
        <v>0</v>
      </c>
      <c r="O275" s="1" t="e">
        <f t="shared" si="55"/>
        <v>#N/A</v>
      </c>
      <c r="P275" s="1" t="str">
        <f t="shared" si="56"/>
        <v>产能周期上行</v>
      </c>
      <c r="Q275" s="2" t="e">
        <f t="shared" si="57"/>
        <v>#N/A</v>
      </c>
      <c r="S275" s="12"/>
      <c r="T275" s="13"/>
      <c r="V275" s="12">
        <v>36099</v>
      </c>
      <c r="W275" s="13">
        <v>6.6</v>
      </c>
    </row>
    <row r="276" spans="1:23" x14ac:dyDescent="0.35">
      <c r="A276" s="8">
        <v>38291</v>
      </c>
      <c r="B276" s="9" t="e">
        <f t="shared" si="58"/>
        <v>#N/A</v>
      </c>
      <c r="C276" s="9">
        <f t="shared" si="49"/>
        <v>22.22</v>
      </c>
      <c r="D276" s="9" t="e">
        <f t="shared" si="50"/>
        <v>#N/A</v>
      </c>
      <c r="E276" s="1">
        <v>1</v>
      </c>
      <c r="F276" s="1">
        <v>0</v>
      </c>
      <c r="I276" s="1">
        <f t="shared" si="51"/>
        <v>0</v>
      </c>
      <c r="J276" s="1">
        <f t="shared" si="52"/>
        <v>0</v>
      </c>
      <c r="K276" s="1">
        <f t="shared" si="53"/>
        <v>0</v>
      </c>
      <c r="L276" s="1">
        <f t="shared" si="54"/>
        <v>0</v>
      </c>
      <c r="M276" s="1">
        <v>1</v>
      </c>
      <c r="N276" s="1">
        <v>0</v>
      </c>
      <c r="O276" s="1" t="e">
        <f t="shared" si="55"/>
        <v>#N/A</v>
      </c>
      <c r="P276" s="1" t="str">
        <f t="shared" si="56"/>
        <v>产能周期上行</v>
      </c>
      <c r="Q276" s="2" t="e">
        <f t="shared" si="57"/>
        <v>#N/A</v>
      </c>
      <c r="S276" s="12"/>
      <c r="T276" s="13"/>
      <c r="V276" s="12">
        <v>36068</v>
      </c>
      <c r="W276" s="13">
        <v>7.3</v>
      </c>
    </row>
    <row r="277" spans="1:23" x14ac:dyDescent="0.35">
      <c r="A277" s="8">
        <v>38260</v>
      </c>
      <c r="B277" s="9" t="e">
        <f t="shared" si="58"/>
        <v>#N/A</v>
      </c>
      <c r="C277" s="9">
        <f t="shared" si="49"/>
        <v>21.53</v>
      </c>
      <c r="D277" s="9">
        <f t="shared" si="50"/>
        <v>42.4</v>
      </c>
      <c r="E277" s="1">
        <v>1</v>
      </c>
      <c r="F277" s="1">
        <v>0</v>
      </c>
      <c r="I277" s="1">
        <f t="shared" si="51"/>
        <v>0</v>
      </c>
      <c r="J277" s="1">
        <f t="shared" si="52"/>
        <v>0</v>
      </c>
      <c r="K277" s="1">
        <f t="shared" si="53"/>
        <v>0</v>
      </c>
      <c r="L277" s="1">
        <f t="shared" si="54"/>
        <v>0</v>
      </c>
      <c r="M277" s="1">
        <v>1</v>
      </c>
      <c r="N277" s="1">
        <v>0</v>
      </c>
      <c r="O277" s="1" t="e">
        <f t="shared" si="55"/>
        <v>#N/A</v>
      </c>
      <c r="P277" s="1" t="str">
        <f t="shared" si="56"/>
        <v>产能周期上行</v>
      </c>
      <c r="Q277" s="2" t="e">
        <f t="shared" si="57"/>
        <v>#N/A</v>
      </c>
      <c r="S277" s="12"/>
      <c r="T277" s="13"/>
      <c r="V277" s="12">
        <v>36038</v>
      </c>
      <c r="W277" s="13">
        <v>8.9</v>
      </c>
    </row>
    <row r="278" spans="1:23" x14ac:dyDescent="0.35">
      <c r="A278" s="8">
        <v>38230</v>
      </c>
      <c r="B278" s="9" t="e">
        <f t="shared" si="58"/>
        <v>#N/A</v>
      </c>
      <c r="C278" s="9">
        <f t="shared" si="49"/>
        <v>20.46</v>
      </c>
      <c r="D278" s="9" t="e">
        <f t="shared" si="50"/>
        <v>#N/A</v>
      </c>
      <c r="E278" s="1">
        <v>1</v>
      </c>
      <c r="F278" s="1">
        <v>0</v>
      </c>
      <c r="I278" s="1">
        <f t="shared" si="51"/>
        <v>0</v>
      </c>
      <c r="J278" s="1">
        <f t="shared" si="52"/>
        <v>0</v>
      </c>
      <c r="K278" s="1">
        <f t="shared" si="53"/>
        <v>0</v>
      </c>
      <c r="L278" s="1">
        <f t="shared" si="54"/>
        <v>0</v>
      </c>
      <c r="M278" s="1">
        <v>1</v>
      </c>
      <c r="N278" s="1">
        <v>0</v>
      </c>
      <c r="O278" s="1" t="e">
        <f t="shared" si="55"/>
        <v>#N/A</v>
      </c>
      <c r="P278" s="1" t="str">
        <f t="shared" si="56"/>
        <v>产能周期上行</v>
      </c>
      <c r="Q278" s="2" t="e">
        <f t="shared" si="57"/>
        <v>#N/A</v>
      </c>
      <c r="S278" s="12"/>
      <c r="T278" s="13"/>
      <c r="V278" s="12">
        <v>36007</v>
      </c>
      <c r="W278" s="13">
        <v>9.81</v>
      </c>
    </row>
    <row r="279" spans="1:23" x14ac:dyDescent="0.35">
      <c r="A279" s="8">
        <v>38199</v>
      </c>
      <c r="B279" s="9" t="e">
        <f t="shared" si="58"/>
        <v>#N/A</v>
      </c>
      <c r="C279" s="9">
        <f t="shared" si="49"/>
        <v>19.78</v>
      </c>
      <c r="D279" s="9" t="e">
        <f t="shared" si="50"/>
        <v>#N/A</v>
      </c>
      <c r="E279" s="1">
        <v>1</v>
      </c>
      <c r="F279" s="1">
        <v>0</v>
      </c>
      <c r="I279" s="1">
        <f t="shared" si="51"/>
        <v>0</v>
      </c>
      <c r="J279" s="1">
        <f t="shared" si="52"/>
        <v>0</v>
      </c>
      <c r="K279" s="1">
        <f t="shared" si="53"/>
        <v>0</v>
      </c>
      <c r="L279" s="1">
        <f t="shared" si="54"/>
        <v>0</v>
      </c>
      <c r="M279" s="1">
        <v>1</v>
      </c>
      <c r="N279" s="1">
        <v>0</v>
      </c>
      <c r="O279" s="1" t="e">
        <f t="shared" si="55"/>
        <v>#N/A</v>
      </c>
      <c r="P279" s="1" t="str">
        <f t="shared" si="56"/>
        <v>产能周期上行</v>
      </c>
      <c r="Q279" s="2" t="e">
        <f t="shared" si="57"/>
        <v>#N/A</v>
      </c>
      <c r="S279" s="12"/>
      <c r="T279" s="13"/>
      <c r="V279" s="12">
        <v>35976</v>
      </c>
      <c r="W279" s="13">
        <v>10.1</v>
      </c>
    </row>
    <row r="280" spans="1:23" x14ac:dyDescent="0.35">
      <c r="A280" s="8">
        <v>38168</v>
      </c>
      <c r="B280" s="9" t="e">
        <f t="shared" si="58"/>
        <v>#N/A</v>
      </c>
      <c r="C280" s="9">
        <f t="shared" si="49"/>
        <v>19.86</v>
      </c>
      <c r="D280" s="9">
        <f t="shared" si="50"/>
        <v>42.75</v>
      </c>
      <c r="E280" s="1">
        <v>1</v>
      </c>
      <c r="F280" s="1">
        <v>0</v>
      </c>
      <c r="I280" s="1">
        <f t="shared" si="51"/>
        <v>0</v>
      </c>
      <c r="J280" s="1">
        <f t="shared" si="52"/>
        <v>0</v>
      </c>
      <c r="K280" s="1">
        <f t="shared" si="53"/>
        <v>0</v>
      </c>
      <c r="L280" s="1">
        <f t="shared" si="54"/>
        <v>0</v>
      </c>
      <c r="M280" s="1">
        <v>1</v>
      </c>
      <c r="N280" s="1">
        <v>0</v>
      </c>
      <c r="O280" s="1" t="e">
        <f t="shared" si="55"/>
        <v>#N/A</v>
      </c>
      <c r="P280" s="1" t="str">
        <f t="shared" si="56"/>
        <v>产能周期上行</v>
      </c>
      <c r="Q280" s="2" t="e">
        <f t="shared" si="57"/>
        <v>#N/A</v>
      </c>
      <c r="S280" s="12"/>
      <c r="T280" s="13"/>
      <c r="V280" s="12">
        <v>35946</v>
      </c>
      <c r="W280" s="13">
        <v>12.37</v>
      </c>
    </row>
    <row r="281" spans="1:23" x14ac:dyDescent="0.35">
      <c r="A281" s="8">
        <v>38138</v>
      </c>
      <c r="B281" s="9" t="e">
        <f t="shared" si="58"/>
        <v>#N/A</v>
      </c>
      <c r="C281" s="9">
        <f t="shared" si="49"/>
        <v>19.77</v>
      </c>
      <c r="D281" s="9" t="e">
        <f t="shared" si="50"/>
        <v>#N/A</v>
      </c>
      <c r="E281" s="1">
        <v>1</v>
      </c>
      <c r="F281" s="1">
        <v>0</v>
      </c>
      <c r="I281" s="1">
        <f t="shared" si="51"/>
        <v>0</v>
      </c>
      <c r="J281" s="1">
        <f t="shared" si="52"/>
        <v>0</v>
      </c>
      <c r="K281" s="1">
        <f t="shared" si="53"/>
        <v>0</v>
      </c>
      <c r="L281" s="1">
        <f t="shared" si="54"/>
        <v>0</v>
      </c>
      <c r="M281" s="1">
        <v>1</v>
      </c>
      <c r="N281" s="1">
        <v>0</v>
      </c>
      <c r="O281" s="1" t="e">
        <f t="shared" si="55"/>
        <v>#N/A</v>
      </c>
      <c r="P281" s="1" t="str">
        <f t="shared" si="56"/>
        <v>产能周期上行</v>
      </c>
      <c r="Q281" s="2" t="e">
        <f t="shared" si="57"/>
        <v>#N/A</v>
      </c>
      <c r="S281" s="12"/>
      <c r="T281" s="13"/>
      <c r="V281" s="12">
        <v>35915</v>
      </c>
      <c r="W281" s="13">
        <v>12.82</v>
      </c>
    </row>
    <row r="282" spans="1:23" x14ac:dyDescent="0.35">
      <c r="A282" s="8">
        <v>38107</v>
      </c>
      <c r="B282" s="9" t="e">
        <f t="shared" si="58"/>
        <v>#N/A</v>
      </c>
      <c r="C282" s="9">
        <f t="shared" si="49"/>
        <v>18.87</v>
      </c>
      <c r="D282" s="9" t="e">
        <f t="shared" si="50"/>
        <v>#N/A</v>
      </c>
      <c r="E282" s="1">
        <v>1</v>
      </c>
      <c r="F282" s="1">
        <v>0</v>
      </c>
      <c r="I282" s="1">
        <f t="shared" si="51"/>
        <v>0</v>
      </c>
      <c r="J282" s="1">
        <f t="shared" si="52"/>
        <v>0</v>
      </c>
      <c r="K282" s="1">
        <f t="shared" si="53"/>
        <v>0</v>
      </c>
      <c r="L282" s="1">
        <f t="shared" si="54"/>
        <v>0</v>
      </c>
      <c r="M282" s="1">
        <v>1</v>
      </c>
      <c r="N282" s="1">
        <v>0</v>
      </c>
      <c r="O282" s="1" t="e">
        <f t="shared" si="55"/>
        <v>#N/A</v>
      </c>
      <c r="P282" s="1" t="str">
        <f t="shared" si="56"/>
        <v>产能周期上行</v>
      </c>
      <c r="Q282" s="2" t="e">
        <f t="shared" si="57"/>
        <v>#N/A</v>
      </c>
      <c r="S282" s="12"/>
      <c r="T282" s="13"/>
      <c r="V282" s="12">
        <v>35885</v>
      </c>
      <c r="W282" s="13">
        <v>14.2</v>
      </c>
    </row>
    <row r="283" spans="1:23" x14ac:dyDescent="0.35">
      <c r="A283" s="8">
        <v>38077</v>
      </c>
      <c r="B283" s="9" t="e">
        <f t="shared" si="58"/>
        <v>#N/A</v>
      </c>
      <c r="C283" s="9">
        <f t="shared" si="49"/>
        <v>17.829999999999998</v>
      </c>
      <c r="D283" s="9">
        <f t="shared" si="50"/>
        <v>41.5</v>
      </c>
      <c r="E283" s="1">
        <v>1</v>
      </c>
      <c r="F283" s="1">
        <v>0</v>
      </c>
      <c r="I283" s="1">
        <f t="shared" si="51"/>
        <v>0</v>
      </c>
      <c r="J283" s="1">
        <f t="shared" si="52"/>
        <v>0</v>
      </c>
      <c r="K283" s="1">
        <f t="shared" si="53"/>
        <v>0</v>
      </c>
      <c r="L283" s="1">
        <f t="shared" si="54"/>
        <v>0</v>
      </c>
      <c r="M283" s="1">
        <v>1</v>
      </c>
      <c r="N283" s="1">
        <v>0</v>
      </c>
      <c r="O283" s="1" t="e">
        <f t="shared" si="55"/>
        <v>#N/A</v>
      </c>
      <c r="P283" s="1" t="str">
        <f t="shared" si="56"/>
        <v>产能周期上行</v>
      </c>
      <c r="Q283" s="2" t="e">
        <f t="shared" si="57"/>
        <v>#N/A</v>
      </c>
      <c r="S283" s="12"/>
      <c r="T283" s="13"/>
      <c r="V283" s="12">
        <v>35854</v>
      </c>
      <c r="W283" s="13">
        <v>14.2</v>
      </c>
    </row>
    <row r="284" spans="1:23" x14ac:dyDescent="0.35">
      <c r="A284" s="8">
        <v>38046</v>
      </c>
      <c r="B284" s="9" t="e">
        <f t="shared" si="58"/>
        <v>#N/A</v>
      </c>
      <c r="C284" s="9">
        <f t="shared" si="49"/>
        <v>15.73</v>
      </c>
      <c r="D284" s="9" t="e">
        <f t="shared" si="50"/>
        <v>#N/A</v>
      </c>
      <c r="E284" s="1">
        <v>1</v>
      </c>
      <c r="F284" s="1">
        <v>0</v>
      </c>
      <c r="I284" s="1">
        <f t="shared" si="51"/>
        <v>0</v>
      </c>
      <c r="J284" s="1">
        <f t="shared" si="52"/>
        <v>0</v>
      </c>
      <c r="K284" s="1">
        <f t="shared" si="53"/>
        <v>0</v>
      </c>
      <c r="L284" s="1">
        <f t="shared" si="54"/>
        <v>0</v>
      </c>
      <c r="M284" s="1">
        <v>1</v>
      </c>
      <c r="N284" s="1">
        <v>0</v>
      </c>
      <c r="O284" s="1" t="e">
        <f t="shared" si="55"/>
        <v>#N/A</v>
      </c>
      <c r="P284" s="1" t="str">
        <f t="shared" si="56"/>
        <v>产能周期上行</v>
      </c>
      <c r="Q284" s="2" t="e">
        <f t="shared" si="57"/>
        <v>#N/A</v>
      </c>
      <c r="S284" s="12"/>
      <c r="T284" s="13"/>
      <c r="V284" s="12">
        <v>35795</v>
      </c>
      <c r="W284" s="13">
        <v>11.7</v>
      </c>
    </row>
    <row r="285" spans="1:23" x14ac:dyDescent="0.35">
      <c r="A285" s="8">
        <v>38017</v>
      </c>
      <c r="B285" s="9" t="e">
        <f t="shared" si="58"/>
        <v>#N/A</v>
      </c>
      <c r="C285" s="9" t="e">
        <f t="shared" si="49"/>
        <v>#N/A</v>
      </c>
      <c r="D285" s="9" t="e">
        <f t="shared" si="50"/>
        <v>#N/A</v>
      </c>
      <c r="E285" s="1">
        <v>1</v>
      </c>
      <c r="F285" s="1">
        <v>0</v>
      </c>
      <c r="I285" s="1">
        <f t="shared" si="51"/>
        <v>0</v>
      </c>
      <c r="J285" s="1">
        <f t="shared" si="52"/>
        <v>0</v>
      </c>
      <c r="K285" s="1">
        <f t="shared" si="53"/>
        <v>0</v>
      </c>
      <c r="L285" s="1">
        <f t="shared" si="54"/>
        <v>0</v>
      </c>
      <c r="M285" s="1">
        <v>1</v>
      </c>
      <c r="N285" s="1">
        <v>0</v>
      </c>
      <c r="O285" s="1" t="e">
        <f t="shared" si="55"/>
        <v>#N/A</v>
      </c>
      <c r="P285" s="1" t="str">
        <f t="shared" si="56"/>
        <v>产能周期上行</v>
      </c>
      <c r="Q285" s="2" t="e">
        <f t="shared" si="57"/>
        <v>#N/A</v>
      </c>
      <c r="S285" s="12"/>
      <c r="T285" s="13"/>
      <c r="V285" s="12">
        <v>35764</v>
      </c>
      <c r="W285" s="13">
        <v>13.1</v>
      </c>
    </row>
    <row r="286" spans="1:23" x14ac:dyDescent="0.35">
      <c r="A286" s="8">
        <v>37986</v>
      </c>
      <c r="B286" s="9" t="e">
        <f t="shared" si="58"/>
        <v>#N/A</v>
      </c>
      <c r="C286" s="9">
        <f t="shared" si="49"/>
        <v>11.74</v>
      </c>
      <c r="D286" s="9">
        <f t="shared" si="50"/>
        <v>42.6</v>
      </c>
      <c r="E286" s="1">
        <v>1</v>
      </c>
      <c r="F286" s="1">
        <v>0</v>
      </c>
      <c r="I286" s="1">
        <f t="shared" si="51"/>
        <v>0</v>
      </c>
      <c r="J286" s="1">
        <f t="shared" si="52"/>
        <v>0</v>
      </c>
      <c r="K286" s="1">
        <f t="shared" si="53"/>
        <v>0</v>
      </c>
      <c r="L286" s="1">
        <f t="shared" si="54"/>
        <v>0</v>
      </c>
      <c r="M286" s="1">
        <v>1</v>
      </c>
      <c r="N286" s="1">
        <v>0</v>
      </c>
      <c r="O286" s="1" t="e">
        <f t="shared" si="55"/>
        <v>#N/A</v>
      </c>
      <c r="P286" s="1" t="str">
        <f t="shared" si="56"/>
        <v>产能周期上行</v>
      </c>
      <c r="Q286" s="2" t="e">
        <f t="shared" si="57"/>
        <v>#N/A</v>
      </c>
      <c r="S286" s="12"/>
      <c r="T286" s="13"/>
      <c r="V286" s="12">
        <v>35734</v>
      </c>
      <c r="W286" s="13">
        <v>12.7</v>
      </c>
    </row>
    <row r="287" spans="1:23" x14ac:dyDescent="0.35">
      <c r="A287" s="8">
        <v>37955</v>
      </c>
      <c r="B287" s="9" t="e">
        <f t="shared" si="58"/>
        <v>#N/A</v>
      </c>
      <c r="C287" s="9">
        <f t="shared" si="49"/>
        <v>11.82</v>
      </c>
      <c r="D287" s="9" t="e">
        <f t="shared" si="50"/>
        <v>#N/A</v>
      </c>
      <c r="E287" s="1">
        <v>1</v>
      </c>
      <c r="F287" s="1">
        <v>0</v>
      </c>
      <c r="I287" s="1">
        <f t="shared" si="51"/>
        <v>0</v>
      </c>
      <c r="J287" s="1">
        <f t="shared" si="52"/>
        <v>0</v>
      </c>
      <c r="K287" s="1">
        <f t="shared" si="53"/>
        <v>0</v>
      </c>
      <c r="L287" s="1">
        <f t="shared" si="54"/>
        <v>0</v>
      </c>
      <c r="M287" s="1">
        <v>1</v>
      </c>
      <c r="N287" s="1">
        <v>0</v>
      </c>
      <c r="O287" s="1" t="e">
        <f t="shared" si="55"/>
        <v>#N/A</v>
      </c>
      <c r="P287" s="1" t="str">
        <f t="shared" si="56"/>
        <v>产能周期上行</v>
      </c>
      <c r="Q287" s="2" t="e">
        <f t="shared" si="57"/>
        <v>#N/A</v>
      </c>
      <c r="S287" s="12"/>
      <c r="T287" s="13"/>
      <c r="V287" s="12">
        <v>35703</v>
      </c>
      <c r="W287" s="13">
        <v>12.3</v>
      </c>
    </row>
    <row r="288" spans="1:23" x14ac:dyDescent="0.35">
      <c r="A288" s="8">
        <v>37925</v>
      </c>
      <c r="B288" s="9" t="e">
        <f t="shared" si="58"/>
        <v>#N/A</v>
      </c>
      <c r="C288" s="9">
        <f t="shared" si="49"/>
        <v>11.5</v>
      </c>
      <c r="D288" s="9" t="e">
        <f t="shared" si="50"/>
        <v>#N/A</v>
      </c>
      <c r="E288" s="1">
        <v>1</v>
      </c>
      <c r="F288" s="1">
        <v>0</v>
      </c>
      <c r="I288" s="1">
        <f t="shared" si="51"/>
        <v>0</v>
      </c>
      <c r="J288" s="1">
        <f t="shared" si="52"/>
        <v>0</v>
      </c>
      <c r="K288" s="1">
        <f t="shared" si="53"/>
        <v>0</v>
      </c>
      <c r="L288" s="1">
        <f t="shared" si="54"/>
        <v>0</v>
      </c>
      <c r="M288" s="1">
        <v>1</v>
      </c>
      <c r="N288" s="1">
        <v>0</v>
      </c>
      <c r="O288" s="1" t="e">
        <f t="shared" si="55"/>
        <v>#N/A</v>
      </c>
      <c r="P288" s="1" t="str">
        <f t="shared" si="56"/>
        <v>产能周期上行</v>
      </c>
      <c r="Q288" s="2" t="e">
        <f t="shared" si="57"/>
        <v>#N/A</v>
      </c>
      <c r="S288" s="12"/>
      <c r="T288" s="13"/>
      <c r="V288" s="12">
        <v>35673</v>
      </c>
      <c r="W288" s="13">
        <v>12.3</v>
      </c>
    </row>
    <row r="289" spans="1:23" x14ac:dyDescent="0.35">
      <c r="A289" s="8">
        <v>37894</v>
      </c>
      <c r="B289" s="9" t="e">
        <f t="shared" si="58"/>
        <v>#N/A</v>
      </c>
      <c r="C289" s="9">
        <f t="shared" si="49"/>
        <v>11.65</v>
      </c>
      <c r="D289" s="9">
        <f t="shared" si="50"/>
        <v>41.9</v>
      </c>
      <c r="E289" s="1">
        <v>1</v>
      </c>
      <c r="F289" s="1">
        <v>0</v>
      </c>
      <c r="I289" s="1">
        <f t="shared" si="51"/>
        <v>0</v>
      </c>
      <c r="J289" s="1">
        <f t="shared" si="52"/>
        <v>0</v>
      </c>
      <c r="K289" s="1">
        <f t="shared" si="53"/>
        <v>0</v>
      </c>
      <c r="L289" s="1">
        <f t="shared" si="54"/>
        <v>0</v>
      </c>
      <c r="M289" s="1">
        <v>1</v>
      </c>
      <c r="N289" s="1">
        <v>0</v>
      </c>
      <c r="O289" s="1" t="e">
        <f t="shared" si="55"/>
        <v>#N/A</v>
      </c>
      <c r="P289" s="1" t="str">
        <f t="shared" si="56"/>
        <v>产能周期上行</v>
      </c>
      <c r="Q289" s="2" t="e">
        <f t="shared" si="57"/>
        <v>#N/A</v>
      </c>
      <c r="S289" s="12"/>
      <c r="T289" s="13"/>
      <c r="V289" s="12">
        <v>35642</v>
      </c>
      <c r="W289" s="13">
        <v>12.2</v>
      </c>
    </row>
    <row r="290" spans="1:23" x14ac:dyDescent="0.35">
      <c r="A290" s="8">
        <v>37864</v>
      </c>
      <c r="B290" s="9" t="e">
        <f t="shared" si="58"/>
        <v>#N/A</v>
      </c>
      <c r="C290" s="9">
        <f t="shared" ref="C290:C353" si="59">VLOOKUP(A290,V:W,2,0)</f>
        <v>11.37</v>
      </c>
      <c r="D290" s="9" t="e">
        <f t="shared" si="50"/>
        <v>#N/A</v>
      </c>
      <c r="E290" s="1">
        <v>1</v>
      </c>
      <c r="F290" s="1">
        <v>0</v>
      </c>
      <c r="I290" s="1">
        <f t="shared" si="51"/>
        <v>0</v>
      </c>
      <c r="J290" s="1">
        <f t="shared" si="52"/>
        <v>0</v>
      </c>
      <c r="K290" s="1">
        <f t="shared" si="53"/>
        <v>0</v>
      </c>
      <c r="L290" s="1">
        <f t="shared" si="54"/>
        <v>0</v>
      </c>
      <c r="M290" s="1">
        <v>1</v>
      </c>
      <c r="N290" s="1">
        <v>0</v>
      </c>
      <c r="O290" s="1" t="e">
        <f t="shared" si="55"/>
        <v>#N/A</v>
      </c>
      <c r="P290" s="1" t="str">
        <f t="shared" si="56"/>
        <v>产能周期上行</v>
      </c>
      <c r="Q290" s="2" t="e">
        <f t="shared" si="57"/>
        <v>#N/A</v>
      </c>
      <c r="S290" s="12"/>
      <c r="T290" s="13"/>
      <c r="V290" s="12">
        <v>35611</v>
      </c>
      <c r="W290" s="13">
        <v>13.1</v>
      </c>
    </row>
    <row r="291" spans="1:23" x14ac:dyDescent="0.35">
      <c r="A291" s="8">
        <v>37833</v>
      </c>
      <c r="B291" s="9" t="e">
        <f t="shared" si="58"/>
        <v>#N/A</v>
      </c>
      <c r="C291" s="9">
        <f t="shared" si="59"/>
        <v>11.18</v>
      </c>
      <c r="D291" s="9" t="e">
        <f t="shared" si="50"/>
        <v>#N/A</v>
      </c>
      <c r="E291" s="1">
        <v>1</v>
      </c>
      <c r="F291" s="1">
        <v>0</v>
      </c>
      <c r="I291" s="1">
        <f t="shared" si="51"/>
        <v>0</v>
      </c>
      <c r="J291" s="1">
        <f t="shared" si="52"/>
        <v>0</v>
      </c>
      <c r="K291" s="1">
        <f t="shared" si="53"/>
        <v>0</v>
      </c>
      <c r="L291" s="1">
        <f t="shared" si="54"/>
        <v>0</v>
      </c>
      <c r="M291" s="1">
        <v>1</v>
      </c>
      <c r="N291" s="1">
        <v>0</v>
      </c>
      <c r="O291" s="1" t="e">
        <f t="shared" si="55"/>
        <v>#N/A</v>
      </c>
      <c r="P291" s="1" t="str">
        <f t="shared" si="56"/>
        <v>产能周期上行</v>
      </c>
      <c r="Q291" s="2" t="e">
        <f t="shared" si="57"/>
        <v>#N/A</v>
      </c>
      <c r="S291" s="12"/>
      <c r="T291" s="13"/>
      <c r="V291" s="12">
        <v>35581</v>
      </c>
      <c r="W291" s="13">
        <v>12.9</v>
      </c>
    </row>
    <row r="292" spans="1:23" x14ac:dyDescent="0.35">
      <c r="A292" s="8">
        <v>37802</v>
      </c>
      <c r="B292" s="9" t="e">
        <f t="shared" si="58"/>
        <v>#N/A</v>
      </c>
      <c r="C292" s="9">
        <f t="shared" si="59"/>
        <v>10.35</v>
      </c>
      <c r="D292" s="9">
        <f t="shared" si="50"/>
        <v>41.65</v>
      </c>
      <c r="E292" s="1">
        <v>1</v>
      </c>
      <c r="F292" s="1">
        <v>0</v>
      </c>
      <c r="I292" s="1">
        <f t="shared" si="51"/>
        <v>0</v>
      </c>
      <c r="J292" s="1">
        <f t="shared" si="52"/>
        <v>0</v>
      </c>
      <c r="K292" s="1">
        <f t="shared" si="53"/>
        <v>0</v>
      </c>
      <c r="L292" s="1">
        <f t="shared" si="54"/>
        <v>0</v>
      </c>
      <c r="M292" s="1">
        <v>1</v>
      </c>
      <c r="N292" s="1">
        <v>0</v>
      </c>
      <c r="O292" s="1" t="e">
        <f t="shared" si="55"/>
        <v>#N/A</v>
      </c>
      <c r="P292" s="1" t="str">
        <f t="shared" si="56"/>
        <v>产能周期上行</v>
      </c>
      <c r="Q292" s="2" t="e">
        <f t="shared" si="57"/>
        <v>#N/A</v>
      </c>
      <c r="S292" s="12"/>
      <c r="T292" s="13"/>
      <c r="V292" s="12">
        <v>35550</v>
      </c>
      <c r="W292" s="13">
        <v>13</v>
      </c>
    </row>
    <row r="293" spans="1:23" x14ac:dyDescent="0.35">
      <c r="A293" s="8">
        <v>37772</v>
      </c>
      <c r="B293" s="9" t="e">
        <f t="shared" si="58"/>
        <v>#N/A</v>
      </c>
      <c r="C293" s="9">
        <f t="shared" si="59"/>
        <v>10.34</v>
      </c>
      <c r="D293" s="9" t="e">
        <f t="shared" ref="D293:D356" si="60">VLOOKUP(A293,Y:Z,2,FALSE)</f>
        <v>#N/A</v>
      </c>
      <c r="E293" s="1">
        <v>1</v>
      </c>
      <c r="F293" s="1">
        <v>0</v>
      </c>
      <c r="I293" s="1">
        <f t="shared" si="51"/>
        <v>0</v>
      </c>
      <c r="J293" s="1">
        <f t="shared" si="52"/>
        <v>0</v>
      </c>
      <c r="K293" s="1">
        <f t="shared" si="53"/>
        <v>0</v>
      </c>
      <c r="L293" s="1">
        <f t="shared" si="54"/>
        <v>0</v>
      </c>
      <c r="M293" s="1">
        <v>1</v>
      </c>
      <c r="N293" s="1">
        <v>0</v>
      </c>
      <c r="O293" s="1" t="e">
        <f t="shared" si="55"/>
        <v>#N/A</v>
      </c>
      <c r="P293" s="1" t="str">
        <f t="shared" si="56"/>
        <v>产能周期上行</v>
      </c>
      <c r="Q293" s="2" t="e">
        <f t="shared" si="57"/>
        <v>#N/A</v>
      </c>
      <c r="S293" s="12"/>
      <c r="T293" s="13"/>
      <c r="V293" s="12">
        <v>35520</v>
      </c>
      <c r="W293" s="13">
        <v>14.2</v>
      </c>
    </row>
    <row r="294" spans="1:23" x14ac:dyDescent="0.35">
      <c r="A294" s="8">
        <v>37741</v>
      </c>
      <c r="B294" s="9" t="e">
        <f t="shared" si="58"/>
        <v>#N/A</v>
      </c>
      <c r="C294" s="9">
        <f t="shared" si="59"/>
        <v>9.92</v>
      </c>
      <c r="D294" s="9" t="e">
        <f t="shared" si="60"/>
        <v>#N/A</v>
      </c>
      <c r="E294" s="1">
        <v>1</v>
      </c>
      <c r="F294" s="1">
        <v>0</v>
      </c>
      <c r="I294" s="1">
        <f t="shared" si="51"/>
        <v>0</v>
      </c>
      <c r="J294" s="1">
        <f t="shared" si="52"/>
        <v>0</v>
      </c>
      <c r="K294" s="1">
        <f t="shared" si="53"/>
        <v>0</v>
      </c>
      <c r="L294" s="1">
        <f t="shared" si="54"/>
        <v>0</v>
      </c>
      <c r="M294" s="1">
        <v>1</v>
      </c>
      <c r="N294" s="1">
        <v>0</v>
      </c>
      <c r="O294" s="1" t="e">
        <f t="shared" si="55"/>
        <v>#N/A</v>
      </c>
      <c r="P294" s="1" t="str">
        <f t="shared" si="56"/>
        <v>产能周期上行</v>
      </c>
      <c r="Q294" s="2" t="e">
        <f t="shared" si="57"/>
        <v>#N/A</v>
      </c>
      <c r="S294" s="12"/>
      <c r="T294" s="13"/>
      <c r="V294" s="12">
        <v>35489</v>
      </c>
      <c r="W294" s="13">
        <v>14.5</v>
      </c>
    </row>
    <row r="295" spans="1:23" x14ac:dyDescent="0.35">
      <c r="A295" s="8">
        <v>37711</v>
      </c>
      <c r="B295" s="9" t="e">
        <f t="shared" si="58"/>
        <v>#N/A</v>
      </c>
      <c r="C295" s="9">
        <f t="shared" si="59"/>
        <v>8.27</v>
      </c>
      <c r="D295" s="9">
        <f t="shared" si="60"/>
        <v>41.05</v>
      </c>
      <c r="E295" s="1">
        <v>1</v>
      </c>
      <c r="F295" s="1">
        <v>0</v>
      </c>
      <c r="I295" s="1">
        <f t="shared" si="51"/>
        <v>0</v>
      </c>
      <c r="J295" s="1">
        <f t="shared" si="52"/>
        <v>0</v>
      </c>
      <c r="K295" s="1">
        <f t="shared" si="53"/>
        <v>0</v>
      </c>
      <c r="L295" s="1">
        <f t="shared" si="54"/>
        <v>0</v>
      </c>
      <c r="M295" s="1">
        <v>1</v>
      </c>
      <c r="N295" s="1">
        <v>0</v>
      </c>
      <c r="O295" s="1" t="e">
        <f t="shared" si="55"/>
        <v>#N/A</v>
      </c>
      <c r="P295" s="1" t="str">
        <f t="shared" si="56"/>
        <v>产能周期上行</v>
      </c>
      <c r="Q295" s="2" t="e">
        <f t="shared" si="57"/>
        <v>#N/A</v>
      </c>
      <c r="S295" s="12"/>
      <c r="T295" s="13"/>
      <c r="V295" s="12">
        <v>35430</v>
      </c>
      <c r="W295" s="13">
        <v>16.3</v>
      </c>
    </row>
    <row r="296" spans="1:23" x14ac:dyDescent="0.35">
      <c r="A296" s="8">
        <v>37680</v>
      </c>
      <c r="B296" s="9" t="e">
        <f t="shared" si="58"/>
        <v>#N/A</v>
      </c>
      <c r="C296" s="9">
        <f t="shared" si="59"/>
        <v>7.59</v>
      </c>
      <c r="D296" s="9" t="e">
        <f t="shared" si="60"/>
        <v>#N/A</v>
      </c>
      <c r="E296" s="1">
        <v>1</v>
      </c>
      <c r="F296" s="1">
        <v>0</v>
      </c>
      <c r="I296" s="1">
        <f t="shared" si="51"/>
        <v>0</v>
      </c>
      <c r="J296" s="1">
        <f t="shared" si="52"/>
        <v>0</v>
      </c>
      <c r="K296" s="1">
        <f t="shared" si="53"/>
        <v>0</v>
      </c>
      <c r="L296" s="1">
        <f t="shared" si="54"/>
        <v>0</v>
      </c>
      <c r="M296" s="1">
        <v>1</v>
      </c>
      <c r="N296" s="1">
        <v>0</v>
      </c>
      <c r="O296" s="1" t="e">
        <f t="shared" si="55"/>
        <v>#N/A</v>
      </c>
      <c r="P296" s="1" t="str">
        <f t="shared" si="56"/>
        <v>产能周期上行</v>
      </c>
      <c r="Q296" s="2" t="e">
        <f t="shared" si="57"/>
        <v>#N/A</v>
      </c>
      <c r="S296" s="12"/>
      <c r="T296" s="13"/>
      <c r="V296" s="12">
        <v>35399</v>
      </c>
      <c r="W296" s="13">
        <v>15.6</v>
      </c>
    </row>
    <row r="297" spans="1:23" x14ac:dyDescent="0.35">
      <c r="A297" s="8">
        <v>37652</v>
      </c>
      <c r="B297" s="9" t="e">
        <f t="shared" si="58"/>
        <v>#N/A</v>
      </c>
      <c r="C297" s="9" t="e">
        <f t="shared" si="59"/>
        <v>#N/A</v>
      </c>
      <c r="D297" s="9" t="e">
        <f t="shared" si="60"/>
        <v>#N/A</v>
      </c>
      <c r="E297" s="1">
        <v>1</v>
      </c>
      <c r="F297" s="1">
        <v>0</v>
      </c>
      <c r="I297" s="1">
        <f t="shared" ref="I297:I328" si="61">INT(AND(H297=1,F297=1))</f>
        <v>0</v>
      </c>
      <c r="J297" s="1">
        <f t="shared" ref="J297:J328" si="62">INT(AND(H297=1,E297=1))</f>
        <v>0</v>
      </c>
      <c r="K297" s="1">
        <f t="shared" ref="K297:K328" si="63">INT(AND(G297=1,F297=1))</f>
        <v>0</v>
      </c>
      <c r="L297" s="1">
        <f t="shared" ref="L297:L328" si="64">INT(AND(G297=1,E297=1))</f>
        <v>0</v>
      </c>
      <c r="M297" s="1">
        <v>1</v>
      </c>
      <c r="N297" s="1">
        <v>0</v>
      </c>
      <c r="O297" s="1" t="e">
        <f t="shared" ref="O297:O328" si="65">INDEX($I$3:$L$3,1,MATCH(1,I297:L297,0))</f>
        <v>#N/A</v>
      </c>
      <c r="P297" s="1" t="str">
        <f t="shared" ref="P297:P328" si="66">INDEX($M$3:$N$3,1,MATCH(1,M297:N297,0))</f>
        <v>产能周期上行</v>
      </c>
      <c r="Q297" s="2" t="e">
        <f t="shared" ref="Q297:Q360" si="67">TEXT(P297,"")&amp;","&amp;TEXT(O297,"")</f>
        <v>#N/A</v>
      </c>
      <c r="S297" s="12"/>
      <c r="T297" s="13"/>
      <c r="V297" s="12">
        <v>35369</v>
      </c>
      <c r="W297" s="13">
        <v>16.7</v>
      </c>
    </row>
    <row r="298" spans="1:23" x14ac:dyDescent="0.35">
      <c r="A298" s="8">
        <v>37621</v>
      </c>
      <c r="B298" s="9" t="e">
        <f t="shared" si="58"/>
        <v>#N/A</v>
      </c>
      <c r="C298" s="9">
        <f t="shared" si="59"/>
        <v>5.24</v>
      </c>
      <c r="D298" s="9">
        <f t="shared" si="60"/>
        <v>41.25</v>
      </c>
      <c r="E298" s="1">
        <v>1</v>
      </c>
      <c r="F298" s="1">
        <v>0</v>
      </c>
      <c r="I298" s="1">
        <f t="shared" si="61"/>
        <v>0</v>
      </c>
      <c r="J298" s="1">
        <f t="shared" si="62"/>
        <v>0</v>
      </c>
      <c r="K298" s="1">
        <f t="shared" si="63"/>
        <v>0</v>
      </c>
      <c r="L298" s="1">
        <f t="shared" si="64"/>
        <v>0</v>
      </c>
      <c r="M298" s="1">
        <v>1</v>
      </c>
      <c r="N298" s="1">
        <v>0</v>
      </c>
      <c r="O298" s="1" t="e">
        <f t="shared" si="65"/>
        <v>#N/A</v>
      </c>
      <c r="P298" s="1" t="str">
        <f t="shared" si="66"/>
        <v>产能周期上行</v>
      </c>
      <c r="Q298" s="2" t="e">
        <f t="shared" si="67"/>
        <v>#N/A</v>
      </c>
      <c r="S298" s="12"/>
      <c r="T298" s="13"/>
      <c r="V298" s="12">
        <v>35338</v>
      </c>
      <c r="W298" s="13">
        <v>18.3</v>
      </c>
    </row>
    <row r="299" spans="1:23" x14ac:dyDescent="0.3">
      <c r="A299" s="8">
        <v>37590</v>
      </c>
      <c r="B299" s="9" t="e">
        <f t="shared" si="58"/>
        <v>#N/A</v>
      </c>
      <c r="C299" s="9">
        <f t="shared" si="59"/>
        <v>2.82</v>
      </c>
      <c r="D299" s="9" t="e">
        <f t="shared" si="60"/>
        <v>#N/A</v>
      </c>
      <c r="E299" s="1">
        <v>1</v>
      </c>
      <c r="F299" s="1">
        <v>0</v>
      </c>
      <c r="I299" s="1">
        <f t="shared" si="61"/>
        <v>0</v>
      </c>
      <c r="J299" s="1">
        <f t="shared" si="62"/>
        <v>0</v>
      </c>
      <c r="K299" s="1">
        <f t="shared" si="63"/>
        <v>0</v>
      </c>
      <c r="L299" s="1">
        <f t="shared" si="64"/>
        <v>0</v>
      </c>
      <c r="M299" s="1">
        <v>1</v>
      </c>
      <c r="N299" s="1">
        <v>0</v>
      </c>
      <c r="O299" s="1" t="e">
        <f t="shared" si="65"/>
        <v>#N/A</v>
      </c>
      <c r="P299" s="1" t="str">
        <f t="shared" si="66"/>
        <v>产能周期上行</v>
      </c>
      <c r="Q299" s="2" t="e">
        <f t="shared" si="67"/>
        <v>#N/A</v>
      </c>
      <c r="S299" s="12"/>
      <c r="T299" s="13"/>
      <c r="V299" s="52">
        <v>35308</v>
      </c>
      <c r="W299" s="53">
        <v>19.7</v>
      </c>
    </row>
    <row r="300" spans="1:23" x14ac:dyDescent="0.3">
      <c r="A300" s="8">
        <v>37560</v>
      </c>
      <c r="B300" s="9" t="e">
        <f t="shared" si="58"/>
        <v>#N/A</v>
      </c>
      <c r="C300" s="9">
        <f t="shared" si="59"/>
        <v>2.21</v>
      </c>
      <c r="D300" s="9" t="e">
        <f t="shared" si="60"/>
        <v>#N/A</v>
      </c>
      <c r="E300" s="1">
        <v>1</v>
      </c>
      <c r="F300" s="1">
        <v>0</v>
      </c>
      <c r="I300" s="1">
        <f t="shared" si="61"/>
        <v>0</v>
      </c>
      <c r="J300" s="1">
        <f t="shared" si="62"/>
        <v>0</v>
      </c>
      <c r="K300" s="1">
        <f t="shared" si="63"/>
        <v>0</v>
      </c>
      <c r="L300" s="1">
        <f t="shared" si="64"/>
        <v>0</v>
      </c>
      <c r="M300" s="1">
        <v>1</v>
      </c>
      <c r="N300" s="1">
        <v>0</v>
      </c>
      <c r="O300" s="1" t="e">
        <f t="shared" si="65"/>
        <v>#N/A</v>
      </c>
      <c r="P300" s="1" t="str">
        <f t="shared" si="66"/>
        <v>产能周期上行</v>
      </c>
      <c r="Q300" s="2" t="e">
        <f t="shared" si="67"/>
        <v>#N/A</v>
      </c>
      <c r="S300" s="12"/>
      <c r="T300" s="13"/>
      <c r="V300" s="52">
        <v>35277</v>
      </c>
      <c r="W300" s="53">
        <v>20.9</v>
      </c>
    </row>
    <row r="301" spans="1:23" x14ac:dyDescent="0.35">
      <c r="A301" s="8">
        <v>37529</v>
      </c>
      <c r="B301" s="9" t="e">
        <f t="shared" si="58"/>
        <v>#N/A</v>
      </c>
      <c r="C301" s="9">
        <f t="shared" si="59"/>
        <v>2.42</v>
      </c>
      <c r="D301" s="9">
        <f t="shared" si="60"/>
        <v>40.65</v>
      </c>
      <c r="E301" s="1">
        <v>1</v>
      </c>
      <c r="F301" s="1">
        <v>0</v>
      </c>
      <c r="I301" s="1">
        <f t="shared" si="61"/>
        <v>0</v>
      </c>
      <c r="J301" s="1">
        <f t="shared" si="62"/>
        <v>0</v>
      </c>
      <c r="K301" s="1">
        <f t="shared" si="63"/>
        <v>0</v>
      </c>
      <c r="L301" s="1">
        <f t="shared" si="64"/>
        <v>0</v>
      </c>
      <c r="M301" s="1">
        <v>1</v>
      </c>
      <c r="N301" s="1">
        <v>0</v>
      </c>
      <c r="O301" s="1" t="e">
        <f t="shared" si="65"/>
        <v>#N/A</v>
      </c>
      <c r="P301" s="1" t="str">
        <f t="shared" si="66"/>
        <v>产能周期上行</v>
      </c>
      <c r="Q301" s="2" t="e">
        <f t="shared" si="67"/>
        <v>#N/A</v>
      </c>
      <c r="S301" s="12"/>
      <c r="T301" s="13"/>
      <c r="V301" s="55">
        <v>35246</v>
      </c>
      <c r="W301" s="16">
        <v>22.6</v>
      </c>
    </row>
    <row r="302" spans="1:23" x14ac:dyDescent="0.35">
      <c r="A302" s="8">
        <v>37499</v>
      </c>
      <c r="B302" s="9" t="e">
        <f t="shared" si="58"/>
        <v>#N/A</v>
      </c>
      <c r="C302" s="9">
        <f t="shared" si="59"/>
        <v>2.9</v>
      </c>
      <c r="D302" s="9" t="e">
        <f t="shared" si="60"/>
        <v>#N/A</v>
      </c>
      <c r="E302" s="1">
        <v>1</v>
      </c>
      <c r="F302" s="1">
        <v>0</v>
      </c>
      <c r="I302" s="1">
        <f t="shared" si="61"/>
        <v>0</v>
      </c>
      <c r="J302" s="1">
        <f t="shared" si="62"/>
        <v>0</v>
      </c>
      <c r="K302" s="1">
        <f t="shared" si="63"/>
        <v>0</v>
      </c>
      <c r="L302" s="1">
        <f t="shared" si="64"/>
        <v>0</v>
      </c>
      <c r="M302" s="1">
        <v>1</v>
      </c>
      <c r="N302" s="1">
        <v>0</v>
      </c>
      <c r="O302" s="1" t="e">
        <f t="shared" si="65"/>
        <v>#N/A</v>
      </c>
      <c r="P302" s="1" t="str">
        <f t="shared" si="66"/>
        <v>产能周期上行</v>
      </c>
      <c r="Q302" s="2" t="e">
        <f t="shared" si="67"/>
        <v>#N/A</v>
      </c>
      <c r="S302" s="12"/>
      <c r="T302" s="13"/>
      <c r="V302" s="55">
        <v>35216</v>
      </c>
      <c r="W302" s="16">
        <v>23.4</v>
      </c>
    </row>
    <row r="303" spans="1:23" x14ac:dyDescent="0.35">
      <c r="A303" s="8">
        <v>37468</v>
      </c>
      <c r="B303" s="9" t="e">
        <f t="shared" si="58"/>
        <v>#N/A</v>
      </c>
      <c r="C303" s="9">
        <f t="shared" si="59"/>
        <v>2.27</v>
      </c>
      <c r="D303" s="9" t="e">
        <f t="shared" si="60"/>
        <v>#N/A</v>
      </c>
      <c r="E303" s="1">
        <v>1</v>
      </c>
      <c r="F303" s="1">
        <v>0</v>
      </c>
      <c r="I303" s="1">
        <f t="shared" si="61"/>
        <v>0</v>
      </c>
      <c r="J303" s="1">
        <f t="shared" si="62"/>
        <v>0</v>
      </c>
      <c r="K303" s="1">
        <f t="shared" si="63"/>
        <v>0</v>
      </c>
      <c r="L303" s="1">
        <f t="shared" si="64"/>
        <v>0</v>
      </c>
      <c r="M303" s="1">
        <v>1</v>
      </c>
      <c r="N303" s="1">
        <v>0</v>
      </c>
      <c r="O303" s="1" t="e">
        <f t="shared" si="65"/>
        <v>#N/A</v>
      </c>
      <c r="P303" s="1" t="str">
        <f t="shared" si="66"/>
        <v>产能周期上行</v>
      </c>
      <c r="Q303" s="2" t="e">
        <f t="shared" si="67"/>
        <v>#N/A</v>
      </c>
      <c r="S303" s="12"/>
      <c r="T303" s="13"/>
      <c r="V303" s="55">
        <v>35185</v>
      </c>
      <c r="W303" s="16">
        <v>24.5</v>
      </c>
    </row>
    <row r="304" spans="1:23" x14ac:dyDescent="0.35">
      <c r="A304" s="8">
        <v>37437</v>
      </c>
      <c r="B304" s="9" t="e">
        <f t="shared" si="58"/>
        <v>#N/A</v>
      </c>
      <c r="C304" s="9">
        <f t="shared" si="59"/>
        <v>4.0999999999999996</v>
      </c>
      <c r="D304" s="9">
        <f t="shared" si="60"/>
        <v>38.700000000000003</v>
      </c>
      <c r="E304" s="1">
        <v>0</v>
      </c>
      <c r="F304" s="1">
        <v>1</v>
      </c>
      <c r="I304" s="1">
        <f t="shared" si="61"/>
        <v>0</v>
      </c>
      <c r="J304" s="1">
        <f t="shared" si="62"/>
        <v>0</v>
      </c>
      <c r="K304" s="1">
        <f t="shared" si="63"/>
        <v>0</v>
      </c>
      <c r="L304" s="1">
        <f t="shared" si="64"/>
        <v>0</v>
      </c>
      <c r="M304" s="1">
        <v>1</v>
      </c>
      <c r="N304" s="1">
        <v>0</v>
      </c>
      <c r="O304" s="1" t="e">
        <f t="shared" si="65"/>
        <v>#N/A</v>
      </c>
      <c r="P304" s="1" t="str">
        <f t="shared" si="66"/>
        <v>产能周期上行</v>
      </c>
      <c r="Q304" s="2" t="e">
        <f t="shared" si="67"/>
        <v>#N/A</v>
      </c>
      <c r="S304" s="12"/>
      <c r="T304" s="13"/>
      <c r="V304" s="55">
        <v>35155</v>
      </c>
      <c r="W304" s="16">
        <v>24.6</v>
      </c>
    </row>
    <row r="305" spans="1:23" x14ac:dyDescent="0.35">
      <c r="A305" s="8">
        <v>37407</v>
      </c>
      <c r="B305" s="9" t="e">
        <f t="shared" si="58"/>
        <v>#N/A</v>
      </c>
      <c r="C305" s="9">
        <f t="shared" si="59"/>
        <v>4.1900000000000004</v>
      </c>
      <c r="D305" s="9" t="e">
        <f t="shared" si="60"/>
        <v>#N/A</v>
      </c>
      <c r="E305" s="1">
        <v>0</v>
      </c>
      <c r="F305" s="1">
        <v>1</v>
      </c>
      <c r="I305" s="1">
        <f t="shared" si="61"/>
        <v>0</v>
      </c>
      <c r="J305" s="1">
        <f t="shared" si="62"/>
        <v>0</v>
      </c>
      <c r="K305" s="1">
        <f t="shared" si="63"/>
        <v>0</v>
      </c>
      <c r="L305" s="1">
        <f t="shared" si="64"/>
        <v>0</v>
      </c>
      <c r="M305" s="1">
        <v>1</v>
      </c>
      <c r="N305" s="1">
        <v>0</v>
      </c>
      <c r="O305" s="1" t="e">
        <f t="shared" si="65"/>
        <v>#N/A</v>
      </c>
      <c r="P305" s="1" t="str">
        <f t="shared" si="66"/>
        <v>产能周期上行</v>
      </c>
      <c r="Q305" s="2" t="e">
        <f t="shared" si="67"/>
        <v>#N/A</v>
      </c>
      <c r="S305" s="12"/>
      <c r="T305" s="13"/>
      <c r="V305" s="55">
        <v>35124</v>
      </c>
      <c r="W305" s="16">
        <v>23.6</v>
      </c>
    </row>
    <row r="306" spans="1:23" x14ac:dyDescent="0.35">
      <c r="A306" s="8">
        <v>37376</v>
      </c>
      <c r="B306" s="9" t="e">
        <f t="shared" si="58"/>
        <v>#N/A</v>
      </c>
      <c r="C306" s="9">
        <f t="shared" si="59"/>
        <v>3.43</v>
      </c>
      <c r="D306" s="9" t="e">
        <f t="shared" si="60"/>
        <v>#N/A</v>
      </c>
      <c r="E306" s="1">
        <v>0</v>
      </c>
      <c r="F306" s="1">
        <v>1</v>
      </c>
      <c r="I306" s="1">
        <f t="shared" si="61"/>
        <v>0</v>
      </c>
      <c r="J306" s="1">
        <f t="shared" si="62"/>
        <v>0</v>
      </c>
      <c r="K306" s="1">
        <f t="shared" si="63"/>
        <v>0</v>
      </c>
      <c r="L306" s="1">
        <f t="shared" si="64"/>
        <v>0</v>
      </c>
      <c r="M306" s="1">
        <v>1</v>
      </c>
      <c r="N306" s="1">
        <v>0</v>
      </c>
      <c r="O306" s="1" t="e">
        <f t="shared" si="65"/>
        <v>#N/A</v>
      </c>
      <c r="P306" s="1" t="str">
        <f t="shared" si="66"/>
        <v>产能周期上行</v>
      </c>
      <c r="Q306" s="2" t="e">
        <f t="shared" si="67"/>
        <v>#N/A</v>
      </c>
      <c r="S306" s="12"/>
      <c r="T306" s="13"/>
      <c r="V306" s="55">
        <v>35124</v>
      </c>
      <c r="W306" s="16">
        <v>23.6</v>
      </c>
    </row>
    <row r="307" spans="1:23" x14ac:dyDescent="0.35">
      <c r="A307" s="8">
        <v>37346</v>
      </c>
      <c r="B307" s="9" t="e">
        <f t="shared" si="58"/>
        <v>#N/A</v>
      </c>
      <c r="C307" s="9">
        <f t="shared" si="59"/>
        <v>3.5</v>
      </c>
      <c r="D307" s="9">
        <f t="shared" si="60"/>
        <v>37.15</v>
      </c>
      <c r="E307" s="1">
        <v>0</v>
      </c>
      <c r="F307" s="1">
        <v>1</v>
      </c>
      <c r="I307" s="1">
        <f t="shared" si="61"/>
        <v>0</v>
      </c>
      <c r="J307" s="1">
        <f t="shared" si="62"/>
        <v>0</v>
      </c>
      <c r="K307" s="1">
        <f t="shared" si="63"/>
        <v>0</v>
      </c>
      <c r="L307" s="1">
        <f t="shared" si="64"/>
        <v>0</v>
      </c>
      <c r="M307" s="1">
        <v>1</v>
      </c>
      <c r="N307" s="1">
        <v>0</v>
      </c>
      <c r="O307" s="1" t="e">
        <f t="shared" si="65"/>
        <v>#N/A</v>
      </c>
      <c r="P307" s="1" t="str">
        <f t="shared" si="66"/>
        <v>产能周期上行</v>
      </c>
      <c r="Q307" s="2" t="e">
        <f t="shared" si="67"/>
        <v>#N/A</v>
      </c>
      <c r="S307" s="12"/>
      <c r="T307" s="13"/>
      <c r="V307" s="15"/>
      <c r="W307" s="16"/>
    </row>
    <row r="308" spans="1:23" x14ac:dyDescent="0.35">
      <c r="A308" s="8">
        <v>37315</v>
      </c>
      <c r="B308" s="9" t="e">
        <f t="shared" si="58"/>
        <v>#N/A</v>
      </c>
      <c r="C308" s="9">
        <f t="shared" si="59"/>
        <v>3.7</v>
      </c>
      <c r="D308" s="9" t="e">
        <f t="shared" si="60"/>
        <v>#N/A</v>
      </c>
      <c r="E308" s="1">
        <v>0</v>
      </c>
      <c r="F308" s="1">
        <v>1</v>
      </c>
      <c r="I308" s="1">
        <f t="shared" si="61"/>
        <v>0</v>
      </c>
      <c r="J308" s="1">
        <f t="shared" si="62"/>
        <v>0</v>
      </c>
      <c r="K308" s="1">
        <f t="shared" si="63"/>
        <v>0</v>
      </c>
      <c r="L308" s="1">
        <f t="shared" si="64"/>
        <v>0</v>
      </c>
      <c r="M308" s="1">
        <v>1</v>
      </c>
      <c r="N308" s="1">
        <v>0</v>
      </c>
      <c r="O308" s="1" t="e">
        <f t="shared" si="65"/>
        <v>#N/A</v>
      </c>
      <c r="P308" s="1" t="str">
        <f t="shared" si="66"/>
        <v>产能周期上行</v>
      </c>
      <c r="Q308" s="2" t="e">
        <f t="shared" si="67"/>
        <v>#N/A</v>
      </c>
      <c r="S308" s="12"/>
      <c r="T308" s="13"/>
      <c r="V308" s="15"/>
      <c r="W308" s="16"/>
    </row>
    <row r="309" spans="1:23" x14ac:dyDescent="0.35">
      <c r="A309" s="8">
        <v>37287</v>
      </c>
      <c r="B309" s="9" t="e">
        <f t="shared" si="58"/>
        <v>#N/A</v>
      </c>
      <c r="C309" s="9" t="e">
        <f t="shared" si="59"/>
        <v>#N/A</v>
      </c>
      <c r="D309" s="9" t="e">
        <f t="shared" si="60"/>
        <v>#N/A</v>
      </c>
      <c r="E309" s="1">
        <v>0</v>
      </c>
      <c r="F309" s="1">
        <v>1</v>
      </c>
      <c r="I309" s="1">
        <f t="shared" si="61"/>
        <v>0</v>
      </c>
      <c r="J309" s="1">
        <f t="shared" si="62"/>
        <v>0</v>
      </c>
      <c r="K309" s="1">
        <f t="shared" si="63"/>
        <v>0</v>
      </c>
      <c r="L309" s="1">
        <f t="shared" si="64"/>
        <v>0</v>
      </c>
      <c r="M309" s="1">
        <v>1</v>
      </c>
      <c r="N309" s="1">
        <v>0</v>
      </c>
      <c r="O309" s="1" t="e">
        <f t="shared" si="65"/>
        <v>#N/A</v>
      </c>
      <c r="P309" s="1" t="str">
        <f t="shared" si="66"/>
        <v>产能周期上行</v>
      </c>
      <c r="Q309" s="2" t="e">
        <f t="shared" si="67"/>
        <v>#N/A</v>
      </c>
      <c r="S309" s="12"/>
      <c r="T309" s="13"/>
      <c r="V309" s="15"/>
      <c r="W309" s="16"/>
    </row>
    <row r="310" spans="1:23" x14ac:dyDescent="0.35">
      <c r="A310" s="8">
        <v>37256</v>
      </c>
      <c r="B310" s="9" t="e">
        <f t="shared" si="58"/>
        <v>#N/A</v>
      </c>
      <c r="C310" s="9">
        <f t="shared" si="59"/>
        <v>6.64</v>
      </c>
      <c r="D310" s="9">
        <f t="shared" si="60"/>
        <v>36.85</v>
      </c>
      <c r="E310" s="1">
        <v>0</v>
      </c>
      <c r="F310" s="1">
        <v>1</v>
      </c>
      <c r="I310" s="1">
        <f t="shared" si="61"/>
        <v>0</v>
      </c>
      <c r="J310" s="1">
        <f t="shared" si="62"/>
        <v>0</v>
      </c>
      <c r="K310" s="1">
        <f t="shared" si="63"/>
        <v>0</v>
      </c>
      <c r="L310" s="1">
        <f t="shared" si="64"/>
        <v>0</v>
      </c>
      <c r="M310" s="1">
        <v>1</v>
      </c>
      <c r="N310" s="1">
        <v>0</v>
      </c>
      <c r="O310" s="1" t="e">
        <f t="shared" si="65"/>
        <v>#N/A</v>
      </c>
      <c r="P310" s="1" t="str">
        <f t="shared" si="66"/>
        <v>产能周期上行</v>
      </c>
      <c r="Q310" s="2" t="e">
        <f t="shared" si="67"/>
        <v>#N/A</v>
      </c>
      <c r="S310" s="12"/>
      <c r="T310" s="13"/>
      <c r="V310" s="15"/>
      <c r="W310" s="16"/>
    </row>
    <row r="311" spans="1:23" x14ac:dyDescent="0.35">
      <c r="A311" s="8">
        <v>37225</v>
      </c>
      <c r="B311" s="9" t="e">
        <f t="shared" si="58"/>
        <v>#N/A</v>
      </c>
      <c r="C311" s="9">
        <f t="shared" si="59"/>
        <v>5.44</v>
      </c>
      <c r="D311" s="9" t="e">
        <f t="shared" si="60"/>
        <v>#N/A</v>
      </c>
      <c r="E311" s="1">
        <v>0</v>
      </c>
      <c r="F311" s="1">
        <v>1</v>
      </c>
      <c r="I311" s="1">
        <f t="shared" si="61"/>
        <v>0</v>
      </c>
      <c r="J311" s="1">
        <f t="shared" si="62"/>
        <v>0</v>
      </c>
      <c r="K311" s="1">
        <f t="shared" si="63"/>
        <v>0</v>
      </c>
      <c r="L311" s="1">
        <f t="shared" si="64"/>
        <v>0</v>
      </c>
      <c r="M311" s="1">
        <v>1</v>
      </c>
      <c r="N311" s="1">
        <v>0</v>
      </c>
      <c r="O311" s="1" t="e">
        <f t="shared" si="65"/>
        <v>#N/A</v>
      </c>
      <c r="P311" s="1" t="str">
        <f t="shared" si="66"/>
        <v>产能周期上行</v>
      </c>
      <c r="Q311" s="2" t="e">
        <f t="shared" si="67"/>
        <v>#N/A</v>
      </c>
      <c r="S311" s="12"/>
      <c r="T311" s="13"/>
      <c r="V311" s="15"/>
      <c r="W311" s="16"/>
    </row>
    <row r="312" spans="1:23" x14ac:dyDescent="0.35">
      <c r="A312" s="8">
        <v>37195</v>
      </c>
      <c r="B312" s="9" t="e">
        <f t="shared" si="58"/>
        <v>#N/A</v>
      </c>
      <c r="C312" s="9">
        <f t="shared" si="59"/>
        <v>6.53</v>
      </c>
      <c r="D312" s="9" t="e">
        <f t="shared" si="60"/>
        <v>#N/A</v>
      </c>
      <c r="E312" s="1">
        <v>0</v>
      </c>
      <c r="F312" s="1">
        <v>1</v>
      </c>
      <c r="I312" s="1">
        <f t="shared" si="61"/>
        <v>0</v>
      </c>
      <c r="J312" s="1">
        <f t="shared" si="62"/>
        <v>0</v>
      </c>
      <c r="K312" s="1">
        <f t="shared" si="63"/>
        <v>0</v>
      </c>
      <c r="L312" s="1">
        <f t="shared" si="64"/>
        <v>0</v>
      </c>
      <c r="M312" s="1">
        <v>1</v>
      </c>
      <c r="N312" s="1">
        <v>0</v>
      </c>
      <c r="O312" s="1" t="e">
        <f t="shared" si="65"/>
        <v>#N/A</v>
      </c>
      <c r="P312" s="1" t="str">
        <f t="shared" si="66"/>
        <v>产能周期上行</v>
      </c>
      <c r="Q312" s="2" t="e">
        <f t="shared" si="67"/>
        <v>#N/A</v>
      </c>
      <c r="S312" s="12"/>
      <c r="T312" s="13"/>
      <c r="V312" s="15"/>
      <c r="W312" s="16"/>
    </row>
    <row r="313" spans="1:23" x14ac:dyDescent="0.35">
      <c r="A313" s="8">
        <v>37164</v>
      </c>
      <c r="B313" s="9" t="e">
        <f t="shared" si="58"/>
        <v>#N/A</v>
      </c>
      <c r="C313" s="9">
        <f t="shared" si="59"/>
        <v>6.67</v>
      </c>
      <c r="D313" s="9">
        <f t="shared" si="60"/>
        <v>36.4</v>
      </c>
      <c r="E313" s="1">
        <v>0</v>
      </c>
      <c r="F313" s="1">
        <v>1</v>
      </c>
      <c r="I313" s="1">
        <f t="shared" si="61"/>
        <v>0</v>
      </c>
      <c r="J313" s="1">
        <f t="shared" si="62"/>
        <v>0</v>
      </c>
      <c r="K313" s="1">
        <f t="shared" si="63"/>
        <v>0</v>
      </c>
      <c r="L313" s="1">
        <f t="shared" si="64"/>
        <v>0</v>
      </c>
      <c r="M313" s="1">
        <v>1</v>
      </c>
      <c r="N313" s="1">
        <v>0</v>
      </c>
      <c r="O313" s="1" t="e">
        <f t="shared" si="65"/>
        <v>#N/A</v>
      </c>
      <c r="P313" s="1" t="str">
        <f t="shared" si="66"/>
        <v>产能周期上行</v>
      </c>
      <c r="Q313" s="2" t="e">
        <f t="shared" si="67"/>
        <v>#N/A</v>
      </c>
      <c r="S313" s="12"/>
      <c r="T313" s="13"/>
      <c r="V313" s="15"/>
      <c r="W313" s="16"/>
    </row>
    <row r="314" spans="1:23" x14ac:dyDescent="0.35">
      <c r="A314" s="8">
        <v>37134</v>
      </c>
      <c r="B314" s="9" t="e">
        <f t="shared" si="58"/>
        <v>#N/A</v>
      </c>
      <c r="C314" s="9">
        <f t="shared" si="59"/>
        <v>7.7</v>
      </c>
      <c r="D314" s="9" t="e">
        <f t="shared" si="60"/>
        <v>#N/A</v>
      </c>
      <c r="E314" s="1">
        <v>0</v>
      </c>
      <c r="F314" s="1">
        <v>1</v>
      </c>
      <c r="I314" s="1">
        <f t="shared" si="61"/>
        <v>0</v>
      </c>
      <c r="J314" s="1">
        <f t="shared" si="62"/>
        <v>0</v>
      </c>
      <c r="K314" s="1">
        <f t="shared" si="63"/>
        <v>0</v>
      </c>
      <c r="L314" s="1">
        <f t="shared" si="64"/>
        <v>0</v>
      </c>
      <c r="M314" s="1">
        <v>1</v>
      </c>
      <c r="N314" s="1">
        <v>0</v>
      </c>
      <c r="O314" s="1" t="e">
        <f t="shared" si="65"/>
        <v>#N/A</v>
      </c>
      <c r="P314" s="1" t="str">
        <f t="shared" si="66"/>
        <v>产能周期上行</v>
      </c>
      <c r="Q314" s="2" t="e">
        <f t="shared" si="67"/>
        <v>#N/A</v>
      </c>
      <c r="S314" s="12"/>
      <c r="T314" s="13"/>
      <c r="V314" s="15"/>
      <c r="W314" s="16"/>
    </row>
    <row r="315" spans="1:23" x14ac:dyDescent="0.35">
      <c r="A315" s="8">
        <v>37103</v>
      </c>
      <c r="B315" s="9" t="e">
        <f t="shared" si="58"/>
        <v>#N/A</v>
      </c>
      <c r="C315" s="9">
        <f t="shared" si="59"/>
        <v>8.59</v>
      </c>
      <c r="D315" s="9" t="e">
        <f t="shared" si="60"/>
        <v>#N/A</v>
      </c>
      <c r="E315" s="1">
        <v>0</v>
      </c>
      <c r="F315" s="1">
        <v>1</v>
      </c>
      <c r="I315" s="1">
        <f t="shared" si="61"/>
        <v>0</v>
      </c>
      <c r="J315" s="1">
        <f t="shared" si="62"/>
        <v>0</v>
      </c>
      <c r="K315" s="1">
        <f t="shared" si="63"/>
        <v>0</v>
      </c>
      <c r="L315" s="1">
        <f t="shared" si="64"/>
        <v>0</v>
      </c>
      <c r="M315" s="1">
        <v>1</v>
      </c>
      <c r="N315" s="1">
        <v>0</v>
      </c>
      <c r="O315" s="1" t="e">
        <f t="shared" si="65"/>
        <v>#N/A</v>
      </c>
      <c r="P315" s="1" t="str">
        <f t="shared" si="66"/>
        <v>产能周期上行</v>
      </c>
      <c r="Q315" s="2" t="e">
        <f t="shared" si="67"/>
        <v>#N/A</v>
      </c>
      <c r="S315" s="12"/>
      <c r="T315" s="13"/>
      <c r="V315" s="15"/>
      <c r="W315" s="16"/>
    </row>
    <row r="316" spans="1:23" x14ac:dyDescent="0.35">
      <c r="A316" s="8">
        <v>37072</v>
      </c>
      <c r="B316" s="9" t="e">
        <f t="shared" si="58"/>
        <v>#N/A</v>
      </c>
      <c r="C316" s="9">
        <f t="shared" si="59"/>
        <v>8.7200000000000006</v>
      </c>
      <c r="D316" s="9">
        <f t="shared" si="60"/>
        <v>37.15</v>
      </c>
      <c r="E316" s="1">
        <v>0</v>
      </c>
      <c r="F316" s="1">
        <v>1</v>
      </c>
      <c r="I316" s="1">
        <f t="shared" si="61"/>
        <v>0</v>
      </c>
      <c r="J316" s="1">
        <f t="shared" si="62"/>
        <v>0</v>
      </c>
      <c r="K316" s="1">
        <f t="shared" si="63"/>
        <v>0</v>
      </c>
      <c r="L316" s="1">
        <f t="shared" si="64"/>
        <v>0</v>
      </c>
      <c r="M316" s="1">
        <v>1</v>
      </c>
      <c r="N316" s="1">
        <v>0</v>
      </c>
      <c r="O316" s="1" t="e">
        <f t="shared" si="65"/>
        <v>#N/A</v>
      </c>
      <c r="P316" s="1" t="str">
        <f t="shared" si="66"/>
        <v>产能周期上行</v>
      </c>
      <c r="Q316" s="2" t="e">
        <f t="shared" si="67"/>
        <v>#N/A</v>
      </c>
      <c r="S316" s="12"/>
      <c r="T316" s="13"/>
      <c r="V316" s="15"/>
      <c r="W316" s="16"/>
    </row>
    <row r="317" spans="1:23" x14ac:dyDescent="0.35">
      <c r="A317" s="8">
        <v>37042</v>
      </c>
      <c r="B317" s="9" t="e">
        <f t="shared" si="58"/>
        <v>#N/A</v>
      </c>
      <c r="C317" s="9">
        <f t="shared" si="59"/>
        <v>7.6</v>
      </c>
      <c r="D317" s="9" t="e">
        <f t="shared" si="60"/>
        <v>#N/A</v>
      </c>
      <c r="E317" s="1">
        <v>1</v>
      </c>
      <c r="F317" s="1">
        <v>0</v>
      </c>
      <c r="I317" s="1">
        <f t="shared" si="61"/>
        <v>0</v>
      </c>
      <c r="J317" s="1">
        <f t="shared" si="62"/>
        <v>0</v>
      </c>
      <c r="K317" s="1">
        <f t="shared" si="63"/>
        <v>0</v>
      </c>
      <c r="L317" s="1">
        <f t="shared" si="64"/>
        <v>0</v>
      </c>
      <c r="M317" s="1">
        <v>1</v>
      </c>
      <c r="N317" s="1">
        <v>0</v>
      </c>
      <c r="O317" s="1" t="e">
        <f t="shared" si="65"/>
        <v>#N/A</v>
      </c>
      <c r="P317" s="1" t="str">
        <f t="shared" si="66"/>
        <v>产能周期上行</v>
      </c>
      <c r="Q317" s="2" t="e">
        <f t="shared" si="67"/>
        <v>#N/A</v>
      </c>
      <c r="S317" s="12"/>
      <c r="T317" s="13"/>
      <c r="V317" s="15"/>
      <c r="W317" s="16"/>
    </row>
    <row r="318" spans="1:23" x14ac:dyDescent="0.35">
      <c r="A318" s="8">
        <v>37011</v>
      </c>
      <c r="B318" s="9" t="e">
        <f t="shared" si="58"/>
        <v>#N/A</v>
      </c>
      <c r="C318" s="9">
        <f t="shared" si="59"/>
        <v>7.56</v>
      </c>
      <c r="D318" s="9" t="e">
        <f t="shared" si="60"/>
        <v>#N/A</v>
      </c>
      <c r="E318" s="1">
        <v>1</v>
      </c>
      <c r="F318" s="1">
        <v>0</v>
      </c>
      <c r="I318" s="1">
        <f t="shared" si="61"/>
        <v>0</v>
      </c>
      <c r="J318" s="1">
        <f t="shared" si="62"/>
        <v>0</v>
      </c>
      <c r="K318" s="1">
        <f t="shared" si="63"/>
        <v>0</v>
      </c>
      <c r="L318" s="1">
        <f t="shared" si="64"/>
        <v>0</v>
      </c>
      <c r="M318" s="1">
        <v>1</v>
      </c>
      <c r="N318" s="1">
        <v>0</v>
      </c>
      <c r="O318" s="1" t="e">
        <f t="shared" si="65"/>
        <v>#N/A</v>
      </c>
      <c r="P318" s="1" t="str">
        <f t="shared" si="66"/>
        <v>产能周期上行</v>
      </c>
      <c r="Q318" s="2" t="e">
        <f t="shared" si="67"/>
        <v>#N/A</v>
      </c>
      <c r="S318" s="12"/>
      <c r="T318" s="13"/>
      <c r="V318" s="15"/>
      <c r="W318" s="16"/>
    </row>
    <row r="319" spans="1:23" x14ac:dyDescent="0.35">
      <c r="A319" s="8">
        <v>36981</v>
      </c>
      <c r="B319" s="9" t="e">
        <f t="shared" si="58"/>
        <v>#N/A</v>
      </c>
      <c r="C319" s="9">
        <f t="shared" si="59"/>
        <v>7.73</v>
      </c>
      <c r="D319" s="9">
        <f t="shared" si="60"/>
        <v>36.15</v>
      </c>
      <c r="E319" s="1">
        <v>1</v>
      </c>
      <c r="F319" s="1">
        <v>0</v>
      </c>
      <c r="I319" s="1">
        <f t="shared" si="61"/>
        <v>0</v>
      </c>
      <c r="J319" s="1">
        <f t="shared" si="62"/>
        <v>0</v>
      </c>
      <c r="K319" s="1">
        <f t="shared" si="63"/>
        <v>0</v>
      </c>
      <c r="L319" s="1">
        <f t="shared" si="64"/>
        <v>0</v>
      </c>
      <c r="M319" s="1">
        <v>1</v>
      </c>
      <c r="N319" s="1">
        <v>0</v>
      </c>
      <c r="O319" s="1" t="e">
        <f t="shared" si="65"/>
        <v>#N/A</v>
      </c>
      <c r="P319" s="1" t="str">
        <f t="shared" si="66"/>
        <v>产能周期上行</v>
      </c>
      <c r="Q319" s="2" t="e">
        <f t="shared" si="67"/>
        <v>#N/A</v>
      </c>
      <c r="S319" s="12"/>
      <c r="T319" s="13"/>
      <c r="V319" s="15"/>
      <c r="W319" s="16"/>
    </row>
    <row r="320" spans="1:23" x14ac:dyDescent="0.35">
      <c r="A320" s="8">
        <v>36950</v>
      </c>
      <c r="B320" s="9" t="e">
        <f t="shared" si="58"/>
        <v>#N/A</v>
      </c>
      <c r="C320" s="9">
        <f t="shared" si="59"/>
        <v>5.9</v>
      </c>
      <c r="D320" s="9" t="e">
        <f t="shared" si="60"/>
        <v>#N/A</v>
      </c>
      <c r="E320" s="1">
        <v>1</v>
      </c>
      <c r="F320" s="1">
        <v>0</v>
      </c>
      <c r="I320" s="1">
        <f t="shared" si="61"/>
        <v>0</v>
      </c>
      <c r="J320" s="1">
        <f t="shared" si="62"/>
        <v>0</v>
      </c>
      <c r="K320" s="1">
        <f t="shared" si="63"/>
        <v>0</v>
      </c>
      <c r="L320" s="1">
        <f t="shared" si="64"/>
        <v>0</v>
      </c>
      <c r="M320" s="1">
        <v>1</v>
      </c>
      <c r="N320" s="1">
        <v>0</v>
      </c>
      <c r="O320" s="1" t="e">
        <f t="shared" si="65"/>
        <v>#N/A</v>
      </c>
      <c r="P320" s="1" t="str">
        <f t="shared" si="66"/>
        <v>产能周期上行</v>
      </c>
      <c r="Q320" s="2" t="e">
        <f t="shared" si="67"/>
        <v>#N/A</v>
      </c>
      <c r="S320" s="12"/>
      <c r="T320" s="13"/>
      <c r="V320" s="15"/>
      <c r="W320" s="16"/>
    </row>
    <row r="321" spans="1:23" x14ac:dyDescent="0.35">
      <c r="A321" s="8">
        <v>36922</v>
      </c>
      <c r="B321" s="9" t="e">
        <f t="shared" si="58"/>
        <v>#N/A</v>
      </c>
      <c r="C321" s="9" t="e">
        <f t="shared" si="59"/>
        <v>#N/A</v>
      </c>
      <c r="D321" s="9" t="e">
        <f t="shared" si="60"/>
        <v>#N/A</v>
      </c>
      <c r="E321" s="1">
        <v>1</v>
      </c>
      <c r="F321" s="1">
        <v>0</v>
      </c>
      <c r="I321" s="1">
        <f t="shared" si="61"/>
        <v>0</v>
      </c>
      <c r="J321" s="1">
        <f t="shared" si="62"/>
        <v>0</v>
      </c>
      <c r="K321" s="1">
        <f t="shared" si="63"/>
        <v>0</v>
      </c>
      <c r="L321" s="1">
        <f t="shared" si="64"/>
        <v>0</v>
      </c>
      <c r="M321" s="1">
        <v>1</v>
      </c>
      <c r="N321" s="1">
        <v>0</v>
      </c>
      <c r="O321" s="1" t="e">
        <f t="shared" si="65"/>
        <v>#N/A</v>
      </c>
      <c r="P321" s="1" t="str">
        <f t="shared" si="66"/>
        <v>产能周期上行</v>
      </c>
      <c r="Q321" s="2" t="e">
        <f t="shared" si="67"/>
        <v>#N/A</v>
      </c>
      <c r="S321" s="12"/>
      <c r="T321" s="13"/>
      <c r="V321" s="15"/>
      <c r="W321" s="16"/>
    </row>
    <row r="322" spans="1:23" x14ac:dyDescent="0.35">
      <c r="A322" s="8">
        <v>36891</v>
      </c>
      <c r="B322" s="9" t="e">
        <f t="shared" si="58"/>
        <v>#N/A</v>
      </c>
      <c r="C322" s="9">
        <f t="shared" si="59"/>
        <v>6.85</v>
      </c>
      <c r="D322" s="9">
        <f t="shared" si="60"/>
        <v>36.15</v>
      </c>
      <c r="E322" s="1">
        <v>1</v>
      </c>
      <c r="F322" s="1">
        <v>0</v>
      </c>
      <c r="I322" s="1">
        <f t="shared" si="61"/>
        <v>0</v>
      </c>
      <c r="J322" s="1">
        <f t="shared" si="62"/>
        <v>0</v>
      </c>
      <c r="K322" s="1">
        <f t="shared" si="63"/>
        <v>0</v>
      </c>
      <c r="L322" s="1">
        <f t="shared" si="64"/>
        <v>0</v>
      </c>
      <c r="M322" s="1">
        <v>1</v>
      </c>
      <c r="N322" s="1">
        <v>0</v>
      </c>
      <c r="O322" s="1" t="e">
        <f t="shared" si="65"/>
        <v>#N/A</v>
      </c>
      <c r="P322" s="1" t="str">
        <f t="shared" si="66"/>
        <v>产能周期上行</v>
      </c>
      <c r="Q322" s="2" t="e">
        <f t="shared" si="67"/>
        <v>#N/A</v>
      </c>
      <c r="S322" s="12"/>
      <c r="T322" s="13"/>
      <c r="V322" s="15"/>
      <c r="W322" s="16"/>
    </row>
    <row r="323" spans="1:23" x14ac:dyDescent="0.35">
      <c r="A323" s="8">
        <v>36860</v>
      </c>
      <c r="B323" s="9" t="e">
        <f t="shared" si="58"/>
        <v>#N/A</v>
      </c>
      <c r="C323" s="9">
        <f t="shared" si="59"/>
        <v>4.6399999999999997</v>
      </c>
      <c r="D323" s="9" t="e">
        <f t="shared" si="60"/>
        <v>#N/A</v>
      </c>
      <c r="E323" s="1">
        <v>1</v>
      </c>
      <c r="F323" s="1">
        <v>0</v>
      </c>
      <c r="I323" s="1">
        <f t="shared" si="61"/>
        <v>0</v>
      </c>
      <c r="J323" s="1">
        <f t="shared" si="62"/>
        <v>0</v>
      </c>
      <c r="K323" s="1">
        <f t="shared" si="63"/>
        <v>0</v>
      </c>
      <c r="L323" s="1">
        <f t="shared" si="64"/>
        <v>0</v>
      </c>
      <c r="M323" s="1">
        <v>1</v>
      </c>
      <c r="N323" s="1">
        <v>0</v>
      </c>
      <c r="O323" s="1" t="e">
        <f t="shared" si="65"/>
        <v>#N/A</v>
      </c>
      <c r="P323" s="1" t="str">
        <f t="shared" si="66"/>
        <v>产能周期上行</v>
      </c>
      <c r="Q323" s="2" t="e">
        <f t="shared" si="67"/>
        <v>#N/A</v>
      </c>
      <c r="S323" s="12"/>
      <c r="T323" s="13"/>
      <c r="V323" s="15"/>
      <c r="W323" s="16"/>
    </row>
    <row r="324" spans="1:23" x14ac:dyDescent="0.35">
      <c r="A324" s="8">
        <v>36830</v>
      </c>
      <c r="B324" s="9" t="e">
        <f t="shared" si="58"/>
        <v>#N/A</v>
      </c>
      <c r="C324" s="9">
        <f t="shared" si="59"/>
        <v>3.8</v>
      </c>
      <c r="D324" s="9" t="e">
        <f t="shared" si="60"/>
        <v>#N/A</v>
      </c>
      <c r="E324" s="1">
        <v>1</v>
      </c>
      <c r="F324" s="1">
        <v>0</v>
      </c>
      <c r="I324" s="1">
        <f t="shared" si="61"/>
        <v>0</v>
      </c>
      <c r="J324" s="1">
        <f t="shared" si="62"/>
        <v>0</v>
      </c>
      <c r="K324" s="1">
        <f t="shared" si="63"/>
        <v>0</v>
      </c>
      <c r="L324" s="1">
        <f t="shared" si="64"/>
        <v>0</v>
      </c>
      <c r="M324" s="1">
        <v>1</v>
      </c>
      <c r="N324" s="1">
        <v>0</v>
      </c>
      <c r="O324" s="1" t="e">
        <f t="shared" si="65"/>
        <v>#N/A</v>
      </c>
      <c r="P324" s="1" t="str">
        <f t="shared" si="66"/>
        <v>产能周期上行</v>
      </c>
      <c r="Q324" s="2" t="e">
        <f t="shared" si="67"/>
        <v>#N/A</v>
      </c>
      <c r="S324" s="12"/>
      <c r="T324" s="13"/>
      <c r="V324" s="15"/>
      <c r="W324" s="16"/>
    </row>
    <row r="325" spans="1:23" x14ac:dyDescent="0.35">
      <c r="A325" s="8">
        <v>36799</v>
      </c>
      <c r="B325" s="9" t="e">
        <f t="shared" si="58"/>
        <v>#N/A</v>
      </c>
      <c r="C325" s="9">
        <f t="shared" si="59"/>
        <v>3.64</v>
      </c>
      <c r="D325" s="9">
        <f t="shared" si="60"/>
        <v>35.549999999999997</v>
      </c>
      <c r="E325" s="1">
        <v>1</v>
      </c>
      <c r="F325" s="1">
        <v>0</v>
      </c>
      <c r="I325" s="1">
        <f t="shared" si="61"/>
        <v>0</v>
      </c>
      <c r="J325" s="1">
        <f t="shared" si="62"/>
        <v>0</v>
      </c>
      <c r="K325" s="1">
        <f t="shared" si="63"/>
        <v>0</v>
      </c>
      <c r="L325" s="1">
        <f t="shared" si="64"/>
        <v>0</v>
      </c>
      <c r="M325" s="1">
        <v>1</v>
      </c>
      <c r="N325" s="1">
        <v>0</v>
      </c>
      <c r="O325" s="1" t="e">
        <f t="shared" si="65"/>
        <v>#N/A</v>
      </c>
      <c r="P325" s="1" t="str">
        <f t="shared" si="66"/>
        <v>产能周期上行</v>
      </c>
      <c r="Q325" s="2" t="e">
        <f t="shared" si="67"/>
        <v>#N/A</v>
      </c>
      <c r="S325" s="12"/>
      <c r="T325" s="13"/>
      <c r="V325" s="15"/>
      <c r="W325" s="16"/>
    </row>
    <row r="326" spans="1:23" x14ac:dyDescent="0.35">
      <c r="A326" s="8">
        <v>36769</v>
      </c>
      <c r="B326" s="9" t="e">
        <f t="shared" si="58"/>
        <v>#N/A</v>
      </c>
      <c r="C326" s="9">
        <f t="shared" si="59"/>
        <v>3.34</v>
      </c>
      <c r="D326" s="9" t="e">
        <f t="shared" si="60"/>
        <v>#N/A</v>
      </c>
      <c r="E326" s="1">
        <v>1</v>
      </c>
      <c r="F326" s="1">
        <v>0</v>
      </c>
      <c r="I326" s="1">
        <f t="shared" si="61"/>
        <v>0</v>
      </c>
      <c r="J326" s="1">
        <f t="shared" si="62"/>
        <v>0</v>
      </c>
      <c r="K326" s="1">
        <f t="shared" si="63"/>
        <v>0</v>
      </c>
      <c r="L326" s="1">
        <f t="shared" si="64"/>
        <v>0</v>
      </c>
      <c r="M326" s="1">
        <v>1</v>
      </c>
      <c r="N326" s="1">
        <v>0</v>
      </c>
      <c r="O326" s="1" t="e">
        <f t="shared" si="65"/>
        <v>#N/A</v>
      </c>
      <c r="P326" s="1" t="str">
        <f t="shared" si="66"/>
        <v>产能周期上行</v>
      </c>
      <c r="Q326" s="2" t="e">
        <f t="shared" si="67"/>
        <v>#N/A</v>
      </c>
      <c r="S326" s="12"/>
      <c r="T326" s="13"/>
      <c r="V326" s="15"/>
      <c r="W326" s="16"/>
    </row>
    <row r="327" spans="1:23" x14ac:dyDescent="0.35">
      <c r="A327" s="8">
        <v>36738</v>
      </c>
      <c r="B327" s="9" t="e">
        <f t="shared" si="58"/>
        <v>#N/A</v>
      </c>
      <c r="C327" s="9">
        <f t="shared" si="59"/>
        <v>2.42</v>
      </c>
      <c r="D327" s="9" t="e">
        <f t="shared" si="60"/>
        <v>#N/A</v>
      </c>
      <c r="E327" s="1">
        <v>1</v>
      </c>
      <c r="F327" s="1">
        <v>0</v>
      </c>
      <c r="I327" s="1">
        <f t="shared" si="61"/>
        <v>0</v>
      </c>
      <c r="J327" s="1">
        <f t="shared" si="62"/>
        <v>0</v>
      </c>
      <c r="K327" s="1">
        <f t="shared" si="63"/>
        <v>0</v>
      </c>
      <c r="L327" s="1">
        <f t="shared" si="64"/>
        <v>0</v>
      </c>
      <c r="M327" s="1">
        <v>1</v>
      </c>
      <c r="N327" s="1">
        <v>0</v>
      </c>
      <c r="O327" s="1" t="e">
        <f t="shared" si="65"/>
        <v>#N/A</v>
      </c>
      <c r="P327" s="1" t="str">
        <f t="shared" si="66"/>
        <v>产能周期上行</v>
      </c>
      <c r="Q327" s="2" t="e">
        <f t="shared" si="67"/>
        <v>#N/A</v>
      </c>
      <c r="S327" s="12"/>
      <c r="T327" s="13"/>
      <c r="V327" s="15"/>
      <c r="W327" s="16"/>
    </row>
    <row r="328" spans="1:23" x14ac:dyDescent="0.35">
      <c r="A328" s="8">
        <v>36707</v>
      </c>
      <c r="B328" s="9" t="e">
        <f t="shared" si="58"/>
        <v>#N/A</v>
      </c>
      <c r="C328" s="9">
        <f t="shared" si="59"/>
        <v>2.0699999999999998</v>
      </c>
      <c r="D328" s="9">
        <f t="shared" si="60"/>
        <v>34.6</v>
      </c>
      <c r="E328" s="1">
        <v>1</v>
      </c>
      <c r="F328" s="1">
        <v>0</v>
      </c>
      <c r="I328" s="1">
        <f t="shared" si="61"/>
        <v>0</v>
      </c>
      <c r="J328" s="1">
        <f t="shared" si="62"/>
        <v>0</v>
      </c>
      <c r="K328" s="1">
        <f t="shared" si="63"/>
        <v>0</v>
      </c>
      <c r="L328" s="1">
        <f t="shared" si="64"/>
        <v>0</v>
      </c>
      <c r="M328" s="1">
        <v>1</v>
      </c>
      <c r="N328" s="1">
        <v>0</v>
      </c>
      <c r="O328" s="1" t="e">
        <f t="shared" si="65"/>
        <v>#N/A</v>
      </c>
      <c r="P328" s="1" t="str">
        <f t="shared" si="66"/>
        <v>产能周期上行</v>
      </c>
      <c r="Q328" s="2" t="e">
        <f t="shared" si="67"/>
        <v>#N/A</v>
      </c>
      <c r="S328" s="12"/>
      <c r="T328" s="13"/>
      <c r="V328" s="15"/>
      <c r="W328" s="16"/>
    </row>
    <row r="329" spans="1:23" x14ac:dyDescent="0.35">
      <c r="A329" s="8">
        <v>36677</v>
      </c>
      <c r="B329" s="9" t="e">
        <f t="shared" si="58"/>
        <v>#N/A</v>
      </c>
      <c r="C329" s="9">
        <f t="shared" si="59"/>
        <v>1.39</v>
      </c>
      <c r="D329" s="9" t="e">
        <f t="shared" si="60"/>
        <v>#N/A</v>
      </c>
      <c r="E329" s="1">
        <v>1</v>
      </c>
      <c r="F329" s="1">
        <v>0</v>
      </c>
      <c r="N329" s="1">
        <v>0</v>
      </c>
      <c r="Q329" s="2" t="str">
        <f t="shared" si="67"/>
        <v>,</v>
      </c>
      <c r="S329" s="12"/>
      <c r="T329" s="13"/>
      <c r="V329" s="15"/>
      <c r="W329" s="16"/>
    </row>
    <row r="330" spans="1:23" x14ac:dyDescent="0.35">
      <c r="A330" s="8">
        <v>36646</v>
      </c>
      <c r="B330" s="9" t="e">
        <f t="shared" si="58"/>
        <v>#N/A</v>
      </c>
      <c r="C330" s="9">
        <f t="shared" si="59"/>
        <v>1.43</v>
      </c>
      <c r="D330" s="9" t="e">
        <f t="shared" si="60"/>
        <v>#N/A</v>
      </c>
      <c r="N330" s="1">
        <v>0</v>
      </c>
      <c r="Q330" s="2" t="str">
        <f t="shared" si="67"/>
        <v>,</v>
      </c>
      <c r="S330" s="12"/>
      <c r="T330" s="13"/>
      <c r="V330" s="15"/>
      <c r="W330" s="16"/>
    </row>
    <row r="331" spans="1:23" x14ac:dyDescent="0.35">
      <c r="A331" s="8">
        <v>36616</v>
      </c>
      <c r="B331" s="9" t="e">
        <f t="shared" si="58"/>
        <v>#N/A</v>
      </c>
      <c r="C331" s="9">
        <f t="shared" si="59"/>
        <v>2.54</v>
      </c>
      <c r="D331" s="9">
        <f t="shared" si="60"/>
        <v>32.65</v>
      </c>
      <c r="N331" s="1">
        <v>0</v>
      </c>
      <c r="Q331" s="2" t="str">
        <f t="shared" si="67"/>
        <v>,</v>
      </c>
      <c r="S331" s="12"/>
      <c r="T331" s="13"/>
      <c r="V331" s="15"/>
      <c r="W331" s="16"/>
    </row>
    <row r="332" spans="1:23" x14ac:dyDescent="0.35">
      <c r="A332" s="8">
        <v>36585</v>
      </c>
      <c r="B332" s="9" t="e">
        <f t="shared" si="58"/>
        <v>#N/A</v>
      </c>
      <c r="C332" s="9">
        <f t="shared" si="59"/>
        <v>2.61</v>
      </c>
      <c r="D332" s="9" t="e">
        <f t="shared" si="60"/>
        <v>#N/A</v>
      </c>
      <c r="N332" s="1">
        <v>0</v>
      </c>
      <c r="Q332" s="2" t="str">
        <f t="shared" si="67"/>
        <v>,</v>
      </c>
      <c r="S332" s="12"/>
      <c r="T332" s="13"/>
      <c r="V332" s="15"/>
      <c r="W332" s="16"/>
    </row>
    <row r="333" spans="1:23" x14ac:dyDescent="0.35">
      <c r="A333" s="8">
        <v>36556</v>
      </c>
      <c r="B333" s="9" t="e">
        <f t="shared" si="58"/>
        <v>#N/A</v>
      </c>
      <c r="C333" s="9" t="e">
        <f t="shared" si="59"/>
        <v>#N/A</v>
      </c>
      <c r="D333" s="9" t="e">
        <f t="shared" si="60"/>
        <v>#N/A</v>
      </c>
      <c r="N333" s="1">
        <v>0</v>
      </c>
      <c r="Q333" s="2" t="str">
        <f t="shared" si="67"/>
        <v>,</v>
      </c>
      <c r="S333" s="12"/>
      <c r="T333" s="13"/>
      <c r="V333" s="15"/>
      <c r="W333" s="16"/>
    </row>
    <row r="334" spans="1:23" x14ac:dyDescent="0.35">
      <c r="A334" s="8">
        <v>36525</v>
      </c>
      <c r="B334" s="9" t="e">
        <f t="shared" si="58"/>
        <v>#N/A</v>
      </c>
      <c r="C334" s="9">
        <f t="shared" si="59"/>
        <v>4.55</v>
      </c>
      <c r="D334" s="9">
        <f t="shared" si="60"/>
        <v>33.9</v>
      </c>
      <c r="N334" s="1">
        <v>0</v>
      </c>
      <c r="Q334" s="2" t="str">
        <f t="shared" si="67"/>
        <v>,</v>
      </c>
      <c r="S334" s="12"/>
      <c r="T334" s="13"/>
      <c r="V334" s="15"/>
      <c r="W334" s="16"/>
    </row>
    <row r="335" spans="1:23" x14ac:dyDescent="0.35">
      <c r="A335" s="8">
        <v>36494</v>
      </c>
      <c r="B335" s="9" t="e">
        <f t="shared" si="58"/>
        <v>#N/A</v>
      </c>
      <c r="C335" s="9">
        <f t="shared" si="59"/>
        <v>4.4800000000000004</v>
      </c>
      <c r="D335" s="9" t="e">
        <f t="shared" si="60"/>
        <v>#N/A</v>
      </c>
      <c r="N335" s="1">
        <v>0</v>
      </c>
      <c r="Q335" s="2" t="str">
        <f t="shared" si="67"/>
        <v>,</v>
      </c>
      <c r="S335" s="12"/>
      <c r="T335" s="13"/>
      <c r="V335" s="15"/>
      <c r="W335" s="16"/>
    </row>
    <row r="336" spans="1:23" x14ac:dyDescent="0.3">
      <c r="A336" s="8">
        <v>36464</v>
      </c>
      <c r="B336" s="9" t="e">
        <f t="shared" si="58"/>
        <v>#N/A</v>
      </c>
      <c r="C336" s="9">
        <f t="shared" si="59"/>
        <v>3.58</v>
      </c>
      <c r="D336" s="9" t="e">
        <f t="shared" si="60"/>
        <v>#N/A</v>
      </c>
      <c r="N336" s="1">
        <v>0</v>
      </c>
      <c r="Q336" s="2" t="str">
        <f t="shared" si="67"/>
        <v>,</v>
      </c>
      <c r="V336" s="15"/>
      <c r="W336" s="16"/>
    </row>
    <row r="337" spans="1:23" x14ac:dyDescent="0.3">
      <c r="A337" s="8">
        <v>36433</v>
      </c>
      <c r="B337" s="9" t="e">
        <f t="shared" si="58"/>
        <v>#N/A</v>
      </c>
      <c r="C337" s="9">
        <f t="shared" si="59"/>
        <v>3.66</v>
      </c>
      <c r="D337" s="9">
        <f t="shared" si="60"/>
        <v>32.75</v>
      </c>
      <c r="N337" s="1">
        <v>0</v>
      </c>
      <c r="Q337" s="2" t="str">
        <f t="shared" si="67"/>
        <v>,</v>
      </c>
      <c r="V337" s="15"/>
      <c r="W337" s="16"/>
    </row>
    <row r="338" spans="1:23" x14ac:dyDescent="0.3">
      <c r="A338" s="8">
        <v>36403</v>
      </c>
      <c r="B338" s="9" t="e">
        <f t="shared" ref="B338:B372" si="68">NA()</f>
        <v>#N/A</v>
      </c>
      <c r="C338" s="9">
        <f t="shared" si="59"/>
        <v>3.71</v>
      </c>
      <c r="D338" s="9" t="e">
        <f t="shared" si="60"/>
        <v>#N/A</v>
      </c>
      <c r="N338" s="1">
        <v>0</v>
      </c>
      <c r="Q338" s="2" t="str">
        <f t="shared" si="67"/>
        <v>,</v>
      </c>
      <c r="V338" s="15"/>
      <c r="W338" s="16"/>
    </row>
    <row r="339" spans="1:23" x14ac:dyDescent="0.3">
      <c r="A339" s="8">
        <v>36372</v>
      </c>
      <c r="B339" s="9" t="e">
        <f t="shared" si="68"/>
        <v>#N/A</v>
      </c>
      <c r="C339" s="9">
        <f t="shared" si="59"/>
        <v>3.44</v>
      </c>
      <c r="D339" s="9" t="e">
        <f t="shared" si="60"/>
        <v>#N/A</v>
      </c>
      <c r="N339" s="1">
        <v>0</v>
      </c>
      <c r="Q339" s="2" t="str">
        <f t="shared" si="67"/>
        <v>,</v>
      </c>
      <c r="V339" s="15"/>
      <c r="W339" s="16"/>
    </row>
    <row r="340" spans="1:23" x14ac:dyDescent="0.3">
      <c r="A340" s="8">
        <v>36341</v>
      </c>
      <c r="B340" s="9" t="e">
        <f t="shared" si="68"/>
        <v>#N/A</v>
      </c>
      <c r="C340" s="9">
        <f t="shared" si="59"/>
        <v>3.94</v>
      </c>
      <c r="D340" s="9">
        <f t="shared" si="60"/>
        <v>33.700000000000003</v>
      </c>
      <c r="N340" s="1">
        <v>0</v>
      </c>
      <c r="Q340" s="2" t="str">
        <f t="shared" si="67"/>
        <v>,</v>
      </c>
      <c r="V340" s="15"/>
      <c r="W340" s="16"/>
    </row>
    <row r="341" spans="1:23" x14ac:dyDescent="0.3">
      <c r="A341" s="8">
        <v>36311</v>
      </c>
      <c r="B341" s="9" t="e">
        <f t="shared" si="68"/>
        <v>#N/A</v>
      </c>
      <c r="C341" s="9">
        <f t="shared" si="59"/>
        <v>4.55</v>
      </c>
      <c r="D341" s="9" t="e">
        <f t="shared" si="60"/>
        <v>#N/A</v>
      </c>
      <c r="N341" s="1">
        <v>0</v>
      </c>
      <c r="Q341" s="2" t="str">
        <f t="shared" si="67"/>
        <v>,</v>
      </c>
      <c r="V341" s="15"/>
      <c r="W341" s="16"/>
    </row>
    <row r="342" spans="1:23" x14ac:dyDescent="0.3">
      <c r="A342" s="8">
        <v>36280</v>
      </c>
      <c r="B342" s="9" t="e">
        <f t="shared" si="68"/>
        <v>#N/A</v>
      </c>
      <c r="C342" s="9">
        <f t="shared" si="59"/>
        <v>5.05</v>
      </c>
      <c r="D342" s="9" t="e">
        <f t="shared" si="60"/>
        <v>#N/A</v>
      </c>
      <c r="N342" s="1">
        <v>0</v>
      </c>
      <c r="Q342" s="2" t="str">
        <f t="shared" si="67"/>
        <v>,</v>
      </c>
      <c r="V342" s="15"/>
      <c r="W342" s="16"/>
    </row>
    <row r="343" spans="1:23" x14ac:dyDescent="0.3">
      <c r="A343" s="8">
        <v>36250</v>
      </c>
      <c r="B343" s="9" t="e">
        <f t="shared" si="68"/>
        <v>#N/A</v>
      </c>
      <c r="C343" s="9">
        <f t="shared" si="59"/>
        <v>5.38</v>
      </c>
      <c r="D343" s="9">
        <f t="shared" si="60"/>
        <v>32.6</v>
      </c>
      <c r="N343" s="1">
        <v>0</v>
      </c>
      <c r="Q343" s="2" t="str">
        <f t="shared" si="67"/>
        <v>,</v>
      </c>
      <c r="V343" s="15"/>
      <c r="W343" s="16"/>
    </row>
    <row r="344" spans="1:23" x14ac:dyDescent="0.3">
      <c r="A344" s="8">
        <v>36219</v>
      </c>
      <c r="B344" s="9" t="e">
        <f t="shared" si="68"/>
        <v>#N/A</v>
      </c>
      <c r="C344" s="9">
        <f t="shared" si="59"/>
        <v>7.37</v>
      </c>
      <c r="D344" s="9" t="e">
        <f t="shared" si="60"/>
        <v>#N/A</v>
      </c>
      <c r="N344" s="1">
        <v>0</v>
      </c>
      <c r="Q344" s="2" t="str">
        <f t="shared" si="67"/>
        <v>,</v>
      </c>
      <c r="V344" s="15"/>
      <c r="W344" s="16"/>
    </row>
    <row r="345" spans="1:23" x14ac:dyDescent="0.3">
      <c r="A345" s="8">
        <v>36191</v>
      </c>
      <c r="B345" s="9" t="e">
        <f t="shared" si="68"/>
        <v>#N/A</v>
      </c>
      <c r="C345" s="9" t="e">
        <f t="shared" si="59"/>
        <v>#N/A</v>
      </c>
      <c r="D345" s="9" t="e">
        <f t="shared" si="60"/>
        <v>#N/A</v>
      </c>
      <c r="N345" s="1">
        <v>0</v>
      </c>
      <c r="Q345" s="2" t="str">
        <f t="shared" si="67"/>
        <v>,</v>
      </c>
      <c r="V345" s="15"/>
      <c r="W345" s="16"/>
    </row>
    <row r="346" spans="1:23" x14ac:dyDescent="0.3">
      <c r="A346" s="8">
        <v>36160</v>
      </c>
      <c r="B346" s="9" t="e">
        <f t="shared" si="68"/>
        <v>#N/A</v>
      </c>
      <c r="C346" s="9">
        <f t="shared" si="59"/>
        <v>5.5</v>
      </c>
      <c r="D346" s="9">
        <f t="shared" si="60"/>
        <v>32.5</v>
      </c>
      <c r="N346" s="1">
        <v>0</v>
      </c>
      <c r="Q346" s="2" t="str">
        <f t="shared" si="67"/>
        <v>,</v>
      </c>
      <c r="V346" s="15"/>
      <c r="W346" s="16"/>
    </row>
    <row r="347" spans="1:23" x14ac:dyDescent="0.3">
      <c r="A347" s="8">
        <v>36129</v>
      </c>
      <c r="B347" s="9" t="e">
        <f t="shared" si="68"/>
        <v>#N/A</v>
      </c>
      <c r="C347" s="9">
        <f t="shared" si="59"/>
        <v>5.5</v>
      </c>
      <c r="D347" s="9" t="e">
        <f t="shared" si="60"/>
        <v>#N/A</v>
      </c>
      <c r="N347" s="1">
        <v>0</v>
      </c>
      <c r="Q347" s="2" t="str">
        <f t="shared" si="67"/>
        <v>,</v>
      </c>
      <c r="V347" s="15"/>
      <c r="W347" s="16"/>
    </row>
    <row r="348" spans="1:23" x14ac:dyDescent="0.3">
      <c r="A348" s="8">
        <v>36099</v>
      </c>
      <c r="B348" s="9" t="e">
        <f t="shared" si="68"/>
        <v>#N/A</v>
      </c>
      <c r="C348" s="9">
        <f t="shared" si="59"/>
        <v>6.6</v>
      </c>
      <c r="D348" s="9" t="e">
        <f t="shared" si="60"/>
        <v>#N/A</v>
      </c>
      <c r="N348" s="1">
        <v>0</v>
      </c>
      <c r="Q348" s="2" t="str">
        <f t="shared" si="67"/>
        <v>,</v>
      </c>
      <c r="V348" s="15"/>
      <c r="W348" s="16"/>
    </row>
    <row r="349" spans="1:23" x14ac:dyDescent="0.3">
      <c r="A349" s="8">
        <v>36068</v>
      </c>
      <c r="B349" s="9" t="e">
        <f t="shared" si="68"/>
        <v>#N/A</v>
      </c>
      <c r="C349" s="9">
        <f t="shared" si="59"/>
        <v>7.3</v>
      </c>
      <c r="D349" s="9">
        <f t="shared" si="60"/>
        <v>31.3</v>
      </c>
      <c r="N349" s="1">
        <v>0</v>
      </c>
      <c r="Q349" s="2" t="str">
        <f t="shared" si="67"/>
        <v>,</v>
      </c>
      <c r="V349" s="15"/>
      <c r="W349" s="16"/>
    </row>
    <row r="350" spans="1:23" x14ac:dyDescent="0.3">
      <c r="A350" s="8">
        <v>36038</v>
      </c>
      <c r="B350" s="9" t="e">
        <f t="shared" si="68"/>
        <v>#N/A</v>
      </c>
      <c r="C350" s="9">
        <f t="shared" si="59"/>
        <v>8.9</v>
      </c>
      <c r="D350" s="9" t="e">
        <f t="shared" si="60"/>
        <v>#N/A</v>
      </c>
      <c r="N350" s="1">
        <v>0</v>
      </c>
      <c r="Q350" s="2" t="str">
        <f t="shared" si="67"/>
        <v>,</v>
      </c>
      <c r="V350" s="15"/>
      <c r="W350" s="16"/>
    </row>
    <row r="351" spans="1:23" x14ac:dyDescent="0.3">
      <c r="A351" s="8">
        <v>36007</v>
      </c>
      <c r="B351" s="9" t="e">
        <f t="shared" si="68"/>
        <v>#N/A</v>
      </c>
      <c r="C351" s="9">
        <f t="shared" si="59"/>
        <v>9.81</v>
      </c>
      <c r="D351" s="9" t="e">
        <f t="shared" si="60"/>
        <v>#N/A</v>
      </c>
      <c r="N351" s="1">
        <v>0</v>
      </c>
      <c r="Q351" s="2" t="str">
        <f t="shared" si="67"/>
        <v>,</v>
      </c>
      <c r="V351" s="15"/>
      <c r="W351" s="16"/>
    </row>
    <row r="352" spans="1:23" x14ac:dyDescent="0.3">
      <c r="A352" s="8">
        <v>35976</v>
      </c>
      <c r="B352" s="9" t="e">
        <f t="shared" si="68"/>
        <v>#N/A</v>
      </c>
      <c r="C352" s="9">
        <f t="shared" si="59"/>
        <v>10.1</v>
      </c>
      <c r="D352" s="9">
        <f t="shared" si="60"/>
        <v>31.2</v>
      </c>
      <c r="N352" s="1">
        <v>0</v>
      </c>
      <c r="Q352" s="2" t="str">
        <f t="shared" si="67"/>
        <v>,</v>
      </c>
      <c r="V352" s="15"/>
      <c r="W352" s="16"/>
    </row>
    <row r="353" spans="1:23" x14ac:dyDescent="0.3">
      <c r="A353" s="8">
        <v>35946</v>
      </c>
      <c r="B353" s="9" t="e">
        <f t="shared" si="68"/>
        <v>#N/A</v>
      </c>
      <c r="C353" s="9">
        <f t="shared" si="59"/>
        <v>12.37</v>
      </c>
      <c r="D353" s="9" t="e">
        <f t="shared" si="60"/>
        <v>#N/A</v>
      </c>
      <c r="N353" s="1">
        <v>0</v>
      </c>
      <c r="Q353" s="2" t="str">
        <f t="shared" si="67"/>
        <v>,</v>
      </c>
      <c r="V353" s="15"/>
      <c r="W353" s="16"/>
    </row>
    <row r="354" spans="1:23" x14ac:dyDescent="0.3">
      <c r="A354" s="8">
        <v>35915</v>
      </c>
      <c r="B354" s="9" t="e">
        <f t="shared" si="68"/>
        <v>#N/A</v>
      </c>
      <c r="C354" s="9">
        <f t="shared" ref="C354:C381" si="69">VLOOKUP(A354,V:W,2,0)</f>
        <v>12.82</v>
      </c>
      <c r="D354" s="9" t="e">
        <f t="shared" si="60"/>
        <v>#N/A</v>
      </c>
      <c r="N354" s="1">
        <v>0</v>
      </c>
      <c r="Q354" s="2" t="str">
        <f t="shared" si="67"/>
        <v>,</v>
      </c>
      <c r="V354" s="15"/>
      <c r="W354" s="16"/>
    </row>
    <row r="355" spans="1:23" x14ac:dyDescent="0.3">
      <c r="A355" s="8">
        <v>35885</v>
      </c>
      <c r="B355" s="9" t="e">
        <f t="shared" si="68"/>
        <v>#N/A</v>
      </c>
      <c r="C355" s="9">
        <f t="shared" si="69"/>
        <v>14.2</v>
      </c>
      <c r="D355" s="9">
        <f t="shared" si="60"/>
        <v>30.55</v>
      </c>
      <c r="N355" s="1">
        <v>0</v>
      </c>
      <c r="Q355" s="2" t="str">
        <f t="shared" si="67"/>
        <v>,</v>
      </c>
      <c r="V355" s="15"/>
      <c r="W355" s="16"/>
    </row>
    <row r="356" spans="1:23" x14ac:dyDescent="0.3">
      <c r="A356" s="8">
        <v>35854</v>
      </c>
      <c r="B356" s="9" t="e">
        <f t="shared" si="68"/>
        <v>#N/A</v>
      </c>
      <c r="C356" s="9">
        <f t="shared" si="69"/>
        <v>14.2</v>
      </c>
      <c r="D356" s="9" t="e">
        <f t="shared" si="60"/>
        <v>#N/A</v>
      </c>
      <c r="N356" s="1">
        <v>0</v>
      </c>
      <c r="Q356" s="2" t="str">
        <f t="shared" si="67"/>
        <v>,</v>
      </c>
      <c r="V356" s="15"/>
      <c r="W356" s="16"/>
    </row>
    <row r="357" spans="1:23" x14ac:dyDescent="0.3">
      <c r="A357" s="8">
        <v>35826</v>
      </c>
      <c r="B357" s="9" t="e">
        <f t="shared" si="68"/>
        <v>#N/A</v>
      </c>
      <c r="C357" s="9" t="e">
        <f t="shared" si="69"/>
        <v>#N/A</v>
      </c>
      <c r="D357" s="9" t="e">
        <f t="shared" ref="D357:D381" si="70">VLOOKUP(A357,Y:Z,2,FALSE)</f>
        <v>#N/A</v>
      </c>
      <c r="N357" s="1">
        <v>0</v>
      </c>
      <c r="Q357" s="2" t="str">
        <f t="shared" si="67"/>
        <v>,</v>
      </c>
      <c r="V357" s="15"/>
      <c r="W357" s="16"/>
    </row>
    <row r="358" spans="1:23" x14ac:dyDescent="0.3">
      <c r="A358" s="8">
        <v>35795</v>
      </c>
      <c r="B358" s="9" t="e">
        <f t="shared" si="68"/>
        <v>#N/A</v>
      </c>
      <c r="C358" s="9">
        <f t="shared" si="69"/>
        <v>11.7</v>
      </c>
      <c r="D358" s="9">
        <f t="shared" si="70"/>
        <v>31.6</v>
      </c>
      <c r="N358" s="1">
        <v>0</v>
      </c>
      <c r="Q358" s="2" t="str">
        <f t="shared" si="67"/>
        <v>,</v>
      </c>
      <c r="V358" s="15"/>
      <c r="W358" s="16"/>
    </row>
    <row r="359" spans="1:23" x14ac:dyDescent="0.3">
      <c r="A359" s="8">
        <v>35764</v>
      </c>
      <c r="B359" s="9" t="e">
        <f t="shared" si="68"/>
        <v>#N/A</v>
      </c>
      <c r="C359" s="9">
        <f t="shared" si="69"/>
        <v>13.1</v>
      </c>
      <c r="D359" s="9" t="e">
        <f t="shared" si="70"/>
        <v>#N/A</v>
      </c>
      <c r="N359" s="1">
        <v>0</v>
      </c>
      <c r="Q359" s="2" t="str">
        <f t="shared" si="67"/>
        <v>,</v>
      </c>
      <c r="V359" s="15"/>
      <c r="W359" s="16"/>
    </row>
    <row r="360" spans="1:23" x14ac:dyDescent="0.3">
      <c r="A360" s="8">
        <v>35734</v>
      </c>
      <c r="B360" s="9" t="e">
        <f t="shared" si="68"/>
        <v>#N/A</v>
      </c>
      <c r="C360" s="9">
        <f t="shared" si="69"/>
        <v>12.7</v>
      </c>
      <c r="D360" s="9" t="e">
        <f t="shared" si="70"/>
        <v>#N/A</v>
      </c>
      <c r="N360" s="1">
        <v>0</v>
      </c>
      <c r="Q360" s="2" t="str">
        <f t="shared" si="67"/>
        <v>,</v>
      </c>
      <c r="V360" s="15"/>
      <c r="W360" s="16"/>
    </row>
    <row r="361" spans="1:23" x14ac:dyDescent="0.3">
      <c r="A361" s="8">
        <v>35703</v>
      </c>
      <c r="B361" s="9" t="e">
        <f t="shared" si="68"/>
        <v>#N/A</v>
      </c>
      <c r="C361" s="9">
        <f t="shared" si="69"/>
        <v>12.3</v>
      </c>
      <c r="D361" s="9">
        <f t="shared" si="70"/>
        <v>32.75</v>
      </c>
      <c r="N361" s="1">
        <v>0</v>
      </c>
      <c r="Q361" s="2" t="str">
        <f t="shared" ref="Q361:Q381" si="71">TEXT(P361,"")&amp;","&amp;TEXT(O361,"")</f>
        <v>,</v>
      </c>
      <c r="V361" s="15"/>
      <c r="W361" s="16"/>
    </row>
    <row r="362" spans="1:23" x14ac:dyDescent="0.3">
      <c r="A362" s="8">
        <v>35673</v>
      </c>
      <c r="B362" s="9" t="e">
        <f t="shared" si="68"/>
        <v>#N/A</v>
      </c>
      <c r="C362" s="9">
        <f t="shared" si="69"/>
        <v>12.3</v>
      </c>
      <c r="D362" s="9" t="e">
        <f t="shared" si="70"/>
        <v>#N/A</v>
      </c>
      <c r="N362" s="1">
        <v>0</v>
      </c>
      <c r="Q362" s="2" t="str">
        <f t="shared" si="71"/>
        <v>,</v>
      </c>
      <c r="V362" s="15"/>
      <c r="W362" s="16"/>
    </row>
    <row r="363" spans="1:23" x14ac:dyDescent="0.3">
      <c r="A363" s="8">
        <v>35642</v>
      </c>
      <c r="B363" s="9" t="e">
        <f t="shared" si="68"/>
        <v>#N/A</v>
      </c>
      <c r="C363" s="9">
        <f t="shared" si="69"/>
        <v>12.2</v>
      </c>
      <c r="D363" s="9" t="e">
        <f t="shared" si="70"/>
        <v>#N/A</v>
      </c>
      <c r="N363" s="1">
        <v>0</v>
      </c>
      <c r="Q363" s="2" t="str">
        <f t="shared" si="71"/>
        <v>,</v>
      </c>
      <c r="V363" s="15"/>
      <c r="W363" s="16"/>
    </row>
    <row r="364" spans="1:23" x14ac:dyDescent="0.3">
      <c r="A364" s="8">
        <v>35611</v>
      </c>
      <c r="B364" s="9" t="e">
        <f t="shared" si="68"/>
        <v>#N/A</v>
      </c>
      <c r="C364" s="9">
        <f t="shared" si="69"/>
        <v>13.1</v>
      </c>
      <c r="D364" s="9">
        <f t="shared" si="70"/>
        <v>32.75</v>
      </c>
      <c r="N364" s="1">
        <v>0</v>
      </c>
      <c r="Q364" s="2" t="str">
        <f t="shared" si="71"/>
        <v>,</v>
      </c>
      <c r="W364" s="16"/>
    </row>
    <row r="365" spans="1:23" x14ac:dyDescent="0.3">
      <c r="A365" s="8">
        <v>35581</v>
      </c>
      <c r="B365" s="9" t="e">
        <f t="shared" si="68"/>
        <v>#N/A</v>
      </c>
      <c r="C365" s="9">
        <f t="shared" si="69"/>
        <v>12.9</v>
      </c>
      <c r="D365" s="9" t="e">
        <f t="shared" si="70"/>
        <v>#N/A</v>
      </c>
      <c r="N365" s="1">
        <v>0</v>
      </c>
      <c r="Q365" s="2" t="str">
        <f t="shared" si="71"/>
        <v>,</v>
      </c>
    </row>
    <row r="366" spans="1:23" x14ac:dyDescent="0.3">
      <c r="A366" s="8">
        <v>35550</v>
      </c>
      <c r="B366" s="9" t="e">
        <f t="shared" si="68"/>
        <v>#N/A</v>
      </c>
      <c r="C366" s="9">
        <f t="shared" si="69"/>
        <v>13</v>
      </c>
      <c r="D366" s="9" t="e">
        <f t="shared" si="70"/>
        <v>#N/A</v>
      </c>
      <c r="N366" s="1">
        <v>0</v>
      </c>
      <c r="Q366" s="2" t="str">
        <f t="shared" si="71"/>
        <v>,</v>
      </c>
    </row>
    <row r="367" spans="1:23" x14ac:dyDescent="0.3">
      <c r="A367" s="8">
        <v>35520</v>
      </c>
      <c r="B367" s="9" t="e">
        <f t="shared" si="68"/>
        <v>#N/A</v>
      </c>
      <c r="C367" s="9">
        <f t="shared" si="69"/>
        <v>14.2</v>
      </c>
      <c r="D367" s="9">
        <f t="shared" si="70"/>
        <v>31.3</v>
      </c>
      <c r="N367" s="1">
        <v>0</v>
      </c>
      <c r="Q367" s="2" t="str">
        <f t="shared" si="71"/>
        <v>,</v>
      </c>
    </row>
    <row r="368" spans="1:23" x14ac:dyDescent="0.3">
      <c r="A368" s="8">
        <v>35489</v>
      </c>
      <c r="B368" s="9" t="e">
        <f t="shared" si="68"/>
        <v>#N/A</v>
      </c>
      <c r="C368" s="9">
        <f t="shared" si="69"/>
        <v>14.5</v>
      </c>
      <c r="D368" s="9" t="e">
        <f t="shared" si="70"/>
        <v>#N/A</v>
      </c>
      <c r="N368" s="1">
        <v>0</v>
      </c>
      <c r="Q368" s="2" t="str">
        <f t="shared" si="71"/>
        <v>,</v>
      </c>
    </row>
    <row r="369" spans="1:17" x14ac:dyDescent="0.3">
      <c r="A369" s="8">
        <v>35461</v>
      </c>
      <c r="B369" s="9" t="e">
        <f t="shared" si="68"/>
        <v>#N/A</v>
      </c>
      <c r="C369" s="9" t="e">
        <f t="shared" si="69"/>
        <v>#N/A</v>
      </c>
      <c r="D369" s="9" t="e">
        <f t="shared" si="70"/>
        <v>#N/A</v>
      </c>
      <c r="N369" s="1">
        <v>0</v>
      </c>
      <c r="Q369" s="2" t="str">
        <f t="shared" si="71"/>
        <v>,</v>
      </c>
    </row>
    <row r="370" spans="1:17" x14ac:dyDescent="0.3">
      <c r="A370" s="8">
        <v>35430</v>
      </c>
      <c r="B370" s="9" t="e">
        <f t="shared" si="68"/>
        <v>#N/A</v>
      </c>
      <c r="C370" s="9">
        <f t="shared" si="69"/>
        <v>16.3</v>
      </c>
      <c r="D370" s="9">
        <f t="shared" si="70"/>
        <v>32.950000000000003</v>
      </c>
      <c r="N370" s="1">
        <v>0</v>
      </c>
      <c r="Q370" s="2" t="str">
        <f t="shared" si="71"/>
        <v>,</v>
      </c>
    </row>
    <row r="371" spans="1:17" x14ac:dyDescent="0.3">
      <c r="A371" s="8">
        <v>35399</v>
      </c>
      <c r="B371" s="9" t="e">
        <f t="shared" si="68"/>
        <v>#N/A</v>
      </c>
      <c r="C371" s="9">
        <f t="shared" si="69"/>
        <v>15.6</v>
      </c>
      <c r="D371" s="9" t="e">
        <f t="shared" si="70"/>
        <v>#N/A</v>
      </c>
      <c r="N371" s="1">
        <v>0</v>
      </c>
      <c r="Q371" s="2" t="str">
        <f t="shared" si="71"/>
        <v>,</v>
      </c>
    </row>
    <row r="372" spans="1:17" x14ac:dyDescent="0.3">
      <c r="A372" s="8">
        <v>35369</v>
      </c>
      <c r="B372" s="9" t="e">
        <f t="shared" si="68"/>
        <v>#N/A</v>
      </c>
      <c r="C372" s="9">
        <f t="shared" si="69"/>
        <v>16.7</v>
      </c>
      <c r="D372" s="9" t="e">
        <f t="shared" si="70"/>
        <v>#N/A</v>
      </c>
      <c r="N372" s="1">
        <v>0</v>
      </c>
      <c r="Q372" s="2" t="str">
        <f t="shared" si="71"/>
        <v>,</v>
      </c>
    </row>
    <row r="373" spans="1:17" x14ac:dyDescent="0.3">
      <c r="A373" s="8">
        <v>35338</v>
      </c>
      <c r="B373" s="9" t="e">
        <f t="shared" ref="B373:B381" si="72">VLOOKUP(A373,S:T,2,0)</f>
        <v>#N/A</v>
      </c>
      <c r="C373" s="9">
        <f t="shared" si="69"/>
        <v>18.3</v>
      </c>
      <c r="D373" s="9">
        <f t="shared" si="70"/>
        <v>32.9</v>
      </c>
      <c r="N373" s="1">
        <v>0</v>
      </c>
      <c r="Q373" s="2" t="str">
        <f t="shared" si="71"/>
        <v>,</v>
      </c>
    </row>
    <row r="374" spans="1:17" x14ac:dyDescent="0.3">
      <c r="A374" s="8">
        <v>35308</v>
      </c>
      <c r="B374" s="9" t="e">
        <f t="shared" si="72"/>
        <v>#N/A</v>
      </c>
      <c r="C374" s="9">
        <f t="shared" si="69"/>
        <v>19.7</v>
      </c>
      <c r="D374" s="9" t="e">
        <f t="shared" si="70"/>
        <v>#N/A</v>
      </c>
      <c r="N374" s="1">
        <v>0</v>
      </c>
      <c r="Q374" s="2" t="str">
        <f t="shared" si="71"/>
        <v>,</v>
      </c>
    </row>
    <row r="375" spans="1:17" x14ac:dyDescent="0.3">
      <c r="A375" s="8">
        <v>35277</v>
      </c>
      <c r="B375" s="9" t="e">
        <f t="shared" si="72"/>
        <v>#N/A</v>
      </c>
      <c r="C375" s="9">
        <f t="shared" si="69"/>
        <v>20.9</v>
      </c>
      <c r="D375" s="9" t="e">
        <f t="shared" si="70"/>
        <v>#N/A</v>
      </c>
      <c r="N375" s="1">
        <v>0</v>
      </c>
      <c r="Q375" s="2" t="str">
        <f t="shared" si="71"/>
        <v>,</v>
      </c>
    </row>
    <row r="376" spans="1:17" x14ac:dyDescent="0.3">
      <c r="A376" s="8">
        <v>35246</v>
      </c>
      <c r="B376" s="9" t="e">
        <f t="shared" si="72"/>
        <v>#N/A</v>
      </c>
      <c r="C376" s="9">
        <f t="shared" si="69"/>
        <v>22.6</v>
      </c>
      <c r="D376" s="9">
        <f t="shared" si="70"/>
        <v>32</v>
      </c>
      <c r="N376" s="1">
        <v>0</v>
      </c>
      <c r="Q376" s="2" t="str">
        <f t="shared" si="71"/>
        <v>,</v>
      </c>
    </row>
    <row r="377" spans="1:17" x14ac:dyDescent="0.3">
      <c r="A377" s="8">
        <v>35216</v>
      </c>
      <c r="B377" s="9" t="e">
        <f t="shared" si="72"/>
        <v>#N/A</v>
      </c>
      <c r="C377" s="9">
        <f t="shared" si="69"/>
        <v>23.4</v>
      </c>
      <c r="D377" s="9" t="e">
        <f t="shared" si="70"/>
        <v>#N/A</v>
      </c>
      <c r="N377" s="1">
        <v>0</v>
      </c>
      <c r="Q377" s="2" t="str">
        <f t="shared" si="71"/>
        <v>,</v>
      </c>
    </row>
    <row r="378" spans="1:17" x14ac:dyDescent="0.3">
      <c r="A378" s="8">
        <v>35185</v>
      </c>
      <c r="B378" s="9" t="e">
        <f t="shared" si="72"/>
        <v>#N/A</v>
      </c>
      <c r="C378" s="9">
        <f t="shared" si="69"/>
        <v>24.5</v>
      </c>
      <c r="D378" s="9" t="e">
        <f t="shared" si="70"/>
        <v>#N/A</v>
      </c>
      <c r="N378" s="1">
        <v>0</v>
      </c>
      <c r="Q378" s="2" t="str">
        <f t="shared" si="71"/>
        <v>,</v>
      </c>
    </row>
    <row r="379" spans="1:17" x14ac:dyDescent="0.3">
      <c r="A379" s="8">
        <v>35155</v>
      </c>
      <c r="B379" s="9" t="e">
        <f t="shared" si="72"/>
        <v>#N/A</v>
      </c>
      <c r="C379" s="9">
        <f t="shared" si="69"/>
        <v>24.6</v>
      </c>
      <c r="D379" s="9">
        <f t="shared" si="70"/>
        <v>32.9</v>
      </c>
      <c r="N379" s="1">
        <v>0</v>
      </c>
      <c r="Q379" s="2" t="str">
        <f t="shared" si="71"/>
        <v>,</v>
      </c>
    </row>
    <row r="380" spans="1:17" x14ac:dyDescent="0.3">
      <c r="A380" s="8">
        <v>35124</v>
      </c>
      <c r="B380" s="9" t="e">
        <f t="shared" si="72"/>
        <v>#N/A</v>
      </c>
      <c r="C380" s="9">
        <f t="shared" si="69"/>
        <v>23.6</v>
      </c>
      <c r="D380" s="9" t="e">
        <f t="shared" si="70"/>
        <v>#N/A</v>
      </c>
      <c r="N380" s="1">
        <v>0</v>
      </c>
      <c r="Q380" s="2" t="str">
        <f t="shared" si="71"/>
        <v>,</v>
      </c>
    </row>
    <row r="381" spans="1:17" x14ac:dyDescent="0.3">
      <c r="A381" s="8">
        <v>35095</v>
      </c>
      <c r="B381" s="9" t="e">
        <f t="shared" si="72"/>
        <v>#N/A</v>
      </c>
      <c r="C381" s="9" t="e">
        <f t="shared" si="69"/>
        <v>#N/A</v>
      </c>
      <c r="D381" s="9" t="e">
        <f t="shared" si="70"/>
        <v>#N/A</v>
      </c>
      <c r="N381" s="1">
        <v>0</v>
      </c>
      <c r="Q381" s="2" t="str">
        <f t="shared" si="71"/>
        <v>,</v>
      </c>
    </row>
  </sheetData>
  <mergeCells count="4">
    <mergeCell ref="A1:O1"/>
    <mergeCell ref="S1:T1"/>
    <mergeCell ref="V1:W1"/>
    <mergeCell ref="Y1:Z1"/>
  </mergeCells>
  <phoneticPr fontId="29" type="noConversion"/>
  <pageMargins left="0.7" right="0.7" top="0.75" bottom="0.75" header="0.3" footer="0.3"/>
  <pageSetup paperSize="9" orientation="portrait" r:id="rId1"/>
  <customProperties>
    <customPr name="SheetID" r:id="rId2"/>
  </customProperties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周期整合及其行业风格表现汇总</vt:lpstr>
      <vt:lpstr>流程图</vt:lpstr>
      <vt:lpstr>框架指示的股债胜率（综合）</vt:lpstr>
      <vt:lpstr>主要指标对比</vt:lpstr>
      <vt:lpstr>周期整合计算</vt:lpstr>
      <vt:lpstr>货币信用周期收益计算</vt:lpstr>
      <vt:lpstr>股债表现与四个维度</vt:lpstr>
      <vt:lpstr>货币信用框架5-货币政策目标+信用脉冲</vt:lpstr>
      <vt:lpstr>信贷库存框架1-票据+贷款余额</vt:lpstr>
      <vt:lpstr>财政货币框架1&amp;2底稿</vt:lpstr>
      <vt:lpstr>美林时钟</vt:lpstr>
      <vt:lpstr>库存与产能周期2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郭兰滨 16708</dc:creator>
  <cp:lastModifiedBy>Meng Allen</cp:lastModifiedBy>
  <dcterms:created xsi:type="dcterms:W3CDTF">2024-06-21T06:58:00Z</dcterms:created>
  <dcterms:modified xsi:type="dcterms:W3CDTF">2026-01-30T10:07:00Z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A0579464E76D4842AB77BF70E1A62FA2_11</vt:lpwstr>
  </property>
  <property fmtid="{D5CDD505-2E9C-101B-9397-08002B2CF9AE}" pid="3" name="KSOProductBuildVer">
    <vt:lpwstr>2052-12.1.0.18276</vt:lpwstr>
  </property>
  <property fmtid="{D5CDD505-2E9C-101B-9397-08002B2CF9AE}" pid="4" name="EM_Doc_Temp_ID">
    <vt:lpwstr>DCE9A561-4CA7-48CA-87D8-207898527AE1</vt:lpwstr>
  </property>
</Properties>
</file>